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Equipamentos" sheetId="3" state="visible" r:id="rId3"/>
    <sheet xmlns:r="http://schemas.openxmlformats.org/officeDocument/2006/relationships" name="Moldes" sheetId="4" state="visible" r:id="rId4"/>
    <sheet xmlns:r="http://schemas.openxmlformats.org/officeDocument/2006/relationships" name="TrocasEquip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Producao" sheetId="8" state="visible" r:id="rId8"/>
    <sheet xmlns:r="http://schemas.openxmlformats.org/officeDocument/2006/relationships" name="Trocas" sheetId="9" state="visible" r:id="rId9"/>
    <sheet xmlns:r="http://schemas.openxmlformats.org/officeDocument/2006/relationships" name="Alertas" sheetId="10" state="visible" r:id="rId10"/>
    <sheet xmlns:r="http://schemas.openxmlformats.org/officeDocument/2006/relationships" name="Regras" sheetId="11" state="visible" r:id="rId11"/>
    <sheet xmlns:r="http://schemas.openxmlformats.org/officeDocument/2006/relationships" name="Auxiliar" sheetId="12" state="hidden" r:id="rId12"/>
  </sheets>
  <definedNames>
    <definedName name="_xlnm._FilterDatabase" localSheetId="4" hidden="1">'TrocasEquip'!$A$1:$F$5000</definedName>
    <definedName name="_xlnm._FilterDatabase" localSheetId="5" hidden="1">'Paradas'!$A$1:$F$5000</definedName>
    <definedName name="_xlnm._FilterDatabase" localSheetId="6" hidden="1">'Historico'!$A$1:$F$5000</definedName>
    <definedName name="_xlnm._FilterDatabase" localSheetId="7" hidden="1">'Producao'!$A$1:$F$5000</definedName>
    <definedName name="_xlnm._FilterDatabase" localSheetId="8" hidden="1">'Trocas'!$A$1:$I$5000</definedName>
    <definedName name="_xlnm._FilterDatabase" localSheetId="9" hidden="1">'Alertas'!$A$1:$E$5000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%"/>
    <numFmt numFmtId="166" formatCode="yyyy-mm-dd"/>
    <numFmt numFmtId="167" formatCode="dd/mm/yyyy;;&quot;-&quot;"/>
    <numFmt numFmtId="168" formatCode="dd/mm"/>
  </numFmts>
  <fonts count="26">
    <font>
      <name val="Calibri"/>
      <family val="2"/>
      <color theme="1"/>
      <sz val="11"/>
      <scheme val="minor"/>
    </font>
    <font>
      <b val="1"/>
      <color rgb="00FFFFFF"/>
    </font>
    <font>
      <b val="1"/>
      <color rgb="00595959"/>
    </font>
    <font>
      <i val="1"/>
      <color rgb="00595959"/>
    </font>
    <font>
      <b val="1"/>
      <color rgb="00C00000"/>
    </font>
    <font>
      <b val="1"/>
      <color rgb="001F3864"/>
      <sz val="12"/>
    </font>
    <font>
      <b val="1"/>
      <color rgb="00FFFFFF"/>
      <sz val="10"/>
    </font>
    <font>
      <b val="1"/>
      <color rgb="00FFFFFF"/>
      <sz val="18"/>
    </font>
    <font>
      <i val="1"/>
      <color rgb="00808080"/>
      <sz val="8"/>
    </font>
    <font>
      <b val="1"/>
      <color rgb="001F3864"/>
    </font>
    <font>
      <b val="1"/>
      <color rgb="001F3864"/>
      <sz val="26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C00000"/>
      <sz val="26"/>
    </font>
    <font>
      <b val="1"/>
      <color rgb="00FFFFFF"/>
      <sz val="12"/>
    </font>
    <font>
      <b val="1"/>
      <color rgb="00FFFFFF"/>
      <sz val="20"/>
    </font>
    <font>
      <i val="1"/>
      <color rgb="00808080"/>
      <sz val="9"/>
    </font>
    <font>
      <b val="1"/>
      <color rgb="001F3864"/>
      <u val="single"/>
    </font>
    <font>
      <b val="1"/>
      <color rgb="002E75B6"/>
      <u val="single"/>
    </font>
    <font>
      <b val="1"/>
      <color rgb="00BF8F00"/>
      <u val="single"/>
    </font>
    <font>
      <b val="1"/>
      <color rgb="00595959"/>
      <u val="single"/>
    </font>
    <font>
      <b val="1"/>
      <color rgb="00C00000"/>
      <u val="single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2E75B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1F3864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BF8F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59595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C00000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9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0" fillId="0" borderId="0" pivotButton="0" quotePrefix="0" xfId="0"/>
    <xf numFmtId="0" fontId="18" fillId="12" borderId="0" applyAlignment="1" pivotButton="0" quotePrefix="0" xfId="0">
      <alignment horizontal="left" vertical="center" indent="1"/>
    </xf>
    <xf numFmtId="0" fontId="0" fillId="12" borderId="0" pivotButton="0" quotePrefix="0" xfId="0"/>
    <xf numFmtId="0" fontId="21" fillId="11" borderId="2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  <xf numFmtId="0" fontId="22" fillId="11" borderId="3" applyAlignment="1" pivotButton="0" quotePrefix="0" xfId="0">
      <alignment horizontal="left" vertical="center" indent="1"/>
    </xf>
    <xf numFmtId="0" fontId="23" fillId="11" borderId="4" applyAlignment="1" pivotButton="0" quotePrefix="0" xfId="0">
      <alignment horizontal="left" vertical="center" indent="1"/>
    </xf>
    <xf numFmtId="0" fontId="24" fillId="11" borderId="5" applyAlignment="1" pivotButton="0" quotePrefix="0" xfId="0">
      <alignment horizontal="left" vertical="center" indent="1"/>
    </xf>
    <xf numFmtId="0" fontId="25" fillId="11" borderId="6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4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0" fillId="7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4" fillId="9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inden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1" fillId="5" borderId="1" applyAlignment="1" pivotButton="0" quotePrefix="0" xfId="0">
      <alignment horizontal="center" vertical="center" wrapText="1"/>
    </xf>
    <xf numFmtId="3" fontId="0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2F2F2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'Painel'!G20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'Painel'!$A$21:$A$44</f>
            </numRef>
          </cat>
          <val>
            <numRef>
              <f>'Painel'!$G$21:$G$44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46</row>
      <rowOff>0</rowOff>
    </from>
    <ext cx="45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46</row>
      <rowOff>0</rowOff>
    </from>
    <ext cx="4500000" cy="226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59</row>
      <rowOff>0</rowOff>
    </from>
    <ext cx="4500000" cy="226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Equipamentos'!A1" TargetMode="External" Id="rId2"/><Relationship Type="http://schemas.openxmlformats.org/officeDocument/2006/relationships/hyperlink" Target="#'Moldes'!A1" TargetMode="External" Id="rId3"/><Relationship Type="http://schemas.openxmlformats.org/officeDocument/2006/relationships/hyperlink" Target="#'TrocasEquip'!A1" TargetMode="External" Id="rId4"/><Relationship Type="http://schemas.openxmlformats.org/officeDocument/2006/relationships/hyperlink" Target="#'Paradas'!A1" TargetMode="External" Id="rId5"/><Relationship Type="http://schemas.openxmlformats.org/officeDocument/2006/relationships/hyperlink" Target="#'Historico'!A1" TargetMode="External" Id="rId6"/><Relationship Type="http://schemas.openxmlformats.org/officeDocument/2006/relationships/hyperlink" Target="#'Producao'!A1" TargetMode="External" Id="rId7"/><Relationship Type="http://schemas.openxmlformats.org/officeDocument/2006/relationships/hyperlink" Target="#'Trocas'!A1" TargetMode="External" Id="rId8"/><Relationship Type="http://schemas.openxmlformats.org/officeDocument/2006/relationships/hyperlink" Target="#'Alertas'!A1" TargetMode="External" Id="rId9"/><Relationship Type="http://schemas.openxmlformats.org/officeDocument/2006/relationships/hyperlink" Target="#'Regras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 ht="40" customHeight="1">
      <c r="B2" s="1" t="inlineStr">
        <is>
          <t>Controle de Vida dos Equipamentos</t>
        </is>
      </c>
      <c r="C2" s="2" t="n"/>
    </row>
    <row r="3">
      <c r="B3" s="3" t="inlineStr">
        <is>
          <t>Lucas Gabriel de Paula Rafael  |  Matrícula cbk3574  |  github.com/lucasdpr/controle-equipamentos</t>
        </is>
      </c>
    </row>
    <row r="5">
      <c r="B5" s="4" t="inlineStr">
        <is>
          <t>Abas (clique para ir)</t>
        </is>
      </c>
      <c r="C5" s="5" t="n"/>
    </row>
    <row r="6">
      <c r="B6" s="6" t="inlineStr">
        <is>
          <t>Painel</t>
        </is>
      </c>
      <c r="C6" s="7" t="inlineStr">
        <is>
          <t>Visão geral: indicadores, mais desgastados, resumo por tipo, todos os equipamentos e gráficos.</t>
        </is>
      </c>
    </row>
    <row r="7">
      <c r="B7" s="8" t="inlineStr">
        <is>
          <t>Equipamentos</t>
        </is>
      </c>
      <c r="C7" s="7" t="inlineStr">
        <is>
          <t>Cadastro de cada tag (meta, MCC, Desde, acumulado inicial) e o cálculo da vida.</t>
        </is>
      </c>
    </row>
    <row r="8">
      <c r="B8" s="8" t="inlineStr">
        <is>
          <t>Moldes</t>
        </is>
      </c>
      <c r="C8" s="7" t="inlineStr">
        <is>
          <t>Todos os veios (C a H) pelo relatório: molde atual, corridas, trocas, dias parados.</t>
        </is>
      </c>
    </row>
    <row r="9">
      <c r="B9" s="9" t="inlineStr">
        <is>
          <t>TrocasEquip</t>
        </is>
      </c>
      <c r="C9" s="7" t="inlineStr">
        <is>
          <t>Você registra a saída de oscilador e componentes.</t>
        </is>
      </c>
    </row>
    <row r="10">
      <c r="B10" s="9" t="inlineStr">
        <is>
          <t>Paradas</t>
        </is>
      </c>
      <c r="C10" s="7" t="inlineStr">
        <is>
          <t>Você registra paradas (início, fim, motivo).</t>
        </is>
      </c>
    </row>
    <row r="11">
      <c r="B11" s="10" t="inlineStr">
        <is>
          <t>Historico</t>
        </is>
      </c>
      <c r="C11" s="7" t="inlineStr">
        <is>
          <t>Robô: corridas de cada veio por dia.</t>
        </is>
      </c>
    </row>
    <row r="12">
      <c r="B12" s="10" t="inlineStr">
        <is>
          <t>Producao</t>
        </is>
      </c>
      <c r="C12" s="7" t="inlineStr">
        <is>
          <t>Robô: toneladas reais por MCC por dia.</t>
        </is>
      </c>
    </row>
    <row r="13">
      <c r="B13" s="10" t="inlineStr">
        <is>
          <t>Trocas</t>
        </is>
      </c>
      <c r="C13" s="7" t="inlineStr">
        <is>
          <t>Robô: trocas de molde detectadas no relatório.</t>
        </is>
      </c>
    </row>
    <row r="14">
      <c r="B14" s="11" t="inlineStr">
        <is>
          <t>Alertas</t>
        </is>
      </c>
      <c r="C14" s="7" t="inlineStr">
        <is>
          <t>Robô: avisos para conferir. Escolha 'Sim' em Resolvido quando tratar.</t>
        </is>
      </c>
    </row>
    <row r="15">
      <c r="B15" s="10" t="inlineStr">
        <is>
          <t>Regras</t>
        </is>
      </c>
      <c r="C15" s="7" t="inlineStr">
        <is>
          <t>Limiar de atenção e explicação dos cálculos.</t>
        </is>
      </c>
    </row>
    <row r="17">
      <c r="B17" s="4" t="inlineStr">
        <is>
          <t>Primeira vez</t>
        </is>
      </c>
      <c r="C17" s="5" t="n"/>
    </row>
    <row r="18">
      <c r="B18" s="12" t="inlineStr">
        <is>
          <t>1.</t>
        </is>
      </c>
      <c r="C18" s="13" t="inlineStr">
        <is>
          <t>Na aba Equipamentos, troque os nomes pelas tags reais e ajuste meta, MCC, Desde e Acumulado inicial (células amarelas).</t>
        </is>
      </c>
    </row>
    <row r="19">
      <c r="B19" s="12" t="inlineStr">
        <is>
          <t>2.</t>
        </is>
      </c>
      <c r="C19" s="13" t="inlineStr">
        <is>
          <t>Coloque esta planilha e o robô atualizar_controle_GRAVANDO.vbs na mesma pasta, fora do OneDrive.</t>
        </is>
      </c>
    </row>
    <row r="20">
      <c r="B20" s="12" t="inlineStr">
        <is>
          <t>3.</t>
        </is>
      </c>
      <c r="C20" s="13" t="inlineStr">
        <is>
          <t>Feche a planilha, abra o Outlook clássico e dê dois cliques no robô. Espere o aviso 'Robô terminou'.</t>
        </is>
      </c>
    </row>
    <row r="22">
      <c r="B22" s="4" t="inlineStr">
        <is>
          <t>Todo dia</t>
        </is>
      </c>
      <c r="C22" s="5" t="n"/>
    </row>
    <row r="23">
      <c r="B23" s="12" t="inlineStr">
        <is>
          <t>1.</t>
        </is>
      </c>
      <c r="C23" s="13" t="inlineStr">
        <is>
          <t>Rode o robô (ou deixe agendado no Agendador de Tarefas do Windows) com a planilha fechada.</t>
        </is>
      </c>
    </row>
    <row r="24">
      <c r="B24" s="12" t="inlineStr">
        <is>
          <t>2.</t>
        </is>
      </c>
      <c r="C24" s="13" t="inlineStr">
        <is>
          <t>Abra o Painel: veja os quadros do topo e os mais desgastados.</t>
        </is>
      </c>
    </row>
    <row r="25">
      <c r="B25" s="12" t="inlineStr">
        <is>
          <t>3.</t>
        </is>
      </c>
      <c r="C25" s="13" t="inlineStr">
        <is>
          <t>Se 'Alertas abertos' for maior que 0, confira na aba Alertas e marque 'Sim' em Resolvido.</t>
        </is>
      </c>
    </row>
    <row r="27">
      <c r="B27" s="4" t="inlineStr">
        <is>
          <t>Quando trocar</t>
        </is>
      </c>
      <c r="C27" s="5" t="n"/>
    </row>
    <row r="28">
      <c r="B28" s="12" t="inlineStr">
        <is>
          <t>1.</t>
        </is>
      </c>
      <c r="C28" s="13" t="inlineStr">
        <is>
          <t>Molde: nada a fazer, o robô detecta a troca pelo relatório.</t>
        </is>
      </c>
    </row>
    <row r="29">
      <c r="B29" s="12" t="inlineStr">
        <is>
          <t>2.</t>
        </is>
      </c>
      <c r="C29" s="13" t="inlineStr">
        <is>
          <t>Oscilador ou componente: registre a saída em TrocasEquip, depois na aba Equipamentos digite a nova data em Desde e zere o Acumulado inicial.</t>
        </is>
      </c>
    </row>
    <row r="31">
      <c r="B31" s="4" t="inlineStr">
        <is>
          <t>Cores</t>
        </is>
      </c>
      <c r="C31" s="5" t="n"/>
    </row>
    <row r="32">
      <c r="B32" s="12" t="inlineStr">
        <is>
          <t>1.</t>
        </is>
      </c>
      <c r="C32" s="13" t="inlineStr">
        <is>
          <t>Amarelo = você digita.   Verde = OK.   Âmbar = atenção (a partir do limiar em Regras).   Vermelho = além da meta ou alerta aberto.</t>
        </is>
      </c>
    </row>
  </sheetData>
  <mergeCells count="7">
    <mergeCell ref="B2:C2"/>
    <mergeCell ref="B3:C3"/>
    <mergeCell ref="B5:C5"/>
    <mergeCell ref="B22:C22"/>
    <mergeCell ref="B31:C31"/>
    <mergeCell ref="B17:C17"/>
    <mergeCell ref="B27:C27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3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</cols>
  <sheetData>
    <row r="1" ht="36" customHeight="1">
      <c r="A1" s="14" t="inlineStr">
        <is>
          <t>Controle de Vida dos Equipamentos  |  MCC4</t>
        </is>
      </c>
    </row>
    <row r="2">
      <c r="A2" s="15">
        <f>"Último relatório importado: "&amp;IF(MAX(Historico!$A$2:$A$5000)=0,"nenhum ainda",RIGHT("0"&amp;DAY(MAX(Historico!$A$2:$A$5000)),2)&amp;"/"&amp;RIGHT("0"&amp;MONTH(MAX(Historico!$A$2:$A$5000)),2)&amp;"/"&amp;YEAR(MAX(Historico!$A$2:$A$5000)))&amp;"     |     Hoje: "&amp;RIGHT("0"&amp;DAY(TODAY()),2)&amp;"/"&amp;RIGHT("0"&amp;MONTH(TODAY()),2)&amp;"/"&amp;YEAR(TODAY())</f>
        <v/>
      </c>
    </row>
    <row r="3">
      <c r="A3" s="16" t="inlineStr">
        <is>
          <t>Lucas Gabriel de Paula Rafael  |  Matrícula cbk3574  |  github.com/lucasdpr/controle-equipamentos</t>
        </is>
      </c>
    </row>
    <row r="5">
      <c r="A5" s="17" t="inlineStr">
        <is>
          <t>Equipamentos</t>
        </is>
      </c>
      <c r="B5" s="18" t="inlineStr">
        <is>
          <t>Além da meta</t>
        </is>
      </c>
      <c r="C5" s="19" t="n"/>
      <c r="D5" s="20" t="inlineStr">
        <is>
          <t>Atenção</t>
        </is>
      </c>
      <c r="E5" s="21" t="n"/>
      <c r="F5" s="22" t="inlineStr">
        <is>
          <t>OK</t>
        </is>
      </c>
      <c r="G5" s="23" t="n"/>
      <c r="H5" s="24" t="inlineStr">
        <is>
          <t>Alertas abertos</t>
        </is>
      </c>
      <c r="I5" s="25" t="n"/>
    </row>
    <row r="6" ht="44" customHeight="1">
      <c r="A6" s="26">
        <f>COUNTA(Equipamentos!$A$2:$A$61)</f>
        <v/>
      </c>
      <c r="B6" s="27">
        <f>COUNTIF(Equipamentos!$K$2:$K$61,"Além da meta")</f>
        <v/>
      </c>
      <c r="C6" s="19" t="n"/>
      <c r="D6" s="28">
        <f>COUNTIF(Equipamentos!$K$2:$K$61,"Atenção")</f>
        <v/>
      </c>
      <c r="E6" s="21" t="n"/>
      <c r="F6" s="29">
        <f>COUNTIF(Equipamentos!$K$2:$K$61,"OK")</f>
        <v/>
      </c>
      <c r="G6" s="23" t="n"/>
      <c r="H6" s="30">
        <f>COUNTA(Alertas!$A$2:$A$5000)-COUNTIFS(Alertas!$E$2:$E$5000,"Sim")</f>
        <v/>
      </c>
      <c r="I6" s="25" t="n"/>
    </row>
    <row r="8">
      <c r="A8" s="4" t="inlineStr">
        <is>
          <t>Mais desgastados</t>
        </is>
      </c>
      <c r="B8" s="5" t="n"/>
      <c r="C8" s="5" t="n"/>
      <c r="D8" s="5" t="n"/>
      <c r="F8" s="4" t="inlineStr">
        <is>
          <t>Por tipo</t>
        </is>
      </c>
      <c r="G8" s="5" t="n"/>
      <c r="H8" s="5" t="n"/>
      <c r="I8" s="5" t="n"/>
    </row>
    <row r="9">
      <c r="A9" s="31" t="inlineStr">
        <is>
          <t>Tag / Equipamento</t>
        </is>
      </c>
      <c r="B9" s="31" t="inlineStr">
        <is>
          <t>Tipo</t>
        </is>
      </c>
      <c r="C9" s="31" t="inlineStr">
        <is>
          <t>% da vida</t>
        </is>
      </c>
      <c r="D9" s="31" t="inlineStr">
        <is>
          <t>Situação</t>
        </is>
      </c>
      <c r="F9" s="31" t="inlineStr">
        <is>
          <t>Tipo</t>
        </is>
      </c>
      <c r="G9" s="31" t="inlineStr">
        <is>
          <t>Qtd</t>
        </is>
      </c>
      <c r="H9" s="31" t="inlineStr">
        <is>
          <t>Maior % da vida</t>
        </is>
      </c>
      <c r="I9" s="31" t="inlineStr">
        <is>
          <t>Atenção / além</t>
        </is>
      </c>
    </row>
    <row r="10">
      <c r="A10" s="7">
        <f>IF(Auxiliar!$F$2=0,"",INDEX(Equipamentos!$A$2:$A$61,Auxiliar!$F$2))</f>
        <v/>
      </c>
      <c r="B10" s="32">
        <f>IF(Auxiliar!$F$2=0,"",INDEX(Equipamentos!$B$2:$B$61,Auxiliar!$F$2))</f>
        <v/>
      </c>
      <c r="C10" s="33">
        <f>IF(Auxiliar!$F$2=0,"",INDEX(Equipamentos!$J$2:$J$61,Auxiliar!$F$2))</f>
        <v/>
      </c>
      <c r="D10" s="32">
        <f>IF(Auxiliar!$F$2=0,"",INDEX(Equipamentos!$K$2:$K$61,Auxiliar!$F$2))</f>
        <v/>
      </c>
      <c r="F10" s="7" t="inlineStr">
        <is>
          <t>Molde</t>
        </is>
      </c>
      <c r="G10" s="32">
        <f>COUNTIF(Equipamentos!$B$2:$B$61,F10)</f>
        <v/>
      </c>
      <c r="H10" s="33">
        <f>IF(G10=0,"",SUMPRODUCT(MAX((Equipamentos!$B$2:$B$61=F10)*Equipamentos!$M$2:$M$61)))</f>
        <v/>
      </c>
      <c r="I10" s="32">
        <f>COUNTIFS(Equipamentos!$B$2:$B$61,F10,Equipamentos!$K$2:$K$61,"Atenção")+COUNTIFS(Equipamentos!$B$2:$B$61,F10,Equipamentos!$K$2:$K$61,"Além da meta")</f>
        <v/>
      </c>
    </row>
    <row r="11">
      <c r="A11" s="7">
        <f>IF(Auxiliar!$F$3=0,"",INDEX(Equipamentos!$A$2:$A$61,Auxiliar!$F$3))</f>
        <v/>
      </c>
      <c r="B11" s="32">
        <f>IF(Auxiliar!$F$3=0,"",INDEX(Equipamentos!$B$2:$B$61,Auxiliar!$F$3))</f>
        <v/>
      </c>
      <c r="C11" s="33">
        <f>IF(Auxiliar!$F$3=0,"",INDEX(Equipamentos!$J$2:$J$61,Auxiliar!$F$3))</f>
        <v/>
      </c>
      <c r="D11" s="32">
        <f>IF(Auxiliar!$F$3=0,"",INDEX(Equipamentos!$K$2:$K$61,Auxiliar!$F$3))</f>
        <v/>
      </c>
      <c r="F11" s="7" t="inlineStr">
        <is>
          <t>Oscilador</t>
        </is>
      </c>
      <c r="G11" s="32">
        <f>COUNTIF(Equipamentos!$B$2:$B$61,F11)</f>
        <v/>
      </c>
      <c r="H11" s="33">
        <f>IF(G11=0,"",SUMPRODUCT(MAX((Equipamentos!$B$2:$B$61=F11)*Equipamentos!$M$2:$M$61)))</f>
        <v/>
      </c>
      <c r="I11" s="32">
        <f>COUNTIFS(Equipamentos!$B$2:$B$61,F11,Equipamentos!$K$2:$K$61,"Atenção")+COUNTIFS(Equipamentos!$B$2:$B$61,F11,Equipamentos!$K$2:$K$61,"Além da meta")</f>
        <v/>
      </c>
    </row>
    <row r="12">
      <c r="A12" s="7">
        <f>IF(Auxiliar!$F$4=0,"",INDEX(Equipamentos!$A$2:$A$61,Auxiliar!$F$4))</f>
        <v/>
      </c>
      <c r="B12" s="32">
        <f>IF(Auxiliar!$F$4=0,"",INDEX(Equipamentos!$B$2:$B$61,Auxiliar!$F$4))</f>
        <v/>
      </c>
      <c r="C12" s="33">
        <f>IF(Auxiliar!$F$4=0,"",INDEX(Equipamentos!$J$2:$J$61,Auxiliar!$F$4))</f>
        <v/>
      </c>
      <c r="D12" s="32">
        <f>IF(Auxiliar!$F$4=0,"",INDEX(Equipamentos!$K$2:$K$61,Auxiliar!$F$4))</f>
        <v/>
      </c>
      <c r="F12" s="7" t="inlineStr">
        <is>
          <t>Bender</t>
        </is>
      </c>
      <c r="G12" s="32">
        <f>COUNTIF(Equipamentos!$B$2:$B$61,F12)</f>
        <v/>
      </c>
      <c r="H12" s="33">
        <f>IF(G12=0,"",SUMPRODUCT(MAX((Equipamentos!$B$2:$B$61=F12)*Equipamentos!$M$2:$M$61)))</f>
        <v/>
      </c>
      <c r="I12" s="32">
        <f>COUNTIFS(Equipamentos!$B$2:$B$61,F12,Equipamentos!$K$2:$K$61,"Atenção")+COUNTIFS(Equipamentos!$B$2:$B$61,F12,Equipamentos!$K$2:$K$61,"Além da meta")</f>
        <v/>
      </c>
    </row>
    <row r="13">
      <c r="A13" s="7">
        <f>IF(Auxiliar!$F$5=0,"",INDEX(Equipamentos!$A$2:$A$61,Auxiliar!$F$5))</f>
        <v/>
      </c>
      <c r="B13" s="32">
        <f>IF(Auxiliar!$F$5=0,"",INDEX(Equipamentos!$B$2:$B$61,Auxiliar!$F$5))</f>
        <v/>
      </c>
      <c r="C13" s="33">
        <f>IF(Auxiliar!$F$5=0,"",INDEX(Equipamentos!$J$2:$J$61,Auxiliar!$F$5))</f>
        <v/>
      </c>
      <c r="D13" s="32">
        <f>IF(Auxiliar!$F$5=0,"",INDEX(Equipamentos!$K$2:$K$61,Auxiliar!$F$5))</f>
        <v/>
      </c>
      <c r="F13" s="7" t="inlineStr">
        <is>
          <t>Bow</t>
        </is>
      </c>
      <c r="G13" s="32">
        <f>COUNTIF(Equipamentos!$B$2:$B$61,F13)</f>
        <v/>
      </c>
      <c r="H13" s="33">
        <f>IF(G13=0,"",SUMPRODUCT(MAX((Equipamentos!$B$2:$B$61=F13)*Equipamentos!$M$2:$M$61)))</f>
        <v/>
      </c>
      <c r="I13" s="32">
        <f>COUNTIFS(Equipamentos!$B$2:$B$61,F13,Equipamentos!$K$2:$K$61,"Atenção")+COUNTIFS(Equipamentos!$B$2:$B$61,F13,Equipamentos!$K$2:$K$61,"Além da meta")</f>
        <v/>
      </c>
    </row>
    <row r="14">
      <c r="A14" s="7">
        <f>IF(Auxiliar!$F$6=0,"",INDEX(Equipamentos!$A$2:$A$61,Auxiliar!$F$6))</f>
        <v/>
      </c>
      <c r="B14" s="32">
        <f>IF(Auxiliar!$F$6=0,"",INDEX(Equipamentos!$B$2:$B$61,Auxiliar!$F$6))</f>
        <v/>
      </c>
      <c r="C14" s="33">
        <f>IF(Auxiliar!$F$6=0,"",INDEX(Equipamentos!$J$2:$J$61,Auxiliar!$F$6))</f>
        <v/>
      </c>
      <c r="D14" s="32">
        <f>IF(Auxiliar!$F$6=0,"",INDEX(Equipamentos!$K$2:$K$61,Auxiliar!$F$6))</f>
        <v/>
      </c>
      <c r="F14" s="7" t="inlineStr">
        <is>
          <t>Straightener R1</t>
        </is>
      </c>
      <c r="G14" s="32">
        <f>COUNTIF(Equipamentos!$B$2:$B$61,F14)</f>
        <v/>
      </c>
      <c r="H14" s="33">
        <f>IF(G14=0,"",SUMPRODUCT(MAX((Equipamentos!$B$2:$B$61=F14)*Equipamentos!$M$2:$M$61)))</f>
        <v/>
      </c>
      <c r="I14" s="32">
        <f>COUNTIFS(Equipamentos!$B$2:$B$61,F14,Equipamentos!$K$2:$K$61,"Atenção")+COUNTIFS(Equipamentos!$B$2:$B$61,F14,Equipamentos!$K$2:$K$61,"Além da meta")</f>
        <v/>
      </c>
    </row>
    <row r="15">
      <c r="A15" s="7">
        <f>IF(Auxiliar!$F$7=0,"",INDEX(Equipamentos!$A$2:$A$61,Auxiliar!$F$7))</f>
        <v/>
      </c>
      <c r="B15" s="32">
        <f>IF(Auxiliar!$F$7=0,"",INDEX(Equipamentos!$B$2:$B$61,Auxiliar!$F$7))</f>
        <v/>
      </c>
      <c r="C15" s="33">
        <f>IF(Auxiliar!$F$7=0,"",INDEX(Equipamentos!$J$2:$J$61,Auxiliar!$F$7))</f>
        <v/>
      </c>
      <c r="D15" s="32">
        <f>IF(Auxiliar!$F$7=0,"",INDEX(Equipamentos!$K$2:$K$61,Auxiliar!$F$7))</f>
        <v/>
      </c>
      <c r="F15" s="7" t="inlineStr">
        <is>
          <t>Straightener R2</t>
        </is>
      </c>
      <c r="G15" s="32">
        <f>COUNTIF(Equipamentos!$B$2:$B$61,F15)</f>
        <v/>
      </c>
      <c r="H15" s="33">
        <f>IF(G15=0,"",SUMPRODUCT(MAX((Equipamentos!$B$2:$B$61=F15)*Equipamentos!$M$2:$M$61)))</f>
        <v/>
      </c>
      <c r="I15" s="32">
        <f>COUNTIFS(Equipamentos!$B$2:$B$61,F15,Equipamentos!$K$2:$K$61,"Atenção")+COUNTIFS(Equipamentos!$B$2:$B$61,F15,Equipamentos!$K$2:$K$61,"Além da meta")</f>
        <v/>
      </c>
    </row>
    <row r="16">
      <c r="F16" s="7" t="inlineStr">
        <is>
          <t>Horizontal</t>
        </is>
      </c>
      <c r="G16" s="32">
        <f>COUNTIF(Equipamentos!$B$2:$B$61,F16)</f>
        <v/>
      </c>
      <c r="H16" s="33">
        <f>IF(G16=0,"",SUMPRODUCT(MAX((Equipamentos!$B$2:$B$61=F16)*Equipamentos!$M$2:$M$61)))</f>
        <v/>
      </c>
      <c r="I16" s="32">
        <f>COUNTIFS(Equipamentos!$B$2:$B$61,F16,Equipamentos!$K$2:$K$61,"Atenção")+COUNTIFS(Equipamentos!$B$2:$B$61,F16,Equipamentos!$K$2:$K$61,"Além da meta")</f>
        <v/>
      </c>
    </row>
    <row r="19">
      <c r="A19" s="4" t="inlineStr">
        <is>
          <t>Todos os equipamentos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31" t="inlineStr">
        <is>
          <t>Tag</t>
        </is>
      </c>
      <c r="B20" s="31" t="inlineStr">
        <is>
          <t>Posição</t>
        </is>
      </c>
      <c r="C20" s="31" t="inlineStr">
        <is>
          <t>Veio</t>
        </is>
      </c>
      <c r="D20" s="31" t="inlineStr">
        <is>
          <t>Meta</t>
        </is>
      </c>
      <c r="E20" s="31" t="inlineStr">
        <is>
          <t>Acumulado</t>
        </is>
      </c>
      <c r="F20" s="31" t="inlineStr">
        <is>
          <t>Falta</t>
        </is>
      </c>
      <c r="G20" s="31" t="inlineStr">
        <is>
          <t>% da vida</t>
        </is>
      </c>
      <c r="H20" s="31" t="inlineStr">
        <is>
          <t>Situação</t>
        </is>
      </c>
      <c r="I20" s="31" t="inlineStr">
        <is>
          <t>Desde</t>
        </is>
      </c>
    </row>
    <row r="21">
      <c r="A21" s="7">
        <f>IF(Equipamentos!A2="","",Equipamentos!A2)</f>
        <v/>
      </c>
      <c r="B21" s="32">
        <f>IF(Equipamentos!A2="","",Equipamentos!N2)</f>
        <v/>
      </c>
      <c r="C21" s="32">
        <f>IF(Equipamentos!A2="","",Equipamentos!L2)</f>
        <v/>
      </c>
      <c r="D21" s="34">
        <f>IF(Equipamentos!A2="","",Equipamentos!E2)</f>
        <v/>
      </c>
      <c r="E21" s="34">
        <f>IF(Equipamentos!A2="","",Equipamentos!H2)</f>
        <v/>
      </c>
      <c r="F21" s="34">
        <f>IF(Equipamentos!A2="","",Equipamentos!I2)</f>
        <v/>
      </c>
      <c r="G21" s="35">
        <f>IF(Equipamentos!A2="","",Equipamentos!J2)</f>
        <v/>
      </c>
      <c r="H21" s="32">
        <f>IF(Equipamentos!A2="","",Equipamentos!K2)</f>
        <v/>
      </c>
      <c r="I21" s="36">
        <f>IF(OR(Equipamentos!A2="",Equipamentos!F2=""),"",Equipamentos!F2)</f>
        <v/>
      </c>
    </row>
    <row r="22">
      <c r="A22" s="7">
        <f>IF(Equipamentos!A3="","",Equipamentos!A3)</f>
        <v/>
      </c>
      <c r="B22" s="32">
        <f>IF(Equipamentos!A3="","",Equipamentos!N3)</f>
        <v/>
      </c>
      <c r="C22" s="32">
        <f>IF(Equipamentos!A3="","",Equipamentos!L3)</f>
        <v/>
      </c>
      <c r="D22" s="34">
        <f>IF(Equipamentos!A3="","",Equipamentos!E3)</f>
        <v/>
      </c>
      <c r="E22" s="34">
        <f>IF(Equipamentos!A3="","",Equipamentos!H3)</f>
        <v/>
      </c>
      <c r="F22" s="34">
        <f>IF(Equipamentos!A3="","",Equipamentos!I3)</f>
        <v/>
      </c>
      <c r="G22" s="35">
        <f>IF(Equipamentos!A3="","",Equipamentos!J3)</f>
        <v/>
      </c>
      <c r="H22" s="32">
        <f>IF(Equipamentos!A3="","",Equipamentos!K3)</f>
        <v/>
      </c>
      <c r="I22" s="36">
        <f>IF(OR(Equipamentos!A3="",Equipamentos!F3=""),"",Equipamentos!F3)</f>
        <v/>
      </c>
    </row>
    <row r="23">
      <c r="A23" s="7">
        <f>IF(Equipamentos!A4="","",Equipamentos!A4)</f>
        <v/>
      </c>
      <c r="B23" s="32">
        <f>IF(Equipamentos!A4="","",Equipamentos!N4)</f>
        <v/>
      </c>
      <c r="C23" s="32">
        <f>IF(Equipamentos!A4="","",Equipamentos!L4)</f>
        <v/>
      </c>
      <c r="D23" s="34">
        <f>IF(Equipamentos!A4="","",Equipamentos!E4)</f>
        <v/>
      </c>
      <c r="E23" s="34">
        <f>IF(Equipamentos!A4="","",Equipamentos!H4)</f>
        <v/>
      </c>
      <c r="F23" s="34">
        <f>IF(Equipamentos!A4="","",Equipamentos!I4)</f>
        <v/>
      </c>
      <c r="G23" s="35">
        <f>IF(Equipamentos!A4="","",Equipamentos!J4)</f>
        <v/>
      </c>
      <c r="H23" s="32">
        <f>IF(Equipamentos!A4="","",Equipamentos!K4)</f>
        <v/>
      </c>
      <c r="I23" s="36">
        <f>IF(OR(Equipamentos!A4="",Equipamentos!F4=""),"",Equipamentos!F4)</f>
        <v/>
      </c>
    </row>
    <row r="24">
      <c r="A24" s="7">
        <f>IF(Equipamentos!A5="","",Equipamentos!A5)</f>
        <v/>
      </c>
      <c r="B24" s="32">
        <f>IF(Equipamentos!A5="","",Equipamentos!N5)</f>
        <v/>
      </c>
      <c r="C24" s="32">
        <f>IF(Equipamentos!A5="","",Equipamentos!L5)</f>
        <v/>
      </c>
      <c r="D24" s="34">
        <f>IF(Equipamentos!A5="","",Equipamentos!E5)</f>
        <v/>
      </c>
      <c r="E24" s="34">
        <f>IF(Equipamentos!A5="","",Equipamentos!H5)</f>
        <v/>
      </c>
      <c r="F24" s="34">
        <f>IF(Equipamentos!A5="","",Equipamentos!I5)</f>
        <v/>
      </c>
      <c r="G24" s="35">
        <f>IF(Equipamentos!A5="","",Equipamentos!J5)</f>
        <v/>
      </c>
      <c r="H24" s="32">
        <f>IF(Equipamentos!A5="","",Equipamentos!K5)</f>
        <v/>
      </c>
      <c r="I24" s="36">
        <f>IF(OR(Equipamentos!A5="",Equipamentos!F5=""),"",Equipamentos!F5)</f>
        <v/>
      </c>
    </row>
    <row r="25">
      <c r="A25" s="7">
        <f>IF(Equipamentos!A6="","",Equipamentos!A6)</f>
        <v/>
      </c>
      <c r="B25" s="32">
        <f>IF(Equipamentos!A6="","",Equipamentos!N6)</f>
        <v/>
      </c>
      <c r="C25" s="32">
        <f>IF(Equipamentos!A6="","",Equipamentos!L6)</f>
        <v/>
      </c>
      <c r="D25" s="34">
        <f>IF(Equipamentos!A6="","",Equipamentos!E6)</f>
        <v/>
      </c>
      <c r="E25" s="34">
        <f>IF(Equipamentos!A6="","",Equipamentos!H6)</f>
        <v/>
      </c>
      <c r="F25" s="34">
        <f>IF(Equipamentos!A6="","",Equipamentos!I6)</f>
        <v/>
      </c>
      <c r="G25" s="35">
        <f>IF(Equipamentos!A6="","",Equipamentos!J6)</f>
        <v/>
      </c>
      <c r="H25" s="32">
        <f>IF(Equipamentos!A6="","",Equipamentos!K6)</f>
        <v/>
      </c>
      <c r="I25" s="36">
        <f>IF(OR(Equipamentos!A6="",Equipamentos!F6=""),"",Equipamentos!F6)</f>
        <v/>
      </c>
    </row>
    <row r="26">
      <c r="A26" s="7">
        <f>IF(Equipamentos!A7="","",Equipamentos!A7)</f>
        <v/>
      </c>
      <c r="B26" s="32">
        <f>IF(Equipamentos!A7="","",Equipamentos!N7)</f>
        <v/>
      </c>
      <c r="C26" s="32">
        <f>IF(Equipamentos!A7="","",Equipamentos!L7)</f>
        <v/>
      </c>
      <c r="D26" s="34">
        <f>IF(Equipamentos!A7="","",Equipamentos!E7)</f>
        <v/>
      </c>
      <c r="E26" s="34">
        <f>IF(Equipamentos!A7="","",Equipamentos!H7)</f>
        <v/>
      </c>
      <c r="F26" s="34">
        <f>IF(Equipamentos!A7="","",Equipamentos!I7)</f>
        <v/>
      </c>
      <c r="G26" s="35">
        <f>IF(Equipamentos!A7="","",Equipamentos!J7)</f>
        <v/>
      </c>
      <c r="H26" s="32">
        <f>IF(Equipamentos!A7="","",Equipamentos!K7)</f>
        <v/>
      </c>
      <c r="I26" s="36">
        <f>IF(OR(Equipamentos!A7="",Equipamentos!F7=""),"",Equipamentos!F7)</f>
        <v/>
      </c>
    </row>
    <row r="27">
      <c r="A27" s="7">
        <f>IF(Equipamentos!A8="","",Equipamentos!A8)</f>
        <v/>
      </c>
      <c r="B27" s="32">
        <f>IF(Equipamentos!A8="","",Equipamentos!N8)</f>
        <v/>
      </c>
      <c r="C27" s="32">
        <f>IF(Equipamentos!A8="","",Equipamentos!L8)</f>
        <v/>
      </c>
      <c r="D27" s="34">
        <f>IF(Equipamentos!A8="","",Equipamentos!E8)</f>
        <v/>
      </c>
      <c r="E27" s="34">
        <f>IF(Equipamentos!A8="","",Equipamentos!H8)</f>
        <v/>
      </c>
      <c r="F27" s="34">
        <f>IF(Equipamentos!A8="","",Equipamentos!I8)</f>
        <v/>
      </c>
      <c r="G27" s="35">
        <f>IF(Equipamentos!A8="","",Equipamentos!J8)</f>
        <v/>
      </c>
      <c r="H27" s="32">
        <f>IF(Equipamentos!A8="","",Equipamentos!K8)</f>
        <v/>
      </c>
      <c r="I27" s="36">
        <f>IF(OR(Equipamentos!A8="",Equipamentos!F8=""),"",Equipamentos!F8)</f>
        <v/>
      </c>
    </row>
    <row r="28">
      <c r="A28" s="7">
        <f>IF(Equipamentos!A9="","",Equipamentos!A9)</f>
        <v/>
      </c>
      <c r="B28" s="32">
        <f>IF(Equipamentos!A9="","",Equipamentos!N9)</f>
        <v/>
      </c>
      <c r="C28" s="32">
        <f>IF(Equipamentos!A9="","",Equipamentos!L9)</f>
        <v/>
      </c>
      <c r="D28" s="34">
        <f>IF(Equipamentos!A9="","",Equipamentos!E9)</f>
        <v/>
      </c>
      <c r="E28" s="34">
        <f>IF(Equipamentos!A9="","",Equipamentos!H9)</f>
        <v/>
      </c>
      <c r="F28" s="34">
        <f>IF(Equipamentos!A9="","",Equipamentos!I9)</f>
        <v/>
      </c>
      <c r="G28" s="35">
        <f>IF(Equipamentos!A9="","",Equipamentos!J9)</f>
        <v/>
      </c>
      <c r="H28" s="32">
        <f>IF(Equipamentos!A9="","",Equipamentos!K9)</f>
        <v/>
      </c>
      <c r="I28" s="36">
        <f>IF(OR(Equipamentos!A9="",Equipamentos!F9=""),"",Equipamentos!F9)</f>
        <v/>
      </c>
    </row>
    <row r="29">
      <c r="A29" s="7">
        <f>IF(Equipamentos!A10="","",Equipamentos!A10)</f>
        <v/>
      </c>
      <c r="B29" s="32">
        <f>IF(Equipamentos!A10="","",Equipamentos!N10)</f>
        <v/>
      </c>
      <c r="C29" s="32">
        <f>IF(Equipamentos!A10="","",Equipamentos!L10)</f>
        <v/>
      </c>
      <c r="D29" s="34">
        <f>IF(Equipamentos!A10="","",Equipamentos!E10)</f>
        <v/>
      </c>
      <c r="E29" s="34">
        <f>IF(Equipamentos!A10="","",Equipamentos!H10)</f>
        <v/>
      </c>
      <c r="F29" s="34">
        <f>IF(Equipamentos!A10="","",Equipamentos!I10)</f>
        <v/>
      </c>
      <c r="G29" s="35">
        <f>IF(Equipamentos!A10="","",Equipamentos!J10)</f>
        <v/>
      </c>
      <c r="H29" s="32">
        <f>IF(Equipamentos!A10="","",Equipamentos!K10)</f>
        <v/>
      </c>
      <c r="I29" s="36">
        <f>IF(OR(Equipamentos!A10="",Equipamentos!F10=""),"",Equipamentos!F10)</f>
        <v/>
      </c>
    </row>
    <row r="30">
      <c r="A30" s="7">
        <f>IF(Equipamentos!A11="","",Equipamentos!A11)</f>
        <v/>
      </c>
      <c r="B30" s="32">
        <f>IF(Equipamentos!A11="","",Equipamentos!N11)</f>
        <v/>
      </c>
      <c r="C30" s="32">
        <f>IF(Equipamentos!A11="","",Equipamentos!L11)</f>
        <v/>
      </c>
      <c r="D30" s="34">
        <f>IF(Equipamentos!A11="","",Equipamentos!E11)</f>
        <v/>
      </c>
      <c r="E30" s="34">
        <f>IF(Equipamentos!A11="","",Equipamentos!H11)</f>
        <v/>
      </c>
      <c r="F30" s="34">
        <f>IF(Equipamentos!A11="","",Equipamentos!I11)</f>
        <v/>
      </c>
      <c r="G30" s="35">
        <f>IF(Equipamentos!A11="","",Equipamentos!J11)</f>
        <v/>
      </c>
      <c r="H30" s="32">
        <f>IF(Equipamentos!A11="","",Equipamentos!K11)</f>
        <v/>
      </c>
      <c r="I30" s="36">
        <f>IF(OR(Equipamentos!A11="",Equipamentos!F11=""),"",Equipamentos!F11)</f>
        <v/>
      </c>
    </row>
    <row r="31">
      <c r="A31" s="7">
        <f>IF(Equipamentos!A12="","",Equipamentos!A12)</f>
        <v/>
      </c>
      <c r="B31" s="32">
        <f>IF(Equipamentos!A12="","",Equipamentos!N12)</f>
        <v/>
      </c>
      <c r="C31" s="32">
        <f>IF(Equipamentos!A12="","",Equipamentos!L12)</f>
        <v/>
      </c>
      <c r="D31" s="34">
        <f>IF(Equipamentos!A12="","",Equipamentos!E12)</f>
        <v/>
      </c>
      <c r="E31" s="34">
        <f>IF(Equipamentos!A12="","",Equipamentos!H12)</f>
        <v/>
      </c>
      <c r="F31" s="34">
        <f>IF(Equipamentos!A12="","",Equipamentos!I12)</f>
        <v/>
      </c>
      <c r="G31" s="35">
        <f>IF(Equipamentos!A12="","",Equipamentos!J12)</f>
        <v/>
      </c>
      <c r="H31" s="32">
        <f>IF(Equipamentos!A12="","",Equipamentos!K12)</f>
        <v/>
      </c>
      <c r="I31" s="36">
        <f>IF(OR(Equipamentos!A12="",Equipamentos!F12=""),"",Equipamentos!F12)</f>
        <v/>
      </c>
    </row>
    <row r="32">
      <c r="A32" s="7">
        <f>IF(Equipamentos!A13="","",Equipamentos!A13)</f>
        <v/>
      </c>
      <c r="B32" s="32">
        <f>IF(Equipamentos!A13="","",Equipamentos!N13)</f>
        <v/>
      </c>
      <c r="C32" s="32">
        <f>IF(Equipamentos!A13="","",Equipamentos!L13)</f>
        <v/>
      </c>
      <c r="D32" s="34">
        <f>IF(Equipamentos!A13="","",Equipamentos!E13)</f>
        <v/>
      </c>
      <c r="E32" s="34">
        <f>IF(Equipamentos!A13="","",Equipamentos!H13)</f>
        <v/>
      </c>
      <c r="F32" s="34">
        <f>IF(Equipamentos!A13="","",Equipamentos!I13)</f>
        <v/>
      </c>
      <c r="G32" s="35">
        <f>IF(Equipamentos!A13="","",Equipamentos!J13)</f>
        <v/>
      </c>
      <c r="H32" s="32">
        <f>IF(Equipamentos!A13="","",Equipamentos!K13)</f>
        <v/>
      </c>
      <c r="I32" s="36">
        <f>IF(OR(Equipamentos!A13="",Equipamentos!F13=""),"",Equipamentos!F13)</f>
        <v/>
      </c>
    </row>
    <row r="33">
      <c r="A33" s="7">
        <f>IF(Equipamentos!A14="","",Equipamentos!A14)</f>
        <v/>
      </c>
      <c r="B33" s="32">
        <f>IF(Equipamentos!A14="","",Equipamentos!N14)</f>
        <v/>
      </c>
      <c r="C33" s="32">
        <f>IF(Equipamentos!A14="","",Equipamentos!L14)</f>
        <v/>
      </c>
      <c r="D33" s="34">
        <f>IF(Equipamentos!A14="","",Equipamentos!E14)</f>
        <v/>
      </c>
      <c r="E33" s="34">
        <f>IF(Equipamentos!A14="","",Equipamentos!H14)</f>
        <v/>
      </c>
      <c r="F33" s="34">
        <f>IF(Equipamentos!A14="","",Equipamentos!I14)</f>
        <v/>
      </c>
      <c r="G33" s="35">
        <f>IF(Equipamentos!A14="","",Equipamentos!J14)</f>
        <v/>
      </c>
      <c r="H33" s="32">
        <f>IF(Equipamentos!A14="","",Equipamentos!K14)</f>
        <v/>
      </c>
      <c r="I33" s="36">
        <f>IF(OR(Equipamentos!A14="",Equipamentos!F14=""),"",Equipamentos!F14)</f>
        <v/>
      </c>
    </row>
    <row r="34">
      <c r="A34" s="7">
        <f>IF(Equipamentos!A15="","",Equipamentos!A15)</f>
        <v/>
      </c>
      <c r="B34" s="32">
        <f>IF(Equipamentos!A15="","",Equipamentos!N15)</f>
        <v/>
      </c>
      <c r="C34" s="32">
        <f>IF(Equipamentos!A15="","",Equipamentos!L15)</f>
        <v/>
      </c>
      <c r="D34" s="34">
        <f>IF(Equipamentos!A15="","",Equipamentos!E15)</f>
        <v/>
      </c>
      <c r="E34" s="34">
        <f>IF(Equipamentos!A15="","",Equipamentos!H15)</f>
        <v/>
      </c>
      <c r="F34" s="34">
        <f>IF(Equipamentos!A15="","",Equipamentos!I15)</f>
        <v/>
      </c>
      <c r="G34" s="35">
        <f>IF(Equipamentos!A15="","",Equipamentos!J15)</f>
        <v/>
      </c>
      <c r="H34" s="32">
        <f>IF(Equipamentos!A15="","",Equipamentos!K15)</f>
        <v/>
      </c>
      <c r="I34" s="36">
        <f>IF(OR(Equipamentos!A15="",Equipamentos!F15=""),"",Equipamentos!F15)</f>
        <v/>
      </c>
    </row>
    <row r="35">
      <c r="A35" s="7">
        <f>IF(Equipamentos!A16="","",Equipamentos!A16)</f>
        <v/>
      </c>
      <c r="B35" s="32">
        <f>IF(Equipamentos!A16="","",Equipamentos!N16)</f>
        <v/>
      </c>
      <c r="C35" s="32">
        <f>IF(Equipamentos!A16="","",Equipamentos!L16)</f>
        <v/>
      </c>
      <c r="D35" s="34">
        <f>IF(Equipamentos!A16="","",Equipamentos!E16)</f>
        <v/>
      </c>
      <c r="E35" s="34">
        <f>IF(Equipamentos!A16="","",Equipamentos!H16)</f>
        <v/>
      </c>
      <c r="F35" s="34">
        <f>IF(Equipamentos!A16="","",Equipamentos!I16)</f>
        <v/>
      </c>
      <c r="G35" s="35">
        <f>IF(Equipamentos!A16="","",Equipamentos!J16)</f>
        <v/>
      </c>
      <c r="H35" s="32">
        <f>IF(Equipamentos!A16="","",Equipamentos!K16)</f>
        <v/>
      </c>
      <c r="I35" s="36">
        <f>IF(OR(Equipamentos!A16="",Equipamentos!F16=""),"",Equipamentos!F16)</f>
        <v/>
      </c>
    </row>
    <row r="36">
      <c r="A36" s="7">
        <f>IF(Equipamentos!A17="","",Equipamentos!A17)</f>
        <v/>
      </c>
      <c r="B36" s="32">
        <f>IF(Equipamentos!A17="","",Equipamentos!N17)</f>
        <v/>
      </c>
      <c r="C36" s="32">
        <f>IF(Equipamentos!A17="","",Equipamentos!L17)</f>
        <v/>
      </c>
      <c r="D36" s="34">
        <f>IF(Equipamentos!A17="","",Equipamentos!E17)</f>
        <v/>
      </c>
      <c r="E36" s="34">
        <f>IF(Equipamentos!A17="","",Equipamentos!H17)</f>
        <v/>
      </c>
      <c r="F36" s="34">
        <f>IF(Equipamentos!A17="","",Equipamentos!I17)</f>
        <v/>
      </c>
      <c r="G36" s="35">
        <f>IF(Equipamentos!A17="","",Equipamentos!J17)</f>
        <v/>
      </c>
      <c r="H36" s="32">
        <f>IF(Equipamentos!A17="","",Equipamentos!K17)</f>
        <v/>
      </c>
      <c r="I36" s="36">
        <f>IF(OR(Equipamentos!A17="",Equipamentos!F17=""),"",Equipamentos!F17)</f>
        <v/>
      </c>
    </row>
    <row r="37">
      <c r="A37" s="7">
        <f>IF(Equipamentos!A18="","",Equipamentos!A18)</f>
        <v/>
      </c>
      <c r="B37" s="32">
        <f>IF(Equipamentos!A18="","",Equipamentos!N18)</f>
        <v/>
      </c>
      <c r="C37" s="32">
        <f>IF(Equipamentos!A18="","",Equipamentos!L18)</f>
        <v/>
      </c>
      <c r="D37" s="34">
        <f>IF(Equipamentos!A18="","",Equipamentos!E18)</f>
        <v/>
      </c>
      <c r="E37" s="34">
        <f>IF(Equipamentos!A18="","",Equipamentos!H18)</f>
        <v/>
      </c>
      <c r="F37" s="34">
        <f>IF(Equipamentos!A18="","",Equipamentos!I18)</f>
        <v/>
      </c>
      <c r="G37" s="35">
        <f>IF(Equipamentos!A18="","",Equipamentos!J18)</f>
        <v/>
      </c>
      <c r="H37" s="32">
        <f>IF(Equipamentos!A18="","",Equipamentos!K18)</f>
        <v/>
      </c>
      <c r="I37" s="36">
        <f>IF(OR(Equipamentos!A18="",Equipamentos!F18=""),"",Equipamentos!F18)</f>
        <v/>
      </c>
    </row>
    <row r="38">
      <c r="A38" s="7">
        <f>IF(Equipamentos!A19="","",Equipamentos!A19)</f>
        <v/>
      </c>
      <c r="B38" s="32">
        <f>IF(Equipamentos!A19="","",Equipamentos!N19)</f>
        <v/>
      </c>
      <c r="C38" s="32">
        <f>IF(Equipamentos!A19="","",Equipamentos!L19)</f>
        <v/>
      </c>
      <c r="D38" s="34">
        <f>IF(Equipamentos!A19="","",Equipamentos!E19)</f>
        <v/>
      </c>
      <c r="E38" s="34">
        <f>IF(Equipamentos!A19="","",Equipamentos!H19)</f>
        <v/>
      </c>
      <c r="F38" s="34">
        <f>IF(Equipamentos!A19="","",Equipamentos!I19)</f>
        <v/>
      </c>
      <c r="G38" s="35">
        <f>IF(Equipamentos!A19="","",Equipamentos!J19)</f>
        <v/>
      </c>
      <c r="H38" s="32">
        <f>IF(Equipamentos!A19="","",Equipamentos!K19)</f>
        <v/>
      </c>
      <c r="I38" s="36">
        <f>IF(OR(Equipamentos!A19="",Equipamentos!F19=""),"",Equipamentos!F19)</f>
        <v/>
      </c>
    </row>
    <row r="39">
      <c r="A39" s="7">
        <f>IF(Equipamentos!A20="","",Equipamentos!A20)</f>
        <v/>
      </c>
      <c r="B39" s="32">
        <f>IF(Equipamentos!A20="","",Equipamentos!N20)</f>
        <v/>
      </c>
      <c r="C39" s="32">
        <f>IF(Equipamentos!A20="","",Equipamentos!L20)</f>
        <v/>
      </c>
      <c r="D39" s="34">
        <f>IF(Equipamentos!A20="","",Equipamentos!E20)</f>
        <v/>
      </c>
      <c r="E39" s="34">
        <f>IF(Equipamentos!A20="","",Equipamentos!H20)</f>
        <v/>
      </c>
      <c r="F39" s="34">
        <f>IF(Equipamentos!A20="","",Equipamentos!I20)</f>
        <v/>
      </c>
      <c r="G39" s="35">
        <f>IF(Equipamentos!A20="","",Equipamentos!J20)</f>
        <v/>
      </c>
      <c r="H39" s="32">
        <f>IF(Equipamentos!A20="","",Equipamentos!K20)</f>
        <v/>
      </c>
      <c r="I39" s="36">
        <f>IF(OR(Equipamentos!A20="",Equipamentos!F20=""),"",Equipamentos!F20)</f>
        <v/>
      </c>
    </row>
    <row r="40">
      <c r="A40" s="7">
        <f>IF(Equipamentos!A21="","",Equipamentos!A21)</f>
        <v/>
      </c>
      <c r="B40" s="32">
        <f>IF(Equipamentos!A21="","",Equipamentos!N21)</f>
        <v/>
      </c>
      <c r="C40" s="32">
        <f>IF(Equipamentos!A21="","",Equipamentos!L21)</f>
        <v/>
      </c>
      <c r="D40" s="34">
        <f>IF(Equipamentos!A21="","",Equipamentos!E21)</f>
        <v/>
      </c>
      <c r="E40" s="34">
        <f>IF(Equipamentos!A21="","",Equipamentos!H21)</f>
        <v/>
      </c>
      <c r="F40" s="34">
        <f>IF(Equipamentos!A21="","",Equipamentos!I21)</f>
        <v/>
      </c>
      <c r="G40" s="35">
        <f>IF(Equipamentos!A21="","",Equipamentos!J21)</f>
        <v/>
      </c>
      <c r="H40" s="32">
        <f>IF(Equipamentos!A21="","",Equipamentos!K21)</f>
        <v/>
      </c>
      <c r="I40" s="36">
        <f>IF(OR(Equipamentos!A21="",Equipamentos!F21=""),"",Equipamentos!F21)</f>
        <v/>
      </c>
    </row>
    <row r="41">
      <c r="A41" s="7">
        <f>IF(Equipamentos!A22="","",Equipamentos!A22)</f>
        <v/>
      </c>
      <c r="B41" s="32">
        <f>IF(Equipamentos!A22="","",Equipamentos!N22)</f>
        <v/>
      </c>
      <c r="C41" s="32">
        <f>IF(Equipamentos!A22="","",Equipamentos!L22)</f>
        <v/>
      </c>
      <c r="D41" s="34">
        <f>IF(Equipamentos!A22="","",Equipamentos!E22)</f>
        <v/>
      </c>
      <c r="E41" s="34">
        <f>IF(Equipamentos!A22="","",Equipamentos!H22)</f>
        <v/>
      </c>
      <c r="F41" s="34">
        <f>IF(Equipamentos!A22="","",Equipamentos!I22)</f>
        <v/>
      </c>
      <c r="G41" s="35">
        <f>IF(Equipamentos!A22="","",Equipamentos!J22)</f>
        <v/>
      </c>
      <c r="H41" s="32">
        <f>IF(Equipamentos!A22="","",Equipamentos!K22)</f>
        <v/>
      </c>
      <c r="I41" s="36">
        <f>IF(OR(Equipamentos!A22="",Equipamentos!F22=""),"",Equipamentos!F22)</f>
        <v/>
      </c>
    </row>
    <row r="42">
      <c r="A42" s="7">
        <f>IF(Equipamentos!A23="","",Equipamentos!A23)</f>
        <v/>
      </c>
      <c r="B42" s="32">
        <f>IF(Equipamentos!A23="","",Equipamentos!N23)</f>
        <v/>
      </c>
      <c r="C42" s="32">
        <f>IF(Equipamentos!A23="","",Equipamentos!L23)</f>
        <v/>
      </c>
      <c r="D42" s="34">
        <f>IF(Equipamentos!A23="","",Equipamentos!E23)</f>
        <v/>
      </c>
      <c r="E42" s="34">
        <f>IF(Equipamentos!A23="","",Equipamentos!H23)</f>
        <v/>
      </c>
      <c r="F42" s="34">
        <f>IF(Equipamentos!A23="","",Equipamentos!I23)</f>
        <v/>
      </c>
      <c r="G42" s="35">
        <f>IF(Equipamentos!A23="","",Equipamentos!J23)</f>
        <v/>
      </c>
      <c r="H42" s="32">
        <f>IF(Equipamentos!A23="","",Equipamentos!K23)</f>
        <v/>
      </c>
      <c r="I42" s="36">
        <f>IF(OR(Equipamentos!A23="",Equipamentos!F23=""),"",Equipamentos!F23)</f>
        <v/>
      </c>
    </row>
    <row r="43">
      <c r="A43" s="7">
        <f>IF(Equipamentos!A24="","",Equipamentos!A24)</f>
        <v/>
      </c>
      <c r="B43" s="32">
        <f>IF(Equipamentos!A24="","",Equipamentos!N24)</f>
        <v/>
      </c>
      <c r="C43" s="32">
        <f>IF(Equipamentos!A24="","",Equipamentos!L24)</f>
        <v/>
      </c>
      <c r="D43" s="34">
        <f>IF(Equipamentos!A24="","",Equipamentos!E24)</f>
        <v/>
      </c>
      <c r="E43" s="34">
        <f>IF(Equipamentos!A24="","",Equipamentos!H24)</f>
        <v/>
      </c>
      <c r="F43" s="34">
        <f>IF(Equipamentos!A24="","",Equipamentos!I24)</f>
        <v/>
      </c>
      <c r="G43" s="35">
        <f>IF(Equipamentos!A24="","",Equipamentos!J24)</f>
        <v/>
      </c>
      <c r="H43" s="32">
        <f>IF(Equipamentos!A24="","",Equipamentos!K24)</f>
        <v/>
      </c>
      <c r="I43" s="36">
        <f>IF(OR(Equipamentos!A24="",Equipamentos!F24=""),"",Equipamentos!F24)</f>
        <v/>
      </c>
    </row>
    <row r="44">
      <c r="A44" s="7">
        <f>IF(Equipamentos!A25="","",Equipamentos!A25)</f>
        <v/>
      </c>
      <c r="B44" s="32">
        <f>IF(Equipamentos!A25="","",Equipamentos!N25)</f>
        <v/>
      </c>
      <c r="C44" s="32">
        <f>IF(Equipamentos!A25="","",Equipamentos!L25)</f>
        <v/>
      </c>
      <c r="D44" s="34">
        <f>IF(Equipamentos!A25="","",Equipamentos!E25)</f>
        <v/>
      </c>
      <c r="E44" s="34">
        <f>IF(Equipamentos!A25="","",Equipamentos!H25)</f>
        <v/>
      </c>
      <c r="F44" s="34">
        <f>IF(Equipamentos!A25="","",Equipamentos!I25)</f>
        <v/>
      </c>
      <c r="G44" s="35">
        <f>IF(Equipamentos!A25="","",Equipamentos!J25)</f>
        <v/>
      </c>
      <c r="H44" s="32">
        <f>IF(Equipamentos!A25="","",Equipamentos!K25)</f>
        <v/>
      </c>
      <c r="I44" s="36">
        <f>IF(OR(Equipamentos!A25="",Equipamentos!F25=""),"",Equipamentos!F25)</f>
        <v/>
      </c>
    </row>
    <row r="46">
      <c r="A46" s="4" t="inlineStr">
        <is>
          <t>Gráficos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</row>
  </sheetData>
  <mergeCells count="15">
    <mergeCell ref="D6:E6"/>
    <mergeCell ref="B6:C6"/>
    <mergeCell ref="A2:I2"/>
    <mergeCell ref="H6:I6"/>
    <mergeCell ref="A8:D8"/>
    <mergeCell ref="A19:I19"/>
    <mergeCell ref="F8:I8"/>
    <mergeCell ref="B5:C5"/>
    <mergeCell ref="A46:I46"/>
    <mergeCell ref="F5:G5"/>
    <mergeCell ref="D5:E5"/>
    <mergeCell ref="A1:I1"/>
    <mergeCell ref="F6:G6"/>
    <mergeCell ref="H5:I5"/>
    <mergeCell ref="A3:I3"/>
  </mergeCells>
  <conditionalFormatting sqref="C10:C15">
    <cfRule type="dataBar" priority="1">
      <dataBar showValue="1">
        <cfvo type="num" val="0"/>
        <cfvo type="num" val="1"/>
        <color rgb="005B9BD5"/>
      </dataBar>
    </cfRule>
  </conditionalFormatting>
  <conditionalFormatting sqref="D10:D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H10:H16">
    <cfRule type="dataBar" priority="5">
      <dataBar showValue="1">
        <cfvo type="num" val="0"/>
        <cfvo type="num" val="1"/>
        <color rgb="005B9BD5"/>
      </dataBar>
    </cfRule>
  </conditionalFormatting>
  <conditionalFormatting sqref="I10:I16">
    <cfRule type="cellIs" priority="6" operator="greaterThan" dxfId="1">
      <formula>0</formula>
    </cfRule>
  </conditionalFormatting>
  <conditionalFormatting sqref="G21:G44">
    <cfRule type="dataBar" priority="7">
      <dataBar showValue="1">
        <cfvo type="num" val="0"/>
        <cfvo type="num" val="1"/>
        <color rgb="005B9BD5"/>
      </dataBar>
    </cfRule>
  </conditionalFormatting>
  <conditionalFormatting sqref="H21:H44">
    <cfRule type="cellIs" priority="8" operator="equal" dxfId="0">
      <formula>"Além da meta"</formula>
    </cfRule>
    <cfRule type="cellIs" priority="9" operator="equal" dxfId="1">
      <formula>"Atenção"</formula>
    </cfRule>
    <cfRule type="cellIs" priority="10" operator="equal" dxfId="2">
      <formula>"OK"</formula>
    </cfRule>
  </conditionalFormatting>
  <conditionalFormatting sqref="A21:F44">
    <cfRule type="expression" priority="11" dxfId="3">
      <formula>AND($A21&lt;&gt;"",MOD(ROW(),2)=0)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O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7" customWidth="1" min="4" max="4"/>
    <col width="13" customWidth="1" min="5" max="5"/>
    <col width="12" customWidth="1" min="6" max="6"/>
    <col width="16" customWidth="1" min="7" max="7"/>
    <col width="14" customWidth="1" min="8" max="8"/>
    <col width="14" customWidth="1" min="9" max="9"/>
    <col width="16" customWidth="1" min="10" max="10"/>
    <col width="14" customWidth="1" min="11" max="11"/>
    <col width="7" customWidth="1" min="12" max="12"/>
    <col hidden="1" width="13" customWidth="1" min="13" max="13"/>
    <col width="18" customWidth="1" min="14" max="14"/>
    <col width="18" customWidth="1" min="15" max="15"/>
  </cols>
  <sheetData>
    <row r="1" ht="30" customHeight="1">
      <c r="A1" s="37" t="inlineStr">
        <is>
          <t>Tag / Equipamento</t>
        </is>
      </c>
      <c r="B1" s="37" t="inlineStr">
        <is>
          <t>Tipo</t>
        </is>
      </c>
      <c r="C1" s="37" t="inlineStr">
        <is>
          <t>Unidade</t>
        </is>
      </c>
      <c r="D1" s="37" t="inlineStr">
        <is>
          <t>MCC</t>
        </is>
      </c>
      <c r="E1" s="37" t="inlineStr">
        <is>
          <t>Meta</t>
        </is>
      </c>
      <c r="F1" s="37" t="inlineStr">
        <is>
          <t>Desde</t>
        </is>
      </c>
      <c r="G1" s="37" t="inlineStr">
        <is>
          <t>Acumulado inicial</t>
        </is>
      </c>
      <c r="H1" s="37" t="inlineStr">
        <is>
          <t>Acumulado</t>
        </is>
      </c>
      <c r="I1" s="37" t="inlineStr">
        <is>
          <t>Falta</t>
        </is>
      </c>
      <c r="J1" s="37" t="inlineStr">
        <is>
          <t>% da vida</t>
        </is>
      </c>
      <c r="K1" s="37" t="inlineStr">
        <is>
          <t>Situação</t>
        </is>
      </c>
      <c r="L1" s="37" t="inlineStr">
        <is>
          <t>Veio</t>
        </is>
      </c>
      <c r="M1" s="37" t="inlineStr">
        <is>
          <t>chave</t>
        </is>
      </c>
      <c r="N1" s="37" t="inlineStr">
        <is>
          <t>Posição</t>
        </is>
      </c>
      <c r="O1" s="37" t="inlineStr">
        <is>
          <t>ID no app</t>
        </is>
      </c>
    </row>
    <row r="2">
      <c r="A2" s="38" t="inlineStr">
        <is>
          <t>Molde G</t>
        </is>
      </c>
      <c r="B2" s="39" t="inlineStr">
        <is>
          <t>Molde</t>
        </is>
      </c>
      <c r="C2" s="32">
        <f>IF(B2="","",IF(B2="Molde","corridas",IF(B2="Oscilador","dias","t")))</f>
        <v/>
      </c>
      <c r="D2" s="39" t="n"/>
      <c r="E2" s="40" t="n">
        <v>1100</v>
      </c>
      <c r="F2" s="41" t="n"/>
      <c r="G2" s="40" t="n"/>
      <c r="H2" s="34">
        <f>IF(A2="","",IF(C2="corridas",SUMIFS(Historico!$E:$E,Historico!$B:$B,L2,Historico!$A:$A,SUMPRODUCT(MAX((Historico!$B$2:$B$5000=L2)*Historico!$A$2:$A$5000))),N(G2)+IF(F2="",0,IF(C2="dias",MAX(0,TODAY()-F2),IF(D2=2,SUMIFS(Producao!$D:$D,Producao!$A:$A,"&gt;="&amp;F2),IF(D2=3,SUMIFS(Producao!$E:$E,Producao!$A:$A,"&gt;="&amp;F2),SUMIFS(Producao!$B:$B,Producao!$A:$A,"&gt;="&amp;F2)))))))</f>
        <v/>
      </c>
      <c r="I2" s="34">
        <f>IF(OR(A2="",E2=""),"",E2-H2)</f>
        <v/>
      </c>
      <c r="J2" s="35">
        <f>IF(OR(A2="",N(E2)&lt;=0),"",H2/E2)</f>
        <v/>
      </c>
      <c r="K2" s="32">
        <f>IF(I2="","",IF(I2&lt;0,"Além da meta",IF(J2&gt;=Regras!$B$3,"Atenção","OK")))</f>
        <v/>
      </c>
      <c r="L2" s="32" t="inlineStr">
        <is>
          <t>G</t>
        </is>
      </c>
      <c r="M2">
        <f>IF(J2="",-1,J2+ROW()/1000000000)</f>
        <v/>
      </c>
      <c r="N2" s="42" t="inlineStr">
        <is>
          <t>Molde (relatório)</t>
        </is>
      </c>
      <c r="O2" s="42" t="n"/>
    </row>
    <row r="3">
      <c r="A3" s="38" t="inlineStr">
        <is>
          <t>Molde H</t>
        </is>
      </c>
      <c r="B3" s="39" t="inlineStr">
        <is>
          <t>Molde</t>
        </is>
      </c>
      <c r="C3" s="32">
        <f>IF(B3="","",IF(B3="Molde","corridas",IF(B3="Oscilador","dias","t")))</f>
        <v/>
      </c>
      <c r="D3" s="39" t="n"/>
      <c r="E3" s="40" t="n">
        <v>1100</v>
      </c>
      <c r="F3" s="41" t="n"/>
      <c r="G3" s="40" t="n"/>
      <c r="H3" s="34">
        <f>IF(A3="","",IF(C3="corridas",SUMIFS(Historico!$E:$E,Historico!$B:$B,L3,Historico!$A:$A,SUMPRODUCT(MAX((Historico!$B$2:$B$5000=L3)*Historico!$A$2:$A$5000))),N(G3)+IF(F3="",0,IF(C3="dias",MAX(0,TODAY()-F3),IF(D3=2,SUMIFS(Producao!$D:$D,Producao!$A:$A,"&gt;="&amp;F3),IF(D3=3,SUMIFS(Producao!$E:$E,Producao!$A:$A,"&gt;="&amp;F3),SUMIFS(Producao!$B:$B,Producao!$A:$A,"&gt;="&amp;F3)))))))</f>
        <v/>
      </c>
      <c r="I3" s="34">
        <f>IF(OR(A3="",E3=""),"",E3-H3)</f>
        <v/>
      </c>
      <c r="J3" s="35">
        <f>IF(OR(A3="",N(E3)&lt;=0),"",H3/E3)</f>
        <v/>
      </c>
      <c r="K3" s="32">
        <f>IF(I3="","",IF(I3&lt;0,"Além da meta",IF(J3&gt;=Regras!$B$3,"Atenção","OK")))</f>
        <v/>
      </c>
      <c r="L3" s="32" t="inlineStr">
        <is>
          <t>H</t>
        </is>
      </c>
      <c r="M3">
        <f>IF(J3="",-1,J3+ROW()/1000000000)</f>
        <v/>
      </c>
      <c r="N3" s="42" t="inlineStr">
        <is>
          <t>Molde (relatório)</t>
        </is>
      </c>
      <c r="O3" s="42" t="n"/>
    </row>
    <row r="4">
      <c r="A4" s="38" t="inlineStr">
        <is>
          <t>Oscilador</t>
        </is>
      </c>
      <c r="B4" s="39" t="inlineStr">
        <is>
          <t>Oscilador</t>
        </is>
      </c>
      <c r="C4" s="32">
        <f>IF(B4="","",IF(B4="Molde","corridas",IF(B4="Oscilador","dias","t")))</f>
        <v/>
      </c>
      <c r="D4" s="39" t="n">
        <v>4</v>
      </c>
      <c r="E4" s="40" t="n">
        <v>730</v>
      </c>
      <c r="F4" s="41" t="n">
        <v>46235</v>
      </c>
      <c r="G4" s="40" t="n"/>
      <c r="H4" s="34">
        <f>IF(A4="","",IF(C4="corridas",SUMIFS(Historico!$E:$E,Historico!$B:$B,L4,Historico!$A:$A,SUMPRODUCT(MAX((Historico!$B$2:$B$5000=L4)*Historico!$A$2:$A$5000))),N(G4)+IF(F4="",0,IF(C4="dias",MAX(0,TODAY()-F4),IF(D4=2,SUMIFS(Producao!$D:$D,Producao!$A:$A,"&gt;="&amp;F4),IF(D4=3,SUMIFS(Producao!$E:$E,Producao!$A:$A,"&gt;="&amp;F4),SUMIFS(Producao!$B:$B,Producao!$A:$A,"&gt;="&amp;F4)))))))</f>
        <v/>
      </c>
      <c r="I4" s="34">
        <f>IF(OR(A4="",E4=""),"",E4-H4)</f>
        <v/>
      </c>
      <c r="J4" s="35">
        <f>IF(OR(A4="",N(E4)&lt;=0),"",H4/E4)</f>
        <v/>
      </c>
      <c r="K4" s="32">
        <f>IF(I4="","",IF(I4&lt;0,"Além da meta",IF(J4&gt;=Regras!$B$3,"Atenção","OK")))</f>
        <v/>
      </c>
      <c r="L4" s="32" t="n"/>
      <c r="M4">
        <f>IF(J4="",-1,J4+ROW()/1000000000)</f>
        <v/>
      </c>
      <c r="N4" s="42" t="inlineStr">
        <is>
          <t>Oscilador</t>
        </is>
      </c>
      <c r="O4" s="42" t="n"/>
    </row>
    <row r="5">
      <c r="A5" s="38" t="inlineStr">
        <is>
          <t>Bender</t>
        </is>
      </c>
      <c r="B5" s="39" t="inlineStr">
        <is>
          <t>Bender</t>
        </is>
      </c>
      <c r="C5" s="32">
        <f>IF(B5="","",IF(B5="Molde","corridas",IF(B5="Oscilador","dias","t")))</f>
        <v/>
      </c>
      <c r="D5" s="39" t="n">
        <v>4</v>
      </c>
      <c r="E5" s="40" t="n">
        <v>1100000</v>
      </c>
      <c r="F5" s="41" t="n">
        <v>46235</v>
      </c>
      <c r="G5" s="40" t="n"/>
      <c r="H5" s="34">
        <f>IF(A5="","",IF(C5="corridas",SUMIFS(Historico!$E:$E,Historico!$B:$B,L5,Historico!$A:$A,SUMPRODUCT(MAX((Historico!$B$2:$B$5000=L5)*Historico!$A$2:$A$5000))),N(G5)+IF(F5="",0,IF(C5="dias",MAX(0,TODAY()-F5),IF(D5=2,SUMIFS(Producao!$D:$D,Producao!$A:$A,"&gt;="&amp;F5),IF(D5=3,SUMIFS(Producao!$E:$E,Producao!$A:$A,"&gt;="&amp;F5),SUMIFS(Producao!$B:$B,Producao!$A:$A,"&gt;="&amp;F5)))))))</f>
        <v/>
      </c>
      <c r="I5" s="34">
        <f>IF(OR(A5="",E5=""),"",E5-H5)</f>
        <v/>
      </c>
      <c r="J5" s="35">
        <f>IF(OR(A5="",N(E5)&lt;=0),"",H5/E5)</f>
        <v/>
      </c>
      <c r="K5" s="32">
        <f>IF(I5="","",IF(I5&lt;0,"Além da meta",IF(J5&gt;=Regras!$B$3,"Atenção","OK")))</f>
        <v/>
      </c>
      <c r="L5" s="32" t="n"/>
      <c r="M5">
        <f>IF(J5="",-1,J5+ROW()/1000000000)</f>
        <v/>
      </c>
      <c r="N5" s="42" t="inlineStr">
        <is>
          <t>Bender</t>
        </is>
      </c>
      <c r="O5" s="42" t="n"/>
    </row>
    <row r="6">
      <c r="A6" s="38" t="inlineStr">
        <is>
          <t>Bow 1</t>
        </is>
      </c>
      <c r="B6" s="39" t="inlineStr">
        <is>
          <t>Bow</t>
        </is>
      </c>
      <c r="C6" s="32">
        <f>IF(B6="","",IF(B6="Molde","corridas",IF(B6="Oscilador","dias","t")))</f>
        <v/>
      </c>
      <c r="D6" s="39" t="n">
        <v>4</v>
      </c>
      <c r="E6" s="40" t="n">
        <v>1900000</v>
      </c>
      <c r="F6" s="41" t="n">
        <v>46235</v>
      </c>
      <c r="G6" s="40" t="n"/>
      <c r="H6" s="34">
        <f>IF(A6="","",IF(C6="corridas",SUMIFS(Historico!$E:$E,Historico!$B:$B,L6,Historico!$A:$A,SUMPRODUCT(MAX((Historico!$B$2:$B$5000=L6)*Historico!$A$2:$A$5000))),N(G6)+IF(F6="",0,IF(C6="dias",MAX(0,TODAY()-F6),IF(D6=2,SUMIFS(Producao!$D:$D,Producao!$A:$A,"&gt;="&amp;F6),IF(D6=3,SUMIFS(Producao!$E:$E,Producao!$A:$A,"&gt;="&amp;F6),SUMIFS(Producao!$B:$B,Producao!$A:$A,"&gt;="&amp;F6)))))))</f>
        <v/>
      </c>
      <c r="I6" s="34">
        <f>IF(OR(A6="",E6=""),"",E6-H6)</f>
        <v/>
      </c>
      <c r="J6" s="35">
        <f>IF(OR(A6="",N(E6)&lt;=0),"",H6/E6)</f>
        <v/>
      </c>
      <c r="K6" s="32">
        <f>IF(I6="","",IF(I6&lt;0,"Além da meta",IF(J6&gt;=Regras!$B$3,"Atenção","OK")))</f>
        <v/>
      </c>
      <c r="L6" s="32" t="n"/>
      <c r="M6">
        <f>IF(J6="",-1,J6+ROW()/1000000000)</f>
        <v/>
      </c>
      <c r="N6" s="42" t="inlineStr">
        <is>
          <t>Bow 1</t>
        </is>
      </c>
      <c r="O6" s="42" t="n"/>
    </row>
    <row r="7">
      <c r="A7" s="38" t="inlineStr">
        <is>
          <t>Bow 2</t>
        </is>
      </c>
      <c r="B7" s="39" t="inlineStr">
        <is>
          <t>Bow</t>
        </is>
      </c>
      <c r="C7" s="32">
        <f>IF(B7="","",IF(B7="Molde","corridas",IF(B7="Oscilador","dias","t")))</f>
        <v/>
      </c>
      <c r="D7" s="39" t="n">
        <v>4</v>
      </c>
      <c r="E7" s="40" t="n">
        <v>1900000</v>
      </c>
      <c r="F7" s="41" t="n">
        <v>46235</v>
      </c>
      <c r="G7" s="40" t="n"/>
      <c r="H7" s="34">
        <f>IF(A7="","",IF(C7="corridas",SUMIFS(Historico!$E:$E,Historico!$B:$B,L7,Historico!$A:$A,SUMPRODUCT(MAX((Historico!$B$2:$B$5000=L7)*Historico!$A$2:$A$5000))),N(G7)+IF(F7="",0,IF(C7="dias",MAX(0,TODAY()-F7),IF(D7=2,SUMIFS(Producao!$D:$D,Producao!$A:$A,"&gt;="&amp;F7),IF(D7=3,SUMIFS(Producao!$E:$E,Producao!$A:$A,"&gt;="&amp;F7),SUMIFS(Producao!$B:$B,Producao!$A:$A,"&gt;="&amp;F7)))))))</f>
        <v/>
      </c>
      <c r="I7" s="34">
        <f>IF(OR(A7="",E7=""),"",E7-H7)</f>
        <v/>
      </c>
      <c r="J7" s="35">
        <f>IF(OR(A7="",N(E7)&lt;=0),"",H7/E7)</f>
        <v/>
      </c>
      <c r="K7" s="32">
        <f>IF(I7="","",IF(I7&lt;0,"Além da meta",IF(J7&gt;=Regras!$B$3,"Atenção","OK")))</f>
        <v/>
      </c>
      <c r="L7" s="32" t="n"/>
      <c r="M7">
        <f>IF(J7="",-1,J7+ROW()/1000000000)</f>
        <v/>
      </c>
      <c r="N7" s="42" t="inlineStr">
        <is>
          <t>Bow 2</t>
        </is>
      </c>
      <c r="O7" s="42" t="n"/>
    </row>
    <row r="8">
      <c r="A8" s="38" t="inlineStr">
        <is>
          <t>Bow 3</t>
        </is>
      </c>
      <c r="B8" s="39" t="inlineStr">
        <is>
          <t>Bow</t>
        </is>
      </c>
      <c r="C8" s="32">
        <f>IF(B8="","",IF(B8="Molde","corridas",IF(B8="Oscilador","dias","t")))</f>
        <v/>
      </c>
      <c r="D8" s="39" t="n">
        <v>4</v>
      </c>
      <c r="E8" s="40" t="n">
        <v>1900000</v>
      </c>
      <c r="F8" s="41" t="n">
        <v>46235</v>
      </c>
      <c r="G8" s="40" t="n"/>
      <c r="H8" s="34">
        <f>IF(A8="","",IF(C8="corridas",SUMIFS(Historico!$E:$E,Historico!$B:$B,L8,Historico!$A:$A,SUMPRODUCT(MAX((Historico!$B$2:$B$5000=L8)*Historico!$A$2:$A$5000))),N(G8)+IF(F8="",0,IF(C8="dias",MAX(0,TODAY()-F8),IF(D8=2,SUMIFS(Producao!$D:$D,Producao!$A:$A,"&gt;="&amp;F8),IF(D8=3,SUMIFS(Producao!$E:$E,Producao!$A:$A,"&gt;="&amp;F8),SUMIFS(Producao!$B:$B,Producao!$A:$A,"&gt;="&amp;F8)))))))</f>
        <v/>
      </c>
      <c r="I8" s="34">
        <f>IF(OR(A8="",E8=""),"",E8-H8)</f>
        <v/>
      </c>
      <c r="J8" s="35">
        <f>IF(OR(A8="",N(E8)&lt;=0),"",H8/E8)</f>
        <v/>
      </c>
      <c r="K8" s="32">
        <f>IF(I8="","",IF(I8&lt;0,"Além da meta",IF(J8&gt;=Regras!$B$3,"Atenção","OK")))</f>
        <v/>
      </c>
      <c r="L8" s="32" t="n"/>
      <c r="M8">
        <f>IF(J8="",-1,J8+ROW()/1000000000)</f>
        <v/>
      </c>
      <c r="N8" s="42" t="inlineStr">
        <is>
          <t>Bow 3</t>
        </is>
      </c>
      <c r="O8" s="42" t="n"/>
    </row>
    <row r="9">
      <c r="A9" s="38" t="inlineStr">
        <is>
          <t>Bow 4</t>
        </is>
      </c>
      <c r="B9" s="39" t="inlineStr">
        <is>
          <t>Bow</t>
        </is>
      </c>
      <c r="C9" s="32">
        <f>IF(B9="","",IF(B9="Molde","corridas",IF(B9="Oscilador","dias","t")))</f>
        <v/>
      </c>
      <c r="D9" s="39" t="n">
        <v>4</v>
      </c>
      <c r="E9" s="40" t="n">
        <v>1900000</v>
      </c>
      <c r="F9" s="41" t="n">
        <v>46235</v>
      </c>
      <c r="G9" s="40" t="n"/>
      <c r="H9" s="34">
        <f>IF(A9="","",IF(C9="corridas",SUMIFS(Historico!$E:$E,Historico!$B:$B,L9,Historico!$A:$A,SUMPRODUCT(MAX((Historico!$B$2:$B$5000=L9)*Historico!$A$2:$A$5000))),N(G9)+IF(F9="",0,IF(C9="dias",MAX(0,TODAY()-F9),IF(D9=2,SUMIFS(Producao!$D:$D,Producao!$A:$A,"&gt;="&amp;F9),IF(D9=3,SUMIFS(Producao!$E:$E,Producao!$A:$A,"&gt;="&amp;F9),SUMIFS(Producao!$B:$B,Producao!$A:$A,"&gt;="&amp;F9)))))))</f>
        <v/>
      </c>
      <c r="I9" s="34">
        <f>IF(OR(A9="",E9=""),"",E9-H9)</f>
        <v/>
      </c>
      <c r="J9" s="35">
        <f>IF(OR(A9="",N(E9)&lt;=0),"",H9/E9)</f>
        <v/>
      </c>
      <c r="K9" s="32">
        <f>IF(I9="","",IF(I9&lt;0,"Além da meta",IF(J9&gt;=Regras!$B$3,"Atenção","OK")))</f>
        <v/>
      </c>
      <c r="L9" s="32" t="n"/>
      <c r="M9">
        <f>IF(J9="",-1,J9+ROW()/1000000000)</f>
        <v/>
      </c>
      <c r="N9" s="42" t="inlineStr">
        <is>
          <t>Bow 4</t>
        </is>
      </c>
      <c r="O9" s="42" t="n"/>
    </row>
    <row r="10">
      <c r="A10" s="38" t="inlineStr">
        <is>
          <t>Bow 5</t>
        </is>
      </c>
      <c r="B10" s="39" t="inlineStr">
        <is>
          <t>Bow</t>
        </is>
      </c>
      <c r="C10" s="32">
        <f>IF(B10="","",IF(B10="Molde","corridas",IF(B10="Oscilador","dias","t")))</f>
        <v/>
      </c>
      <c r="D10" s="39" t="n">
        <v>4</v>
      </c>
      <c r="E10" s="40" t="n">
        <v>1900000</v>
      </c>
      <c r="F10" s="41" t="n">
        <v>46235</v>
      </c>
      <c r="G10" s="40" t="n"/>
      <c r="H10" s="34">
        <f>IF(A10="","",IF(C10="corridas",SUMIFS(Historico!$E:$E,Historico!$B:$B,L10,Historico!$A:$A,SUMPRODUCT(MAX((Historico!$B$2:$B$5000=L10)*Historico!$A$2:$A$5000))),N(G10)+IF(F10="",0,IF(C10="dias",MAX(0,TODAY()-F10),IF(D10=2,SUMIFS(Producao!$D:$D,Producao!$A:$A,"&gt;="&amp;F10),IF(D10=3,SUMIFS(Producao!$E:$E,Producao!$A:$A,"&gt;="&amp;F10),SUMIFS(Producao!$B:$B,Producao!$A:$A,"&gt;="&amp;F10)))))))</f>
        <v/>
      </c>
      <c r="I10" s="34">
        <f>IF(OR(A10="",E10=""),"",E10-H10)</f>
        <v/>
      </c>
      <c r="J10" s="35">
        <f>IF(OR(A10="",N(E10)&lt;=0),"",H10/E10)</f>
        <v/>
      </c>
      <c r="K10" s="32">
        <f>IF(I10="","",IF(I10&lt;0,"Além da meta",IF(J10&gt;=Regras!$B$3,"Atenção","OK")))</f>
        <v/>
      </c>
      <c r="L10" s="32" t="n"/>
      <c r="M10">
        <f>IF(J10="",-1,J10+ROW()/1000000000)</f>
        <v/>
      </c>
      <c r="N10" s="42" t="inlineStr">
        <is>
          <t>Bow 5</t>
        </is>
      </c>
      <c r="O10" s="42" t="n"/>
    </row>
    <row r="11">
      <c r="A11" s="38" t="inlineStr">
        <is>
          <t>Straightener R1</t>
        </is>
      </c>
      <c r="B11" s="39" t="inlineStr">
        <is>
          <t>Straightener R1</t>
        </is>
      </c>
      <c r="C11" s="32">
        <f>IF(B11="","",IF(B11="Molde","corridas",IF(B11="Oscilador","dias","t")))</f>
        <v/>
      </c>
      <c r="D11" s="39" t="n">
        <v>4</v>
      </c>
      <c r="E11" s="40" t="n">
        <v>1700000</v>
      </c>
      <c r="F11" s="41" t="n">
        <v>46235</v>
      </c>
      <c r="G11" s="40" t="n"/>
      <c r="H11" s="34">
        <f>IF(A11="","",IF(C11="corridas",SUMIFS(Historico!$E:$E,Historico!$B:$B,L11,Historico!$A:$A,SUMPRODUCT(MAX((Historico!$B$2:$B$5000=L11)*Historico!$A$2:$A$5000))),N(G11)+IF(F11="",0,IF(C11="dias",MAX(0,TODAY()-F11),IF(D11=2,SUMIFS(Producao!$D:$D,Producao!$A:$A,"&gt;="&amp;F11),IF(D11=3,SUMIFS(Producao!$E:$E,Producao!$A:$A,"&gt;="&amp;F11),SUMIFS(Producao!$B:$B,Producao!$A:$A,"&gt;="&amp;F11)))))))</f>
        <v/>
      </c>
      <c r="I11" s="34">
        <f>IF(OR(A11="",E11=""),"",E11-H11)</f>
        <v/>
      </c>
      <c r="J11" s="35">
        <f>IF(OR(A11="",N(E11)&lt;=0),"",H11/E11)</f>
        <v/>
      </c>
      <c r="K11" s="32">
        <f>IF(I11="","",IF(I11&lt;0,"Além da meta",IF(J11&gt;=Regras!$B$3,"Atenção","OK")))</f>
        <v/>
      </c>
      <c r="L11" s="32" t="n"/>
      <c r="M11">
        <f>IF(J11="",-1,J11+ROW()/1000000000)</f>
        <v/>
      </c>
      <c r="N11" s="42" t="inlineStr">
        <is>
          <t>Straightener R1</t>
        </is>
      </c>
      <c r="O11" s="42" t="n"/>
    </row>
    <row r="12">
      <c r="A12" s="38" t="inlineStr">
        <is>
          <t>Straightener R2</t>
        </is>
      </c>
      <c r="B12" s="39" t="inlineStr">
        <is>
          <t>Straightener R2</t>
        </is>
      </c>
      <c r="C12" s="32">
        <f>IF(B12="","",IF(B12="Molde","corridas",IF(B12="Oscilador","dias","t")))</f>
        <v/>
      </c>
      <c r="D12" s="39" t="n">
        <v>4</v>
      </c>
      <c r="E12" s="40" t="n">
        <v>1700000</v>
      </c>
      <c r="F12" s="41" t="n">
        <v>46235</v>
      </c>
      <c r="G12" s="40" t="n"/>
      <c r="H12" s="34">
        <f>IF(A12="","",IF(C12="corridas",SUMIFS(Historico!$E:$E,Historico!$B:$B,L12,Historico!$A:$A,SUMPRODUCT(MAX((Historico!$B$2:$B$5000=L12)*Historico!$A$2:$A$5000))),N(G12)+IF(F12="",0,IF(C12="dias",MAX(0,TODAY()-F12),IF(D12=2,SUMIFS(Producao!$D:$D,Producao!$A:$A,"&gt;="&amp;F12),IF(D12=3,SUMIFS(Producao!$E:$E,Producao!$A:$A,"&gt;="&amp;F12),SUMIFS(Producao!$B:$B,Producao!$A:$A,"&gt;="&amp;F12)))))))</f>
        <v/>
      </c>
      <c r="I12" s="34">
        <f>IF(OR(A12="",E12=""),"",E12-H12)</f>
        <v/>
      </c>
      <c r="J12" s="35">
        <f>IF(OR(A12="",N(E12)&lt;=0),"",H12/E12)</f>
        <v/>
      </c>
      <c r="K12" s="32">
        <f>IF(I12="","",IF(I12&lt;0,"Além da meta",IF(J12&gt;=Regras!$B$3,"Atenção","OK")))</f>
        <v/>
      </c>
      <c r="L12" s="32" t="n"/>
      <c r="M12">
        <f>IF(J12="",-1,J12+ROW()/1000000000)</f>
        <v/>
      </c>
      <c r="N12" s="42" t="inlineStr">
        <is>
          <t>Straightener R2</t>
        </is>
      </c>
      <c r="O12" s="42" t="n"/>
    </row>
    <row r="13">
      <c r="A13" s="38" t="inlineStr">
        <is>
          <t>Horizontal 01</t>
        </is>
      </c>
      <c r="B13" s="39" t="inlineStr">
        <is>
          <t>Horizontal</t>
        </is>
      </c>
      <c r="C13" s="32">
        <f>IF(B13="","",IF(B13="Molde","corridas",IF(B13="Oscilador","dias","t")))</f>
        <v/>
      </c>
      <c r="D13" s="39" t="n">
        <v>4</v>
      </c>
      <c r="E13" s="40" t="n">
        <v>3300000</v>
      </c>
      <c r="F13" s="41" t="n">
        <v>46235</v>
      </c>
      <c r="G13" s="40" t="n"/>
      <c r="H13" s="34">
        <f>IF(A13="","",IF(C13="corridas",SUMIFS(Historico!$E:$E,Historico!$B:$B,L13,Historico!$A:$A,SUMPRODUCT(MAX((Historico!$B$2:$B$5000=L13)*Historico!$A$2:$A$5000))),N(G13)+IF(F13="",0,IF(C13="dias",MAX(0,TODAY()-F13),IF(D13=2,SUMIFS(Producao!$D:$D,Producao!$A:$A,"&gt;="&amp;F13),IF(D13=3,SUMIFS(Producao!$E:$E,Producao!$A:$A,"&gt;="&amp;F13),SUMIFS(Producao!$B:$B,Producao!$A:$A,"&gt;="&amp;F13)))))))</f>
        <v/>
      </c>
      <c r="I13" s="34">
        <f>IF(OR(A13="",E13=""),"",E13-H13)</f>
        <v/>
      </c>
      <c r="J13" s="35">
        <f>IF(OR(A13="",N(E13)&lt;=0),"",H13/E13)</f>
        <v/>
      </c>
      <c r="K13" s="32">
        <f>IF(I13="","",IF(I13&lt;0,"Além da meta",IF(J13&gt;=Regras!$B$3,"Atenção","OK")))</f>
        <v/>
      </c>
      <c r="L13" s="32" t="n"/>
      <c r="M13">
        <f>IF(J13="",-1,J13+ROW()/1000000000)</f>
        <v/>
      </c>
      <c r="N13" s="42" t="inlineStr">
        <is>
          <t>Horizontal 01</t>
        </is>
      </c>
      <c r="O13" s="42" t="n"/>
    </row>
    <row r="14">
      <c r="A14" s="38" t="inlineStr">
        <is>
          <t>Horizontal 02</t>
        </is>
      </c>
      <c r="B14" s="39" t="inlineStr">
        <is>
          <t>Horizontal</t>
        </is>
      </c>
      <c r="C14" s="32">
        <f>IF(B14="","",IF(B14="Molde","corridas",IF(B14="Oscilador","dias","t")))</f>
        <v/>
      </c>
      <c r="D14" s="39" t="n">
        <v>4</v>
      </c>
      <c r="E14" s="40" t="n">
        <v>3300000</v>
      </c>
      <c r="F14" s="41" t="n">
        <v>46235</v>
      </c>
      <c r="G14" s="40" t="n"/>
      <c r="H14" s="34">
        <f>IF(A14="","",IF(C14="corridas",SUMIFS(Historico!$E:$E,Historico!$B:$B,L14,Historico!$A:$A,SUMPRODUCT(MAX((Historico!$B$2:$B$5000=L14)*Historico!$A$2:$A$5000))),N(G14)+IF(F14="",0,IF(C14="dias",MAX(0,TODAY()-F14),IF(D14=2,SUMIFS(Producao!$D:$D,Producao!$A:$A,"&gt;="&amp;F14),IF(D14=3,SUMIFS(Producao!$E:$E,Producao!$A:$A,"&gt;="&amp;F14),SUMIFS(Producao!$B:$B,Producao!$A:$A,"&gt;="&amp;F14)))))))</f>
        <v/>
      </c>
      <c r="I14" s="34">
        <f>IF(OR(A14="",E14=""),"",E14-H14)</f>
        <v/>
      </c>
      <c r="J14" s="35">
        <f>IF(OR(A14="",N(E14)&lt;=0),"",H14/E14)</f>
        <v/>
      </c>
      <c r="K14" s="32">
        <f>IF(I14="","",IF(I14&lt;0,"Além da meta",IF(J14&gt;=Regras!$B$3,"Atenção","OK")))</f>
        <v/>
      </c>
      <c r="L14" s="32" t="n"/>
      <c r="M14">
        <f>IF(J14="",-1,J14+ROW()/1000000000)</f>
        <v/>
      </c>
      <c r="N14" s="42" t="inlineStr">
        <is>
          <t>Horizontal 02</t>
        </is>
      </c>
      <c r="O14" s="42" t="n"/>
    </row>
    <row r="15">
      <c r="A15" s="38" t="inlineStr">
        <is>
          <t>Horizontal 03</t>
        </is>
      </c>
      <c r="B15" s="39" t="inlineStr">
        <is>
          <t>Horizontal</t>
        </is>
      </c>
      <c r="C15" s="32">
        <f>IF(B15="","",IF(B15="Molde","corridas",IF(B15="Oscilador","dias","t")))</f>
        <v/>
      </c>
      <c r="D15" s="39" t="n">
        <v>4</v>
      </c>
      <c r="E15" s="40" t="n">
        <v>3300000</v>
      </c>
      <c r="F15" s="41" t="n">
        <v>46235</v>
      </c>
      <c r="G15" s="40" t="n"/>
      <c r="H15" s="34">
        <f>IF(A15="","",IF(C15="corridas",SUMIFS(Historico!$E:$E,Historico!$B:$B,L15,Historico!$A:$A,SUMPRODUCT(MAX((Historico!$B$2:$B$5000=L15)*Historico!$A$2:$A$5000))),N(G15)+IF(F15="",0,IF(C15="dias",MAX(0,TODAY()-F15),IF(D15=2,SUMIFS(Producao!$D:$D,Producao!$A:$A,"&gt;="&amp;F15),IF(D15=3,SUMIFS(Producao!$E:$E,Producao!$A:$A,"&gt;="&amp;F15),SUMIFS(Producao!$B:$B,Producao!$A:$A,"&gt;="&amp;F15)))))))</f>
        <v/>
      </c>
      <c r="I15" s="34">
        <f>IF(OR(A15="",E15=""),"",E15-H15)</f>
        <v/>
      </c>
      <c r="J15" s="35">
        <f>IF(OR(A15="",N(E15)&lt;=0),"",H15/E15)</f>
        <v/>
      </c>
      <c r="K15" s="32">
        <f>IF(I15="","",IF(I15&lt;0,"Além da meta",IF(J15&gt;=Regras!$B$3,"Atenção","OK")))</f>
        <v/>
      </c>
      <c r="L15" s="32" t="n"/>
      <c r="M15">
        <f>IF(J15="",-1,J15+ROW()/1000000000)</f>
        <v/>
      </c>
      <c r="N15" s="42" t="inlineStr">
        <is>
          <t>Horizontal 03</t>
        </is>
      </c>
      <c r="O15" s="42" t="n"/>
    </row>
    <row r="16">
      <c r="A16" s="38" t="inlineStr">
        <is>
          <t>Horizontal 04</t>
        </is>
      </c>
      <c r="B16" s="39" t="inlineStr">
        <is>
          <t>Horizontal</t>
        </is>
      </c>
      <c r="C16" s="32">
        <f>IF(B16="","",IF(B16="Molde","corridas",IF(B16="Oscilador","dias","t")))</f>
        <v/>
      </c>
      <c r="D16" s="39" t="n">
        <v>4</v>
      </c>
      <c r="E16" s="40" t="n">
        <v>3300000</v>
      </c>
      <c r="F16" s="41" t="n">
        <v>46235</v>
      </c>
      <c r="G16" s="40" t="n"/>
      <c r="H16" s="34">
        <f>IF(A16="","",IF(C16="corridas",SUMIFS(Historico!$E:$E,Historico!$B:$B,L16,Historico!$A:$A,SUMPRODUCT(MAX((Historico!$B$2:$B$5000=L16)*Historico!$A$2:$A$5000))),N(G16)+IF(F16="",0,IF(C16="dias",MAX(0,TODAY()-F16),IF(D16=2,SUMIFS(Producao!$D:$D,Producao!$A:$A,"&gt;="&amp;F16),IF(D16=3,SUMIFS(Producao!$E:$E,Producao!$A:$A,"&gt;="&amp;F16),SUMIFS(Producao!$B:$B,Producao!$A:$A,"&gt;="&amp;F16)))))))</f>
        <v/>
      </c>
      <c r="I16" s="34">
        <f>IF(OR(A16="",E16=""),"",E16-H16)</f>
        <v/>
      </c>
      <c r="J16" s="35">
        <f>IF(OR(A16="",N(E16)&lt;=0),"",H16/E16)</f>
        <v/>
      </c>
      <c r="K16" s="32">
        <f>IF(I16="","",IF(I16&lt;0,"Além da meta",IF(J16&gt;=Regras!$B$3,"Atenção","OK")))</f>
        <v/>
      </c>
      <c r="L16" s="32" t="n"/>
      <c r="M16">
        <f>IF(J16="",-1,J16+ROW()/1000000000)</f>
        <v/>
      </c>
      <c r="N16" s="42" t="inlineStr">
        <is>
          <t>Horizontal 04</t>
        </is>
      </c>
      <c r="O16" s="42" t="n"/>
    </row>
    <row r="17">
      <c r="A17" s="38" t="inlineStr">
        <is>
          <t>Horizontal 05</t>
        </is>
      </c>
      <c r="B17" s="39" t="inlineStr">
        <is>
          <t>Horizontal</t>
        </is>
      </c>
      <c r="C17" s="32">
        <f>IF(B17="","",IF(B17="Molde","corridas",IF(B17="Oscilador","dias","t")))</f>
        <v/>
      </c>
      <c r="D17" s="39" t="n">
        <v>4</v>
      </c>
      <c r="E17" s="40" t="n">
        <v>3300000</v>
      </c>
      <c r="F17" s="41" t="n">
        <v>46235</v>
      </c>
      <c r="G17" s="40" t="n"/>
      <c r="H17" s="34">
        <f>IF(A17="","",IF(C17="corridas",SUMIFS(Historico!$E:$E,Historico!$B:$B,L17,Historico!$A:$A,SUMPRODUCT(MAX((Historico!$B$2:$B$5000=L17)*Historico!$A$2:$A$5000))),N(G17)+IF(F17="",0,IF(C17="dias",MAX(0,TODAY()-F17),IF(D17=2,SUMIFS(Producao!$D:$D,Producao!$A:$A,"&gt;="&amp;F17),IF(D17=3,SUMIFS(Producao!$E:$E,Producao!$A:$A,"&gt;="&amp;F17),SUMIFS(Producao!$B:$B,Producao!$A:$A,"&gt;="&amp;F17)))))))</f>
        <v/>
      </c>
      <c r="I17" s="34">
        <f>IF(OR(A17="",E17=""),"",E17-H17)</f>
        <v/>
      </c>
      <c r="J17" s="35">
        <f>IF(OR(A17="",N(E17)&lt;=0),"",H17/E17)</f>
        <v/>
      </c>
      <c r="K17" s="32">
        <f>IF(I17="","",IF(I17&lt;0,"Além da meta",IF(J17&gt;=Regras!$B$3,"Atenção","OK")))</f>
        <v/>
      </c>
      <c r="L17" s="32" t="n"/>
      <c r="M17">
        <f>IF(J17="",-1,J17+ROW()/1000000000)</f>
        <v/>
      </c>
      <c r="N17" s="42" t="inlineStr">
        <is>
          <t>Horizontal 05</t>
        </is>
      </c>
      <c r="O17" s="42" t="n"/>
    </row>
    <row r="18">
      <c r="A18" s="38" t="inlineStr">
        <is>
          <t>Horizontal 06</t>
        </is>
      </c>
      <c r="B18" s="39" t="inlineStr">
        <is>
          <t>Horizontal</t>
        </is>
      </c>
      <c r="C18" s="32">
        <f>IF(B18="","",IF(B18="Molde","corridas",IF(B18="Oscilador","dias","t")))</f>
        <v/>
      </c>
      <c r="D18" s="39" t="n">
        <v>4</v>
      </c>
      <c r="E18" s="40" t="n">
        <v>3300000</v>
      </c>
      <c r="F18" s="41" t="n">
        <v>46235</v>
      </c>
      <c r="G18" s="40" t="n"/>
      <c r="H18" s="34">
        <f>IF(A18="","",IF(C18="corridas",SUMIFS(Historico!$E:$E,Historico!$B:$B,L18,Historico!$A:$A,SUMPRODUCT(MAX((Historico!$B$2:$B$5000=L18)*Historico!$A$2:$A$5000))),N(G18)+IF(F18="",0,IF(C18="dias",MAX(0,TODAY()-F18),IF(D18=2,SUMIFS(Producao!$D:$D,Producao!$A:$A,"&gt;="&amp;F18),IF(D18=3,SUMIFS(Producao!$E:$E,Producao!$A:$A,"&gt;="&amp;F18),SUMIFS(Producao!$B:$B,Producao!$A:$A,"&gt;="&amp;F18)))))))</f>
        <v/>
      </c>
      <c r="I18" s="34">
        <f>IF(OR(A18="",E18=""),"",E18-H18)</f>
        <v/>
      </c>
      <c r="J18" s="35">
        <f>IF(OR(A18="",N(E18)&lt;=0),"",H18/E18)</f>
        <v/>
      </c>
      <c r="K18" s="32">
        <f>IF(I18="","",IF(I18&lt;0,"Além da meta",IF(J18&gt;=Regras!$B$3,"Atenção","OK")))</f>
        <v/>
      </c>
      <c r="L18" s="32" t="n"/>
      <c r="M18">
        <f>IF(J18="",-1,J18+ROW()/1000000000)</f>
        <v/>
      </c>
      <c r="N18" s="42" t="inlineStr">
        <is>
          <t>Horizontal 06</t>
        </is>
      </c>
      <c r="O18" s="42" t="n"/>
    </row>
    <row r="19">
      <c r="A19" s="38" t="inlineStr">
        <is>
          <t>Horizontal 07</t>
        </is>
      </c>
      <c r="B19" s="39" t="inlineStr">
        <is>
          <t>Horizontal</t>
        </is>
      </c>
      <c r="C19" s="32">
        <f>IF(B19="","",IF(B19="Molde","corridas",IF(B19="Oscilador","dias","t")))</f>
        <v/>
      </c>
      <c r="D19" s="39" t="n">
        <v>4</v>
      </c>
      <c r="E19" s="40" t="n">
        <v>3300000</v>
      </c>
      <c r="F19" s="41" t="n">
        <v>46235</v>
      </c>
      <c r="G19" s="40" t="n"/>
      <c r="H19" s="34">
        <f>IF(A19="","",IF(C19="corridas",SUMIFS(Historico!$E:$E,Historico!$B:$B,L19,Historico!$A:$A,SUMPRODUCT(MAX((Historico!$B$2:$B$5000=L19)*Historico!$A$2:$A$5000))),N(G19)+IF(F19="",0,IF(C19="dias",MAX(0,TODAY()-F19),IF(D19=2,SUMIFS(Producao!$D:$D,Producao!$A:$A,"&gt;="&amp;F19),IF(D19=3,SUMIFS(Producao!$E:$E,Producao!$A:$A,"&gt;="&amp;F19),SUMIFS(Producao!$B:$B,Producao!$A:$A,"&gt;="&amp;F19)))))))</f>
        <v/>
      </c>
      <c r="I19" s="34">
        <f>IF(OR(A19="",E19=""),"",E19-H19)</f>
        <v/>
      </c>
      <c r="J19" s="35">
        <f>IF(OR(A19="",N(E19)&lt;=0),"",H19/E19)</f>
        <v/>
      </c>
      <c r="K19" s="32">
        <f>IF(I19="","",IF(I19&lt;0,"Além da meta",IF(J19&gt;=Regras!$B$3,"Atenção","OK")))</f>
        <v/>
      </c>
      <c r="L19" s="32" t="n"/>
      <c r="M19">
        <f>IF(J19="",-1,J19+ROW()/1000000000)</f>
        <v/>
      </c>
      <c r="N19" s="42" t="inlineStr">
        <is>
          <t>Horizontal 07</t>
        </is>
      </c>
      <c r="O19" s="42" t="n"/>
    </row>
    <row r="20">
      <c r="A20" s="38" t="inlineStr">
        <is>
          <t>Horizontal 08</t>
        </is>
      </c>
      <c r="B20" s="39" t="inlineStr">
        <is>
          <t>Horizontal</t>
        </is>
      </c>
      <c r="C20" s="32">
        <f>IF(B20="","",IF(B20="Molde","corridas",IF(B20="Oscilador","dias","t")))</f>
        <v/>
      </c>
      <c r="D20" s="39" t="n">
        <v>4</v>
      </c>
      <c r="E20" s="40" t="n">
        <v>3300000</v>
      </c>
      <c r="F20" s="41" t="n">
        <v>46235</v>
      </c>
      <c r="G20" s="40" t="n"/>
      <c r="H20" s="34">
        <f>IF(A20="","",IF(C20="corridas",SUMIFS(Historico!$E:$E,Historico!$B:$B,L20,Historico!$A:$A,SUMPRODUCT(MAX((Historico!$B$2:$B$5000=L20)*Historico!$A$2:$A$5000))),N(G20)+IF(F20="",0,IF(C20="dias",MAX(0,TODAY()-F20),IF(D20=2,SUMIFS(Producao!$D:$D,Producao!$A:$A,"&gt;="&amp;F20),IF(D20=3,SUMIFS(Producao!$E:$E,Producao!$A:$A,"&gt;="&amp;F20),SUMIFS(Producao!$B:$B,Producao!$A:$A,"&gt;="&amp;F20)))))))</f>
        <v/>
      </c>
      <c r="I20" s="34">
        <f>IF(OR(A20="",E20=""),"",E20-H20)</f>
        <v/>
      </c>
      <c r="J20" s="35">
        <f>IF(OR(A20="",N(E20)&lt;=0),"",H20/E20)</f>
        <v/>
      </c>
      <c r="K20" s="32">
        <f>IF(I20="","",IF(I20&lt;0,"Além da meta",IF(J20&gt;=Regras!$B$3,"Atenção","OK")))</f>
        <v/>
      </c>
      <c r="L20" s="32" t="n"/>
      <c r="M20">
        <f>IF(J20="",-1,J20+ROW()/1000000000)</f>
        <v/>
      </c>
      <c r="N20" s="42" t="inlineStr">
        <is>
          <t>Horizontal 08</t>
        </is>
      </c>
      <c r="O20" s="42" t="n"/>
    </row>
    <row r="21">
      <c r="A21" s="38" t="inlineStr">
        <is>
          <t>Horizontal 09</t>
        </is>
      </c>
      <c r="B21" s="39" t="inlineStr">
        <is>
          <t>Horizontal</t>
        </is>
      </c>
      <c r="C21" s="32">
        <f>IF(B21="","",IF(B21="Molde","corridas",IF(B21="Oscilador","dias","t")))</f>
        <v/>
      </c>
      <c r="D21" s="39" t="n">
        <v>4</v>
      </c>
      <c r="E21" s="40" t="n">
        <v>3300000</v>
      </c>
      <c r="F21" s="41" t="n">
        <v>46235</v>
      </c>
      <c r="G21" s="40" t="n"/>
      <c r="H21" s="34">
        <f>IF(A21="","",IF(C21="corridas",SUMIFS(Historico!$E:$E,Historico!$B:$B,L21,Historico!$A:$A,SUMPRODUCT(MAX((Historico!$B$2:$B$5000=L21)*Historico!$A$2:$A$5000))),N(G21)+IF(F21="",0,IF(C21="dias",MAX(0,TODAY()-F21),IF(D21=2,SUMIFS(Producao!$D:$D,Producao!$A:$A,"&gt;="&amp;F21),IF(D21=3,SUMIFS(Producao!$E:$E,Producao!$A:$A,"&gt;="&amp;F21),SUMIFS(Producao!$B:$B,Producao!$A:$A,"&gt;="&amp;F21)))))))</f>
        <v/>
      </c>
      <c r="I21" s="34">
        <f>IF(OR(A21="",E21=""),"",E21-H21)</f>
        <v/>
      </c>
      <c r="J21" s="35">
        <f>IF(OR(A21="",N(E21)&lt;=0),"",H21/E21)</f>
        <v/>
      </c>
      <c r="K21" s="32">
        <f>IF(I21="","",IF(I21&lt;0,"Além da meta",IF(J21&gt;=Regras!$B$3,"Atenção","OK")))</f>
        <v/>
      </c>
      <c r="L21" s="32" t="n"/>
      <c r="M21">
        <f>IF(J21="",-1,J21+ROW()/1000000000)</f>
        <v/>
      </c>
      <c r="N21" s="42" t="inlineStr">
        <is>
          <t>Horizontal 09</t>
        </is>
      </c>
      <c r="O21" s="42" t="n"/>
    </row>
    <row r="22">
      <c r="A22" s="38" t="inlineStr">
        <is>
          <t>Horizontal 10</t>
        </is>
      </c>
      <c r="B22" s="39" t="inlineStr">
        <is>
          <t>Horizontal</t>
        </is>
      </c>
      <c r="C22" s="32">
        <f>IF(B22="","",IF(B22="Molde","corridas",IF(B22="Oscilador","dias","t")))</f>
        <v/>
      </c>
      <c r="D22" s="39" t="n">
        <v>4</v>
      </c>
      <c r="E22" s="40" t="n">
        <v>3300000</v>
      </c>
      <c r="F22" s="41" t="n">
        <v>46235</v>
      </c>
      <c r="G22" s="40" t="n"/>
      <c r="H22" s="34">
        <f>IF(A22="","",IF(C22="corridas",SUMIFS(Historico!$E:$E,Historico!$B:$B,L22,Historico!$A:$A,SUMPRODUCT(MAX((Historico!$B$2:$B$5000=L22)*Historico!$A$2:$A$5000))),N(G22)+IF(F22="",0,IF(C22="dias",MAX(0,TODAY()-F22),IF(D22=2,SUMIFS(Producao!$D:$D,Producao!$A:$A,"&gt;="&amp;F22),IF(D22=3,SUMIFS(Producao!$E:$E,Producao!$A:$A,"&gt;="&amp;F22),SUMIFS(Producao!$B:$B,Producao!$A:$A,"&gt;="&amp;F22)))))))</f>
        <v/>
      </c>
      <c r="I22" s="34">
        <f>IF(OR(A22="",E22=""),"",E22-H22)</f>
        <v/>
      </c>
      <c r="J22" s="35">
        <f>IF(OR(A22="",N(E22)&lt;=0),"",H22/E22)</f>
        <v/>
      </c>
      <c r="K22" s="32">
        <f>IF(I22="","",IF(I22&lt;0,"Além da meta",IF(J22&gt;=Regras!$B$3,"Atenção","OK")))</f>
        <v/>
      </c>
      <c r="L22" s="32" t="n"/>
      <c r="M22">
        <f>IF(J22="",-1,J22+ROW()/1000000000)</f>
        <v/>
      </c>
      <c r="N22" s="42" t="inlineStr">
        <is>
          <t>Horizontal 10</t>
        </is>
      </c>
      <c r="O22" s="42" t="n"/>
    </row>
    <row r="23">
      <c r="A23" s="38" t="n"/>
      <c r="B23" s="39" t="n"/>
      <c r="C23" s="32">
        <f>IF(B23="","",IF(B23="Molde","corridas",IF(B23="Oscilador","dias","t")))</f>
        <v/>
      </c>
      <c r="D23" s="39" t="n"/>
      <c r="E23" s="40" t="n"/>
      <c r="F23" s="41" t="n"/>
      <c r="G23" s="40" t="n"/>
      <c r="H23" s="34">
        <f>IF(A23="","",IF(C23="corridas",SUMIFS(Historico!$E:$E,Historico!$B:$B,L23,Historico!$A:$A,SUMPRODUCT(MAX((Historico!$B$2:$B$5000=L23)*Historico!$A$2:$A$5000))),N(G23)+IF(F23="",0,IF(C23="dias",MAX(0,TODAY()-F23),IF(D23=2,SUMIFS(Producao!$D:$D,Producao!$A:$A,"&gt;="&amp;F23),IF(D23=3,SUMIFS(Producao!$E:$E,Producao!$A:$A,"&gt;="&amp;F23),SUMIFS(Producao!$B:$B,Producao!$A:$A,"&gt;="&amp;F23)))))))</f>
        <v/>
      </c>
      <c r="I23" s="34">
        <f>IF(OR(A23="",E23=""),"",E23-H23)</f>
        <v/>
      </c>
      <c r="J23" s="35">
        <f>IF(OR(A23="",N(E23)&lt;=0),"",H23/E23)</f>
        <v/>
      </c>
      <c r="K23" s="32">
        <f>IF(I23="","",IF(I23&lt;0,"Além da meta",IF(J23&gt;=Regras!$B$3,"Atenção","OK")))</f>
        <v/>
      </c>
      <c r="L23" s="32" t="n"/>
      <c r="M23">
        <f>IF(J23="",-1,J23+ROW()/1000000000)</f>
        <v/>
      </c>
      <c r="N23" s="42" t="n"/>
      <c r="O23" s="42" t="n"/>
    </row>
    <row r="24">
      <c r="A24" s="38" t="n"/>
      <c r="B24" s="39" t="n"/>
      <c r="C24" s="32">
        <f>IF(B24="","",IF(B24="Molde","corridas",IF(B24="Oscilador","dias","t")))</f>
        <v/>
      </c>
      <c r="D24" s="39" t="n"/>
      <c r="E24" s="40" t="n"/>
      <c r="F24" s="41" t="n"/>
      <c r="G24" s="40" t="n"/>
      <c r="H24" s="34">
        <f>IF(A24="","",IF(C24="corridas",SUMIFS(Historico!$E:$E,Historico!$B:$B,L24,Historico!$A:$A,SUMPRODUCT(MAX((Historico!$B$2:$B$5000=L24)*Historico!$A$2:$A$5000))),N(G24)+IF(F24="",0,IF(C24="dias",MAX(0,TODAY()-F24),IF(D24=2,SUMIFS(Producao!$D:$D,Producao!$A:$A,"&gt;="&amp;F24),IF(D24=3,SUMIFS(Producao!$E:$E,Producao!$A:$A,"&gt;="&amp;F24),SUMIFS(Producao!$B:$B,Producao!$A:$A,"&gt;="&amp;F24)))))))</f>
        <v/>
      </c>
      <c r="I24" s="34">
        <f>IF(OR(A24="",E24=""),"",E24-H24)</f>
        <v/>
      </c>
      <c r="J24" s="35">
        <f>IF(OR(A24="",N(E24)&lt;=0),"",H24/E24)</f>
        <v/>
      </c>
      <c r="K24" s="32">
        <f>IF(I24="","",IF(I24&lt;0,"Além da meta",IF(J24&gt;=Regras!$B$3,"Atenção","OK")))</f>
        <v/>
      </c>
      <c r="L24" s="32" t="n"/>
      <c r="M24">
        <f>IF(J24="",-1,J24+ROW()/1000000000)</f>
        <v/>
      </c>
      <c r="N24" s="42" t="n"/>
      <c r="O24" s="42" t="n"/>
    </row>
    <row r="25">
      <c r="A25" s="38" t="n"/>
      <c r="B25" s="39" t="n"/>
      <c r="C25" s="32">
        <f>IF(B25="","",IF(B25="Molde","corridas",IF(B25="Oscilador","dias","t")))</f>
        <v/>
      </c>
      <c r="D25" s="39" t="n"/>
      <c r="E25" s="40" t="n"/>
      <c r="F25" s="41" t="n"/>
      <c r="G25" s="40" t="n"/>
      <c r="H25" s="34">
        <f>IF(A25="","",IF(C25="corridas",SUMIFS(Historico!$E:$E,Historico!$B:$B,L25,Historico!$A:$A,SUMPRODUCT(MAX((Historico!$B$2:$B$5000=L25)*Historico!$A$2:$A$5000))),N(G25)+IF(F25="",0,IF(C25="dias",MAX(0,TODAY()-F25),IF(D25=2,SUMIFS(Producao!$D:$D,Producao!$A:$A,"&gt;="&amp;F25),IF(D25=3,SUMIFS(Producao!$E:$E,Producao!$A:$A,"&gt;="&amp;F25),SUMIFS(Producao!$B:$B,Producao!$A:$A,"&gt;="&amp;F25)))))))</f>
        <v/>
      </c>
      <c r="I25" s="34">
        <f>IF(OR(A25="",E25=""),"",E25-H25)</f>
        <v/>
      </c>
      <c r="J25" s="35">
        <f>IF(OR(A25="",N(E25)&lt;=0),"",H25/E25)</f>
        <v/>
      </c>
      <c r="K25" s="32">
        <f>IF(I25="","",IF(I25&lt;0,"Além da meta",IF(J25&gt;=Regras!$B$3,"Atenção","OK")))</f>
        <v/>
      </c>
      <c r="L25" s="32" t="n"/>
      <c r="M25">
        <f>IF(J25="",-1,J25+ROW()/1000000000)</f>
        <v/>
      </c>
      <c r="N25" s="42" t="n"/>
      <c r="O25" s="42" t="n"/>
    </row>
    <row r="26">
      <c r="A26" s="38" t="n"/>
      <c r="B26" s="39" t="n"/>
      <c r="C26" s="32">
        <f>IF(B26="","",IF(B26="Molde","corridas",IF(B26="Oscilador","dias","t")))</f>
        <v/>
      </c>
      <c r="D26" s="39" t="n"/>
      <c r="E26" s="40" t="n"/>
      <c r="F26" s="41" t="n"/>
      <c r="G26" s="40" t="n"/>
      <c r="H26" s="34">
        <f>IF(A26="","",IF(C26="corridas",SUMIFS(Historico!$E:$E,Historico!$B:$B,L26,Historico!$A:$A,SUMPRODUCT(MAX((Historico!$B$2:$B$5000=L26)*Historico!$A$2:$A$5000))),N(G26)+IF(F26="",0,IF(C26="dias",MAX(0,TODAY()-F26),IF(D26=2,SUMIFS(Producao!$D:$D,Producao!$A:$A,"&gt;="&amp;F26),IF(D26=3,SUMIFS(Producao!$E:$E,Producao!$A:$A,"&gt;="&amp;F26),SUMIFS(Producao!$B:$B,Producao!$A:$A,"&gt;="&amp;F26)))))))</f>
        <v/>
      </c>
      <c r="I26" s="34">
        <f>IF(OR(A26="",E26=""),"",E26-H26)</f>
        <v/>
      </c>
      <c r="J26" s="35">
        <f>IF(OR(A26="",N(E26)&lt;=0),"",H26/E26)</f>
        <v/>
      </c>
      <c r="K26" s="32">
        <f>IF(I26="","",IF(I26&lt;0,"Além da meta",IF(J26&gt;=Regras!$B$3,"Atenção","OK")))</f>
        <v/>
      </c>
      <c r="L26" s="32" t="n"/>
      <c r="M26">
        <f>IF(J26="",-1,J26+ROW()/1000000000)</f>
        <v/>
      </c>
      <c r="N26" s="42" t="n"/>
      <c r="O26" s="42" t="n"/>
    </row>
    <row r="27">
      <c r="A27" s="38" t="n"/>
      <c r="B27" s="39" t="n"/>
      <c r="C27" s="32">
        <f>IF(B27="","",IF(B27="Molde","corridas",IF(B27="Oscilador","dias","t")))</f>
        <v/>
      </c>
      <c r="D27" s="39" t="n"/>
      <c r="E27" s="40" t="n"/>
      <c r="F27" s="41" t="n"/>
      <c r="G27" s="40" t="n"/>
      <c r="H27" s="34">
        <f>IF(A27="","",IF(C27="corridas",SUMIFS(Historico!$E:$E,Historico!$B:$B,L27,Historico!$A:$A,SUMPRODUCT(MAX((Historico!$B$2:$B$5000=L27)*Historico!$A$2:$A$5000))),N(G27)+IF(F27="",0,IF(C27="dias",MAX(0,TODAY()-F27),IF(D27=2,SUMIFS(Producao!$D:$D,Producao!$A:$A,"&gt;="&amp;F27),IF(D27=3,SUMIFS(Producao!$E:$E,Producao!$A:$A,"&gt;="&amp;F27),SUMIFS(Producao!$B:$B,Producao!$A:$A,"&gt;="&amp;F27)))))))</f>
        <v/>
      </c>
      <c r="I27" s="34">
        <f>IF(OR(A27="",E27=""),"",E27-H27)</f>
        <v/>
      </c>
      <c r="J27" s="35">
        <f>IF(OR(A27="",N(E27)&lt;=0),"",H27/E27)</f>
        <v/>
      </c>
      <c r="K27" s="32">
        <f>IF(I27="","",IF(I27&lt;0,"Além da meta",IF(J27&gt;=Regras!$B$3,"Atenção","OK")))</f>
        <v/>
      </c>
      <c r="L27" s="32" t="n"/>
      <c r="M27">
        <f>IF(J27="",-1,J27+ROW()/1000000000)</f>
        <v/>
      </c>
      <c r="N27" s="42" t="n"/>
      <c r="O27" s="42" t="n"/>
    </row>
    <row r="28">
      <c r="A28" s="38" t="n"/>
      <c r="B28" s="39" t="n"/>
      <c r="C28" s="32">
        <f>IF(B28="","",IF(B28="Molde","corridas",IF(B28="Oscilador","dias","t")))</f>
        <v/>
      </c>
      <c r="D28" s="39" t="n"/>
      <c r="E28" s="40" t="n"/>
      <c r="F28" s="41" t="n"/>
      <c r="G28" s="40" t="n"/>
      <c r="H28" s="34">
        <f>IF(A28="","",IF(C28="corridas",SUMIFS(Historico!$E:$E,Historico!$B:$B,L28,Historico!$A:$A,SUMPRODUCT(MAX((Historico!$B$2:$B$5000=L28)*Historico!$A$2:$A$5000))),N(G28)+IF(F28="",0,IF(C28="dias",MAX(0,TODAY()-F28),IF(D28=2,SUMIFS(Producao!$D:$D,Producao!$A:$A,"&gt;="&amp;F28),IF(D28=3,SUMIFS(Producao!$E:$E,Producao!$A:$A,"&gt;="&amp;F28),SUMIFS(Producao!$B:$B,Producao!$A:$A,"&gt;="&amp;F28)))))))</f>
        <v/>
      </c>
      <c r="I28" s="34">
        <f>IF(OR(A28="",E28=""),"",E28-H28)</f>
        <v/>
      </c>
      <c r="J28" s="35">
        <f>IF(OR(A28="",N(E28)&lt;=0),"",H28/E28)</f>
        <v/>
      </c>
      <c r="K28" s="32">
        <f>IF(I28="","",IF(I28&lt;0,"Além da meta",IF(J28&gt;=Regras!$B$3,"Atenção","OK")))</f>
        <v/>
      </c>
      <c r="L28" s="32" t="n"/>
      <c r="M28">
        <f>IF(J28="",-1,J28+ROW()/1000000000)</f>
        <v/>
      </c>
      <c r="N28" s="42" t="n"/>
      <c r="O28" s="42" t="n"/>
    </row>
    <row r="29">
      <c r="A29" s="38" t="n"/>
      <c r="B29" s="39" t="n"/>
      <c r="C29" s="32">
        <f>IF(B29="","",IF(B29="Molde","corridas",IF(B29="Oscilador","dias","t")))</f>
        <v/>
      </c>
      <c r="D29" s="39" t="n"/>
      <c r="E29" s="40" t="n"/>
      <c r="F29" s="41" t="n"/>
      <c r="G29" s="40" t="n"/>
      <c r="H29" s="34">
        <f>IF(A29="","",IF(C29="corridas",SUMIFS(Historico!$E:$E,Historico!$B:$B,L29,Historico!$A:$A,SUMPRODUCT(MAX((Historico!$B$2:$B$5000=L29)*Historico!$A$2:$A$5000))),N(G29)+IF(F29="",0,IF(C29="dias",MAX(0,TODAY()-F29),IF(D29=2,SUMIFS(Producao!$D:$D,Producao!$A:$A,"&gt;="&amp;F29),IF(D29=3,SUMIFS(Producao!$E:$E,Producao!$A:$A,"&gt;="&amp;F29),SUMIFS(Producao!$B:$B,Producao!$A:$A,"&gt;="&amp;F29)))))))</f>
        <v/>
      </c>
      <c r="I29" s="34">
        <f>IF(OR(A29="",E29=""),"",E29-H29)</f>
        <v/>
      </c>
      <c r="J29" s="35">
        <f>IF(OR(A29="",N(E29)&lt;=0),"",H29/E29)</f>
        <v/>
      </c>
      <c r="K29" s="32">
        <f>IF(I29="","",IF(I29&lt;0,"Além da meta",IF(J29&gt;=Regras!$B$3,"Atenção","OK")))</f>
        <v/>
      </c>
      <c r="L29" s="32" t="n"/>
      <c r="M29">
        <f>IF(J29="",-1,J29+ROW()/1000000000)</f>
        <v/>
      </c>
      <c r="N29" s="42" t="n"/>
      <c r="O29" s="42" t="n"/>
    </row>
    <row r="30">
      <c r="A30" s="38" t="n"/>
      <c r="B30" s="39" t="n"/>
      <c r="C30" s="32">
        <f>IF(B30="","",IF(B30="Molde","corridas",IF(B30="Oscilador","dias","t")))</f>
        <v/>
      </c>
      <c r="D30" s="39" t="n"/>
      <c r="E30" s="40" t="n"/>
      <c r="F30" s="41" t="n"/>
      <c r="G30" s="40" t="n"/>
      <c r="H30" s="34">
        <f>IF(A30="","",IF(C30="corridas",SUMIFS(Historico!$E:$E,Historico!$B:$B,L30,Historico!$A:$A,SUMPRODUCT(MAX((Historico!$B$2:$B$5000=L30)*Historico!$A$2:$A$5000))),N(G30)+IF(F30="",0,IF(C30="dias",MAX(0,TODAY()-F30),IF(D30=2,SUMIFS(Producao!$D:$D,Producao!$A:$A,"&gt;="&amp;F30),IF(D30=3,SUMIFS(Producao!$E:$E,Producao!$A:$A,"&gt;="&amp;F30),SUMIFS(Producao!$B:$B,Producao!$A:$A,"&gt;="&amp;F30)))))))</f>
        <v/>
      </c>
      <c r="I30" s="34">
        <f>IF(OR(A30="",E30=""),"",E30-H30)</f>
        <v/>
      </c>
      <c r="J30" s="35">
        <f>IF(OR(A30="",N(E30)&lt;=0),"",H30/E30)</f>
        <v/>
      </c>
      <c r="K30" s="32">
        <f>IF(I30="","",IF(I30&lt;0,"Além da meta",IF(J30&gt;=Regras!$B$3,"Atenção","OK")))</f>
        <v/>
      </c>
      <c r="L30" s="32" t="n"/>
      <c r="M30">
        <f>IF(J30="",-1,J30+ROW()/1000000000)</f>
        <v/>
      </c>
      <c r="N30" s="42" t="n"/>
      <c r="O30" s="42" t="n"/>
    </row>
    <row r="31">
      <c r="A31" s="38" t="n"/>
      <c r="B31" s="39" t="n"/>
      <c r="C31" s="32">
        <f>IF(B31="","",IF(B31="Molde","corridas",IF(B31="Oscilador","dias","t")))</f>
        <v/>
      </c>
      <c r="D31" s="39" t="n"/>
      <c r="E31" s="40" t="n"/>
      <c r="F31" s="41" t="n"/>
      <c r="G31" s="40" t="n"/>
      <c r="H31" s="34">
        <f>IF(A31="","",IF(C31="corridas",SUMIFS(Historico!$E:$E,Historico!$B:$B,L31,Historico!$A:$A,SUMPRODUCT(MAX((Historico!$B$2:$B$5000=L31)*Historico!$A$2:$A$5000))),N(G31)+IF(F31="",0,IF(C31="dias",MAX(0,TODAY()-F31),IF(D31=2,SUMIFS(Producao!$D:$D,Producao!$A:$A,"&gt;="&amp;F31),IF(D31=3,SUMIFS(Producao!$E:$E,Producao!$A:$A,"&gt;="&amp;F31),SUMIFS(Producao!$B:$B,Producao!$A:$A,"&gt;="&amp;F31)))))))</f>
        <v/>
      </c>
      <c r="I31" s="34">
        <f>IF(OR(A31="",E31=""),"",E31-H31)</f>
        <v/>
      </c>
      <c r="J31" s="35">
        <f>IF(OR(A31="",N(E31)&lt;=0),"",H31/E31)</f>
        <v/>
      </c>
      <c r="K31" s="32">
        <f>IF(I31="","",IF(I31&lt;0,"Além da meta",IF(J31&gt;=Regras!$B$3,"Atenção","OK")))</f>
        <v/>
      </c>
      <c r="L31" s="32" t="n"/>
      <c r="M31">
        <f>IF(J31="",-1,J31+ROW()/1000000000)</f>
        <v/>
      </c>
      <c r="N31" s="42" t="n"/>
      <c r="O31" s="42" t="n"/>
    </row>
    <row r="32">
      <c r="A32" s="38" t="n"/>
      <c r="B32" s="39" t="n"/>
      <c r="C32" s="32">
        <f>IF(B32="","",IF(B32="Molde","corridas",IF(B32="Oscilador","dias","t")))</f>
        <v/>
      </c>
      <c r="D32" s="39" t="n"/>
      <c r="E32" s="40" t="n"/>
      <c r="F32" s="41" t="n"/>
      <c r="G32" s="40" t="n"/>
      <c r="H32" s="34">
        <f>IF(A32="","",IF(C32="corridas",SUMIFS(Historico!$E:$E,Historico!$B:$B,L32,Historico!$A:$A,SUMPRODUCT(MAX((Historico!$B$2:$B$5000=L32)*Historico!$A$2:$A$5000))),N(G32)+IF(F32="",0,IF(C32="dias",MAX(0,TODAY()-F32),IF(D32=2,SUMIFS(Producao!$D:$D,Producao!$A:$A,"&gt;="&amp;F32),IF(D32=3,SUMIFS(Producao!$E:$E,Producao!$A:$A,"&gt;="&amp;F32),SUMIFS(Producao!$B:$B,Producao!$A:$A,"&gt;="&amp;F32)))))))</f>
        <v/>
      </c>
      <c r="I32" s="34">
        <f>IF(OR(A32="",E32=""),"",E32-H32)</f>
        <v/>
      </c>
      <c r="J32" s="35">
        <f>IF(OR(A32="",N(E32)&lt;=0),"",H32/E32)</f>
        <v/>
      </c>
      <c r="K32" s="32">
        <f>IF(I32="","",IF(I32&lt;0,"Além da meta",IF(J32&gt;=Regras!$B$3,"Atenção","OK")))</f>
        <v/>
      </c>
      <c r="L32" s="32" t="n"/>
      <c r="M32">
        <f>IF(J32="",-1,J32+ROW()/1000000000)</f>
        <v/>
      </c>
      <c r="N32" s="42" t="n"/>
      <c r="O32" s="42" t="n"/>
    </row>
    <row r="33">
      <c r="A33" s="38" t="n"/>
      <c r="B33" s="39" t="n"/>
      <c r="C33" s="32">
        <f>IF(B33="","",IF(B33="Molde","corridas",IF(B33="Oscilador","dias","t")))</f>
        <v/>
      </c>
      <c r="D33" s="39" t="n"/>
      <c r="E33" s="40" t="n"/>
      <c r="F33" s="41" t="n"/>
      <c r="G33" s="40" t="n"/>
      <c r="H33" s="34">
        <f>IF(A33="","",IF(C33="corridas",SUMIFS(Historico!$E:$E,Historico!$B:$B,L33,Historico!$A:$A,SUMPRODUCT(MAX((Historico!$B$2:$B$5000=L33)*Historico!$A$2:$A$5000))),N(G33)+IF(F33="",0,IF(C33="dias",MAX(0,TODAY()-F33),IF(D33=2,SUMIFS(Producao!$D:$D,Producao!$A:$A,"&gt;="&amp;F33),IF(D33=3,SUMIFS(Producao!$E:$E,Producao!$A:$A,"&gt;="&amp;F33),SUMIFS(Producao!$B:$B,Producao!$A:$A,"&gt;="&amp;F33)))))))</f>
        <v/>
      </c>
      <c r="I33" s="34">
        <f>IF(OR(A33="",E33=""),"",E33-H33)</f>
        <v/>
      </c>
      <c r="J33" s="35">
        <f>IF(OR(A33="",N(E33)&lt;=0),"",H33/E33)</f>
        <v/>
      </c>
      <c r="K33" s="32">
        <f>IF(I33="","",IF(I33&lt;0,"Além da meta",IF(J33&gt;=Regras!$B$3,"Atenção","OK")))</f>
        <v/>
      </c>
      <c r="L33" s="32" t="n"/>
      <c r="M33">
        <f>IF(J33="",-1,J33+ROW()/1000000000)</f>
        <v/>
      </c>
      <c r="N33" s="42" t="n"/>
      <c r="O33" s="42" t="n"/>
    </row>
    <row r="34">
      <c r="A34" s="38" t="n"/>
      <c r="B34" s="39" t="n"/>
      <c r="C34" s="32">
        <f>IF(B34="","",IF(B34="Molde","corridas",IF(B34="Oscilador","dias","t")))</f>
        <v/>
      </c>
      <c r="D34" s="39" t="n"/>
      <c r="E34" s="40" t="n"/>
      <c r="F34" s="41" t="n"/>
      <c r="G34" s="40" t="n"/>
      <c r="H34" s="34">
        <f>IF(A34="","",IF(C34="corridas",SUMIFS(Historico!$E:$E,Historico!$B:$B,L34,Historico!$A:$A,SUMPRODUCT(MAX((Historico!$B$2:$B$5000=L34)*Historico!$A$2:$A$5000))),N(G34)+IF(F34="",0,IF(C34="dias",MAX(0,TODAY()-F34),IF(D34=2,SUMIFS(Producao!$D:$D,Producao!$A:$A,"&gt;="&amp;F34),IF(D34=3,SUMIFS(Producao!$E:$E,Producao!$A:$A,"&gt;="&amp;F34),SUMIFS(Producao!$B:$B,Producao!$A:$A,"&gt;="&amp;F34)))))))</f>
        <v/>
      </c>
      <c r="I34" s="34">
        <f>IF(OR(A34="",E34=""),"",E34-H34)</f>
        <v/>
      </c>
      <c r="J34" s="35">
        <f>IF(OR(A34="",N(E34)&lt;=0),"",H34/E34)</f>
        <v/>
      </c>
      <c r="K34" s="32">
        <f>IF(I34="","",IF(I34&lt;0,"Além da meta",IF(J34&gt;=Regras!$B$3,"Atenção","OK")))</f>
        <v/>
      </c>
      <c r="L34" s="32" t="n"/>
      <c r="M34">
        <f>IF(J34="",-1,J34+ROW()/1000000000)</f>
        <v/>
      </c>
      <c r="N34" s="42" t="n"/>
      <c r="O34" s="42" t="n"/>
    </row>
    <row r="35">
      <c r="A35" s="38" t="n"/>
      <c r="B35" s="39" t="n"/>
      <c r="C35" s="32">
        <f>IF(B35="","",IF(B35="Molde","corridas",IF(B35="Oscilador","dias","t")))</f>
        <v/>
      </c>
      <c r="D35" s="39" t="n"/>
      <c r="E35" s="40" t="n"/>
      <c r="F35" s="41" t="n"/>
      <c r="G35" s="40" t="n"/>
      <c r="H35" s="34">
        <f>IF(A35="","",IF(C35="corridas",SUMIFS(Historico!$E:$E,Historico!$B:$B,L35,Historico!$A:$A,SUMPRODUCT(MAX((Historico!$B$2:$B$5000=L35)*Historico!$A$2:$A$5000))),N(G35)+IF(F35="",0,IF(C35="dias",MAX(0,TODAY()-F35),IF(D35=2,SUMIFS(Producao!$D:$D,Producao!$A:$A,"&gt;="&amp;F35),IF(D35=3,SUMIFS(Producao!$E:$E,Producao!$A:$A,"&gt;="&amp;F35),SUMIFS(Producao!$B:$B,Producao!$A:$A,"&gt;="&amp;F35)))))))</f>
        <v/>
      </c>
      <c r="I35" s="34">
        <f>IF(OR(A35="",E35=""),"",E35-H35)</f>
        <v/>
      </c>
      <c r="J35" s="35">
        <f>IF(OR(A35="",N(E35)&lt;=0),"",H35/E35)</f>
        <v/>
      </c>
      <c r="K35" s="32">
        <f>IF(I35="","",IF(I35&lt;0,"Além da meta",IF(J35&gt;=Regras!$B$3,"Atenção","OK")))</f>
        <v/>
      </c>
      <c r="L35" s="32" t="n"/>
      <c r="M35">
        <f>IF(J35="",-1,J35+ROW()/1000000000)</f>
        <v/>
      </c>
      <c r="N35" s="42" t="n"/>
      <c r="O35" s="42" t="n"/>
    </row>
    <row r="36">
      <c r="A36" s="38" t="n"/>
      <c r="B36" s="39" t="n"/>
      <c r="C36" s="32">
        <f>IF(B36="","",IF(B36="Molde","corridas",IF(B36="Oscilador","dias","t")))</f>
        <v/>
      </c>
      <c r="D36" s="39" t="n"/>
      <c r="E36" s="40" t="n"/>
      <c r="F36" s="41" t="n"/>
      <c r="G36" s="40" t="n"/>
      <c r="H36" s="34">
        <f>IF(A36="","",IF(C36="corridas",SUMIFS(Historico!$E:$E,Historico!$B:$B,L36,Historico!$A:$A,SUMPRODUCT(MAX((Historico!$B$2:$B$5000=L36)*Historico!$A$2:$A$5000))),N(G36)+IF(F36="",0,IF(C36="dias",MAX(0,TODAY()-F36),IF(D36=2,SUMIFS(Producao!$D:$D,Producao!$A:$A,"&gt;="&amp;F36),IF(D36=3,SUMIFS(Producao!$E:$E,Producao!$A:$A,"&gt;="&amp;F36),SUMIFS(Producao!$B:$B,Producao!$A:$A,"&gt;="&amp;F36)))))))</f>
        <v/>
      </c>
      <c r="I36" s="34">
        <f>IF(OR(A36="",E36=""),"",E36-H36)</f>
        <v/>
      </c>
      <c r="J36" s="35">
        <f>IF(OR(A36="",N(E36)&lt;=0),"",H36/E36)</f>
        <v/>
      </c>
      <c r="K36" s="32">
        <f>IF(I36="","",IF(I36&lt;0,"Além da meta",IF(J36&gt;=Regras!$B$3,"Atenção","OK")))</f>
        <v/>
      </c>
      <c r="L36" s="32" t="n"/>
      <c r="M36">
        <f>IF(J36="",-1,J36+ROW()/1000000000)</f>
        <v/>
      </c>
      <c r="N36" s="42" t="n"/>
      <c r="O36" s="42" t="n"/>
    </row>
    <row r="37">
      <c r="A37" s="38" t="n"/>
      <c r="B37" s="39" t="n"/>
      <c r="C37" s="32">
        <f>IF(B37="","",IF(B37="Molde","corridas",IF(B37="Oscilador","dias","t")))</f>
        <v/>
      </c>
      <c r="D37" s="39" t="n"/>
      <c r="E37" s="40" t="n"/>
      <c r="F37" s="41" t="n"/>
      <c r="G37" s="40" t="n"/>
      <c r="H37" s="34">
        <f>IF(A37="","",IF(C37="corridas",SUMIFS(Historico!$E:$E,Historico!$B:$B,L37,Historico!$A:$A,SUMPRODUCT(MAX((Historico!$B$2:$B$5000=L37)*Historico!$A$2:$A$5000))),N(G37)+IF(F37="",0,IF(C37="dias",MAX(0,TODAY()-F37),IF(D37=2,SUMIFS(Producao!$D:$D,Producao!$A:$A,"&gt;="&amp;F37),IF(D37=3,SUMIFS(Producao!$E:$E,Producao!$A:$A,"&gt;="&amp;F37),SUMIFS(Producao!$B:$B,Producao!$A:$A,"&gt;="&amp;F37)))))))</f>
        <v/>
      </c>
      <c r="I37" s="34">
        <f>IF(OR(A37="",E37=""),"",E37-H37)</f>
        <v/>
      </c>
      <c r="J37" s="35">
        <f>IF(OR(A37="",N(E37)&lt;=0),"",H37/E37)</f>
        <v/>
      </c>
      <c r="K37" s="32">
        <f>IF(I37="","",IF(I37&lt;0,"Além da meta",IF(J37&gt;=Regras!$B$3,"Atenção","OK")))</f>
        <v/>
      </c>
      <c r="L37" s="32" t="n"/>
      <c r="M37">
        <f>IF(J37="",-1,J37+ROW()/1000000000)</f>
        <v/>
      </c>
      <c r="N37" s="42" t="n"/>
      <c r="O37" s="42" t="n"/>
    </row>
    <row r="38">
      <c r="A38" s="38" t="n"/>
      <c r="B38" s="39" t="n"/>
      <c r="C38" s="32">
        <f>IF(B38="","",IF(B38="Molde","corridas",IF(B38="Oscilador","dias","t")))</f>
        <v/>
      </c>
      <c r="D38" s="39" t="n"/>
      <c r="E38" s="40" t="n"/>
      <c r="F38" s="41" t="n"/>
      <c r="G38" s="40" t="n"/>
      <c r="H38" s="34">
        <f>IF(A38="","",IF(C38="corridas",SUMIFS(Historico!$E:$E,Historico!$B:$B,L38,Historico!$A:$A,SUMPRODUCT(MAX((Historico!$B$2:$B$5000=L38)*Historico!$A$2:$A$5000))),N(G38)+IF(F38="",0,IF(C38="dias",MAX(0,TODAY()-F38),IF(D38=2,SUMIFS(Producao!$D:$D,Producao!$A:$A,"&gt;="&amp;F38),IF(D38=3,SUMIFS(Producao!$E:$E,Producao!$A:$A,"&gt;="&amp;F38),SUMIFS(Producao!$B:$B,Producao!$A:$A,"&gt;="&amp;F38)))))))</f>
        <v/>
      </c>
      <c r="I38" s="34">
        <f>IF(OR(A38="",E38=""),"",E38-H38)</f>
        <v/>
      </c>
      <c r="J38" s="35">
        <f>IF(OR(A38="",N(E38)&lt;=0),"",H38/E38)</f>
        <v/>
      </c>
      <c r="K38" s="32">
        <f>IF(I38="","",IF(I38&lt;0,"Além da meta",IF(J38&gt;=Regras!$B$3,"Atenção","OK")))</f>
        <v/>
      </c>
      <c r="L38" s="32" t="n"/>
      <c r="M38">
        <f>IF(J38="",-1,J38+ROW()/1000000000)</f>
        <v/>
      </c>
      <c r="N38" s="42" t="n"/>
      <c r="O38" s="42" t="n"/>
    </row>
    <row r="39">
      <c r="A39" s="38" t="n"/>
      <c r="B39" s="39" t="n"/>
      <c r="C39" s="32">
        <f>IF(B39="","",IF(B39="Molde","corridas",IF(B39="Oscilador","dias","t")))</f>
        <v/>
      </c>
      <c r="D39" s="39" t="n"/>
      <c r="E39" s="40" t="n"/>
      <c r="F39" s="41" t="n"/>
      <c r="G39" s="40" t="n"/>
      <c r="H39" s="34">
        <f>IF(A39="","",IF(C39="corridas",SUMIFS(Historico!$E:$E,Historico!$B:$B,L39,Historico!$A:$A,SUMPRODUCT(MAX((Historico!$B$2:$B$5000=L39)*Historico!$A$2:$A$5000))),N(G39)+IF(F39="",0,IF(C39="dias",MAX(0,TODAY()-F39),IF(D39=2,SUMIFS(Producao!$D:$D,Producao!$A:$A,"&gt;="&amp;F39),IF(D39=3,SUMIFS(Producao!$E:$E,Producao!$A:$A,"&gt;="&amp;F39),SUMIFS(Producao!$B:$B,Producao!$A:$A,"&gt;="&amp;F39)))))))</f>
        <v/>
      </c>
      <c r="I39" s="34">
        <f>IF(OR(A39="",E39=""),"",E39-H39)</f>
        <v/>
      </c>
      <c r="J39" s="35">
        <f>IF(OR(A39="",N(E39)&lt;=0),"",H39/E39)</f>
        <v/>
      </c>
      <c r="K39" s="32">
        <f>IF(I39="","",IF(I39&lt;0,"Além da meta",IF(J39&gt;=Regras!$B$3,"Atenção","OK")))</f>
        <v/>
      </c>
      <c r="L39" s="32" t="n"/>
      <c r="M39">
        <f>IF(J39="",-1,J39+ROW()/1000000000)</f>
        <v/>
      </c>
      <c r="N39" s="42" t="n"/>
      <c r="O39" s="42" t="n"/>
    </row>
    <row r="40">
      <c r="A40" s="38" t="n"/>
      <c r="B40" s="39" t="n"/>
      <c r="C40" s="32">
        <f>IF(B40="","",IF(B40="Molde","corridas",IF(B40="Oscilador","dias","t")))</f>
        <v/>
      </c>
      <c r="D40" s="39" t="n"/>
      <c r="E40" s="40" t="n"/>
      <c r="F40" s="41" t="n"/>
      <c r="G40" s="40" t="n"/>
      <c r="H40" s="34">
        <f>IF(A40="","",IF(C40="corridas",SUMIFS(Historico!$E:$E,Historico!$B:$B,L40,Historico!$A:$A,SUMPRODUCT(MAX((Historico!$B$2:$B$5000=L40)*Historico!$A$2:$A$5000))),N(G40)+IF(F40="",0,IF(C40="dias",MAX(0,TODAY()-F40),IF(D40=2,SUMIFS(Producao!$D:$D,Producao!$A:$A,"&gt;="&amp;F40),IF(D40=3,SUMIFS(Producao!$E:$E,Producao!$A:$A,"&gt;="&amp;F40),SUMIFS(Producao!$B:$B,Producao!$A:$A,"&gt;="&amp;F40)))))))</f>
        <v/>
      </c>
      <c r="I40" s="34">
        <f>IF(OR(A40="",E40=""),"",E40-H40)</f>
        <v/>
      </c>
      <c r="J40" s="35">
        <f>IF(OR(A40="",N(E40)&lt;=0),"",H40/E40)</f>
        <v/>
      </c>
      <c r="K40" s="32">
        <f>IF(I40="","",IF(I40&lt;0,"Além da meta",IF(J40&gt;=Regras!$B$3,"Atenção","OK")))</f>
        <v/>
      </c>
      <c r="L40" s="32" t="n"/>
      <c r="M40">
        <f>IF(J40="",-1,J40+ROW()/1000000000)</f>
        <v/>
      </c>
      <c r="N40" s="42" t="n"/>
      <c r="O40" s="42" t="n"/>
    </row>
    <row r="41">
      <c r="A41" s="38" t="n"/>
      <c r="B41" s="39" t="n"/>
      <c r="C41" s="32">
        <f>IF(B41="","",IF(B41="Molde","corridas",IF(B41="Oscilador","dias","t")))</f>
        <v/>
      </c>
      <c r="D41" s="39" t="n"/>
      <c r="E41" s="40" t="n"/>
      <c r="F41" s="41" t="n"/>
      <c r="G41" s="40" t="n"/>
      <c r="H41" s="34">
        <f>IF(A41="","",IF(C41="corridas",SUMIFS(Historico!$E:$E,Historico!$B:$B,L41,Historico!$A:$A,SUMPRODUCT(MAX((Historico!$B$2:$B$5000=L41)*Historico!$A$2:$A$5000))),N(G41)+IF(F41="",0,IF(C41="dias",MAX(0,TODAY()-F41),IF(D41=2,SUMIFS(Producao!$D:$D,Producao!$A:$A,"&gt;="&amp;F41),IF(D41=3,SUMIFS(Producao!$E:$E,Producao!$A:$A,"&gt;="&amp;F41),SUMIFS(Producao!$B:$B,Producao!$A:$A,"&gt;="&amp;F41)))))))</f>
        <v/>
      </c>
      <c r="I41" s="34">
        <f>IF(OR(A41="",E41=""),"",E41-H41)</f>
        <v/>
      </c>
      <c r="J41" s="35">
        <f>IF(OR(A41="",N(E41)&lt;=0),"",H41/E41)</f>
        <v/>
      </c>
      <c r="K41" s="32">
        <f>IF(I41="","",IF(I41&lt;0,"Além da meta",IF(J41&gt;=Regras!$B$3,"Atenção","OK")))</f>
        <v/>
      </c>
      <c r="L41" s="32" t="n"/>
      <c r="M41">
        <f>IF(J41="",-1,J41+ROW()/1000000000)</f>
        <v/>
      </c>
      <c r="N41" s="42" t="n"/>
      <c r="O41" s="42" t="n"/>
    </row>
    <row r="42">
      <c r="A42" s="38" t="n"/>
      <c r="B42" s="39" t="n"/>
      <c r="C42" s="32">
        <f>IF(B42="","",IF(B42="Molde","corridas",IF(B42="Oscilador","dias","t")))</f>
        <v/>
      </c>
      <c r="D42" s="39" t="n"/>
      <c r="E42" s="40" t="n"/>
      <c r="F42" s="41" t="n"/>
      <c r="G42" s="40" t="n"/>
      <c r="H42" s="34">
        <f>IF(A42="","",IF(C42="corridas",SUMIFS(Historico!$E:$E,Historico!$B:$B,L42,Historico!$A:$A,SUMPRODUCT(MAX((Historico!$B$2:$B$5000=L42)*Historico!$A$2:$A$5000))),N(G42)+IF(F42="",0,IF(C42="dias",MAX(0,TODAY()-F42),IF(D42=2,SUMIFS(Producao!$D:$D,Producao!$A:$A,"&gt;="&amp;F42),IF(D42=3,SUMIFS(Producao!$E:$E,Producao!$A:$A,"&gt;="&amp;F42),SUMIFS(Producao!$B:$B,Producao!$A:$A,"&gt;="&amp;F42)))))))</f>
        <v/>
      </c>
      <c r="I42" s="34">
        <f>IF(OR(A42="",E42=""),"",E42-H42)</f>
        <v/>
      </c>
      <c r="J42" s="35">
        <f>IF(OR(A42="",N(E42)&lt;=0),"",H42/E42)</f>
        <v/>
      </c>
      <c r="K42" s="32">
        <f>IF(I42="","",IF(I42&lt;0,"Além da meta",IF(J42&gt;=Regras!$B$3,"Atenção","OK")))</f>
        <v/>
      </c>
      <c r="L42" s="32" t="n"/>
      <c r="M42">
        <f>IF(J42="",-1,J42+ROW()/1000000000)</f>
        <v/>
      </c>
      <c r="N42" s="42" t="n"/>
      <c r="O42" s="42" t="n"/>
    </row>
    <row r="43">
      <c r="A43" s="38" t="n"/>
      <c r="B43" s="39" t="n"/>
      <c r="C43" s="32">
        <f>IF(B43="","",IF(B43="Molde","corridas",IF(B43="Oscilador","dias","t")))</f>
        <v/>
      </c>
      <c r="D43" s="39" t="n"/>
      <c r="E43" s="40" t="n"/>
      <c r="F43" s="41" t="n"/>
      <c r="G43" s="40" t="n"/>
      <c r="H43" s="34">
        <f>IF(A43="","",IF(C43="corridas",SUMIFS(Historico!$E:$E,Historico!$B:$B,L43,Historico!$A:$A,SUMPRODUCT(MAX((Historico!$B$2:$B$5000=L43)*Historico!$A$2:$A$5000))),N(G43)+IF(F43="",0,IF(C43="dias",MAX(0,TODAY()-F43),IF(D43=2,SUMIFS(Producao!$D:$D,Producao!$A:$A,"&gt;="&amp;F43),IF(D43=3,SUMIFS(Producao!$E:$E,Producao!$A:$A,"&gt;="&amp;F43),SUMIFS(Producao!$B:$B,Producao!$A:$A,"&gt;="&amp;F43)))))))</f>
        <v/>
      </c>
      <c r="I43" s="34">
        <f>IF(OR(A43="",E43=""),"",E43-H43)</f>
        <v/>
      </c>
      <c r="J43" s="35">
        <f>IF(OR(A43="",N(E43)&lt;=0),"",H43/E43)</f>
        <v/>
      </c>
      <c r="K43" s="32">
        <f>IF(I43="","",IF(I43&lt;0,"Além da meta",IF(J43&gt;=Regras!$B$3,"Atenção","OK")))</f>
        <v/>
      </c>
      <c r="L43" s="32" t="n"/>
      <c r="M43">
        <f>IF(J43="",-1,J43+ROW()/1000000000)</f>
        <v/>
      </c>
      <c r="N43" s="42" t="n"/>
      <c r="O43" s="42" t="n"/>
    </row>
    <row r="44">
      <c r="A44" s="38" t="n"/>
      <c r="B44" s="39" t="n"/>
      <c r="C44" s="32">
        <f>IF(B44="","",IF(B44="Molde","corridas",IF(B44="Oscilador","dias","t")))</f>
        <v/>
      </c>
      <c r="D44" s="39" t="n"/>
      <c r="E44" s="40" t="n"/>
      <c r="F44" s="41" t="n"/>
      <c r="G44" s="40" t="n"/>
      <c r="H44" s="34">
        <f>IF(A44="","",IF(C44="corridas",SUMIFS(Historico!$E:$E,Historico!$B:$B,L44,Historico!$A:$A,SUMPRODUCT(MAX((Historico!$B$2:$B$5000=L44)*Historico!$A$2:$A$5000))),N(G44)+IF(F44="",0,IF(C44="dias",MAX(0,TODAY()-F44),IF(D44=2,SUMIFS(Producao!$D:$D,Producao!$A:$A,"&gt;="&amp;F44),IF(D44=3,SUMIFS(Producao!$E:$E,Producao!$A:$A,"&gt;="&amp;F44),SUMIFS(Producao!$B:$B,Producao!$A:$A,"&gt;="&amp;F44)))))))</f>
        <v/>
      </c>
      <c r="I44" s="34">
        <f>IF(OR(A44="",E44=""),"",E44-H44)</f>
        <v/>
      </c>
      <c r="J44" s="35">
        <f>IF(OR(A44="",N(E44)&lt;=0),"",H44/E44)</f>
        <v/>
      </c>
      <c r="K44" s="32">
        <f>IF(I44="","",IF(I44&lt;0,"Além da meta",IF(J44&gt;=Regras!$B$3,"Atenção","OK")))</f>
        <v/>
      </c>
      <c r="L44" s="32" t="n"/>
      <c r="M44">
        <f>IF(J44="",-1,J44+ROW()/1000000000)</f>
        <v/>
      </c>
      <c r="N44" s="42" t="n"/>
      <c r="O44" s="42" t="n"/>
    </row>
    <row r="45">
      <c r="A45" s="38" t="n"/>
      <c r="B45" s="39" t="n"/>
      <c r="C45" s="32">
        <f>IF(B45="","",IF(B45="Molde","corridas",IF(B45="Oscilador","dias","t")))</f>
        <v/>
      </c>
      <c r="D45" s="39" t="n"/>
      <c r="E45" s="40" t="n"/>
      <c r="F45" s="41" t="n"/>
      <c r="G45" s="40" t="n"/>
      <c r="H45" s="34">
        <f>IF(A45="","",IF(C45="corridas",SUMIFS(Historico!$E:$E,Historico!$B:$B,L45,Historico!$A:$A,SUMPRODUCT(MAX((Historico!$B$2:$B$5000=L45)*Historico!$A$2:$A$5000))),N(G45)+IF(F45="",0,IF(C45="dias",MAX(0,TODAY()-F45),IF(D45=2,SUMIFS(Producao!$D:$D,Producao!$A:$A,"&gt;="&amp;F45),IF(D45=3,SUMIFS(Producao!$E:$E,Producao!$A:$A,"&gt;="&amp;F45),SUMIFS(Producao!$B:$B,Producao!$A:$A,"&gt;="&amp;F45)))))))</f>
        <v/>
      </c>
      <c r="I45" s="34">
        <f>IF(OR(A45="",E45=""),"",E45-H45)</f>
        <v/>
      </c>
      <c r="J45" s="35">
        <f>IF(OR(A45="",N(E45)&lt;=0),"",H45/E45)</f>
        <v/>
      </c>
      <c r="K45" s="32">
        <f>IF(I45="","",IF(I45&lt;0,"Além da meta",IF(J45&gt;=Regras!$B$3,"Atenção","OK")))</f>
        <v/>
      </c>
      <c r="L45" s="32" t="n"/>
      <c r="M45">
        <f>IF(J45="",-1,J45+ROW()/1000000000)</f>
        <v/>
      </c>
      <c r="N45" s="42" t="n"/>
      <c r="O45" s="42" t="n"/>
    </row>
    <row r="46">
      <c r="A46" s="38" t="n"/>
      <c r="B46" s="39" t="n"/>
      <c r="C46" s="32">
        <f>IF(B46="","",IF(B46="Molde","corridas",IF(B46="Oscilador","dias","t")))</f>
        <v/>
      </c>
      <c r="D46" s="39" t="n"/>
      <c r="E46" s="40" t="n"/>
      <c r="F46" s="41" t="n"/>
      <c r="G46" s="40" t="n"/>
      <c r="H46" s="34">
        <f>IF(A46="","",IF(C46="corridas",SUMIFS(Historico!$E:$E,Historico!$B:$B,L46,Historico!$A:$A,SUMPRODUCT(MAX((Historico!$B$2:$B$5000=L46)*Historico!$A$2:$A$5000))),N(G46)+IF(F46="",0,IF(C46="dias",MAX(0,TODAY()-F46),IF(D46=2,SUMIFS(Producao!$D:$D,Producao!$A:$A,"&gt;="&amp;F46),IF(D46=3,SUMIFS(Producao!$E:$E,Producao!$A:$A,"&gt;="&amp;F46),SUMIFS(Producao!$B:$B,Producao!$A:$A,"&gt;="&amp;F46)))))))</f>
        <v/>
      </c>
      <c r="I46" s="34">
        <f>IF(OR(A46="",E46=""),"",E46-H46)</f>
        <v/>
      </c>
      <c r="J46" s="35">
        <f>IF(OR(A46="",N(E46)&lt;=0),"",H46/E46)</f>
        <v/>
      </c>
      <c r="K46" s="32">
        <f>IF(I46="","",IF(I46&lt;0,"Além da meta",IF(J46&gt;=Regras!$B$3,"Atenção","OK")))</f>
        <v/>
      </c>
      <c r="L46" s="32" t="n"/>
      <c r="M46">
        <f>IF(J46="",-1,J46+ROW()/1000000000)</f>
        <v/>
      </c>
      <c r="N46" s="42" t="n"/>
      <c r="O46" s="42" t="n"/>
    </row>
    <row r="47">
      <c r="A47" s="38" t="n"/>
      <c r="B47" s="39" t="n"/>
      <c r="C47" s="32">
        <f>IF(B47="","",IF(B47="Molde","corridas",IF(B47="Oscilador","dias","t")))</f>
        <v/>
      </c>
      <c r="D47" s="39" t="n"/>
      <c r="E47" s="40" t="n"/>
      <c r="F47" s="41" t="n"/>
      <c r="G47" s="40" t="n"/>
      <c r="H47" s="34">
        <f>IF(A47="","",IF(C47="corridas",SUMIFS(Historico!$E:$E,Historico!$B:$B,L47,Historico!$A:$A,SUMPRODUCT(MAX((Historico!$B$2:$B$5000=L47)*Historico!$A$2:$A$5000))),N(G47)+IF(F47="",0,IF(C47="dias",MAX(0,TODAY()-F47),IF(D47=2,SUMIFS(Producao!$D:$D,Producao!$A:$A,"&gt;="&amp;F47),IF(D47=3,SUMIFS(Producao!$E:$E,Producao!$A:$A,"&gt;="&amp;F47),SUMIFS(Producao!$B:$B,Producao!$A:$A,"&gt;="&amp;F47)))))))</f>
        <v/>
      </c>
      <c r="I47" s="34">
        <f>IF(OR(A47="",E47=""),"",E47-H47)</f>
        <v/>
      </c>
      <c r="J47" s="35">
        <f>IF(OR(A47="",N(E47)&lt;=0),"",H47/E47)</f>
        <v/>
      </c>
      <c r="K47" s="32">
        <f>IF(I47="","",IF(I47&lt;0,"Além da meta",IF(J47&gt;=Regras!$B$3,"Atenção","OK")))</f>
        <v/>
      </c>
      <c r="L47" s="32" t="n"/>
      <c r="M47">
        <f>IF(J47="",-1,J47+ROW()/1000000000)</f>
        <v/>
      </c>
      <c r="N47" s="42" t="n"/>
      <c r="O47" s="42" t="n"/>
    </row>
    <row r="48">
      <c r="A48" s="38" t="n"/>
      <c r="B48" s="39" t="n"/>
      <c r="C48" s="32">
        <f>IF(B48="","",IF(B48="Molde","corridas",IF(B48="Oscilador","dias","t")))</f>
        <v/>
      </c>
      <c r="D48" s="39" t="n"/>
      <c r="E48" s="40" t="n"/>
      <c r="F48" s="41" t="n"/>
      <c r="G48" s="40" t="n"/>
      <c r="H48" s="34">
        <f>IF(A48="","",IF(C48="corridas",SUMIFS(Historico!$E:$E,Historico!$B:$B,L48,Historico!$A:$A,SUMPRODUCT(MAX((Historico!$B$2:$B$5000=L48)*Historico!$A$2:$A$5000))),N(G48)+IF(F48="",0,IF(C48="dias",MAX(0,TODAY()-F48),IF(D48=2,SUMIFS(Producao!$D:$D,Producao!$A:$A,"&gt;="&amp;F48),IF(D48=3,SUMIFS(Producao!$E:$E,Producao!$A:$A,"&gt;="&amp;F48),SUMIFS(Producao!$B:$B,Producao!$A:$A,"&gt;="&amp;F48)))))))</f>
        <v/>
      </c>
      <c r="I48" s="34">
        <f>IF(OR(A48="",E48=""),"",E48-H48)</f>
        <v/>
      </c>
      <c r="J48" s="35">
        <f>IF(OR(A48="",N(E48)&lt;=0),"",H48/E48)</f>
        <v/>
      </c>
      <c r="K48" s="32">
        <f>IF(I48="","",IF(I48&lt;0,"Além da meta",IF(J48&gt;=Regras!$B$3,"Atenção","OK")))</f>
        <v/>
      </c>
      <c r="L48" s="32" t="n"/>
      <c r="M48">
        <f>IF(J48="",-1,J48+ROW()/1000000000)</f>
        <v/>
      </c>
      <c r="N48" s="42" t="n"/>
      <c r="O48" s="42" t="n"/>
    </row>
    <row r="49">
      <c r="A49" s="38" t="n"/>
      <c r="B49" s="39" t="n"/>
      <c r="C49" s="32">
        <f>IF(B49="","",IF(B49="Molde","corridas",IF(B49="Oscilador","dias","t")))</f>
        <v/>
      </c>
      <c r="D49" s="39" t="n"/>
      <c r="E49" s="40" t="n"/>
      <c r="F49" s="41" t="n"/>
      <c r="G49" s="40" t="n"/>
      <c r="H49" s="34">
        <f>IF(A49="","",IF(C49="corridas",SUMIFS(Historico!$E:$E,Historico!$B:$B,L49,Historico!$A:$A,SUMPRODUCT(MAX((Historico!$B$2:$B$5000=L49)*Historico!$A$2:$A$5000))),N(G49)+IF(F49="",0,IF(C49="dias",MAX(0,TODAY()-F49),IF(D49=2,SUMIFS(Producao!$D:$D,Producao!$A:$A,"&gt;="&amp;F49),IF(D49=3,SUMIFS(Producao!$E:$E,Producao!$A:$A,"&gt;="&amp;F49),SUMIFS(Producao!$B:$B,Producao!$A:$A,"&gt;="&amp;F49)))))))</f>
        <v/>
      </c>
      <c r="I49" s="34">
        <f>IF(OR(A49="",E49=""),"",E49-H49)</f>
        <v/>
      </c>
      <c r="J49" s="35">
        <f>IF(OR(A49="",N(E49)&lt;=0),"",H49/E49)</f>
        <v/>
      </c>
      <c r="K49" s="32">
        <f>IF(I49="","",IF(I49&lt;0,"Além da meta",IF(J49&gt;=Regras!$B$3,"Atenção","OK")))</f>
        <v/>
      </c>
      <c r="L49" s="32" t="n"/>
      <c r="M49">
        <f>IF(J49="",-1,J49+ROW()/1000000000)</f>
        <v/>
      </c>
      <c r="N49" s="42" t="n"/>
      <c r="O49" s="42" t="n"/>
    </row>
    <row r="50">
      <c r="A50" s="38" t="n"/>
      <c r="B50" s="39" t="n"/>
      <c r="C50" s="32">
        <f>IF(B50="","",IF(B50="Molde","corridas",IF(B50="Oscilador","dias","t")))</f>
        <v/>
      </c>
      <c r="D50" s="39" t="n"/>
      <c r="E50" s="40" t="n"/>
      <c r="F50" s="41" t="n"/>
      <c r="G50" s="40" t="n"/>
      <c r="H50" s="34">
        <f>IF(A50="","",IF(C50="corridas",SUMIFS(Historico!$E:$E,Historico!$B:$B,L50,Historico!$A:$A,SUMPRODUCT(MAX((Historico!$B$2:$B$5000=L50)*Historico!$A$2:$A$5000))),N(G50)+IF(F50="",0,IF(C50="dias",MAX(0,TODAY()-F50),IF(D50=2,SUMIFS(Producao!$D:$D,Producao!$A:$A,"&gt;="&amp;F50),IF(D50=3,SUMIFS(Producao!$E:$E,Producao!$A:$A,"&gt;="&amp;F50),SUMIFS(Producao!$B:$B,Producao!$A:$A,"&gt;="&amp;F50)))))))</f>
        <v/>
      </c>
      <c r="I50" s="34">
        <f>IF(OR(A50="",E50=""),"",E50-H50)</f>
        <v/>
      </c>
      <c r="J50" s="35">
        <f>IF(OR(A50="",N(E50)&lt;=0),"",H50/E50)</f>
        <v/>
      </c>
      <c r="K50" s="32">
        <f>IF(I50="","",IF(I50&lt;0,"Além da meta",IF(J50&gt;=Regras!$B$3,"Atenção","OK")))</f>
        <v/>
      </c>
      <c r="L50" s="32" t="n"/>
      <c r="M50">
        <f>IF(J50="",-1,J50+ROW()/1000000000)</f>
        <v/>
      </c>
      <c r="N50" s="42" t="n"/>
      <c r="O50" s="42" t="n"/>
    </row>
    <row r="51">
      <c r="A51" s="38" t="n"/>
      <c r="B51" s="39" t="n"/>
      <c r="C51" s="32">
        <f>IF(B51="","",IF(B51="Molde","corridas",IF(B51="Oscilador","dias","t")))</f>
        <v/>
      </c>
      <c r="D51" s="39" t="n"/>
      <c r="E51" s="40" t="n"/>
      <c r="F51" s="41" t="n"/>
      <c r="G51" s="40" t="n"/>
      <c r="H51" s="34">
        <f>IF(A51="","",IF(C51="corridas",SUMIFS(Historico!$E:$E,Historico!$B:$B,L51,Historico!$A:$A,SUMPRODUCT(MAX((Historico!$B$2:$B$5000=L51)*Historico!$A$2:$A$5000))),N(G51)+IF(F51="",0,IF(C51="dias",MAX(0,TODAY()-F51),IF(D51=2,SUMIFS(Producao!$D:$D,Producao!$A:$A,"&gt;="&amp;F51),IF(D51=3,SUMIFS(Producao!$E:$E,Producao!$A:$A,"&gt;="&amp;F51),SUMIFS(Producao!$B:$B,Producao!$A:$A,"&gt;="&amp;F51)))))))</f>
        <v/>
      </c>
      <c r="I51" s="34">
        <f>IF(OR(A51="",E51=""),"",E51-H51)</f>
        <v/>
      </c>
      <c r="J51" s="35">
        <f>IF(OR(A51="",N(E51)&lt;=0),"",H51/E51)</f>
        <v/>
      </c>
      <c r="K51" s="32">
        <f>IF(I51="","",IF(I51&lt;0,"Além da meta",IF(J51&gt;=Regras!$B$3,"Atenção","OK")))</f>
        <v/>
      </c>
      <c r="L51" s="32" t="n"/>
      <c r="M51">
        <f>IF(J51="",-1,J51+ROW()/1000000000)</f>
        <v/>
      </c>
      <c r="N51" s="42" t="n"/>
      <c r="O51" s="42" t="n"/>
    </row>
    <row r="52">
      <c r="A52" s="38" t="n"/>
      <c r="B52" s="39" t="n"/>
      <c r="C52" s="32">
        <f>IF(B52="","",IF(B52="Molde","corridas",IF(B52="Oscilador","dias","t")))</f>
        <v/>
      </c>
      <c r="D52" s="39" t="n"/>
      <c r="E52" s="40" t="n"/>
      <c r="F52" s="41" t="n"/>
      <c r="G52" s="40" t="n"/>
      <c r="H52" s="34">
        <f>IF(A52="","",IF(C52="corridas",SUMIFS(Historico!$E:$E,Historico!$B:$B,L52,Historico!$A:$A,SUMPRODUCT(MAX((Historico!$B$2:$B$5000=L52)*Historico!$A$2:$A$5000))),N(G52)+IF(F52="",0,IF(C52="dias",MAX(0,TODAY()-F52),IF(D52=2,SUMIFS(Producao!$D:$D,Producao!$A:$A,"&gt;="&amp;F52),IF(D52=3,SUMIFS(Producao!$E:$E,Producao!$A:$A,"&gt;="&amp;F52),SUMIFS(Producao!$B:$B,Producao!$A:$A,"&gt;="&amp;F52)))))))</f>
        <v/>
      </c>
      <c r="I52" s="34">
        <f>IF(OR(A52="",E52=""),"",E52-H52)</f>
        <v/>
      </c>
      <c r="J52" s="35">
        <f>IF(OR(A52="",N(E52)&lt;=0),"",H52/E52)</f>
        <v/>
      </c>
      <c r="K52" s="32">
        <f>IF(I52="","",IF(I52&lt;0,"Além da meta",IF(J52&gt;=Regras!$B$3,"Atenção","OK")))</f>
        <v/>
      </c>
      <c r="L52" s="32" t="n"/>
      <c r="M52">
        <f>IF(J52="",-1,J52+ROW()/1000000000)</f>
        <v/>
      </c>
      <c r="N52" s="42" t="n"/>
      <c r="O52" s="42" t="n"/>
    </row>
    <row r="53">
      <c r="A53" s="38" t="n"/>
      <c r="B53" s="39" t="n"/>
      <c r="C53" s="32">
        <f>IF(B53="","",IF(B53="Molde","corridas",IF(B53="Oscilador","dias","t")))</f>
        <v/>
      </c>
      <c r="D53" s="39" t="n"/>
      <c r="E53" s="40" t="n"/>
      <c r="F53" s="41" t="n"/>
      <c r="G53" s="40" t="n"/>
      <c r="H53" s="34">
        <f>IF(A53="","",IF(C53="corridas",SUMIFS(Historico!$E:$E,Historico!$B:$B,L53,Historico!$A:$A,SUMPRODUCT(MAX((Historico!$B$2:$B$5000=L53)*Historico!$A$2:$A$5000))),N(G53)+IF(F53="",0,IF(C53="dias",MAX(0,TODAY()-F53),IF(D53=2,SUMIFS(Producao!$D:$D,Producao!$A:$A,"&gt;="&amp;F53),IF(D53=3,SUMIFS(Producao!$E:$E,Producao!$A:$A,"&gt;="&amp;F53),SUMIFS(Producao!$B:$B,Producao!$A:$A,"&gt;="&amp;F53)))))))</f>
        <v/>
      </c>
      <c r="I53" s="34">
        <f>IF(OR(A53="",E53=""),"",E53-H53)</f>
        <v/>
      </c>
      <c r="J53" s="35">
        <f>IF(OR(A53="",N(E53)&lt;=0),"",H53/E53)</f>
        <v/>
      </c>
      <c r="K53" s="32">
        <f>IF(I53="","",IF(I53&lt;0,"Além da meta",IF(J53&gt;=Regras!$B$3,"Atenção","OK")))</f>
        <v/>
      </c>
      <c r="L53" s="32" t="n"/>
      <c r="M53">
        <f>IF(J53="",-1,J53+ROW()/1000000000)</f>
        <v/>
      </c>
      <c r="N53" s="42" t="n"/>
      <c r="O53" s="42" t="n"/>
    </row>
    <row r="54">
      <c r="A54" s="38" t="n"/>
      <c r="B54" s="39" t="n"/>
      <c r="C54" s="32">
        <f>IF(B54="","",IF(B54="Molde","corridas",IF(B54="Oscilador","dias","t")))</f>
        <v/>
      </c>
      <c r="D54" s="39" t="n"/>
      <c r="E54" s="40" t="n"/>
      <c r="F54" s="41" t="n"/>
      <c r="G54" s="40" t="n"/>
      <c r="H54" s="34">
        <f>IF(A54="","",IF(C54="corridas",SUMIFS(Historico!$E:$E,Historico!$B:$B,L54,Historico!$A:$A,SUMPRODUCT(MAX((Historico!$B$2:$B$5000=L54)*Historico!$A$2:$A$5000))),N(G54)+IF(F54="",0,IF(C54="dias",MAX(0,TODAY()-F54),IF(D54=2,SUMIFS(Producao!$D:$D,Producao!$A:$A,"&gt;="&amp;F54),IF(D54=3,SUMIFS(Producao!$E:$E,Producao!$A:$A,"&gt;="&amp;F54),SUMIFS(Producao!$B:$B,Producao!$A:$A,"&gt;="&amp;F54)))))))</f>
        <v/>
      </c>
      <c r="I54" s="34">
        <f>IF(OR(A54="",E54=""),"",E54-H54)</f>
        <v/>
      </c>
      <c r="J54" s="35">
        <f>IF(OR(A54="",N(E54)&lt;=0),"",H54/E54)</f>
        <v/>
      </c>
      <c r="K54" s="32">
        <f>IF(I54="","",IF(I54&lt;0,"Além da meta",IF(J54&gt;=Regras!$B$3,"Atenção","OK")))</f>
        <v/>
      </c>
      <c r="L54" s="32" t="n"/>
      <c r="M54">
        <f>IF(J54="",-1,J54+ROW()/1000000000)</f>
        <v/>
      </c>
      <c r="N54" s="42" t="n"/>
      <c r="O54" s="42" t="n"/>
    </row>
    <row r="55">
      <c r="A55" s="38" t="n"/>
      <c r="B55" s="39" t="n"/>
      <c r="C55" s="32">
        <f>IF(B55="","",IF(B55="Molde","corridas",IF(B55="Oscilador","dias","t")))</f>
        <v/>
      </c>
      <c r="D55" s="39" t="n"/>
      <c r="E55" s="40" t="n"/>
      <c r="F55" s="41" t="n"/>
      <c r="G55" s="40" t="n"/>
      <c r="H55" s="34">
        <f>IF(A55="","",IF(C55="corridas",SUMIFS(Historico!$E:$E,Historico!$B:$B,L55,Historico!$A:$A,SUMPRODUCT(MAX((Historico!$B$2:$B$5000=L55)*Historico!$A$2:$A$5000))),N(G55)+IF(F55="",0,IF(C55="dias",MAX(0,TODAY()-F55),IF(D55=2,SUMIFS(Producao!$D:$D,Producao!$A:$A,"&gt;="&amp;F55),IF(D55=3,SUMIFS(Producao!$E:$E,Producao!$A:$A,"&gt;="&amp;F55),SUMIFS(Producao!$B:$B,Producao!$A:$A,"&gt;="&amp;F55)))))))</f>
        <v/>
      </c>
      <c r="I55" s="34">
        <f>IF(OR(A55="",E55=""),"",E55-H55)</f>
        <v/>
      </c>
      <c r="J55" s="35">
        <f>IF(OR(A55="",N(E55)&lt;=0),"",H55/E55)</f>
        <v/>
      </c>
      <c r="K55" s="32">
        <f>IF(I55="","",IF(I55&lt;0,"Além da meta",IF(J55&gt;=Regras!$B$3,"Atenção","OK")))</f>
        <v/>
      </c>
      <c r="L55" s="32" t="n"/>
      <c r="M55">
        <f>IF(J55="",-1,J55+ROW()/1000000000)</f>
        <v/>
      </c>
      <c r="N55" s="42" t="n"/>
      <c r="O55" s="42" t="n"/>
    </row>
    <row r="56">
      <c r="A56" s="38" t="n"/>
      <c r="B56" s="39" t="n"/>
      <c r="C56" s="32">
        <f>IF(B56="","",IF(B56="Molde","corridas",IF(B56="Oscilador","dias","t")))</f>
        <v/>
      </c>
      <c r="D56" s="39" t="n"/>
      <c r="E56" s="40" t="n"/>
      <c r="F56" s="41" t="n"/>
      <c r="G56" s="40" t="n"/>
      <c r="H56" s="34">
        <f>IF(A56="","",IF(C56="corridas",SUMIFS(Historico!$E:$E,Historico!$B:$B,L56,Historico!$A:$A,SUMPRODUCT(MAX((Historico!$B$2:$B$5000=L56)*Historico!$A$2:$A$5000))),N(G56)+IF(F56="",0,IF(C56="dias",MAX(0,TODAY()-F56),IF(D56=2,SUMIFS(Producao!$D:$D,Producao!$A:$A,"&gt;="&amp;F56),IF(D56=3,SUMIFS(Producao!$E:$E,Producao!$A:$A,"&gt;="&amp;F56),SUMIFS(Producao!$B:$B,Producao!$A:$A,"&gt;="&amp;F56)))))))</f>
        <v/>
      </c>
      <c r="I56" s="34">
        <f>IF(OR(A56="",E56=""),"",E56-H56)</f>
        <v/>
      </c>
      <c r="J56" s="35">
        <f>IF(OR(A56="",N(E56)&lt;=0),"",H56/E56)</f>
        <v/>
      </c>
      <c r="K56" s="32">
        <f>IF(I56="","",IF(I56&lt;0,"Além da meta",IF(J56&gt;=Regras!$B$3,"Atenção","OK")))</f>
        <v/>
      </c>
      <c r="L56" s="32" t="n"/>
      <c r="M56">
        <f>IF(J56="",-1,J56+ROW()/1000000000)</f>
        <v/>
      </c>
      <c r="N56" s="42" t="n"/>
      <c r="O56" s="42" t="n"/>
    </row>
    <row r="57">
      <c r="A57" s="38" t="n"/>
      <c r="B57" s="39" t="n"/>
      <c r="C57" s="32">
        <f>IF(B57="","",IF(B57="Molde","corridas",IF(B57="Oscilador","dias","t")))</f>
        <v/>
      </c>
      <c r="D57" s="39" t="n"/>
      <c r="E57" s="40" t="n"/>
      <c r="F57" s="41" t="n"/>
      <c r="G57" s="40" t="n"/>
      <c r="H57" s="34">
        <f>IF(A57="","",IF(C57="corridas",SUMIFS(Historico!$E:$E,Historico!$B:$B,L57,Historico!$A:$A,SUMPRODUCT(MAX((Historico!$B$2:$B$5000=L57)*Historico!$A$2:$A$5000))),N(G57)+IF(F57="",0,IF(C57="dias",MAX(0,TODAY()-F57),IF(D57=2,SUMIFS(Producao!$D:$D,Producao!$A:$A,"&gt;="&amp;F57),IF(D57=3,SUMIFS(Producao!$E:$E,Producao!$A:$A,"&gt;="&amp;F57),SUMIFS(Producao!$B:$B,Producao!$A:$A,"&gt;="&amp;F57)))))))</f>
        <v/>
      </c>
      <c r="I57" s="34">
        <f>IF(OR(A57="",E57=""),"",E57-H57)</f>
        <v/>
      </c>
      <c r="J57" s="35">
        <f>IF(OR(A57="",N(E57)&lt;=0),"",H57/E57)</f>
        <v/>
      </c>
      <c r="K57" s="32">
        <f>IF(I57="","",IF(I57&lt;0,"Além da meta",IF(J57&gt;=Regras!$B$3,"Atenção","OK")))</f>
        <v/>
      </c>
      <c r="L57" s="32" t="n"/>
      <c r="M57">
        <f>IF(J57="",-1,J57+ROW()/1000000000)</f>
        <v/>
      </c>
      <c r="N57" s="42" t="n"/>
      <c r="O57" s="42" t="n"/>
    </row>
    <row r="58">
      <c r="A58" s="38" t="n"/>
      <c r="B58" s="39" t="n"/>
      <c r="C58" s="32">
        <f>IF(B58="","",IF(B58="Molde","corridas",IF(B58="Oscilador","dias","t")))</f>
        <v/>
      </c>
      <c r="D58" s="39" t="n"/>
      <c r="E58" s="40" t="n"/>
      <c r="F58" s="41" t="n"/>
      <c r="G58" s="40" t="n"/>
      <c r="H58" s="34">
        <f>IF(A58="","",IF(C58="corridas",SUMIFS(Historico!$E:$E,Historico!$B:$B,L58,Historico!$A:$A,SUMPRODUCT(MAX((Historico!$B$2:$B$5000=L58)*Historico!$A$2:$A$5000))),N(G58)+IF(F58="",0,IF(C58="dias",MAX(0,TODAY()-F58),IF(D58=2,SUMIFS(Producao!$D:$D,Producao!$A:$A,"&gt;="&amp;F58),IF(D58=3,SUMIFS(Producao!$E:$E,Producao!$A:$A,"&gt;="&amp;F58),SUMIFS(Producao!$B:$B,Producao!$A:$A,"&gt;="&amp;F58)))))))</f>
        <v/>
      </c>
      <c r="I58" s="34">
        <f>IF(OR(A58="",E58=""),"",E58-H58)</f>
        <v/>
      </c>
      <c r="J58" s="35">
        <f>IF(OR(A58="",N(E58)&lt;=0),"",H58/E58)</f>
        <v/>
      </c>
      <c r="K58" s="32">
        <f>IF(I58="","",IF(I58&lt;0,"Além da meta",IF(J58&gt;=Regras!$B$3,"Atenção","OK")))</f>
        <v/>
      </c>
      <c r="L58" s="32" t="n"/>
      <c r="M58">
        <f>IF(J58="",-1,J58+ROW()/1000000000)</f>
        <v/>
      </c>
      <c r="N58" s="42" t="n"/>
      <c r="O58" s="42" t="n"/>
    </row>
    <row r="59">
      <c r="A59" s="38" t="n"/>
      <c r="B59" s="39" t="n"/>
      <c r="C59" s="32">
        <f>IF(B59="","",IF(B59="Molde","corridas",IF(B59="Oscilador","dias","t")))</f>
        <v/>
      </c>
      <c r="D59" s="39" t="n"/>
      <c r="E59" s="40" t="n"/>
      <c r="F59" s="41" t="n"/>
      <c r="G59" s="40" t="n"/>
      <c r="H59" s="34">
        <f>IF(A59="","",IF(C59="corridas",SUMIFS(Historico!$E:$E,Historico!$B:$B,L59,Historico!$A:$A,SUMPRODUCT(MAX((Historico!$B$2:$B$5000=L59)*Historico!$A$2:$A$5000))),N(G59)+IF(F59="",0,IF(C59="dias",MAX(0,TODAY()-F59),IF(D59=2,SUMIFS(Producao!$D:$D,Producao!$A:$A,"&gt;="&amp;F59),IF(D59=3,SUMIFS(Producao!$E:$E,Producao!$A:$A,"&gt;="&amp;F59),SUMIFS(Producao!$B:$B,Producao!$A:$A,"&gt;="&amp;F59)))))))</f>
        <v/>
      </c>
      <c r="I59" s="34">
        <f>IF(OR(A59="",E59=""),"",E59-H59)</f>
        <v/>
      </c>
      <c r="J59" s="35">
        <f>IF(OR(A59="",N(E59)&lt;=0),"",H59/E59)</f>
        <v/>
      </c>
      <c r="K59" s="32">
        <f>IF(I59="","",IF(I59&lt;0,"Além da meta",IF(J59&gt;=Regras!$B$3,"Atenção","OK")))</f>
        <v/>
      </c>
      <c r="L59" s="32" t="n"/>
      <c r="M59">
        <f>IF(J59="",-1,J59+ROW()/1000000000)</f>
        <v/>
      </c>
      <c r="N59" s="42" t="n"/>
      <c r="O59" s="42" t="n"/>
    </row>
    <row r="60">
      <c r="A60" s="38" t="n"/>
      <c r="B60" s="39" t="n"/>
      <c r="C60" s="32">
        <f>IF(B60="","",IF(B60="Molde","corridas",IF(B60="Oscilador","dias","t")))</f>
        <v/>
      </c>
      <c r="D60" s="39" t="n"/>
      <c r="E60" s="40" t="n"/>
      <c r="F60" s="41" t="n"/>
      <c r="G60" s="40" t="n"/>
      <c r="H60" s="34">
        <f>IF(A60="","",IF(C60="corridas",SUMIFS(Historico!$E:$E,Historico!$B:$B,L60,Historico!$A:$A,SUMPRODUCT(MAX((Historico!$B$2:$B$5000=L60)*Historico!$A$2:$A$5000))),N(G60)+IF(F60="",0,IF(C60="dias",MAX(0,TODAY()-F60),IF(D60=2,SUMIFS(Producao!$D:$D,Producao!$A:$A,"&gt;="&amp;F60),IF(D60=3,SUMIFS(Producao!$E:$E,Producao!$A:$A,"&gt;="&amp;F60),SUMIFS(Producao!$B:$B,Producao!$A:$A,"&gt;="&amp;F60)))))))</f>
        <v/>
      </c>
      <c r="I60" s="34">
        <f>IF(OR(A60="",E60=""),"",E60-H60)</f>
        <v/>
      </c>
      <c r="J60" s="35">
        <f>IF(OR(A60="",N(E60)&lt;=0),"",H60/E60)</f>
        <v/>
      </c>
      <c r="K60" s="32">
        <f>IF(I60="","",IF(I60&lt;0,"Além da meta",IF(J60&gt;=Regras!$B$3,"Atenção","OK")))</f>
        <v/>
      </c>
      <c r="L60" s="32" t="n"/>
      <c r="M60">
        <f>IF(J60="",-1,J60+ROW()/1000000000)</f>
        <v/>
      </c>
      <c r="N60" s="42" t="n"/>
      <c r="O60" s="42" t="n"/>
    </row>
    <row r="61">
      <c r="A61" s="38" t="n"/>
      <c r="B61" s="39" t="n"/>
      <c r="C61" s="32">
        <f>IF(B61="","",IF(B61="Molde","corridas",IF(B61="Oscilador","dias","t")))</f>
        <v/>
      </c>
      <c r="D61" s="39" t="n"/>
      <c r="E61" s="40" t="n"/>
      <c r="F61" s="41" t="n"/>
      <c r="G61" s="40" t="n"/>
      <c r="H61" s="34">
        <f>IF(A61="","",IF(C61="corridas",SUMIFS(Historico!$E:$E,Historico!$B:$B,L61,Historico!$A:$A,SUMPRODUCT(MAX((Historico!$B$2:$B$5000=L61)*Historico!$A$2:$A$5000))),N(G61)+IF(F61="",0,IF(C61="dias",MAX(0,TODAY()-F61),IF(D61=2,SUMIFS(Producao!$D:$D,Producao!$A:$A,"&gt;="&amp;F61),IF(D61=3,SUMIFS(Producao!$E:$E,Producao!$A:$A,"&gt;="&amp;F61),SUMIFS(Producao!$B:$B,Producao!$A:$A,"&gt;="&amp;F61)))))))</f>
        <v/>
      </c>
      <c r="I61" s="34">
        <f>IF(OR(A61="",E61=""),"",E61-H61)</f>
        <v/>
      </c>
      <c r="J61" s="35">
        <f>IF(OR(A61="",N(E61)&lt;=0),"",H61/E61)</f>
        <v/>
      </c>
      <c r="K61" s="32">
        <f>IF(I61="","",IF(I61&lt;0,"Além da meta",IF(J61&gt;=Regras!$B$3,"Atenção","OK")))</f>
        <v/>
      </c>
      <c r="L61" s="32" t="n"/>
      <c r="M61">
        <f>IF(J61="",-1,J61+ROW()/1000000000)</f>
        <v/>
      </c>
      <c r="N61" s="42" t="n"/>
      <c r="O61" s="42" t="n"/>
    </row>
    <row r="64">
      <c r="A64" s="43" t="inlineStr">
        <is>
          <t>Como preencher (células amarelas):</t>
        </is>
      </c>
    </row>
    <row r="65">
      <c r="A65" s="44" t="inlineStr">
        <is>
          <t>•  Tag / Equipamento: a tag real de cada peça.   •  Tipo: escolha na lista.   •  MCC: de onde vem a produção (2, 3 ou 4).</t>
        </is>
      </c>
    </row>
    <row r="66">
      <c r="A66" s="44" t="inlineStr">
        <is>
          <t>•  Meta: vida útil daquela tag.   •  Desde: data de instalação.   •  Acumulado inicial: o que já tinha até o dia anterior a 'Desde'.</t>
        </is>
      </c>
    </row>
    <row r="67">
      <c r="A67" s="44" t="inlineStr">
        <is>
          <t>Molde: automático pelo relatório (corridas do veio G ou H). Oscilador conta dias; componentes somam as toneladas da MCC desde 'Desde'.</t>
        </is>
      </c>
    </row>
    <row r="68">
      <c r="A68" s="45" t="inlineStr">
        <is>
          <t>ATENÇÃO: metas padrão por tipo e 'Desde = 01/08/2026' são PROVISÓRIOS. Substitua pelos valores reais de cada tag.</t>
        </is>
      </c>
    </row>
    <row r="69">
      <c r="A69" s="44" t="inlineStr">
        <is>
          <t>Trocou um equipamento? Registre a saída na aba TrocasEquip, depois digite a nova data em 'Desde' e zere o 'Acumulado inicial'.</t>
        </is>
      </c>
    </row>
  </sheetData>
  <conditionalFormatting sqref="J2:J61">
    <cfRule type="dataBar" priority="1">
      <dataBar showValue="1">
        <cfvo type="num" val="0"/>
        <cfvo type="num" val="1"/>
        <color rgb="005B9BD5"/>
      </dataBar>
    </cfRule>
  </conditionalFormatting>
  <conditionalFormatting sqref="K2:K6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4">
    <dataValidation sqref="B2:B61" showDropDown="0" showInputMessage="0" showErrorMessage="0" allowBlank="1" type="list">
      <formula1>"Molde,Oscilador,Bender,Bow,Straightener R1,Straightener R2,Horizontal"</formula1>
    </dataValidation>
    <dataValidation sqref="D2:D61" showDropDown="0" showInputMessage="0" showErrorMessage="0" allowBlank="1" type="list">
      <formula1>"2,3,4"</formula1>
    </dataValidation>
    <dataValidation sqref="L2:L61" showDropDown="0" showInputMessage="0" showErrorMessage="0" allowBlank="1" type="list">
      <formula1>"C,D,E,F,G,H"</formula1>
    </dataValidation>
    <dataValidation sqref="F2:F6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37" t="inlineStr">
        <is>
          <t>Veio</t>
        </is>
      </c>
      <c r="B1" s="37" t="inlineStr">
        <is>
          <t>MCC</t>
        </is>
      </c>
      <c r="C1" s="37" t="inlineStr">
        <is>
          <t>Molde atual</t>
        </is>
      </c>
      <c r="D1" s="37" t="inlineStr">
        <is>
          <t>Meta</t>
        </is>
      </c>
      <c r="E1" s="37" t="inlineStr">
        <is>
          <t>Acumulado</t>
        </is>
      </c>
      <c r="F1" s="37" t="inlineStr">
        <is>
          <t>Falta</t>
        </is>
      </c>
      <c r="G1" s="37" t="inlineStr">
        <is>
          <t>% da vida</t>
        </is>
      </c>
      <c r="H1" s="37" t="inlineStr">
        <is>
          <t>Situação</t>
        </is>
      </c>
      <c r="I1" s="37" t="inlineStr">
        <is>
          <t>Trocas (qtd)</t>
        </is>
      </c>
      <c r="J1" s="37" t="inlineStr">
        <is>
          <t>Corridas médias na saída</t>
        </is>
      </c>
      <c r="K1" s="37" t="inlineStr">
        <is>
          <t>Última troca</t>
        </is>
      </c>
      <c r="L1" s="37" t="inlineStr">
        <is>
          <t>Dias parado</t>
        </is>
      </c>
      <c r="M1" s="37" t="inlineStr">
        <is>
          <t>Dados de</t>
        </is>
      </c>
    </row>
    <row r="2">
      <c r="A2" s="46" t="inlineStr">
        <is>
          <t>C</t>
        </is>
      </c>
      <c r="B2" s="32" t="inlineStr">
        <is>
          <t>MCC2</t>
        </is>
      </c>
      <c r="C2" s="32">
        <f>IF(M2=0,"",SUMIFS(Historico!$C:$C,Historico!$B:$B,A2,Historico!$A:$A,M2))</f>
        <v/>
      </c>
      <c r="D2" s="47">
        <f>IF(M2=0,"",SUMIFS(Historico!$D:$D,Historico!$B:$B,A2,Historico!$A:$A,M2))</f>
        <v/>
      </c>
      <c r="E2" s="47">
        <f>IF(M2=0,"",SUMIFS(Historico!$E:$E,Historico!$B:$B,A2,Historico!$A:$A,M2))</f>
        <v/>
      </c>
      <c r="F2" s="47">
        <f>IF(M2=0,"",D2-E2)</f>
        <v/>
      </c>
      <c r="G2" s="33">
        <f>IF(M2=0,"",IF(N(D2)&gt;0,E2/D2,""))</f>
        <v/>
      </c>
      <c r="H2" s="32">
        <f>IF(M2=0,"",IF(F2&lt;0,"Além da meta",IF(G2&gt;=Regras!$B$3,"Atenção","OK")))</f>
        <v/>
      </c>
      <c r="I2" s="32">
        <f>COUNTIFS(Trocas!$B:$B,A2)</f>
        <v/>
      </c>
      <c r="J2" s="47">
        <f>IFERROR(AVERAGEIFS(Trocas!$E:$E,Trocas!$B:$B,A2),"-")</f>
        <v/>
      </c>
      <c r="K2" s="36">
        <f>IF(I2=0,"-",SUMPRODUCT(MAX((Trocas!$B$2:$B$5000=A2)*Trocas!$A$2:$A$5000)))</f>
        <v/>
      </c>
      <c r="L2" s="32">
        <f>SUMIFS(Paradas!$E:$E,Paradas!$C:$C,A2)</f>
        <v/>
      </c>
      <c r="M2" s="48">
        <f>SUMPRODUCT(MAX((Historico!$B$2:$B$5000=A2)*Historico!$A$2:$A$5000))</f>
        <v/>
      </c>
    </row>
    <row r="3">
      <c r="A3" s="46" t="inlineStr">
        <is>
          <t>D</t>
        </is>
      </c>
      <c r="B3" s="32" t="inlineStr">
        <is>
          <t>MCC2</t>
        </is>
      </c>
      <c r="C3" s="32">
        <f>IF(M3=0,"",SUMIFS(Historico!$C:$C,Historico!$B:$B,A3,Historico!$A:$A,M3))</f>
        <v/>
      </c>
      <c r="D3" s="47">
        <f>IF(M3=0,"",SUMIFS(Historico!$D:$D,Historico!$B:$B,A3,Historico!$A:$A,M3))</f>
        <v/>
      </c>
      <c r="E3" s="47">
        <f>IF(M3=0,"",SUMIFS(Historico!$E:$E,Historico!$B:$B,A3,Historico!$A:$A,M3))</f>
        <v/>
      </c>
      <c r="F3" s="47">
        <f>IF(M3=0,"",D3-E3)</f>
        <v/>
      </c>
      <c r="G3" s="33">
        <f>IF(M3=0,"",IF(N(D3)&gt;0,E3/D3,""))</f>
        <v/>
      </c>
      <c r="H3" s="32">
        <f>IF(M3=0,"",IF(F3&lt;0,"Além da meta",IF(G3&gt;=Regras!$B$3,"Atenção","OK")))</f>
        <v/>
      </c>
      <c r="I3" s="32">
        <f>COUNTIFS(Trocas!$B:$B,A3)</f>
        <v/>
      </c>
      <c r="J3" s="47">
        <f>IFERROR(AVERAGEIFS(Trocas!$E:$E,Trocas!$B:$B,A3),"-")</f>
        <v/>
      </c>
      <c r="K3" s="36">
        <f>IF(I3=0,"-",SUMPRODUCT(MAX((Trocas!$B$2:$B$5000=A3)*Trocas!$A$2:$A$5000)))</f>
        <v/>
      </c>
      <c r="L3" s="32">
        <f>SUMIFS(Paradas!$E:$E,Paradas!$C:$C,A3)</f>
        <v/>
      </c>
      <c r="M3" s="48">
        <f>SUMPRODUCT(MAX((Historico!$B$2:$B$5000=A3)*Historico!$A$2:$A$5000))</f>
        <v/>
      </c>
    </row>
    <row r="4">
      <c r="A4" s="46" t="inlineStr">
        <is>
          <t>E</t>
        </is>
      </c>
      <c r="B4" s="32" t="inlineStr">
        <is>
          <t>MCC3</t>
        </is>
      </c>
      <c r="C4" s="32">
        <f>IF(M4=0,"",SUMIFS(Historico!$C:$C,Historico!$B:$B,A4,Historico!$A:$A,M4))</f>
        <v/>
      </c>
      <c r="D4" s="47">
        <f>IF(M4=0,"",SUMIFS(Historico!$D:$D,Historico!$B:$B,A4,Historico!$A:$A,M4))</f>
        <v/>
      </c>
      <c r="E4" s="47">
        <f>IF(M4=0,"",SUMIFS(Historico!$E:$E,Historico!$B:$B,A4,Historico!$A:$A,M4))</f>
        <v/>
      </c>
      <c r="F4" s="47">
        <f>IF(M4=0,"",D4-E4)</f>
        <v/>
      </c>
      <c r="G4" s="33">
        <f>IF(M4=0,"",IF(N(D4)&gt;0,E4/D4,""))</f>
        <v/>
      </c>
      <c r="H4" s="32">
        <f>IF(M4=0,"",IF(F4&lt;0,"Além da meta",IF(G4&gt;=Regras!$B$3,"Atenção","OK")))</f>
        <v/>
      </c>
      <c r="I4" s="32">
        <f>COUNTIFS(Trocas!$B:$B,A4)</f>
        <v/>
      </c>
      <c r="J4" s="47">
        <f>IFERROR(AVERAGEIFS(Trocas!$E:$E,Trocas!$B:$B,A4),"-")</f>
        <v/>
      </c>
      <c r="K4" s="36">
        <f>IF(I4=0,"-",SUMPRODUCT(MAX((Trocas!$B$2:$B$5000=A4)*Trocas!$A$2:$A$5000)))</f>
        <v/>
      </c>
      <c r="L4" s="32">
        <f>SUMIFS(Paradas!$E:$E,Paradas!$C:$C,A4)</f>
        <v/>
      </c>
      <c r="M4" s="48">
        <f>SUMPRODUCT(MAX((Historico!$B$2:$B$5000=A4)*Historico!$A$2:$A$5000))</f>
        <v/>
      </c>
    </row>
    <row r="5">
      <c r="A5" s="46" t="inlineStr">
        <is>
          <t>F</t>
        </is>
      </c>
      <c r="B5" s="32" t="inlineStr">
        <is>
          <t>MCC3</t>
        </is>
      </c>
      <c r="C5" s="32">
        <f>IF(M5=0,"",SUMIFS(Historico!$C:$C,Historico!$B:$B,A5,Historico!$A:$A,M5))</f>
        <v/>
      </c>
      <c r="D5" s="47">
        <f>IF(M5=0,"",SUMIFS(Historico!$D:$D,Historico!$B:$B,A5,Historico!$A:$A,M5))</f>
        <v/>
      </c>
      <c r="E5" s="47">
        <f>IF(M5=0,"",SUMIFS(Historico!$E:$E,Historico!$B:$B,A5,Historico!$A:$A,M5))</f>
        <v/>
      </c>
      <c r="F5" s="47">
        <f>IF(M5=0,"",D5-E5)</f>
        <v/>
      </c>
      <c r="G5" s="33">
        <f>IF(M5=0,"",IF(N(D5)&gt;0,E5/D5,""))</f>
        <v/>
      </c>
      <c r="H5" s="32">
        <f>IF(M5=0,"",IF(F5&lt;0,"Além da meta",IF(G5&gt;=Regras!$B$3,"Atenção","OK")))</f>
        <v/>
      </c>
      <c r="I5" s="32">
        <f>COUNTIFS(Trocas!$B:$B,A5)</f>
        <v/>
      </c>
      <c r="J5" s="47">
        <f>IFERROR(AVERAGEIFS(Trocas!$E:$E,Trocas!$B:$B,A5),"-")</f>
        <v/>
      </c>
      <c r="K5" s="36">
        <f>IF(I5=0,"-",SUMPRODUCT(MAX((Trocas!$B$2:$B$5000=A5)*Trocas!$A$2:$A$5000)))</f>
        <v/>
      </c>
      <c r="L5" s="32">
        <f>SUMIFS(Paradas!$E:$E,Paradas!$C:$C,A5)</f>
        <v/>
      </c>
      <c r="M5" s="48">
        <f>SUMPRODUCT(MAX((Historico!$B$2:$B$5000=A5)*Historico!$A$2:$A$5000))</f>
        <v/>
      </c>
    </row>
    <row r="6">
      <c r="A6" s="46" t="inlineStr">
        <is>
          <t>G</t>
        </is>
      </c>
      <c r="B6" s="32" t="inlineStr">
        <is>
          <t>MCC4</t>
        </is>
      </c>
      <c r="C6" s="32">
        <f>IF(M6=0,"",SUMIFS(Historico!$C:$C,Historico!$B:$B,A6,Historico!$A:$A,M6))</f>
        <v/>
      </c>
      <c r="D6" s="47">
        <f>IF(M6=0,"",SUMIFS(Historico!$D:$D,Historico!$B:$B,A6,Historico!$A:$A,M6))</f>
        <v/>
      </c>
      <c r="E6" s="47">
        <f>IF(M6=0,"",SUMIFS(Historico!$E:$E,Historico!$B:$B,A6,Historico!$A:$A,M6))</f>
        <v/>
      </c>
      <c r="F6" s="47">
        <f>IF(M6=0,"",D6-E6)</f>
        <v/>
      </c>
      <c r="G6" s="33">
        <f>IF(M6=0,"",IF(N(D6)&gt;0,E6/D6,""))</f>
        <v/>
      </c>
      <c r="H6" s="32">
        <f>IF(M6=0,"",IF(F6&lt;0,"Além da meta",IF(G6&gt;=Regras!$B$3,"Atenção","OK")))</f>
        <v/>
      </c>
      <c r="I6" s="32">
        <f>COUNTIFS(Trocas!$B:$B,A6)</f>
        <v/>
      </c>
      <c r="J6" s="47">
        <f>IFERROR(AVERAGEIFS(Trocas!$E:$E,Trocas!$B:$B,A6),"-")</f>
        <v/>
      </c>
      <c r="K6" s="36">
        <f>IF(I6=0,"-",SUMPRODUCT(MAX((Trocas!$B$2:$B$5000=A6)*Trocas!$A$2:$A$5000)))</f>
        <v/>
      </c>
      <c r="L6" s="32">
        <f>SUMIFS(Paradas!$E:$E,Paradas!$C:$C,A6)</f>
        <v/>
      </c>
      <c r="M6" s="48">
        <f>SUMPRODUCT(MAX((Historico!$B$2:$B$5000=A6)*Historico!$A$2:$A$5000))</f>
        <v/>
      </c>
    </row>
    <row r="7">
      <c r="A7" s="46" t="inlineStr">
        <is>
          <t>H</t>
        </is>
      </c>
      <c r="B7" s="32" t="inlineStr">
        <is>
          <t>MCC4</t>
        </is>
      </c>
      <c r="C7" s="32">
        <f>IF(M7=0,"",SUMIFS(Historico!$C:$C,Historico!$B:$B,A7,Historico!$A:$A,M7))</f>
        <v/>
      </c>
      <c r="D7" s="47">
        <f>IF(M7=0,"",SUMIFS(Historico!$D:$D,Historico!$B:$B,A7,Historico!$A:$A,M7))</f>
        <v/>
      </c>
      <c r="E7" s="47">
        <f>IF(M7=0,"",SUMIFS(Historico!$E:$E,Historico!$B:$B,A7,Historico!$A:$A,M7))</f>
        <v/>
      </c>
      <c r="F7" s="47">
        <f>IF(M7=0,"",D7-E7)</f>
        <v/>
      </c>
      <c r="G7" s="33">
        <f>IF(M7=0,"",IF(N(D7)&gt;0,E7/D7,""))</f>
        <v/>
      </c>
      <c r="H7" s="32">
        <f>IF(M7=0,"",IF(F7&lt;0,"Além da meta",IF(G7&gt;=Regras!$B$3,"Atenção","OK")))</f>
        <v/>
      </c>
      <c r="I7" s="32">
        <f>COUNTIFS(Trocas!$B:$B,A7)</f>
        <v/>
      </c>
      <c r="J7" s="47">
        <f>IFERROR(AVERAGEIFS(Trocas!$E:$E,Trocas!$B:$B,A7),"-")</f>
        <v/>
      </c>
      <c r="K7" s="36">
        <f>IF(I7=0,"-",SUMPRODUCT(MAX((Trocas!$B$2:$B$5000=A7)*Trocas!$A$2:$A$5000)))</f>
        <v/>
      </c>
      <c r="L7" s="32">
        <f>SUMIFS(Paradas!$E:$E,Paradas!$C:$C,A7)</f>
        <v/>
      </c>
      <c r="M7" s="48">
        <f>SUMPRODUCT(MAX((Historico!$B$2:$B$5000=A7)*Historico!$A$2:$A$5000))</f>
        <v/>
      </c>
    </row>
    <row r="9">
      <c r="A9" s="44" t="inlineStr">
        <is>
          <t>Todos os veios (C a H) com o último relatório importado. Corridas médias na saída = média das trocas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0" customWidth="1" min="3" max="3"/>
    <col width="10" customWidth="1" min="4" max="4"/>
    <col width="45" customWidth="1" min="5" max="5"/>
    <col width="40" customWidth="1" min="6" max="6"/>
  </cols>
  <sheetData>
    <row r="1" ht="30" customHeight="1">
      <c r="A1" s="49" t="inlineStr">
        <is>
          <t>Data da saída</t>
        </is>
      </c>
      <c r="B1" s="49" t="inlineStr">
        <is>
          <t>Equipamento</t>
        </is>
      </c>
      <c r="C1" s="49" t="inlineStr">
        <is>
          <t>Acumulado na saída</t>
        </is>
      </c>
      <c r="D1" s="49" t="inlineStr">
        <is>
          <t>Unidade</t>
        </is>
      </c>
      <c r="E1" s="49" t="inlineStr">
        <is>
          <t>Motivo</t>
        </is>
      </c>
      <c r="F1" s="49" t="inlineStr">
        <is>
          <t>Observação</t>
        </is>
      </c>
    </row>
    <row r="2">
      <c r="A2" s="50" t="n"/>
      <c r="B2" s="51" t="n"/>
      <c r="C2" s="52" t="n"/>
      <c r="D2" s="51" t="n"/>
      <c r="E2" s="51" t="n"/>
      <c r="F2" s="51" t="n"/>
    </row>
    <row r="3">
      <c r="A3" s="50" t="n"/>
      <c r="B3" s="51" t="n"/>
      <c r="C3" s="52" t="n"/>
      <c r="D3" s="51" t="n"/>
      <c r="E3" s="51" t="n"/>
      <c r="F3" s="51" t="n"/>
    </row>
    <row r="4">
      <c r="A4" s="50" t="n"/>
      <c r="B4" s="51" t="n"/>
      <c r="C4" s="52" t="n"/>
      <c r="D4" s="51" t="n"/>
      <c r="E4" s="51" t="n"/>
      <c r="F4" s="51" t="n"/>
    </row>
    <row r="5">
      <c r="A5" s="50" t="n"/>
      <c r="B5" s="51" t="n"/>
      <c r="C5" s="52" t="n"/>
      <c r="D5" s="51" t="n"/>
      <c r="E5" s="51" t="n"/>
      <c r="F5" s="51" t="n"/>
    </row>
    <row r="6">
      <c r="A6" s="50" t="n"/>
      <c r="B6" s="51" t="n"/>
      <c r="C6" s="52" t="n"/>
      <c r="D6" s="51" t="n"/>
      <c r="E6" s="51" t="n"/>
      <c r="F6" s="51" t="n"/>
    </row>
    <row r="7">
      <c r="A7" s="50" t="n"/>
      <c r="B7" s="51" t="n"/>
      <c r="C7" s="52" t="n"/>
      <c r="D7" s="51" t="n"/>
      <c r="E7" s="51" t="n"/>
      <c r="F7" s="51" t="n"/>
    </row>
    <row r="8">
      <c r="A8" s="50" t="n"/>
      <c r="B8" s="51" t="n"/>
      <c r="C8" s="52" t="n"/>
      <c r="D8" s="51" t="n"/>
      <c r="E8" s="51" t="n"/>
      <c r="F8" s="51" t="n"/>
    </row>
    <row r="9">
      <c r="A9" s="50" t="n"/>
      <c r="B9" s="51" t="n"/>
      <c r="C9" s="52" t="n"/>
      <c r="D9" s="51" t="n"/>
      <c r="E9" s="51" t="n"/>
      <c r="F9" s="51" t="n"/>
    </row>
    <row r="10">
      <c r="A10" s="50" t="n"/>
      <c r="B10" s="51" t="n"/>
      <c r="C10" s="52" t="n"/>
      <c r="D10" s="51" t="n"/>
      <c r="E10" s="51" t="n"/>
      <c r="F10" s="51" t="n"/>
    </row>
    <row r="11">
      <c r="A11" s="50" t="n"/>
      <c r="B11" s="51" t="n"/>
      <c r="C11" s="52" t="n"/>
      <c r="D11" s="51" t="n"/>
      <c r="E11" s="51" t="n"/>
      <c r="F11" s="51" t="n"/>
    </row>
    <row r="12">
      <c r="A12" s="50" t="n"/>
      <c r="B12" s="51" t="n"/>
      <c r="C12" s="52" t="n"/>
      <c r="D12" s="51" t="n"/>
      <c r="E12" s="51" t="n"/>
      <c r="F12" s="51" t="n"/>
    </row>
    <row r="13">
      <c r="A13" s="50" t="n"/>
      <c r="B13" s="51" t="n"/>
      <c r="C13" s="52" t="n"/>
      <c r="D13" s="51" t="n"/>
      <c r="E13" s="51" t="n"/>
      <c r="F13" s="51" t="n"/>
    </row>
    <row r="14">
      <c r="A14" s="50" t="n"/>
      <c r="B14" s="51" t="n"/>
      <c r="C14" s="52" t="n"/>
      <c r="D14" s="51" t="n"/>
      <c r="E14" s="51" t="n"/>
      <c r="F14" s="51" t="n"/>
    </row>
    <row r="15">
      <c r="A15" s="50" t="n"/>
      <c r="B15" s="51" t="n"/>
      <c r="C15" s="52" t="n"/>
      <c r="D15" s="51" t="n"/>
      <c r="E15" s="51" t="n"/>
      <c r="F15" s="51" t="n"/>
    </row>
    <row r="16">
      <c r="A16" s="50" t="n"/>
      <c r="B16" s="51" t="n"/>
      <c r="C16" s="52" t="n"/>
      <c r="D16" s="51" t="n"/>
      <c r="E16" s="51" t="n"/>
      <c r="F16" s="51" t="n"/>
    </row>
    <row r="17">
      <c r="A17" s="50" t="n"/>
      <c r="B17" s="51" t="n"/>
      <c r="C17" s="52" t="n"/>
      <c r="D17" s="51" t="n"/>
      <c r="E17" s="51" t="n"/>
      <c r="F17" s="51" t="n"/>
    </row>
    <row r="18">
      <c r="A18" s="50" t="n"/>
      <c r="B18" s="51" t="n"/>
      <c r="C18" s="52" t="n"/>
      <c r="D18" s="51" t="n"/>
      <c r="E18" s="51" t="n"/>
      <c r="F18" s="51" t="n"/>
    </row>
    <row r="19">
      <c r="A19" s="50" t="n"/>
      <c r="B19" s="51" t="n"/>
      <c r="C19" s="52" t="n"/>
      <c r="D19" s="51" t="n"/>
      <c r="E19" s="51" t="n"/>
      <c r="F19" s="51" t="n"/>
    </row>
    <row r="20">
      <c r="A20" s="50" t="n"/>
      <c r="B20" s="51" t="n"/>
      <c r="C20" s="52" t="n"/>
      <c r="D20" s="51" t="n"/>
      <c r="E20" s="51" t="n"/>
      <c r="F20" s="51" t="n"/>
    </row>
    <row r="21">
      <c r="A21" s="50" t="n"/>
      <c r="B21" s="51" t="n"/>
      <c r="C21" s="52" t="n"/>
      <c r="D21" s="51" t="n"/>
      <c r="E21" s="51" t="n"/>
      <c r="F21" s="51" t="n"/>
    </row>
    <row r="22">
      <c r="A22" s="50" t="n"/>
      <c r="B22" s="51" t="n"/>
      <c r="C22" s="52" t="n"/>
      <c r="D22" s="51" t="n"/>
      <c r="E22" s="51" t="n"/>
      <c r="F22" s="51" t="n"/>
    </row>
    <row r="23">
      <c r="A23" s="50" t="n"/>
      <c r="B23" s="51" t="n"/>
      <c r="C23" s="52" t="n"/>
      <c r="D23" s="51" t="n"/>
      <c r="E23" s="51" t="n"/>
      <c r="F23" s="51" t="n"/>
    </row>
    <row r="24">
      <c r="A24" s="50" t="n"/>
      <c r="B24" s="51" t="n"/>
      <c r="C24" s="52" t="n"/>
      <c r="D24" s="51" t="n"/>
      <c r="E24" s="51" t="n"/>
      <c r="F24" s="51" t="n"/>
    </row>
    <row r="25">
      <c r="A25" s="50" t="n"/>
      <c r="B25" s="51" t="n"/>
      <c r="C25" s="52" t="n"/>
      <c r="D25" s="51" t="n"/>
      <c r="E25" s="51" t="n"/>
      <c r="F25" s="51" t="n"/>
    </row>
    <row r="26">
      <c r="A26" s="50" t="n"/>
      <c r="B26" s="51" t="n"/>
      <c r="C26" s="52" t="n"/>
      <c r="D26" s="51" t="n"/>
      <c r="E26" s="51" t="n"/>
      <c r="F26" s="51" t="n"/>
    </row>
    <row r="27">
      <c r="A27" s="50" t="n"/>
      <c r="B27" s="51" t="n"/>
      <c r="C27" s="52" t="n"/>
      <c r="D27" s="51" t="n"/>
      <c r="E27" s="51" t="n"/>
      <c r="F27" s="51" t="n"/>
    </row>
    <row r="28">
      <c r="A28" s="50" t="n"/>
      <c r="B28" s="51" t="n"/>
      <c r="C28" s="52" t="n"/>
      <c r="D28" s="51" t="n"/>
      <c r="E28" s="51" t="n"/>
      <c r="F28" s="51" t="n"/>
    </row>
    <row r="29">
      <c r="A29" s="50" t="n"/>
      <c r="B29" s="51" t="n"/>
      <c r="C29" s="52" t="n"/>
      <c r="D29" s="51" t="n"/>
      <c r="E29" s="51" t="n"/>
      <c r="F29" s="51" t="n"/>
    </row>
    <row r="30">
      <c r="A30" s="50" t="n"/>
      <c r="B30" s="51" t="n"/>
      <c r="C30" s="52" t="n"/>
      <c r="D30" s="51" t="n"/>
      <c r="E30" s="51" t="n"/>
      <c r="F30" s="51" t="n"/>
    </row>
    <row r="31">
      <c r="A31" s="50" t="n"/>
      <c r="B31" s="51" t="n"/>
      <c r="C31" s="52" t="n"/>
      <c r="D31" s="51" t="n"/>
      <c r="E31" s="51" t="n"/>
      <c r="F31" s="51" t="n"/>
    </row>
    <row r="32">
      <c r="A32" s="50" t="n"/>
      <c r="B32" s="51" t="n"/>
      <c r="C32" s="52" t="n"/>
      <c r="D32" s="51" t="n"/>
      <c r="E32" s="51" t="n"/>
      <c r="F32" s="51" t="n"/>
    </row>
    <row r="33">
      <c r="A33" s="50" t="n"/>
      <c r="B33" s="51" t="n"/>
      <c r="C33" s="52" t="n"/>
      <c r="D33" s="51" t="n"/>
      <c r="E33" s="51" t="n"/>
      <c r="F33" s="51" t="n"/>
    </row>
    <row r="34">
      <c r="A34" s="50" t="n"/>
      <c r="B34" s="51" t="n"/>
      <c r="C34" s="52" t="n"/>
      <c r="D34" s="51" t="n"/>
      <c r="E34" s="51" t="n"/>
      <c r="F34" s="51" t="n"/>
    </row>
    <row r="35">
      <c r="A35" s="50" t="n"/>
      <c r="B35" s="51" t="n"/>
      <c r="C35" s="52" t="n"/>
      <c r="D35" s="51" t="n"/>
      <c r="E35" s="51" t="n"/>
      <c r="F35" s="51" t="n"/>
    </row>
    <row r="36">
      <c r="A36" s="50" t="n"/>
      <c r="B36" s="51" t="n"/>
      <c r="C36" s="52" t="n"/>
      <c r="D36" s="51" t="n"/>
      <c r="E36" s="51" t="n"/>
      <c r="F36" s="51" t="n"/>
    </row>
    <row r="37">
      <c r="A37" s="50" t="n"/>
      <c r="B37" s="51" t="n"/>
      <c r="C37" s="52" t="n"/>
      <c r="D37" s="51" t="n"/>
      <c r="E37" s="51" t="n"/>
      <c r="F37" s="51" t="n"/>
    </row>
    <row r="38">
      <c r="A38" s="50" t="n"/>
      <c r="B38" s="51" t="n"/>
      <c r="C38" s="52" t="n"/>
      <c r="D38" s="51" t="n"/>
      <c r="E38" s="51" t="n"/>
      <c r="F38" s="51" t="n"/>
    </row>
    <row r="39">
      <c r="A39" s="50" t="n"/>
      <c r="B39" s="51" t="n"/>
      <c r="C39" s="52" t="n"/>
      <c r="D39" s="51" t="n"/>
      <c r="E39" s="51" t="n"/>
      <c r="F39" s="51" t="n"/>
    </row>
    <row r="40">
      <c r="A40" s="50" t="n"/>
      <c r="B40" s="51" t="n"/>
      <c r="C40" s="52" t="n"/>
      <c r="D40" s="51" t="n"/>
      <c r="E40" s="51" t="n"/>
      <c r="F40" s="51" t="n"/>
    </row>
    <row r="41">
      <c r="A41" s="50" t="n"/>
      <c r="B41" s="51" t="n"/>
      <c r="C41" s="52" t="n"/>
      <c r="D41" s="51" t="n"/>
      <c r="E41" s="51" t="n"/>
      <c r="F41" s="51" t="n"/>
    </row>
    <row r="42">
      <c r="A42" s="50" t="n"/>
      <c r="B42" s="51" t="n"/>
      <c r="C42" s="52" t="n"/>
      <c r="D42" s="51" t="n"/>
      <c r="E42" s="51" t="n"/>
      <c r="F42" s="51" t="n"/>
    </row>
    <row r="43">
      <c r="A43" s="50" t="n"/>
      <c r="B43" s="51" t="n"/>
      <c r="C43" s="52" t="n"/>
      <c r="D43" s="51" t="n"/>
      <c r="E43" s="51" t="n"/>
      <c r="F43" s="51" t="n"/>
    </row>
    <row r="44">
      <c r="A44" s="50" t="n"/>
      <c r="B44" s="51" t="n"/>
      <c r="C44" s="52" t="n"/>
      <c r="D44" s="51" t="n"/>
      <c r="E44" s="51" t="n"/>
      <c r="F44" s="51" t="n"/>
    </row>
    <row r="45">
      <c r="A45" s="50" t="n"/>
      <c r="B45" s="51" t="n"/>
      <c r="C45" s="52" t="n"/>
      <c r="D45" s="51" t="n"/>
      <c r="E45" s="51" t="n"/>
      <c r="F45" s="51" t="n"/>
    </row>
    <row r="46">
      <c r="A46" s="50" t="n"/>
      <c r="B46" s="51" t="n"/>
      <c r="C46" s="52" t="n"/>
      <c r="D46" s="51" t="n"/>
      <c r="E46" s="51" t="n"/>
      <c r="F46" s="51" t="n"/>
    </row>
    <row r="47">
      <c r="A47" s="50" t="n"/>
      <c r="B47" s="51" t="n"/>
      <c r="C47" s="52" t="n"/>
      <c r="D47" s="51" t="n"/>
      <c r="E47" s="51" t="n"/>
      <c r="F47" s="51" t="n"/>
    </row>
    <row r="48">
      <c r="A48" s="50" t="n"/>
      <c r="B48" s="51" t="n"/>
      <c r="C48" s="52" t="n"/>
      <c r="D48" s="51" t="n"/>
      <c r="E48" s="51" t="n"/>
      <c r="F48" s="51" t="n"/>
    </row>
    <row r="49">
      <c r="A49" s="50" t="n"/>
      <c r="B49" s="51" t="n"/>
      <c r="C49" s="52" t="n"/>
      <c r="D49" s="51" t="n"/>
      <c r="E49" s="51" t="n"/>
      <c r="F49" s="51" t="n"/>
    </row>
    <row r="50">
      <c r="A50" s="50" t="n"/>
      <c r="B50" s="51" t="n"/>
      <c r="C50" s="52" t="n"/>
      <c r="D50" s="51" t="n"/>
      <c r="E50" s="51" t="n"/>
      <c r="F50" s="51" t="n"/>
    </row>
    <row r="51">
      <c r="A51" s="50" t="n"/>
      <c r="B51" s="51" t="n"/>
      <c r="C51" s="52" t="n"/>
      <c r="D51" s="51" t="n"/>
      <c r="E51" s="51" t="n"/>
      <c r="F51" s="51" t="n"/>
    </row>
    <row r="52">
      <c r="A52" s="50" t="n"/>
      <c r="B52" s="51" t="n"/>
      <c r="C52" s="52" t="n"/>
      <c r="D52" s="51" t="n"/>
      <c r="E52" s="51" t="n"/>
      <c r="F52" s="51" t="n"/>
    </row>
    <row r="53">
      <c r="A53" s="50" t="n"/>
      <c r="B53" s="51" t="n"/>
      <c r="C53" s="52" t="n"/>
      <c r="D53" s="51" t="n"/>
      <c r="E53" s="51" t="n"/>
      <c r="F53" s="51" t="n"/>
    </row>
    <row r="54">
      <c r="A54" s="50" t="n"/>
      <c r="B54" s="51" t="n"/>
      <c r="C54" s="52" t="n"/>
      <c r="D54" s="51" t="n"/>
      <c r="E54" s="51" t="n"/>
      <c r="F54" s="51" t="n"/>
    </row>
    <row r="55">
      <c r="A55" s="50" t="n"/>
      <c r="B55" s="51" t="n"/>
      <c r="C55" s="52" t="n"/>
      <c r="D55" s="51" t="n"/>
      <c r="E55" s="51" t="n"/>
      <c r="F55" s="51" t="n"/>
    </row>
    <row r="56">
      <c r="A56" s="50" t="n"/>
      <c r="B56" s="51" t="n"/>
      <c r="C56" s="52" t="n"/>
      <c r="D56" s="51" t="n"/>
      <c r="E56" s="51" t="n"/>
      <c r="F56" s="51" t="n"/>
    </row>
    <row r="57">
      <c r="A57" s="50" t="n"/>
      <c r="B57" s="51" t="n"/>
      <c r="C57" s="52" t="n"/>
      <c r="D57" s="51" t="n"/>
      <c r="E57" s="51" t="n"/>
      <c r="F57" s="51" t="n"/>
    </row>
    <row r="58">
      <c r="A58" s="50" t="n"/>
      <c r="B58" s="51" t="n"/>
      <c r="C58" s="52" t="n"/>
      <c r="D58" s="51" t="n"/>
      <c r="E58" s="51" t="n"/>
      <c r="F58" s="51" t="n"/>
    </row>
    <row r="59">
      <c r="A59" s="50" t="n"/>
      <c r="B59" s="51" t="n"/>
      <c r="C59" s="52" t="n"/>
      <c r="D59" s="51" t="n"/>
      <c r="E59" s="51" t="n"/>
      <c r="F59" s="51" t="n"/>
    </row>
    <row r="60">
      <c r="A60" s="50" t="n"/>
      <c r="B60" s="51" t="n"/>
      <c r="C60" s="52" t="n"/>
      <c r="D60" s="51" t="n"/>
      <c r="E60" s="51" t="n"/>
      <c r="F60" s="51" t="n"/>
    </row>
    <row r="61">
      <c r="A61" s="50" t="n"/>
      <c r="B61" s="51" t="n"/>
      <c r="C61" s="52" t="n"/>
      <c r="D61" s="51" t="n"/>
      <c r="E61" s="51" t="n"/>
      <c r="F61" s="51" t="n"/>
    </row>
    <row r="62">
      <c r="A62" s="50" t="n"/>
      <c r="B62" s="51" t="n"/>
      <c r="C62" s="52" t="n"/>
      <c r="D62" s="51" t="n"/>
      <c r="E62" s="51" t="n"/>
      <c r="F62" s="51" t="n"/>
    </row>
    <row r="63">
      <c r="A63" s="50" t="n"/>
      <c r="B63" s="51" t="n"/>
      <c r="C63" s="52" t="n"/>
      <c r="D63" s="51" t="n"/>
      <c r="E63" s="51" t="n"/>
      <c r="F63" s="51" t="n"/>
    </row>
    <row r="64">
      <c r="A64" s="50" t="n"/>
      <c r="B64" s="51" t="n"/>
      <c r="C64" s="52" t="n"/>
      <c r="D64" s="51" t="n"/>
      <c r="E64" s="51" t="n"/>
      <c r="F64" s="51" t="n"/>
    </row>
    <row r="65">
      <c r="A65" s="50" t="n"/>
      <c r="B65" s="51" t="n"/>
      <c r="C65" s="52" t="n"/>
      <c r="D65" s="51" t="n"/>
      <c r="E65" s="51" t="n"/>
      <c r="F65" s="51" t="n"/>
    </row>
    <row r="66">
      <c r="A66" s="50" t="n"/>
      <c r="B66" s="51" t="n"/>
      <c r="C66" s="52" t="n"/>
      <c r="D66" s="51" t="n"/>
      <c r="E66" s="51" t="n"/>
      <c r="F66" s="51" t="n"/>
    </row>
    <row r="67">
      <c r="A67" s="50" t="n"/>
      <c r="B67" s="51" t="n"/>
      <c r="C67" s="52" t="n"/>
      <c r="D67" s="51" t="n"/>
      <c r="E67" s="51" t="n"/>
      <c r="F67" s="51" t="n"/>
    </row>
    <row r="68">
      <c r="A68" s="50" t="n"/>
      <c r="B68" s="51" t="n"/>
      <c r="C68" s="52" t="n"/>
      <c r="D68" s="51" t="n"/>
      <c r="E68" s="51" t="n"/>
      <c r="F68" s="51" t="n"/>
    </row>
    <row r="69">
      <c r="A69" s="50" t="n"/>
      <c r="B69" s="51" t="n"/>
      <c r="C69" s="52" t="n"/>
      <c r="D69" s="51" t="n"/>
      <c r="E69" s="51" t="n"/>
      <c r="F69" s="51" t="n"/>
    </row>
    <row r="70">
      <c r="A70" s="50" t="n"/>
      <c r="B70" s="51" t="n"/>
      <c r="C70" s="52" t="n"/>
      <c r="D70" s="51" t="n"/>
      <c r="E70" s="51" t="n"/>
      <c r="F70" s="51" t="n"/>
    </row>
    <row r="71">
      <c r="A71" s="50" t="n"/>
      <c r="B71" s="51" t="n"/>
      <c r="C71" s="52" t="n"/>
      <c r="D71" s="51" t="n"/>
      <c r="E71" s="51" t="n"/>
      <c r="F71" s="51" t="n"/>
    </row>
    <row r="72">
      <c r="A72" s="50" t="n"/>
      <c r="B72" s="51" t="n"/>
      <c r="C72" s="52" t="n"/>
      <c r="D72" s="51" t="n"/>
      <c r="E72" s="51" t="n"/>
      <c r="F72" s="51" t="n"/>
    </row>
    <row r="73">
      <c r="A73" s="50" t="n"/>
      <c r="B73" s="51" t="n"/>
      <c r="C73" s="52" t="n"/>
      <c r="D73" s="51" t="n"/>
      <c r="E73" s="51" t="n"/>
      <c r="F73" s="51" t="n"/>
    </row>
    <row r="74">
      <c r="A74" s="50" t="n"/>
      <c r="B74" s="51" t="n"/>
      <c r="C74" s="52" t="n"/>
      <c r="D74" s="51" t="n"/>
      <c r="E74" s="51" t="n"/>
      <c r="F74" s="51" t="n"/>
    </row>
    <row r="75">
      <c r="A75" s="50" t="n"/>
      <c r="B75" s="51" t="n"/>
      <c r="C75" s="52" t="n"/>
      <c r="D75" s="51" t="n"/>
      <c r="E75" s="51" t="n"/>
      <c r="F75" s="51" t="n"/>
    </row>
    <row r="76">
      <c r="A76" s="50" t="n"/>
      <c r="B76" s="51" t="n"/>
      <c r="C76" s="52" t="n"/>
      <c r="D76" s="51" t="n"/>
      <c r="E76" s="51" t="n"/>
      <c r="F76" s="51" t="n"/>
    </row>
    <row r="77">
      <c r="A77" s="50" t="n"/>
      <c r="B77" s="51" t="n"/>
      <c r="C77" s="52" t="n"/>
      <c r="D77" s="51" t="n"/>
      <c r="E77" s="51" t="n"/>
      <c r="F77" s="51" t="n"/>
    </row>
    <row r="78">
      <c r="A78" s="50" t="n"/>
      <c r="B78" s="51" t="n"/>
      <c r="C78" s="52" t="n"/>
      <c r="D78" s="51" t="n"/>
      <c r="E78" s="51" t="n"/>
      <c r="F78" s="51" t="n"/>
    </row>
    <row r="79">
      <c r="A79" s="50" t="n"/>
      <c r="B79" s="51" t="n"/>
      <c r="C79" s="52" t="n"/>
      <c r="D79" s="51" t="n"/>
      <c r="E79" s="51" t="n"/>
      <c r="F79" s="51" t="n"/>
    </row>
    <row r="80">
      <c r="A80" s="50" t="n"/>
      <c r="B80" s="51" t="n"/>
      <c r="C80" s="52" t="n"/>
      <c r="D80" s="51" t="n"/>
      <c r="E80" s="51" t="n"/>
      <c r="F80" s="51" t="n"/>
    </row>
    <row r="81">
      <c r="A81" s="50" t="n"/>
      <c r="B81" s="51" t="n"/>
      <c r="C81" s="52" t="n"/>
      <c r="D81" s="51" t="n"/>
      <c r="E81" s="51" t="n"/>
      <c r="F81" s="51" t="n"/>
    </row>
    <row r="82">
      <c r="A82" s="50" t="n"/>
      <c r="B82" s="51" t="n"/>
      <c r="C82" s="52" t="n"/>
      <c r="D82" s="51" t="n"/>
      <c r="E82" s="51" t="n"/>
      <c r="F82" s="51" t="n"/>
    </row>
    <row r="83">
      <c r="A83" s="50" t="n"/>
      <c r="B83" s="51" t="n"/>
      <c r="C83" s="52" t="n"/>
      <c r="D83" s="51" t="n"/>
      <c r="E83" s="51" t="n"/>
      <c r="F83" s="51" t="n"/>
    </row>
    <row r="84">
      <c r="A84" s="50" t="n"/>
      <c r="B84" s="51" t="n"/>
      <c r="C84" s="52" t="n"/>
      <c r="D84" s="51" t="n"/>
      <c r="E84" s="51" t="n"/>
      <c r="F84" s="51" t="n"/>
    </row>
    <row r="85">
      <c r="A85" s="50" t="n"/>
      <c r="B85" s="51" t="n"/>
      <c r="C85" s="52" t="n"/>
      <c r="D85" s="51" t="n"/>
      <c r="E85" s="51" t="n"/>
      <c r="F85" s="51" t="n"/>
    </row>
    <row r="86">
      <c r="A86" s="50" t="n"/>
      <c r="B86" s="51" t="n"/>
      <c r="C86" s="52" t="n"/>
      <c r="D86" s="51" t="n"/>
      <c r="E86" s="51" t="n"/>
      <c r="F86" s="51" t="n"/>
    </row>
    <row r="87">
      <c r="A87" s="50" t="n"/>
      <c r="B87" s="51" t="n"/>
      <c r="C87" s="52" t="n"/>
      <c r="D87" s="51" t="n"/>
      <c r="E87" s="51" t="n"/>
      <c r="F87" s="51" t="n"/>
    </row>
    <row r="88">
      <c r="A88" s="50" t="n"/>
      <c r="B88" s="51" t="n"/>
      <c r="C88" s="52" t="n"/>
      <c r="D88" s="51" t="n"/>
      <c r="E88" s="51" t="n"/>
      <c r="F88" s="51" t="n"/>
    </row>
    <row r="89">
      <c r="A89" s="50" t="n"/>
      <c r="B89" s="51" t="n"/>
      <c r="C89" s="52" t="n"/>
      <c r="D89" s="51" t="n"/>
      <c r="E89" s="51" t="n"/>
      <c r="F89" s="51" t="n"/>
    </row>
    <row r="90">
      <c r="A90" s="50" t="n"/>
      <c r="B90" s="51" t="n"/>
      <c r="C90" s="52" t="n"/>
      <c r="D90" s="51" t="n"/>
      <c r="E90" s="51" t="n"/>
      <c r="F90" s="51" t="n"/>
    </row>
    <row r="91">
      <c r="A91" s="50" t="n"/>
      <c r="B91" s="51" t="n"/>
      <c r="C91" s="52" t="n"/>
      <c r="D91" s="51" t="n"/>
      <c r="E91" s="51" t="n"/>
      <c r="F91" s="51" t="n"/>
    </row>
    <row r="92">
      <c r="A92" s="50" t="n"/>
      <c r="B92" s="51" t="n"/>
      <c r="C92" s="52" t="n"/>
      <c r="D92" s="51" t="n"/>
      <c r="E92" s="51" t="n"/>
      <c r="F92" s="51" t="n"/>
    </row>
    <row r="93">
      <c r="A93" s="50" t="n"/>
      <c r="B93" s="51" t="n"/>
      <c r="C93" s="52" t="n"/>
      <c r="D93" s="51" t="n"/>
      <c r="E93" s="51" t="n"/>
      <c r="F93" s="51" t="n"/>
    </row>
    <row r="94">
      <c r="A94" s="50" t="n"/>
      <c r="B94" s="51" t="n"/>
      <c r="C94" s="52" t="n"/>
      <c r="D94" s="51" t="n"/>
      <c r="E94" s="51" t="n"/>
      <c r="F94" s="51" t="n"/>
    </row>
    <row r="95">
      <c r="A95" s="50" t="n"/>
      <c r="B95" s="51" t="n"/>
      <c r="C95" s="52" t="n"/>
      <c r="D95" s="51" t="n"/>
      <c r="E95" s="51" t="n"/>
      <c r="F95" s="51" t="n"/>
    </row>
    <row r="96">
      <c r="A96" s="50" t="n"/>
      <c r="B96" s="51" t="n"/>
      <c r="C96" s="52" t="n"/>
      <c r="D96" s="51" t="n"/>
      <c r="E96" s="51" t="n"/>
      <c r="F96" s="51" t="n"/>
    </row>
    <row r="97">
      <c r="A97" s="50" t="n"/>
      <c r="B97" s="51" t="n"/>
      <c r="C97" s="52" t="n"/>
      <c r="D97" s="51" t="n"/>
      <c r="E97" s="51" t="n"/>
      <c r="F97" s="51" t="n"/>
    </row>
    <row r="98">
      <c r="A98" s="50" t="n"/>
      <c r="B98" s="51" t="n"/>
      <c r="C98" s="52" t="n"/>
      <c r="D98" s="51" t="n"/>
      <c r="E98" s="51" t="n"/>
      <c r="F98" s="51" t="n"/>
    </row>
    <row r="99">
      <c r="A99" s="50" t="n"/>
      <c r="B99" s="51" t="n"/>
      <c r="C99" s="52" t="n"/>
      <c r="D99" s="51" t="n"/>
      <c r="E99" s="51" t="n"/>
      <c r="F99" s="51" t="n"/>
    </row>
    <row r="100">
      <c r="A100" s="50" t="n"/>
      <c r="B100" s="51" t="n"/>
      <c r="C100" s="52" t="n"/>
      <c r="D100" s="51" t="n"/>
      <c r="E100" s="51" t="n"/>
      <c r="F100" s="51" t="n"/>
    </row>
    <row r="101">
      <c r="A101" s="50" t="n"/>
      <c r="B101" s="51" t="n"/>
      <c r="C101" s="52" t="n"/>
      <c r="D101" s="51" t="n"/>
      <c r="E101" s="51" t="n"/>
      <c r="F101" s="51" t="n"/>
    </row>
    <row r="102">
      <c r="A102" s="50" t="n"/>
      <c r="B102" s="51" t="n"/>
      <c r="C102" s="52" t="n"/>
      <c r="D102" s="51" t="n"/>
      <c r="E102" s="51" t="n"/>
      <c r="F102" s="51" t="n"/>
    </row>
    <row r="103">
      <c r="A103" s="50" t="n"/>
      <c r="B103" s="51" t="n"/>
      <c r="C103" s="52" t="n"/>
      <c r="D103" s="51" t="n"/>
      <c r="E103" s="51" t="n"/>
      <c r="F103" s="51" t="n"/>
    </row>
    <row r="104">
      <c r="A104" s="50" t="n"/>
      <c r="B104" s="51" t="n"/>
      <c r="C104" s="52" t="n"/>
      <c r="D104" s="51" t="n"/>
      <c r="E104" s="51" t="n"/>
      <c r="F104" s="51" t="n"/>
    </row>
    <row r="105">
      <c r="A105" s="50" t="n"/>
      <c r="B105" s="51" t="n"/>
      <c r="C105" s="52" t="n"/>
      <c r="D105" s="51" t="n"/>
      <c r="E105" s="51" t="n"/>
      <c r="F105" s="51" t="n"/>
    </row>
    <row r="106">
      <c r="A106" s="50" t="n"/>
      <c r="B106" s="51" t="n"/>
      <c r="C106" s="52" t="n"/>
      <c r="D106" s="51" t="n"/>
      <c r="E106" s="51" t="n"/>
      <c r="F106" s="51" t="n"/>
    </row>
    <row r="107">
      <c r="A107" s="50" t="n"/>
      <c r="B107" s="51" t="n"/>
      <c r="C107" s="52" t="n"/>
      <c r="D107" s="51" t="n"/>
      <c r="E107" s="51" t="n"/>
      <c r="F107" s="51" t="n"/>
    </row>
    <row r="108">
      <c r="A108" s="50" t="n"/>
      <c r="B108" s="51" t="n"/>
      <c r="C108" s="52" t="n"/>
      <c r="D108" s="51" t="n"/>
      <c r="E108" s="51" t="n"/>
      <c r="F108" s="51" t="n"/>
    </row>
    <row r="109">
      <c r="A109" s="50" t="n"/>
      <c r="B109" s="51" t="n"/>
      <c r="C109" s="52" t="n"/>
      <c r="D109" s="51" t="n"/>
      <c r="E109" s="51" t="n"/>
      <c r="F109" s="51" t="n"/>
    </row>
    <row r="110">
      <c r="A110" s="50" t="n"/>
      <c r="B110" s="51" t="n"/>
      <c r="C110" s="52" t="n"/>
      <c r="D110" s="51" t="n"/>
      <c r="E110" s="51" t="n"/>
      <c r="F110" s="51" t="n"/>
    </row>
    <row r="111">
      <c r="A111" s="50" t="n"/>
      <c r="B111" s="51" t="n"/>
      <c r="C111" s="52" t="n"/>
      <c r="D111" s="51" t="n"/>
      <c r="E111" s="51" t="n"/>
      <c r="F111" s="51" t="n"/>
    </row>
    <row r="112">
      <c r="A112" s="50" t="n"/>
      <c r="B112" s="51" t="n"/>
      <c r="C112" s="52" t="n"/>
      <c r="D112" s="51" t="n"/>
      <c r="E112" s="51" t="n"/>
      <c r="F112" s="51" t="n"/>
    </row>
    <row r="113">
      <c r="A113" s="50" t="n"/>
      <c r="B113" s="51" t="n"/>
      <c r="C113" s="52" t="n"/>
      <c r="D113" s="51" t="n"/>
      <c r="E113" s="51" t="n"/>
      <c r="F113" s="51" t="n"/>
    </row>
    <row r="114">
      <c r="A114" s="50" t="n"/>
      <c r="B114" s="51" t="n"/>
      <c r="C114" s="52" t="n"/>
      <c r="D114" s="51" t="n"/>
      <c r="E114" s="51" t="n"/>
      <c r="F114" s="51" t="n"/>
    </row>
    <row r="115">
      <c r="A115" s="50" t="n"/>
      <c r="B115" s="51" t="n"/>
      <c r="C115" s="52" t="n"/>
      <c r="D115" s="51" t="n"/>
      <c r="E115" s="51" t="n"/>
      <c r="F115" s="51" t="n"/>
    </row>
    <row r="116">
      <c r="A116" s="50" t="n"/>
      <c r="B116" s="51" t="n"/>
      <c r="C116" s="52" t="n"/>
      <c r="D116" s="51" t="n"/>
      <c r="E116" s="51" t="n"/>
      <c r="F116" s="51" t="n"/>
    </row>
    <row r="117">
      <c r="A117" s="50" t="n"/>
      <c r="B117" s="51" t="n"/>
      <c r="C117" s="52" t="n"/>
      <c r="D117" s="51" t="n"/>
      <c r="E117" s="51" t="n"/>
      <c r="F117" s="51" t="n"/>
    </row>
    <row r="118">
      <c r="A118" s="50" t="n"/>
      <c r="B118" s="51" t="n"/>
      <c r="C118" s="52" t="n"/>
      <c r="D118" s="51" t="n"/>
      <c r="E118" s="51" t="n"/>
      <c r="F118" s="51" t="n"/>
    </row>
    <row r="119">
      <c r="A119" s="50" t="n"/>
      <c r="B119" s="51" t="n"/>
      <c r="C119" s="52" t="n"/>
      <c r="D119" s="51" t="n"/>
      <c r="E119" s="51" t="n"/>
      <c r="F119" s="51" t="n"/>
    </row>
    <row r="120">
      <c r="A120" s="50" t="n"/>
      <c r="B120" s="51" t="n"/>
      <c r="C120" s="52" t="n"/>
      <c r="D120" s="51" t="n"/>
      <c r="E120" s="51" t="n"/>
      <c r="F120" s="51" t="n"/>
    </row>
    <row r="121">
      <c r="A121" s="50" t="n"/>
      <c r="B121" s="51" t="n"/>
      <c r="C121" s="52" t="n"/>
      <c r="D121" s="51" t="n"/>
      <c r="E121" s="51" t="n"/>
      <c r="F121" s="51" t="n"/>
    </row>
    <row r="122">
      <c r="A122" s="50" t="n"/>
      <c r="B122" s="51" t="n"/>
      <c r="C122" s="52" t="n"/>
      <c r="D122" s="51" t="n"/>
      <c r="E122" s="51" t="n"/>
      <c r="F122" s="51" t="n"/>
    </row>
    <row r="123">
      <c r="A123" s="50" t="n"/>
      <c r="B123" s="51" t="n"/>
      <c r="C123" s="52" t="n"/>
      <c r="D123" s="51" t="n"/>
      <c r="E123" s="51" t="n"/>
      <c r="F123" s="51" t="n"/>
    </row>
    <row r="124">
      <c r="A124" s="50" t="n"/>
      <c r="B124" s="51" t="n"/>
      <c r="C124" s="52" t="n"/>
      <c r="D124" s="51" t="n"/>
      <c r="E124" s="51" t="n"/>
      <c r="F124" s="51" t="n"/>
    </row>
    <row r="125">
      <c r="A125" s="50" t="n"/>
      <c r="B125" s="51" t="n"/>
      <c r="C125" s="52" t="n"/>
      <c r="D125" s="51" t="n"/>
      <c r="E125" s="51" t="n"/>
      <c r="F125" s="51" t="n"/>
    </row>
    <row r="126">
      <c r="A126" s="50" t="n"/>
      <c r="B126" s="51" t="n"/>
      <c r="C126" s="52" t="n"/>
      <c r="D126" s="51" t="n"/>
      <c r="E126" s="51" t="n"/>
      <c r="F126" s="51" t="n"/>
    </row>
    <row r="127">
      <c r="A127" s="50" t="n"/>
      <c r="B127" s="51" t="n"/>
      <c r="C127" s="52" t="n"/>
      <c r="D127" s="51" t="n"/>
      <c r="E127" s="51" t="n"/>
      <c r="F127" s="51" t="n"/>
    </row>
    <row r="128">
      <c r="A128" s="50" t="n"/>
      <c r="B128" s="51" t="n"/>
      <c r="C128" s="52" t="n"/>
      <c r="D128" s="51" t="n"/>
      <c r="E128" s="51" t="n"/>
      <c r="F128" s="51" t="n"/>
    </row>
    <row r="129">
      <c r="A129" s="50" t="n"/>
      <c r="B129" s="51" t="n"/>
      <c r="C129" s="52" t="n"/>
      <c r="D129" s="51" t="n"/>
      <c r="E129" s="51" t="n"/>
      <c r="F129" s="51" t="n"/>
    </row>
    <row r="130">
      <c r="A130" s="50" t="n"/>
      <c r="B130" s="51" t="n"/>
      <c r="C130" s="52" t="n"/>
      <c r="D130" s="51" t="n"/>
      <c r="E130" s="51" t="n"/>
      <c r="F130" s="51" t="n"/>
    </row>
    <row r="131">
      <c r="A131" s="50" t="n"/>
      <c r="B131" s="51" t="n"/>
      <c r="C131" s="52" t="n"/>
      <c r="D131" s="51" t="n"/>
      <c r="E131" s="51" t="n"/>
      <c r="F131" s="51" t="n"/>
    </row>
    <row r="132">
      <c r="A132" s="50" t="n"/>
      <c r="B132" s="51" t="n"/>
      <c r="C132" s="52" t="n"/>
      <c r="D132" s="51" t="n"/>
      <c r="E132" s="51" t="n"/>
      <c r="F132" s="51" t="n"/>
    </row>
    <row r="133">
      <c r="A133" s="50" t="n"/>
      <c r="B133" s="51" t="n"/>
      <c r="C133" s="52" t="n"/>
      <c r="D133" s="51" t="n"/>
      <c r="E133" s="51" t="n"/>
      <c r="F133" s="51" t="n"/>
    </row>
    <row r="134">
      <c r="A134" s="50" t="n"/>
      <c r="B134" s="51" t="n"/>
      <c r="C134" s="52" t="n"/>
      <c r="D134" s="51" t="n"/>
      <c r="E134" s="51" t="n"/>
      <c r="F134" s="51" t="n"/>
    </row>
    <row r="135">
      <c r="A135" s="50" t="n"/>
      <c r="B135" s="51" t="n"/>
      <c r="C135" s="52" t="n"/>
      <c r="D135" s="51" t="n"/>
      <c r="E135" s="51" t="n"/>
      <c r="F135" s="51" t="n"/>
    </row>
    <row r="136">
      <c r="A136" s="50" t="n"/>
      <c r="B136" s="51" t="n"/>
      <c r="C136" s="52" t="n"/>
      <c r="D136" s="51" t="n"/>
      <c r="E136" s="51" t="n"/>
      <c r="F136" s="51" t="n"/>
    </row>
    <row r="137">
      <c r="A137" s="50" t="n"/>
      <c r="B137" s="51" t="n"/>
      <c r="C137" s="52" t="n"/>
      <c r="D137" s="51" t="n"/>
      <c r="E137" s="51" t="n"/>
      <c r="F137" s="51" t="n"/>
    </row>
    <row r="138">
      <c r="A138" s="50" t="n"/>
      <c r="B138" s="51" t="n"/>
      <c r="C138" s="52" t="n"/>
      <c r="D138" s="51" t="n"/>
      <c r="E138" s="51" t="n"/>
      <c r="F138" s="51" t="n"/>
    </row>
    <row r="139">
      <c r="A139" s="50" t="n"/>
      <c r="B139" s="51" t="n"/>
      <c r="C139" s="52" t="n"/>
      <c r="D139" s="51" t="n"/>
      <c r="E139" s="51" t="n"/>
      <c r="F139" s="51" t="n"/>
    </row>
    <row r="140">
      <c r="A140" s="50" t="n"/>
      <c r="B140" s="51" t="n"/>
      <c r="C140" s="52" t="n"/>
      <c r="D140" s="51" t="n"/>
      <c r="E140" s="51" t="n"/>
      <c r="F140" s="51" t="n"/>
    </row>
    <row r="141">
      <c r="A141" s="50" t="n"/>
      <c r="B141" s="51" t="n"/>
      <c r="C141" s="52" t="n"/>
      <c r="D141" s="51" t="n"/>
      <c r="E141" s="51" t="n"/>
      <c r="F141" s="51" t="n"/>
    </row>
    <row r="142">
      <c r="A142" s="50" t="n"/>
      <c r="B142" s="51" t="n"/>
      <c r="C142" s="52" t="n"/>
      <c r="D142" s="51" t="n"/>
      <c r="E142" s="51" t="n"/>
      <c r="F142" s="51" t="n"/>
    </row>
    <row r="143">
      <c r="A143" s="50" t="n"/>
      <c r="B143" s="51" t="n"/>
      <c r="C143" s="52" t="n"/>
      <c r="D143" s="51" t="n"/>
      <c r="E143" s="51" t="n"/>
      <c r="F143" s="51" t="n"/>
    </row>
    <row r="144">
      <c r="A144" s="50" t="n"/>
      <c r="B144" s="51" t="n"/>
      <c r="C144" s="52" t="n"/>
      <c r="D144" s="51" t="n"/>
      <c r="E144" s="51" t="n"/>
      <c r="F144" s="51" t="n"/>
    </row>
    <row r="145">
      <c r="A145" s="50" t="n"/>
      <c r="B145" s="51" t="n"/>
      <c r="C145" s="52" t="n"/>
      <c r="D145" s="51" t="n"/>
      <c r="E145" s="51" t="n"/>
      <c r="F145" s="51" t="n"/>
    </row>
    <row r="146">
      <c r="A146" s="50" t="n"/>
      <c r="B146" s="51" t="n"/>
      <c r="C146" s="52" t="n"/>
      <c r="D146" s="51" t="n"/>
      <c r="E146" s="51" t="n"/>
      <c r="F146" s="51" t="n"/>
    </row>
    <row r="147">
      <c r="A147" s="50" t="n"/>
      <c r="B147" s="51" t="n"/>
      <c r="C147" s="52" t="n"/>
      <c r="D147" s="51" t="n"/>
      <c r="E147" s="51" t="n"/>
      <c r="F147" s="51" t="n"/>
    </row>
    <row r="148">
      <c r="A148" s="50" t="n"/>
      <c r="B148" s="51" t="n"/>
      <c r="C148" s="52" t="n"/>
      <c r="D148" s="51" t="n"/>
      <c r="E148" s="51" t="n"/>
      <c r="F148" s="51" t="n"/>
    </row>
    <row r="149">
      <c r="A149" s="50" t="n"/>
      <c r="B149" s="51" t="n"/>
      <c r="C149" s="52" t="n"/>
      <c r="D149" s="51" t="n"/>
      <c r="E149" s="51" t="n"/>
      <c r="F149" s="51" t="n"/>
    </row>
    <row r="150">
      <c r="A150" s="50" t="n"/>
      <c r="B150" s="51" t="n"/>
      <c r="C150" s="52" t="n"/>
      <c r="D150" s="51" t="n"/>
      <c r="E150" s="51" t="n"/>
      <c r="F150" s="51" t="n"/>
    </row>
    <row r="151">
      <c r="A151" s="50" t="n"/>
      <c r="B151" s="51" t="n"/>
      <c r="C151" s="52" t="n"/>
      <c r="D151" s="51" t="n"/>
      <c r="E151" s="51" t="n"/>
      <c r="F151" s="51" t="n"/>
    </row>
    <row r="152">
      <c r="A152" s="50" t="n"/>
      <c r="B152" s="51" t="n"/>
      <c r="C152" s="52" t="n"/>
      <c r="D152" s="51" t="n"/>
      <c r="E152" s="51" t="n"/>
      <c r="F152" s="51" t="n"/>
    </row>
    <row r="153">
      <c r="A153" s="50" t="n"/>
      <c r="B153" s="51" t="n"/>
      <c r="C153" s="52" t="n"/>
      <c r="D153" s="51" t="n"/>
      <c r="E153" s="51" t="n"/>
      <c r="F153" s="51" t="n"/>
    </row>
    <row r="154">
      <c r="A154" s="50" t="n"/>
      <c r="B154" s="51" t="n"/>
      <c r="C154" s="52" t="n"/>
      <c r="D154" s="51" t="n"/>
      <c r="E154" s="51" t="n"/>
      <c r="F154" s="51" t="n"/>
    </row>
    <row r="155">
      <c r="A155" s="50" t="n"/>
      <c r="B155" s="51" t="n"/>
      <c r="C155" s="52" t="n"/>
      <c r="D155" s="51" t="n"/>
      <c r="E155" s="51" t="n"/>
      <c r="F155" s="51" t="n"/>
    </row>
    <row r="156">
      <c r="A156" s="50" t="n"/>
      <c r="B156" s="51" t="n"/>
      <c r="C156" s="52" t="n"/>
      <c r="D156" s="51" t="n"/>
      <c r="E156" s="51" t="n"/>
      <c r="F156" s="51" t="n"/>
    </row>
    <row r="157">
      <c r="A157" s="50" t="n"/>
      <c r="B157" s="51" t="n"/>
      <c r="C157" s="52" t="n"/>
      <c r="D157" s="51" t="n"/>
      <c r="E157" s="51" t="n"/>
      <c r="F157" s="51" t="n"/>
    </row>
    <row r="158">
      <c r="A158" s="50" t="n"/>
      <c r="B158" s="51" t="n"/>
      <c r="C158" s="52" t="n"/>
      <c r="D158" s="51" t="n"/>
      <c r="E158" s="51" t="n"/>
      <c r="F158" s="51" t="n"/>
    </row>
    <row r="159">
      <c r="A159" s="50" t="n"/>
      <c r="B159" s="51" t="n"/>
      <c r="C159" s="52" t="n"/>
      <c r="D159" s="51" t="n"/>
      <c r="E159" s="51" t="n"/>
      <c r="F159" s="51" t="n"/>
    </row>
    <row r="160">
      <c r="A160" s="50" t="n"/>
      <c r="B160" s="51" t="n"/>
      <c r="C160" s="52" t="n"/>
      <c r="D160" s="51" t="n"/>
      <c r="E160" s="51" t="n"/>
      <c r="F160" s="51" t="n"/>
    </row>
    <row r="161">
      <c r="A161" s="50" t="n"/>
      <c r="B161" s="51" t="n"/>
      <c r="C161" s="52" t="n"/>
      <c r="D161" s="51" t="n"/>
      <c r="E161" s="51" t="n"/>
      <c r="F161" s="51" t="n"/>
    </row>
    <row r="162">
      <c r="A162" s="50" t="n"/>
      <c r="B162" s="51" t="n"/>
      <c r="C162" s="52" t="n"/>
      <c r="D162" s="51" t="n"/>
      <c r="E162" s="51" t="n"/>
      <c r="F162" s="51" t="n"/>
    </row>
    <row r="163">
      <c r="A163" s="50" t="n"/>
      <c r="B163" s="51" t="n"/>
      <c r="C163" s="52" t="n"/>
      <c r="D163" s="51" t="n"/>
      <c r="E163" s="51" t="n"/>
      <c r="F163" s="51" t="n"/>
    </row>
    <row r="164">
      <c r="A164" s="50" t="n"/>
      <c r="B164" s="51" t="n"/>
      <c r="C164" s="52" t="n"/>
      <c r="D164" s="51" t="n"/>
      <c r="E164" s="51" t="n"/>
      <c r="F164" s="51" t="n"/>
    </row>
    <row r="165">
      <c r="A165" s="50" t="n"/>
      <c r="B165" s="51" t="n"/>
      <c r="C165" s="52" t="n"/>
      <c r="D165" s="51" t="n"/>
      <c r="E165" s="51" t="n"/>
      <c r="F165" s="51" t="n"/>
    </row>
    <row r="166">
      <c r="A166" s="50" t="n"/>
      <c r="B166" s="51" t="n"/>
      <c r="C166" s="52" t="n"/>
      <c r="D166" s="51" t="n"/>
      <c r="E166" s="51" t="n"/>
      <c r="F166" s="51" t="n"/>
    </row>
    <row r="167">
      <c r="A167" s="50" t="n"/>
      <c r="B167" s="51" t="n"/>
      <c r="C167" s="52" t="n"/>
      <c r="D167" s="51" t="n"/>
      <c r="E167" s="51" t="n"/>
      <c r="F167" s="51" t="n"/>
    </row>
    <row r="168">
      <c r="A168" s="50" t="n"/>
      <c r="B168" s="51" t="n"/>
      <c r="C168" s="52" t="n"/>
      <c r="D168" s="51" t="n"/>
      <c r="E168" s="51" t="n"/>
      <c r="F168" s="51" t="n"/>
    </row>
    <row r="169">
      <c r="A169" s="50" t="n"/>
      <c r="B169" s="51" t="n"/>
      <c r="C169" s="52" t="n"/>
      <c r="D169" s="51" t="n"/>
      <c r="E169" s="51" t="n"/>
      <c r="F169" s="51" t="n"/>
    </row>
    <row r="170">
      <c r="A170" s="50" t="n"/>
      <c r="B170" s="51" t="n"/>
      <c r="C170" s="52" t="n"/>
      <c r="D170" s="51" t="n"/>
      <c r="E170" s="51" t="n"/>
      <c r="F170" s="51" t="n"/>
    </row>
    <row r="171">
      <c r="A171" s="50" t="n"/>
      <c r="B171" s="51" t="n"/>
      <c r="C171" s="52" t="n"/>
      <c r="D171" s="51" t="n"/>
      <c r="E171" s="51" t="n"/>
      <c r="F171" s="51" t="n"/>
    </row>
    <row r="172">
      <c r="A172" s="50" t="n"/>
      <c r="B172" s="51" t="n"/>
      <c r="C172" s="52" t="n"/>
      <c r="D172" s="51" t="n"/>
      <c r="E172" s="51" t="n"/>
      <c r="F172" s="51" t="n"/>
    </row>
    <row r="173">
      <c r="A173" s="50" t="n"/>
      <c r="B173" s="51" t="n"/>
      <c r="C173" s="52" t="n"/>
      <c r="D173" s="51" t="n"/>
      <c r="E173" s="51" t="n"/>
      <c r="F173" s="51" t="n"/>
    </row>
    <row r="174">
      <c r="A174" s="50" t="n"/>
      <c r="B174" s="51" t="n"/>
      <c r="C174" s="52" t="n"/>
      <c r="D174" s="51" t="n"/>
      <c r="E174" s="51" t="n"/>
      <c r="F174" s="51" t="n"/>
    </row>
    <row r="175">
      <c r="A175" s="50" t="n"/>
      <c r="B175" s="51" t="n"/>
      <c r="C175" s="52" t="n"/>
      <c r="D175" s="51" t="n"/>
      <c r="E175" s="51" t="n"/>
      <c r="F175" s="51" t="n"/>
    </row>
    <row r="176">
      <c r="A176" s="50" t="n"/>
      <c r="B176" s="51" t="n"/>
      <c r="C176" s="52" t="n"/>
      <c r="D176" s="51" t="n"/>
      <c r="E176" s="51" t="n"/>
      <c r="F176" s="51" t="n"/>
    </row>
    <row r="177">
      <c r="A177" s="50" t="n"/>
      <c r="B177" s="51" t="n"/>
      <c r="C177" s="52" t="n"/>
      <c r="D177" s="51" t="n"/>
      <c r="E177" s="51" t="n"/>
      <c r="F177" s="51" t="n"/>
    </row>
    <row r="178">
      <c r="A178" s="50" t="n"/>
      <c r="B178" s="51" t="n"/>
      <c r="C178" s="52" t="n"/>
      <c r="D178" s="51" t="n"/>
      <c r="E178" s="51" t="n"/>
      <c r="F178" s="51" t="n"/>
    </row>
    <row r="179">
      <c r="A179" s="50" t="n"/>
      <c r="B179" s="51" t="n"/>
      <c r="C179" s="52" t="n"/>
      <c r="D179" s="51" t="n"/>
      <c r="E179" s="51" t="n"/>
      <c r="F179" s="51" t="n"/>
    </row>
    <row r="180">
      <c r="A180" s="50" t="n"/>
      <c r="B180" s="51" t="n"/>
      <c r="C180" s="52" t="n"/>
      <c r="D180" s="51" t="n"/>
      <c r="E180" s="51" t="n"/>
      <c r="F180" s="51" t="n"/>
    </row>
    <row r="181">
      <c r="A181" s="50" t="n"/>
      <c r="B181" s="51" t="n"/>
      <c r="C181" s="52" t="n"/>
      <c r="D181" s="51" t="n"/>
      <c r="E181" s="51" t="n"/>
      <c r="F181" s="51" t="n"/>
    </row>
    <row r="182">
      <c r="A182" s="50" t="n"/>
      <c r="B182" s="51" t="n"/>
      <c r="C182" s="52" t="n"/>
      <c r="D182" s="51" t="n"/>
      <c r="E182" s="51" t="n"/>
      <c r="F182" s="51" t="n"/>
    </row>
    <row r="183">
      <c r="A183" s="50" t="n"/>
      <c r="B183" s="51" t="n"/>
      <c r="C183" s="52" t="n"/>
      <c r="D183" s="51" t="n"/>
      <c r="E183" s="51" t="n"/>
      <c r="F183" s="51" t="n"/>
    </row>
    <row r="184">
      <c r="A184" s="50" t="n"/>
      <c r="B184" s="51" t="n"/>
      <c r="C184" s="52" t="n"/>
      <c r="D184" s="51" t="n"/>
      <c r="E184" s="51" t="n"/>
      <c r="F184" s="51" t="n"/>
    </row>
    <row r="185">
      <c r="A185" s="50" t="n"/>
      <c r="B185" s="51" t="n"/>
      <c r="C185" s="52" t="n"/>
      <c r="D185" s="51" t="n"/>
      <c r="E185" s="51" t="n"/>
      <c r="F185" s="51" t="n"/>
    </row>
    <row r="186">
      <c r="A186" s="50" t="n"/>
      <c r="B186" s="51" t="n"/>
      <c r="C186" s="52" t="n"/>
      <c r="D186" s="51" t="n"/>
      <c r="E186" s="51" t="n"/>
      <c r="F186" s="51" t="n"/>
    </row>
    <row r="187">
      <c r="A187" s="50" t="n"/>
      <c r="B187" s="51" t="n"/>
      <c r="C187" s="52" t="n"/>
      <c r="D187" s="51" t="n"/>
      <c r="E187" s="51" t="n"/>
      <c r="F187" s="51" t="n"/>
    </row>
    <row r="188">
      <c r="A188" s="50" t="n"/>
      <c r="B188" s="51" t="n"/>
      <c r="C188" s="52" t="n"/>
      <c r="D188" s="51" t="n"/>
      <c r="E188" s="51" t="n"/>
      <c r="F188" s="51" t="n"/>
    </row>
    <row r="189">
      <c r="A189" s="50" t="n"/>
      <c r="B189" s="51" t="n"/>
      <c r="C189" s="52" t="n"/>
      <c r="D189" s="51" t="n"/>
      <c r="E189" s="51" t="n"/>
      <c r="F189" s="51" t="n"/>
    </row>
    <row r="190">
      <c r="A190" s="50" t="n"/>
      <c r="B190" s="51" t="n"/>
      <c r="C190" s="52" t="n"/>
      <c r="D190" s="51" t="n"/>
      <c r="E190" s="51" t="n"/>
      <c r="F190" s="51" t="n"/>
    </row>
    <row r="191">
      <c r="A191" s="50" t="n"/>
      <c r="B191" s="51" t="n"/>
      <c r="C191" s="52" t="n"/>
      <c r="D191" s="51" t="n"/>
      <c r="E191" s="51" t="n"/>
      <c r="F191" s="51" t="n"/>
    </row>
    <row r="192">
      <c r="A192" s="50" t="n"/>
      <c r="B192" s="51" t="n"/>
      <c r="C192" s="52" t="n"/>
      <c r="D192" s="51" t="n"/>
      <c r="E192" s="51" t="n"/>
      <c r="F192" s="51" t="n"/>
    </row>
    <row r="193">
      <c r="A193" s="50" t="n"/>
      <c r="B193" s="51" t="n"/>
      <c r="C193" s="52" t="n"/>
      <c r="D193" s="51" t="n"/>
      <c r="E193" s="51" t="n"/>
      <c r="F193" s="51" t="n"/>
    </row>
    <row r="194">
      <c r="A194" s="50" t="n"/>
      <c r="B194" s="51" t="n"/>
      <c r="C194" s="52" t="n"/>
      <c r="D194" s="51" t="n"/>
      <c r="E194" s="51" t="n"/>
      <c r="F194" s="51" t="n"/>
    </row>
    <row r="195">
      <c r="A195" s="50" t="n"/>
      <c r="B195" s="51" t="n"/>
      <c r="C195" s="52" t="n"/>
      <c r="D195" s="51" t="n"/>
      <c r="E195" s="51" t="n"/>
      <c r="F195" s="51" t="n"/>
    </row>
    <row r="196">
      <c r="A196" s="50" t="n"/>
      <c r="B196" s="51" t="n"/>
      <c r="C196" s="52" t="n"/>
      <c r="D196" s="51" t="n"/>
      <c r="E196" s="51" t="n"/>
      <c r="F196" s="51" t="n"/>
    </row>
    <row r="197">
      <c r="A197" s="50" t="n"/>
      <c r="B197" s="51" t="n"/>
      <c r="C197" s="52" t="n"/>
      <c r="D197" s="51" t="n"/>
      <c r="E197" s="51" t="n"/>
      <c r="F197" s="51" t="n"/>
    </row>
    <row r="198">
      <c r="A198" s="50" t="n"/>
      <c r="B198" s="51" t="n"/>
      <c r="C198" s="52" t="n"/>
      <c r="D198" s="51" t="n"/>
      <c r="E198" s="51" t="n"/>
      <c r="F198" s="51" t="n"/>
    </row>
    <row r="199">
      <c r="A199" s="50" t="n"/>
      <c r="B199" s="51" t="n"/>
      <c r="C199" s="52" t="n"/>
      <c r="D199" s="51" t="n"/>
      <c r="E199" s="51" t="n"/>
      <c r="F199" s="51" t="n"/>
    </row>
    <row r="200">
      <c r="A200" s="50" t="n"/>
      <c r="B200" s="51" t="n"/>
      <c r="C200" s="52" t="n"/>
      <c r="D200" s="51" t="n"/>
      <c r="E200" s="51" t="n"/>
      <c r="F200" s="51" t="n"/>
    </row>
    <row r="201">
      <c r="A201" s="50" t="n"/>
      <c r="B201" s="51" t="n"/>
      <c r="C201" s="52" t="n"/>
      <c r="D201" s="51" t="n"/>
      <c r="E201" s="51" t="n"/>
      <c r="F201" s="51" t="n"/>
    </row>
    <row r="202">
      <c r="A202" s="50" t="n"/>
      <c r="B202" s="51" t="n"/>
      <c r="C202" s="52" t="n"/>
      <c r="D202" s="51" t="n"/>
      <c r="E202" s="51" t="n"/>
      <c r="F202" s="51" t="n"/>
    </row>
    <row r="203">
      <c r="A203" s="50" t="n"/>
      <c r="B203" s="51" t="n"/>
      <c r="C203" s="52" t="n"/>
      <c r="D203" s="51" t="n"/>
      <c r="E203" s="51" t="n"/>
      <c r="F203" s="51" t="n"/>
    </row>
    <row r="204">
      <c r="A204" s="50" t="n"/>
      <c r="B204" s="51" t="n"/>
      <c r="C204" s="52" t="n"/>
      <c r="D204" s="51" t="n"/>
      <c r="E204" s="51" t="n"/>
      <c r="F204" s="51" t="n"/>
    </row>
    <row r="205">
      <c r="A205" s="50" t="n"/>
      <c r="B205" s="51" t="n"/>
      <c r="C205" s="52" t="n"/>
      <c r="D205" s="51" t="n"/>
      <c r="E205" s="51" t="n"/>
      <c r="F205" s="51" t="n"/>
    </row>
    <row r="206">
      <c r="A206" s="50" t="n"/>
      <c r="B206" s="51" t="n"/>
      <c r="C206" s="52" t="n"/>
      <c r="D206" s="51" t="n"/>
      <c r="E206" s="51" t="n"/>
      <c r="F206" s="51" t="n"/>
    </row>
    <row r="207">
      <c r="A207" s="50" t="n"/>
      <c r="B207" s="51" t="n"/>
      <c r="C207" s="52" t="n"/>
      <c r="D207" s="51" t="n"/>
      <c r="E207" s="51" t="n"/>
      <c r="F207" s="51" t="n"/>
    </row>
    <row r="208">
      <c r="A208" s="50" t="n"/>
      <c r="B208" s="51" t="n"/>
      <c r="C208" s="52" t="n"/>
      <c r="D208" s="51" t="n"/>
      <c r="E208" s="51" t="n"/>
      <c r="F208" s="51" t="n"/>
    </row>
    <row r="209">
      <c r="A209" s="50" t="n"/>
      <c r="B209" s="51" t="n"/>
      <c r="C209" s="52" t="n"/>
      <c r="D209" s="51" t="n"/>
      <c r="E209" s="51" t="n"/>
      <c r="F209" s="51" t="n"/>
    </row>
    <row r="210">
      <c r="A210" s="50" t="n"/>
      <c r="B210" s="51" t="n"/>
      <c r="C210" s="52" t="n"/>
      <c r="D210" s="51" t="n"/>
      <c r="E210" s="51" t="n"/>
      <c r="F210" s="51" t="n"/>
    </row>
    <row r="211">
      <c r="A211" s="50" t="n"/>
      <c r="B211" s="51" t="n"/>
      <c r="C211" s="52" t="n"/>
      <c r="D211" s="51" t="n"/>
      <c r="E211" s="51" t="n"/>
      <c r="F211" s="51" t="n"/>
    </row>
    <row r="212">
      <c r="A212" s="50" t="n"/>
      <c r="B212" s="51" t="n"/>
      <c r="C212" s="52" t="n"/>
      <c r="D212" s="51" t="n"/>
      <c r="E212" s="51" t="n"/>
      <c r="F212" s="51" t="n"/>
    </row>
    <row r="213">
      <c r="A213" s="50" t="n"/>
      <c r="B213" s="51" t="n"/>
      <c r="C213" s="52" t="n"/>
      <c r="D213" s="51" t="n"/>
      <c r="E213" s="51" t="n"/>
      <c r="F213" s="51" t="n"/>
    </row>
    <row r="214">
      <c r="A214" s="50" t="n"/>
      <c r="B214" s="51" t="n"/>
      <c r="C214" s="52" t="n"/>
      <c r="D214" s="51" t="n"/>
      <c r="E214" s="51" t="n"/>
      <c r="F214" s="51" t="n"/>
    </row>
    <row r="215">
      <c r="A215" s="50" t="n"/>
      <c r="B215" s="51" t="n"/>
      <c r="C215" s="52" t="n"/>
      <c r="D215" s="51" t="n"/>
      <c r="E215" s="51" t="n"/>
      <c r="F215" s="51" t="n"/>
    </row>
    <row r="216">
      <c r="A216" s="50" t="n"/>
      <c r="B216" s="51" t="n"/>
      <c r="C216" s="52" t="n"/>
      <c r="D216" s="51" t="n"/>
      <c r="E216" s="51" t="n"/>
      <c r="F216" s="51" t="n"/>
    </row>
    <row r="217">
      <c r="A217" s="50" t="n"/>
      <c r="B217" s="51" t="n"/>
      <c r="C217" s="52" t="n"/>
      <c r="D217" s="51" t="n"/>
      <c r="E217" s="51" t="n"/>
      <c r="F217" s="51" t="n"/>
    </row>
    <row r="218">
      <c r="A218" s="50" t="n"/>
      <c r="B218" s="51" t="n"/>
      <c r="C218" s="52" t="n"/>
      <c r="D218" s="51" t="n"/>
      <c r="E218" s="51" t="n"/>
      <c r="F218" s="51" t="n"/>
    </row>
    <row r="219">
      <c r="A219" s="50" t="n"/>
      <c r="B219" s="51" t="n"/>
      <c r="C219" s="52" t="n"/>
      <c r="D219" s="51" t="n"/>
      <c r="E219" s="51" t="n"/>
      <c r="F219" s="51" t="n"/>
    </row>
    <row r="220">
      <c r="A220" s="50" t="n"/>
      <c r="B220" s="51" t="n"/>
      <c r="C220" s="52" t="n"/>
      <c r="D220" s="51" t="n"/>
      <c r="E220" s="51" t="n"/>
      <c r="F220" s="51" t="n"/>
    </row>
    <row r="221">
      <c r="A221" s="50" t="n"/>
      <c r="B221" s="51" t="n"/>
      <c r="C221" s="52" t="n"/>
      <c r="D221" s="51" t="n"/>
      <c r="E221" s="51" t="n"/>
      <c r="F221" s="51" t="n"/>
    </row>
    <row r="222">
      <c r="A222" s="50" t="n"/>
      <c r="B222" s="51" t="n"/>
      <c r="C222" s="52" t="n"/>
      <c r="D222" s="51" t="n"/>
      <c r="E222" s="51" t="n"/>
      <c r="F222" s="51" t="n"/>
    </row>
    <row r="223">
      <c r="A223" s="50" t="n"/>
      <c r="B223" s="51" t="n"/>
      <c r="C223" s="52" t="n"/>
      <c r="D223" s="51" t="n"/>
      <c r="E223" s="51" t="n"/>
      <c r="F223" s="51" t="n"/>
    </row>
    <row r="224">
      <c r="A224" s="50" t="n"/>
      <c r="B224" s="51" t="n"/>
      <c r="C224" s="52" t="n"/>
      <c r="D224" s="51" t="n"/>
      <c r="E224" s="51" t="n"/>
      <c r="F224" s="51" t="n"/>
    </row>
    <row r="225">
      <c r="A225" s="50" t="n"/>
      <c r="B225" s="51" t="n"/>
      <c r="C225" s="52" t="n"/>
      <c r="D225" s="51" t="n"/>
      <c r="E225" s="51" t="n"/>
      <c r="F225" s="51" t="n"/>
    </row>
    <row r="226">
      <c r="A226" s="50" t="n"/>
      <c r="B226" s="51" t="n"/>
      <c r="C226" s="52" t="n"/>
      <c r="D226" s="51" t="n"/>
      <c r="E226" s="51" t="n"/>
      <c r="F226" s="51" t="n"/>
    </row>
    <row r="227">
      <c r="A227" s="50" t="n"/>
      <c r="B227" s="51" t="n"/>
      <c r="C227" s="52" t="n"/>
      <c r="D227" s="51" t="n"/>
      <c r="E227" s="51" t="n"/>
      <c r="F227" s="51" t="n"/>
    </row>
    <row r="228">
      <c r="A228" s="50" t="n"/>
      <c r="B228" s="51" t="n"/>
      <c r="C228" s="52" t="n"/>
      <c r="D228" s="51" t="n"/>
      <c r="E228" s="51" t="n"/>
      <c r="F228" s="51" t="n"/>
    </row>
    <row r="229">
      <c r="A229" s="50" t="n"/>
      <c r="B229" s="51" t="n"/>
      <c r="C229" s="52" t="n"/>
      <c r="D229" s="51" t="n"/>
      <c r="E229" s="51" t="n"/>
      <c r="F229" s="51" t="n"/>
    </row>
    <row r="230">
      <c r="A230" s="50" t="n"/>
      <c r="B230" s="51" t="n"/>
      <c r="C230" s="52" t="n"/>
      <c r="D230" s="51" t="n"/>
      <c r="E230" s="51" t="n"/>
      <c r="F230" s="51" t="n"/>
    </row>
    <row r="231">
      <c r="A231" s="50" t="n"/>
      <c r="B231" s="51" t="n"/>
      <c r="C231" s="52" t="n"/>
      <c r="D231" s="51" t="n"/>
      <c r="E231" s="51" t="n"/>
      <c r="F231" s="51" t="n"/>
    </row>
    <row r="232">
      <c r="A232" s="50" t="n"/>
      <c r="B232" s="51" t="n"/>
      <c r="C232" s="52" t="n"/>
      <c r="D232" s="51" t="n"/>
      <c r="E232" s="51" t="n"/>
      <c r="F232" s="51" t="n"/>
    </row>
    <row r="233">
      <c r="A233" s="50" t="n"/>
      <c r="B233" s="51" t="n"/>
      <c r="C233" s="52" t="n"/>
      <c r="D233" s="51" t="n"/>
      <c r="E233" s="51" t="n"/>
      <c r="F233" s="51" t="n"/>
    </row>
    <row r="234">
      <c r="A234" s="50" t="n"/>
      <c r="B234" s="51" t="n"/>
      <c r="C234" s="52" t="n"/>
      <c r="D234" s="51" t="n"/>
      <c r="E234" s="51" t="n"/>
      <c r="F234" s="51" t="n"/>
    </row>
    <row r="235">
      <c r="A235" s="50" t="n"/>
      <c r="B235" s="51" t="n"/>
      <c r="C235" s="52" t="n"/>
      <c r="D235" s="51" t="n"/>
      <c r="E235" s="51" t="n"/>
      <c r="F235" s="51" t="n"/>
    </row>
    <row r="236">
      <c r="A236" s="50" t="n"/>
      <c r="B236" s="51" t="n"/>
      <c r="C236" s="52" t="n"/>
      <c r="D236" s="51" t="n"/>
      <c r="E236" s="51" t="n"/>
      <c r="F236" s="51" t="n"/>
    </row>
    <row r="237">
      <c r="A237" s="50" t="n"/>
      <c r="B237" s="51" t="n"/>
      <c r="C237" s="52" t="n"/>
      <c r="D237" s="51" t="n"/>
      <c r="E237" s="51" t="n"/>
      <c r="F237" s="51" t="n"/>
    </row>
    <row r="238">
      <c r="A238" s="50" t="n"/>
      <c r="B238" s="51" t="n"/>
      <c r="C238" s="52" t="n"/>
      <c r="D238" s="51" t="n"/>
      <c r="E238" s="51" t="n"/>
      <c r="F238" s="51" t="n"/>
    </row>
    <row r="239">
      <c r="A239" s="50" t="n"/>
      <c r="B239" s="51" t="n"/>
      <c r="C239" s="52" t="n"/>
      <c r="D239" s="51" t="n"/>
      <c r="E239" s="51" t="n"/>
      <c r="F239" s="51" t="n"/>
    </row>
    <row r="240">
      <c r="A240" s="50" t="n"/>
      <c r="B240" s="51" t="n"/>
      <c r="C240" s="52" t="n"/>
      <c r="D240" s="51" t="n"/>
      <c r="E240" s="51" t="n"/>
      <c r="F240" s="51" t="n"/>
    </row>
    <row r="241">
      <c r="A241" s="50" t="n"/>
      <c r="B241" s="51" t="n"/>
      <c r="C241" s="52" t="n"/>
      <c r="D241" s="51" t="n"/>
      <c r="E241" s="51" t="n"/>
      <c r="F241" s="51" t="n"/>
    </row>
    <row r="242">
      <c r="A242" s="50" t="n"/>
      <c r="B242" s="51" t="n"/>
      <c r="C242" s="52" t="n"/>
      <c r="D242" s="51" t="n"/>
      <c r="E242" s="51" t="n"/>
      <c r="F242" s="51" t="n"/>
    </row>
    <row r="243">
      <c r="A243" s="50" t="n"/>
      <c r="B243" s="51" t="n"/>
      <c r="C243" s="52" t="n"/>
      <c r="D243" s="51" t="n"/>
      <c r="E243" s="51" t="n"/>
      <c r="F243" s="51" t="n"/>
    </row>
    <row r="244">
      <c r="A244" s="50" t="n"/>
      <c r="B244" s="51" t="n"/>
      <c r="C244" s="52" t="n"/>
      <c r="D244" s="51" t="n"/>
      <c r="E244" s="51" t="n"/>
      <c r="F244" s="51" t="n"/>
    </row>
    <row r="245">
      <c r="A245" s="50" t="n"/>
      <c r="B245" s="51" t="n"/>
      <c r="C245" s="52" t="n"/>
      <c r="D245" s="51" t="n"/>
      <c r="E245" s="51" t="n"/>
      <c r="F245" s="51" t="n"/>
    </row>
    <row r="246">
      <c r="A246" s="50" t="n"/>
      <c r="B246" s="51" t="n"/>
      <c r="C246" s="52" t="n"/>
      <c r="D246" s="51" t="n"/>
      <c r="E246" s="51" t="n"/>
      <c r="F246" s="51" t="n"/>
    </row>
    <row r="247">
      <c r="A247" s="50" t="n"/>
      <c r="B247" s="51" t="n"/>
      <c r="C247" s="52" t="n"/>
      <c r="D247" s="51" t="n"/>
      <c r="E247" s="51" t="n"/>
      <c r="F247" s="51" t="n"/>
    </row>
    <row r="248">
      <c r="A248" s="50" t="n"/>
      <c r="B248" s="51" t="n"/>
      <c r="C248" s="52" t="n"/>
      <c r="D248" s="51" t="n"/>
      <c r="E248" s="51" t="n"/>
      <c r="F248" s="51" t="n"/>
    </row>
    <row r="249">
      <c r="A249" s="50" t="n"/>
      <c r="B249" s="51" t="n"/>
      <c r="C249" s="52" t="n"/>
      <c r="D249" s="51" t="n"/>
      <c r="E249" s="51" t="n"/>
      <c r="F249" s="51" t="n"/>
    </row>
    <row r="250">
      <c r="A250" s="50" t="n"/>
      <c r="B250" s="51" t="n"/>
      <c r="C250" s="52" t="n"/>
      <c r="D250" s="51" t="n"/>
      <c r="E250" s="51" t="n"/>
      <c r="F250" s="51" t="n"/>
    </row>
    <row r="251">
      <c r="A251" s="50" t="n"/>
      <c r="B251" s="51" t="n"/>
      <c r="C251" s="52" t="n"/>
      <c r="D251" s="51" t="n"/>
      <c r="E251" s="51" t="n"/>
      <c r="F251" s="51" t="n"/>
    </row>
    <row r="252">
      <c r="A252" s="50" t="n"/>
      <c r="B252" s="51" t="n"/>
      <c r="C252" s="52" t="n"/>
      <c r="D252" s="51" t="n"/>
      <c r="E252" s="51" t="n"/>
      <c r="F252" s="51" t="n"/>
    </row>
    <row r="253">
      <c r="A253" s="50" t="n"/>
      <c r="B253" s="51" t="n"/>
      <c r="C253" s="52" t="n"/>
      <c r="D253" s="51" t="n"/>
      <c r="E253" s="51" t="n"/>
      <c r="F253" s="51" t="n"/>
    </row>
    <row r="254">
      <c r="A254" s="50" t="n"/>
      <c r="B254" s="51" t="n"/>
      <c r="C254" s="52" t="n"/>
      <c r="D254" s="51" t="n"/>
      <c r="E254" s="51" t="n"/>
      <c r="F254" s="51" t="n"/>
    </row>
    <row r="255">
      <c r="A255" s="50" t="n"/>
      <c r="B255" s="51" t="n"/>
      <c r="C255" s="52" t="n"/>
      <c r="D255" s="51" t="n"/>
      <c r="E255" s="51" t="n"/>
      <c r="F255" s="51" t="n"/>
    </row>
    <row r="256">
      <c r="A256" s="50" t="n"/>
      <c r="B256" s="51" t="n"/>
      <c r="C256" s="52" t="n"/>
      <c r="D256" s="51" t="n"/>
      <c r="E256" s="51" t="n"/>
      <c r="F256" s="51" t="n"/>
    </row>
    <row r="257">
      <c r="A257" s="50" t="n"/>
      <c r="B257" s="51" t="n"/>
      <c r="C257" s="52" t="n"/>
      <c r="D257" s="51" t="n"/>
      <c r="E257" s="51" t="n"/>
      <c r="F257" s="51" t="n"/>
    </row>
    <row r="258">
      <c r="A258" s="50" t="n"/>
      <c r="B258" s="51" t="n"/>
      <c r="C258" s="52" t="n"/>
      <c r="D258" s="51" t="n"/>
      <c r="E258" s="51" t="n"/>
      <c r="F258" s="51" t="n"/>
    </row>
    <row r="259">
      <c r="A259" s="50" t="n"/>
      <c r="B259" s="51" t="n"/>
      <c r="C259" s="52" t="n"/>
      <c r="D259" s="51" t="n"/>
      <c r="E259" s="51" t="n"/>
      <c r="F259" s="51" t="n"/>
    </row>
    <row r="260">
      <c r="A260" s="50" t="n"/>
      <c r="B260" s="51" t="n"/>
      <c r="C260" s="52" t="n"/>
      <c r="D260" s="51" t="n"/>
      <c r="E260" s="51" t="n"/>
      <c r="F260" s="51" t="n"/>
    </row>
    <row r="261">
      <c r="A261" s="50" t="n"/>
      <c r="B261" s="51" t="n"/>
      <c r="C261" s="52" t="n"/>
      <c r="D261" s="51" t="n"/>
      <c r="E261" s="51" t="n"/>
      <c r="F261" s="51" t="n"/>
    </row>
    <row r="262">
      <c r="A262" s="50" t="n"/>
      <c r="B262" s="51" t="n"/>
      <c r="C262" s="52" t="n"/>
      <c r="D262" s="51" t="n"/>
      <c r="E262" s="51" t="n"/>
      <c r="F262" s="51" t="n"/>
    </row>
    <row r="263">
      <c r="A263" s="50" t="n"/>
      <c r="B263" s="51" t="n"/>
      <c r="C263" s="52" t="n"/>
      <c r="D263" s="51" t="n"/>
      <c r="E263" s="51" t="n"/>
      <c r="F263" s="51" t="n"/>
    </row>
    <row r="264">
      <c r="A264" s="50" t="n"/>
      <c r="B264" s="51" t="n"/>
      <c r="C264" s="52" t="n"/>
      <c r="D264" s="51" t="n"/>
      <c r="E264" s="51" t="n"/>
      <c r="F264" s="51" t="n"/>
    </row>
    <row r="265">
      <c r="A265" s="50" t="n"/>
      <c r="B265" s="51" t="n"/>
      <c r="C265" s="52" t="n"/>
      <c r="D265" s="51" t="n"/>
      <c r="E265" s="51" t="n"/>
      <c r="F265" s="51" t="n"/>
    </row>
    <row r="266">
      <c r="A266" s="50" t="n"/>
      <c r="B266" s="51" t="n"/>
      <c r="C266" s="52" t="n"/>
      <c r="D266" s="51" t="n"/>
      <c r="E266" s="51" t="n"/>
      <c r="F266" s="51" t="n"/>
    </row>
    <row r="267">
      <c r="A267" s="50" t="n"/>
      <c r="B267" s="51" t="n"/>
      <c r="C267" s="52" t="n"/>
      <c r="D267" s="51" t="n"/>
      <c r="E267" s="51" t="n"/>
      <c r="F267" s="51" t="n"/>
    </row>
    <row r="268">
      <c r="A268" s="50" t="n"/>
      <c r="B268" s="51" t="n"/>
      <c r="C268" s="52" t="n"/>
      <c r="D268" s="51" t="n"/>
      <c r="E268" s="51" t="n"/>
      <c r="F268" s="51" t="n"/>
    </row>
    <row r="269">
      <c r="A269" s="50" t="n"/>
      <c r="B269" s="51" t="n"/>
      <c r="C269" s="52" t="n"/>
      <c r="D269" s="51" t="n"/>
      <c r="E269" s="51" t="n"/>
      <c r="F269" s="51" t="n"/>
    </row>
    <row r="270">
      <c r="A270" s="50" t="n"/>
      <c r="B270" s="51" t="n"/>
      <c r="C270" s="52" t="n"/>
      <c r="D270" s="51" t="n"/>
      <c r="E270" s="51" t="n"/>
      <c r="F270" s="51" t="n"/>
    </row>
    <row r="271">
      <c r="A271" s="50" t="n"/>
      <c r="B271" s="51" t="n"/>
      <c r="C271" s="52" t="n"/>
      <c r="D271" s="51" t="n"/>
      <c r="E271" s="51" t="n"/>
      <c r="F271" s="51" t="n"/>
    </row>
    <row r="272">
      <c r="A272" s="50" t="n"/>
      <c r="B272" s="51" t="n"/>
      <c r="C272" s="52" t="n"/>
      <c r="D272" s="51" t="n"/>
      <c r="E272" s="51" t="n"/>
      <c r="F272" s="51" t="n"/>
    </row>
    <row r="273">
      <c r="A273" s="50" t="n"/>
      <c r="B273" s="51" t="n"/>
      <c r="C273" s="52" t="n"/>
      <c r="D273" s="51" t="n"/>
      <c r="E273" s="51" t="n"/>
      <c r="F273" s="51" t="n"/>
    </row>
    <row r="274">
      <c r="A274" s="50" t="n"/>
      <c r="B274" s="51" t="n"/>
      <c r="C274" s="52" t="n"/>
      <c r="D274" s="51" t="n"/>
      <c r="E274" s="51" t="n"/>
      <c r="F274" s="51" t="n"/>
    </row>
    <row r="275">
      <c r="A275" s="50" t="n"/>
      <c r="B275" s="51" t="n"/>
      <c r="C275" s="52" t="n"/>
      <c r="D275" s="51" t="n"/>
      <c r="E275" s="51" t="n"/>
      <c r="F275" s="51" t="n"/>
    </row>
    <row r="276">
      <c r="A276" s="50" t="n"/>
      <c r="B276" s="51" t="n"/>
      <c r="C276" s="52" t="n"/>
      <c r="D276" s="51" t="n"/>
      <c r="E276" s="51" t="n"/>
      <c r="F276" s="51" t="n"/>
    </row>
    <row r="277">
      <c r="A277" s="50" t="n"/>
      <c r="B277" s="51" t="n"/>
      <c r="C277" s="52" t="n"/>
      <c r="D277" s="51" t="n"/>
      <c r="E277" s="51" t="n"/>
      <c r="F277" s="51" t="n"/>
    </row>
    <row r="278">
      <c r="A278" s="50" t="n"/>
      <c r="B278" s="51" t="n"/>
      <c r="C278" s="52" t="n"/>
      <c r="D278" s="51" t="n"/>
      <c r="E278" s="51" t="n"/>
      <c r="F278" s="51" t="n"/>
    </row>
    <row r="279">
      <c r="A279" s="50" t="n"/>
      <c r="B279" s="51" t="n"/>
      <c r="C279" s="52" t="n"/>
      <c r="D279" s="51" t="n"/>
      <c r="E279" s="51" t="n"/>
      <c r="F279" s="51" t="n"/>
    </row>
    <row r="280">
      <c r="A280" s="50" t="n"/>
      <c r="B280" s="51" t="n"/>
      <c r="C280" s="52" t="n"/>
      <c r="D280" s="51" t="n"/>
      <c r="E280" s="51" t="n"/>
      <c r="F280" s="51" t="n"/>
    </row>
    <row r="281">
      <c r="A281" s="50" t="n"/>
      <c r="B281" s="51" t="n"/>
      <c r="C281" s="52" t="n"/>
      <c r="D281" s="51" t="n"/>
      <c r="E281" s="51" t="n"/>
      <c r="F281" s="51" t="n"/>
    </row>
    <row r="282">
      <c r="A282" s="50" t="n"/>
      <c r="B282" s="51" t="n"/>
      <c r="C282" s="52" t="n"/>
      <c r="D282" s="51" t="n"/>
      <c r="E282" s="51" t="n"/>
      <c r="F282" s="51" t="n"/>
    </row>
    <row r="283">
      <c r="A283" s="50" t="n"/>
      <c r="B283" s="51" t="n"/>
      <c r="C283" s="52" t="n"/>
      <c r="D283" s="51" t="n"/>
      <c r="E283" s="51" t="n"/>
      <c r="F283" s="51" t="n"/>
    </row>
    <row r="284">
      <c r="A284" s="50" t="n"/>
      <c r="B284" s="51" t="n"/>
      <c r="C284" s="52" t="n"/>
      <c r="D284" s="51" t="n"/>
      <c r="E284" s="51" t="n"/>
      <c r="F284" s="51" t="n"/>
    </row>
    <row r="285">
      <c r="A285" s="50" t="n"/>
      <c r="B285" s="51" t="n"/>
      <c r="C285" s="52" t="n"/>
      <c r="D285" s="51" t="n"/>
      <c r="E285" s="51" t="n"/>
      <c r="F285" s="51" t="n"/>
    </row>
    <row r="286">
      <c r="A286" s="50" t="n"/>
      <c r="B286" s="51" t="n"/>
      <c r="C286" s="52" t="n"/>
      <c r="D286" s="51" t="n"/>
      <c r="E286" s="51" t="n"/>
      <c r="F286" s="51" t="n"/>
    </row>
    <row r="287">
      <c r="A287" s="50" t="n"/>
      <c r="B287" s="51" t="n"/>
      <c r="C287" s="52" t="n"/>
      <c r="D287" s="51" t="n"/>
      <c r="E287" s="51" t="n"/>
      <c r="F287" s="51" t="n"/>
    </row>
    <row r="288">
      <c r="A288" s="50" t="n"/>
      <c r="B288" s="51" t="n"/>
      <c r="C288" s="52" t="n"/>
      <c r="D288" s="51" t="n"/>
      <c r="E288" s="51" t="n"/>
      <c r="F288" s="51" t="n"/>
    </row>
    <row r="289">
      <c r="A289" s="50" t="n"/>
      <c r="B289" s="51" t="n"/>
      <c r="C289" s="52" t="n"/>
      <c r="D289" s="51" t="n"/>
      <c r="E289" s="51" t="n"/>
      <c r="F289" s="51" t="n"/>
    </row>
    <row r="290">
      <c r="A290" s="50" t="n"/>
      <c r="B290" s="51" t="n"/>
      <c r="C290" s="52" t="n"/>
      <c r="D290" s="51" t="n"/>
      <c r="E290" s="51" t="n"/>
      <c r="F290" s="51" t="n"/>
    </row>
    <row r="291">
      <c r="A291" s="50" t="n"/>
      <c r="B291" s="51" t="n"/>
      <c r="C291" s="52" t="n"/>
      <c r="D291" s="51" t="n"/>
      <c r="E291" s="51" t="n"/>
      <c r="F291" s="51" t="n"/>
    </row>
    <row r="292">
      <c r="A292" s="50" t="n"/>
      <c r="B292" s="51" t="n"/>
      <c r="C292" s="52" t="n"/>
      <c r="D292" s="51" t="n"/>
      <c r="E292" s="51" t="n"/>
      <c r="F292" s="51" t="n"/>
    </row>
    <row r="293">
      <c r="A293" s="50" t="n"/>
      <c r="B293" s="51" t="n"/>
      <c r="C293" s="52" t="n"/>
      <c r="D293" s="51" t="n"/>
      <c r="E293" s="51" t="n"/>
      <c r="F293" s="51" t="n"/>
    </row>
    <row r="294">
      <c r="A294" s="50" t="n"/>
      <c r="B294" s="51" t="n"/>
      <c r="C294" s="52" t="n"/>
      <c r="D294" s="51" t="n"/>
      <c r="E294" s="51" t="n"/>
      <c r="F294" s="51" t="n"/>
    </row>
    <row r="295">
      <c r="A295" s="50" t="n"/>
      <c r="B295" s="51" t="n"/>
      <c r="C295" s="52" t="n"/>
      <c r="D295" s="51" t="n"/>
      <c r="E295" s="51" t="n"/>
      <c r="F295" s="51" t="n"/>
    </row>
    <row r="296">
      <c r="A296" s="50" t="n"/>
      <c r="B296" s="51" t="n"/>
      <c r="C296" s="52" t="n"/>
      <c r="D296" s="51" t="n"/>
      <c r="E296" s="51" t="n"/>
      <c r="F296" s="51" t="n"/>
    </row>
    <row r="297">
      <c r="A297" s="50" t="n"/>
      <c r="B297" s="51" t="n"/>
      <c r="C297" s="52" t="n"/>
      <c r="D297" s="51" t="n"/>
      <c r="E297" s="51" t="n"/>
      <c r="F297" s="51" t="n"/>
    </row>
    <row r="298">
      <c r="A298" s="50" t="n"/>
      <c r="B298" s="51" t="n"/>
      <c r="C298" s="52" t="n"/>
      <c r="D298" s="51" t="n"/>
      <c r="E298" s="51" t="n"/>
      <c r="F298" s="51" t="n"/>
    </row>
    <row r="299">
      <c r="A299" s="50" t="n"/>
      <c r="B299" s="51" t="n"/>
      <c r="C299" s="52" t="n"/>
      <c r="D299" s="51" t="n"/>
      <c r="E299" s="51" t="n"/>
      <c r="F299" s="51" t="n"/>
    </row>
    <row r="300">
      <c r="A300" s="50" t="n"/>
      <c r="B300" s="51" t="n"/>
      <c r="C300" s="52" t="n"/>
      <c r="D300" s="51" t="n"/>
      <c r="E300" s="51" t="n"/>
      <c r="F300" s="51" t="n"/>
    </row>
    <row r="301">
      <c r="A301" s="50" t="n"/>
      <c r="B301" s="51" t="n"/>
      <c r="C301" s="52" t="n"/>
      <c r="D301" s="51" t="n"/>
      <c r="E301" s="51" t="n"/>
      <c r="F301" s="51" t="n"/>
    </row>
    <row r="302">
      <c r="A302" s="50" t="n"/>
      <c r="B302" s="51" t="n"/>
      <c r="C302" s="52" t="n"/>
      <c r="D302" s="51" t="n"/>
      <c r="E302" s="51" t="n"/>
      <c r="F302" s="51" t="n"/>
    </row>
    <row r="303">
      <c r="A303" s="50" t="n"/>
      <c r="B303" s="51" t="n"/>
      <c r="C303" s="52" t="n"/>
      <c r="D303" s="51" t="n"/>
      <c r="E303" s="51" t="n"/>
      <c r="F303" s="51" t="n"/>
    </row>
    <row r="304">
      <c r="A304" s="50" t="n"/>
      <c r="B304" s="51" t="n"/>
      <c r="C304" s="52" t="n"/>
      <c r="D304" s="51" t="n"/>
      <c r="E304" s="51" t="n"/>
      <c r="F304" s="51" t="n"/>
    </row>
    <row r="305">
      <c r="A305" s="50" t="n"/>
      <c r="B305" s="51" t="n"/>
      <c r="C305" s="52" t="n"/>
      <c r="D305" s="51" t="n"/>
      <c r="E305" s="51" t="n"/>
      <c r="F305" s="51" t="n"/>
    </row>
    <row r="306">
      <c r="A306" s="50" t="n"/>
      <c r="B306" s="51" t="n"/>
      <c r="C306" s="52" t="n"/>
      <c r="D306" s="51" t="n"/>
      <c r="E306" s="51" t="n"/>
      <c r="F306" s="51" t="n"/>
    </row>
    <row r="307">
      <c r="A307" s="50" t="n"/>
      <c r="B307" s="51" t="n"/>
      <c r="C307" s="52" t="n"/>
      <c r="D307" s="51" t="n"/>
      <c r="E307" s="51" t="n"/>
      <c r="F307" s="51" t="n"/>
    </row>
    <row r="308">
      <c r="A308" s="50" t="n"/>
      <c r="B308" s="51" t="n"/>
      <c r="C308" s="52" t="n"/>
      <c r="D308" s="51" t="n"/>
      <c r="E308" s="51" t="n"/>
      <c r="F308" s="51" t="n"/>
    </row>
    <row r="309">
      <c r="A309" s="50" t="n"/>
      <c r="B309" s="51" t="n"/>
      <c r="C309" s="52" t="n"/>
      <c r="D309" s="51" t="n"/>
      <c r="E309" s="51" t="n"/>
      <c r="F309" s="51" t="n"/>
    </row>
    <row r="310">
      <c r="A310" s="50" t="n"/>
      <c r="B310" s="51" t="n"/>
      <c r="C310" s="52" t="n"/>
      <c r="D310" s="51" t="n"/>
      <c r="E310" s="51" t="n"/>
      <c r="F310" s="51" t="n"/>
    </row>
    <row r="311">
      <c r="A311" s="50" t="n"/>
      <c r="B311" s="51" t="n"/>
      <c r="C311" s="52" t="n"/>
      <c r="D311" s="51" t="n"/>
      <c r="E311" s="51" t="n"/>
      <c r="F311" s="51" t="n"/>
    </row>
    <row r="312">
      <c r="A312" s="50" t="n"/>
      <c r="B312" s="51" t="n"/>
      <c r="C312" s="52" t="n"/>
      <c r="D312" s="51" t="n"/>
      <c r="E312" s="51" t="n"/>
      <c r="F312" s="51" t="n"/>
    </row>
    <row r="313">
      <c r="A313" s="50" t="n"/>
      <c r="B313" s="51" t="n"/>
      <c r="C313" s="52" t="n"/>
      <c r="D313" s="51" t="n"/>
      <c r="E313" s="51" t="n"/>
      <c r="F313" s="51" t="n"/>
    </row>
    <row r="314">
      <c r="A314" s="50" t="n"/>
      <c r="B314" s="51" t="n"/>
      <c r="C314" s="52" t="n"/>
      <c r="D314" s="51" t="n"/>
      <c r="E314" s="51" t="n"/>
      <c r="F314" s="51" t="n"/>
    </row>
    <row r="315">
      <c r="A315" s="50" t="n"/>
      <c r="B315" s="51" t="n"/>
      <c r="C315" s="52" t="n"/>
      <c r="D315" s="51" t="n"/>
      <c r="E315" s="51" t="n"/>
      <c r="F315" s="51" t="n"/>
    </row>
    <row r="316">
      <c r="A316" s="50" t="n"/>
      <c r="B316" s="51" t="n"/>
      <c r="C316" s="52" t="n"/>
      <c r="D316" s="51" t="n"/>
      <c r="E316" s="51" t="n"/>
      <c r="F316" s="51" t="n"/>
    </row>
    <row r="317">
      <c r="A317" s="50" t="n"/>
      <c r="B317" s="51" t="n"/>
      <c r="C317" s="52" t="n"/>
      <c r="D317" s="51" t="n"/>
      <c r="E317" s="51" t="n"/>
      <c r="F317" s="51" t="n"/>
    </row>
    <row r="318">
      <c r="A318" s="50" t="n"/>
      <c r="B318" s="51" t="n"/>
      <c r="C318" s="52" t="n"/>
      <c r="D318" s="51" t="n"/>
      <c r="E318" s="51" t="n"/>
      <c r="F318" s="51" t="n"/>
    </row>
    <row r="319">
      <c r="A319" s="50" t="n"/>
      <c r="B319" s="51" t="n"/>
      <c r="C319" s="52" t="n"/>
      <c r="D319" s="51" t="n"/>
      <c r="E319" s="51" t="n"/>
      <c r="F319" s="51" t="n"/>
    </row>
    <row r="320">
      <c r="A320" s="50" t="n"/>
      <c r="B320" s="51" t="n"/>
      <c r="C320" s="52" t="n"/>
      <c r="D320" s="51" t="n"/>
      <c r="E320" s="51" t="n"/>
      <c r="F320" s="51" t="n"/>
    </row>
    <row r="321">
      <c r="A321" s="50" t="n"/>
      <c r="B321" s="51" t="n"/>
      <c r="C321" s="52" t="n"/>
      <c r="D321" s="51" t="n"/>
      <c r="E321" s="51" t="n"/>
      <c r="F321" s="51" t="n"/>
    </row>
    <row r="322">
      <c r="A322" s="50" t="n"/>
      <c r="B322" s="51" t="n"/>
      <c r="C322" s="52" t="n"/>
      <c r="D322" s="51" t="n"/>
      <c r="E322" s="51" t="n"/>
      <c r="F322" s="51" t="n"/>
    </row>
    <row r="323">
      <c r="A323" s="50" t="n"/>
      <c r="B323" s="51" t="n"/>
      <c r="C323" s="52" t="n"/>
      <c r="D323" s="51" t="n"/>
      <c r="E323" s="51" t="n"/>
      <c r="F323" s="51" t="n"/>
    </row>
    <row r="324">
      <c r="A324" s="50" t="n"/>
      <c r="B324" s="51" t="n"/>
      <c r="C324" s="52" t="n"/>
      <c r="D324" s="51" t="n"/>
      <c r="E324" s="51" t="n"/>
      <c r="F324" s="51" t="n"/>
    </row>
    <row r="325">
      <c r="A325" s="50" t="n"/>
      <c r="B325" s="51" t="n"/>
      <c r="C325" s="52" t="n"/>
      <c r="D325" s="51" t="n"/>
      <c r="E325" s="51" t="n"/>
      <c r="F325" s="51" t="n"/>
    </row>
    <row r="326">
      <c r="A326" s="50" t="n"/>
      <c r="B326" s="51" t="n"/>
      <c r="C326" s="52" t="n"/>
      <c r="D326" s="51" t="n"/>
      <c r="E326" s="51" t="n"/>
      <c r="F326" s="51" t="n"/>
    </row>
    <row r="327">
      <c r="A327" s="50" t="n"/>
      <c r="B327" s="51" t="n"/>
      <c r="C327" s="52" t="n"/>
      <c r="D327" s="51" t="n"/>
      <c r="E327" s="51" t="n"/>
      <c r="F327" s="51" t="n"/>
    </row>
    <row r="328">
      <c r="A328" s="50" t="n"/>
      <c r="B328" s="51" t="n"/>
      <c r="C328" s="52" t="n"/>
      <c r="D328" s="51" t="n"/>
      <c r="E328" s="51" t="n"/>
      <c r="F328" s="51" t="n"/>
    </row>
    <row r="329">
      <c r="A329" s="50" t="n"/>
      <c r="B329" s="51" t="n"/>
      <c r="C329" s="52" t="n"/>
      <c r="D329" s="51" t="n"/>
      <c r="E329" s="51" t="n"/>
      <c r="F329" s="51" t="n"/>
    </row>
    <row r="330">
      <c r="A330" s="50" t="n"/>
      <c r="B330" s="51" t="n"/>
      <c r="C330" s="52" t="n"/>
      <c r="D330" s="51" t="n"/>
      <c r="E330" s="51" t="n"/>
      <c r="F330" s="51" t="n"/>
    </row>
    <row r="331">
      <c r="A331" s="50" t="n"/>
      <c r="B331" s="51" t="n"/>
      <c r="C331" s="52" t="n"/>
      <c r="D331" s="51" t="n"/>
      <c r="E331" s="51" t="n"/>
      <c r="F331" s="51" t="n"/>
    </row>
    <row r="332">
      <c r="A332" s="50" t="n"/>
      <c r="B332" s="51" t="n"/>
      <c r="C332" s="52" t="n"/>
      <c r="D332" s="51" t="n"/>
      <c r="E332" s="51" t="n"/>
      <c r="F332" s="51" t="n"/>
    </row>
    <row r="333">
      <c r="A333" s="50" t="n"/>
      <c r="B333" s="51" t="n"/>
      <c r="C333" s="52" t="n"/>
      <c r="D333" s="51" t="n"/>
      <c r="E333" s="51" t="n"/>
      <c r="F333" s="51" t="n"/>
    </row>
    <row r="334">
      <c r="A334" s="50" t="n"/>
      <c r="B334" s="51" t="n"/>
      <c r="C334" s="52" t="n"/>
      <c r="D334" s="51" t="n"/>
      <c r="E334" s="51" t="n"/>
      <c r="F334" s="51" t="n"/>
    </row>
    <row r="335">
      <c r="A335" s="50" t="n"/>
      <c r="B335" s="51" t="n"/>
      <c r="C335" s="52" t="n"/>
      <c r="D335" s="51" t="n"/>
      <c r="E335" s="51" t="n"/>
      <c r="F335" s="51" t="n"/>
    </row>
    <row r="336">
      <c r="A336" s="50" t="n"/>
      <c r="B336" s="51" t="n"/>
      <c r="C336" s="52" t="n"/>
      <c r="D336" s="51" t="n"/>
      <c r="E336" s="51" t="n"/>
      <c r="F336" s="51" t="n"/>
    </row>
    <row r="337">
      <c r="A337" s="50" t="n"/>
      <c r="B337" s="51" t="n"/>
      <c r="C337" s="52" t="n"/>
      <c r="D337" s="51" t="n"/>
      <c r="E337" s="51" t="n"/>
      <c r="F337" s="51" t="n"/>
    </row>
    <row r="338">
      <c r="A338" s="50" t="n"/>
      <c r="B338" s="51" t="n"/>
      <c r="C338" s="52" t="n"/>
      <c r="D338" s="51" t="n"/>
      <c r="E338" s="51" t="n"/>
      <c r="F338" s="51" t="n"/>
    </row>
    <row r="339">
      <c r="A339" s="50" t="n"/>
      <c r="B339" s="51" t="n"/>
      <c r="C339" s="52" t="n"/>
      <c r="D339" s="51" t="n"/>
      <c r="E339" s="51" t="n"/>
      <c r="F339" s="51" t="n"/>
    </row>
    <row r="340">
      <c r="A340" s="50" t="n"/>
      <c r="B340" s="51" t="n"/>
      <c r="C340" s="52" t="n"/>
      <c r="D340" s="51" t="n"/>
      <c r="E340" s="51" t="n"/>
      <c r="F340" s="51" t="n"/>
    </row>
    <row r="341">
      <c r="A341" s="50" t="n"/>
      <c r="B341" s="51" t="n"/>
      <c r="C341" s="52" t="n"/>
      <c r="D341" s="51" t="n"/>
      <c r="E341" s="51" t="n"/>
      <c r="F341" s="51" t="n"/>
    </row>
    <row r="342">
      <c r="A342" s="50" t="n"/>
      <c r="B342" s="51" t="n"/>
      <c r="C342" s="52" t="n"/>
      <c r="D342" s="51" t="n"/>
      <c r="E342" s="51" t="n"/>
      <c r="F342" s="51" t="n"/>
    </row>
    <row r="343">
      <c r="A343" s="50" t="n"/>
      <c r="B343" s="51" t="n"/>
      <c r="C343" s="52" t="n"/>
      <c r="D343" s="51" t="n"/>
      <c r="E343" s="51" t="n"/>
      <c r="F343" s="51" t="n"/>
    </row>
    <row r="344">
      <c r="A344" s="50" t="n"/>
      <c r="B344" s="51" t="n"/>
      <c r="C344" s="52" t="n"/>
      <c r="D344" s="51" t="n"/>
      <c r="E344" s="51" t="n"/>
      <c r="F344" s="51" t="n"/>
    </row>
    <row r="345">
      <c r="A345" s="50" t="n"/>
      <c r="B345" s="51" t="n"/>
      <c r="C345" s="52" t="n"/>
      <c r="D345" s="51" t="n"/>
      <c r="E345" s="51" t="n"/>
      <c r="F345" s="51" t="n"/>
    </row>
    <row r="346">
      <c r="A346" s="50" t="n"/>
      <c r="B346" s="51" t="n"/>
      <c r="C346" s="52" t="n"/>
      <c r="D346" s="51" t="n"/>
      <c r="E346" s="51" t="n"/>
      <c r="F346" s="51" t="n"/>
    </row>
    <row r="347">
      <c r="A347" s="50" t="n"/>
      <c r="B347" s="51" t="n"/>
      <c r="C347" s="52" t="n"/>
      <c r="D347" s="51" t="n"/>
      <c r="E347" s="51" t="n"/>
      <c r="F347" s="51" t="n"/>
    </row>
    <row r="348">
      <c r="A348" s="50" t="n"/>
      <c r="B348" s="51" t="n"/>
      <c r="C348" s="52" t="n"/>
      <c r="D348" s="51" t="n"/>
      <c r="E348" s="51" t="n"/>
      <c r="F348" s="51" t="n"/>
    </row>
    <row r="349">
      <c r="A349" s="50" t="n"/>
      <c r="B349" s="51" t="n"/>
      <c r="C349" s="52" t="n"/>
      <c r="D349" s="51" t="n"/>
      <c r="E349" s="51" t="n"/>
      <c r="F349" s="51" t="n"/>
    </row>
    <row r="350">
      <c r="A350" s="50" t="n"/>
      <c r="B350" s="51" t="n"/>
      <c r="C350" s="52" t="n"/>
      <c r="D350" s="51" t="n"/>
      <c r="E350" s="51" t="n"/>
      <c r="F350" s="51" t="n"/>
    </row>
    <row r="351">
      <c r="A351" s="50" t="n"/>
      <c r="B351" s="51" t="n"/>
      <c r="C351" s="52" t="n"/>
      <c r="D351" s="51" t="n"/>
      <c r="E351" s="51" t="n"/>
      <c r="F351" s="51" t="n"/>
    </row>
    <row r="352">
      <c r="A352" s="50" t="n"/>
      <c r="B352" s="51" t="n"/>
      <c r="C352" s="52" t="n"/>
      <c r="D352" s="51" t="n"/>
      <c r="E352" s="51" t="n"/>
      <c r="F352" s="51" t="n"/>
    </row>
    <row r="353">
      <c r="A353" s="50" t="n"/>
      <c r="B353" s="51" t="n"/>
      <c r="C353" s="52" t="n"/>
      <c r="D353" s="51" t="n"/>
      <c r="E353" s="51" t="n"/>
      <c r="F353" s="51" t="n"/>
    </row>
    <row r="354">
      <c r="A354" s="50" t="n"/>
      <c r="B354" s="51" t="n"/>
      <c r="C354" s="52" t="n"/>
      <c r="D354" s="51" t="n"/>
      <c r="E354" s="51" t="n"/>
      <c r="F354" s="51" t="n"/>
    </row>
    <row r="355">
      <c r="A355" s="50" t="n"/>
      <c r="B355" s="51" t="n"/>
      <c r="C355" s="52" t="n"/>
      <c r="D355" s="51" t="n"/>
      <c r="E355" s="51" t="n"/>
      <c r="F355" s="51" t="n"/>
    </row>
    <row r="356">
      <c r="A356" s="50" t="n"/>
      <c r="B356" s="51" t="n"/>
      <c r="C356" s="52" t="n"/>
      <c r="D356" s="51" t="n"/>
      <c r="E356" s="51" t="n"/>
      <c r="F356" s="51" t="n"/>
    </row>
    <row r="357">
      <c r="A357" s="50" t="n"/>
      <c r="B357" s="51" t="n"/>
      <c r="C357" s="52" t="n"/>
      <c r="D357" s="51" t="n"/>
      <c r="E357" s="51" t="n"/>
      <c r="F357" s="51" t="n"/>
    </row>
    <row r="358">
      <c r="A358" s="50" t="n"/>
      <c r="B358" s="51" t="n"/>
      <c r="C358" s="52" t="n"/>
      <c r="D358" s="51" t="n"/>
      <c r="E358" s="51" t="n"/>
      <c r="F358" s="51" t="n"/>
    </row>
    <row r="359">
      <c r="A359" s="50" t="n"/>
      <c r="B359" s="51" t="n"/>
      <c r="C359" s="52" t="n"/>
      <c r="D359" s="51" t="n"/>
      <c r="E359" s="51" t="n"/>
      <c r="F359" s="51" t="n"/>
    </row>
    <row r="360">
      <c r="A360" s="50" t="n"/>
      <c r="B360" s="51" t="n"/>
      <c r="C360" s="52" t="n"/>
      <c r="D360" s="51" t="n"/>
      <c r="E360" s="51" t="n"/>
      <c r="F360" s="51" t="n"/>
    </row>
    <row r="361">
      <c r="A361" s="50" t="n"/>
      <c r="B361" s="51" t="n"/>
      <c r="C361" s="52" t="n"/>
      <c r="D361" s="51" t="n"/>
      <c r="E361" s="51" t="n"/>
      <c r="F361" s="51" t="n"/>
    </row>
    <row r="362">
      <c r="A362" s="50" t="n"/>
      <c r="B362" s="51" t="n"/>
      <c r="C362" s="52" t="n"/>
      <c r="D362" s="51" t="n"/>
      <c r="E362" s="51" t="n"/>
      <c r="F362" s="51" t="n"/>
    </row>
    <row r="363">
      <c r="A363" s="50" t="n"/>
      <c r="B363" s="51" t="n"/>
      <c r="C363" s="52" t="n"/>
      <c r="D363" s="51" t="n"/>
      <c r="E363" s="51" t="n"/>
      <c r="F363" s="51" t="n"/>
    </row>
    <row r="364">
      <c r="A364" s="50" t="n"/>
      <c r="B364" s="51" t="n"/>
      <c r="C364" s="52" t="n"/>
      <c r="D364" s="51" t="n"/>
      <c r="E364" s="51" t="n"/>
      <c r="F364" s="51" t="n"/>
    </row>
    <row r="365">
      <c r="A365" s="50" t="n"/>
      <c r="B365" s="51" t="n"/>
      <c r="C365" s="52" t="n"/>
      <c r="D365" s="51" t="n"/>
      <c r="E365" s="51" t="n"/>
      <c r="F365" s="51" t="n"/>
    </row>
    <row r="366">
      <c r="A366" s="50" t="n"/>
      <c r="B366" s="51" t="n"/>
      <c r="C366" s="52" t="n"/>
      <c r="D366" s="51" t="n"/>
      <c r="E366" s="51" t="n"/>
      <c r="F366" s="51" t="n"/>
    </row>
    <row r="367">
      <c r="A367" s="50" t="n"/>
      <c r="B367" s="51" t="n"/>
      <c r="C367" s="52" t="n"/>
      <c r="D367" s="51" t="n"/>
      <c r="E367" s="51" t="n"/>
      <c r="F367" s="51" t="n"/>
    </row>
    <row r="368">
      <c r="A368" s="50" t="n"/>
      <c r="B368" s="51" t="n"/>
      <c r="C368" s="52" t="n"/>
      <c r="D368" s="51" t="n"/>
      <c r="E368" s="51" t="n"/>
      <c r="F368" s="51" t="n"/>
    </row>
    <row r="369">
      <c r="A369" s="50" t="n"/>
      <c r="B369" s="51" t="n"/>
      <c r="C369" s="52" t="n"/>
      <c r="D369" s="51" t="n"/>
      <c r="E369" s="51" t="n"/>
      <c r="F369" s="51" t="n"/>
    </row>
    <row r="370">
      <c r="A370" s="50" t="n"/>
      <c r="B370" s="51" t="n"/>
      <c r="C370" s="52" t="n"/>
      <c r="D370" s="51" t="n"/>
      <c r="E370" s="51" t="n"/>
      <c r="F370" s="51" t="n"/>
    </row>
    <row r="371">
      <c r="A371" s="50" t="n"/>
      <c r="B371" s="51" t="n"/>
      <c r="C371" s="52" t="n"/>
      <c r="D371" s="51" t="n"/>
      <c r="E371" s="51" t="n"/>
      <c r="F371" s="51" t="n"/>
    </row>
    <row r="372">
      <c r="A372" s="50" t="n"/>
      <c r="B372" s="51" t="n"/>
      <c r="C372" s="52" t="n"/>
      <c r="D372" s="51" t="n"/>
      <c r="E372" s="51" t="n"/>
      <c r="F372" s="51" t="n"/>
    </row>
    <row r="373">
      <c r="A373" s="50" t="n"/>
      <c r="B373" s="51" t="n"/>
      <c r="C373" s="52" t="n"/>
      <c r="D373" s="51" t="n"/>
      <c r="E373" s="51" t="n"/>
      <c r="F373" s="51" t="n"/>
    </row>
    <row r="374">
      <c r="A374" s="50" t="n"/>
      <c r="B374" s="51" t="n"/>
      <c r="C374" s="52" t="n"/>
      <c r="D374" s="51" t="n"/>
      <c r="E374" s="51" t="n"/>
      <c r="F374" s="51" t="n"/>
    </row>
    <row r="375">
      <c r="A375" s="50" t="n"/>
      <c r="B375" s="51" t="n"/>
      <c r="C375" s="52" t="n"/>
      <c r="D375" s="51" t="n"/>
      <c r="E375" s="51" t="n"/>
      <c r="F375" s="51" t="n"/>
    </row>
    <row r="376">
      <c r="A376" s="50" t="n"/>
      <c r="B376" s="51" t="n"/>
      <c r="C376" s="52" t="n"/>
      <c r="D376" s="51" t="n"/>
      <c r="E376" s="51" t="n"/>
      <c r="F376" s="51" t="n"/>
    </row>
    <row r="377">
      <c r="A377" s="50" t="n"/>
      <c r="B377" s="51" t="n"/>
      <c r="C377" s="52" t="n"/>
      <c r="D377" s="51" t="n"/>
      <c r="E377" s="51" t="n"/>
      <c r="F377" s="51" t="n"/>
    </row>
    <row r="378">
      <c r="A378" s="50" t="n"/>
      <c r="B378" s="51" t="n"/>
      <c r="C378" s="52" t="n"/>
      <c r="D378" s="51" t="n"/>
      <c r="E378" s="51" t="n"/>
      <c r="F378" s="51" t="n"/>
    </row>
    <row r="379">
      <c r="A379" s="50" t="n"/>
      <c r="B379" s="51" t="n"/>
      <c r="C379" s="52" t="n"/>
      <c r="D379" s="51" t="n"/>
      <c r="E379" s="51" t="n"/>
      <c r="F379" s="51" t="n"/>
    </row>
    <row r="380">
      <c r="A380" s="50" t="n"/>
      <c r="B380" s="51" t="n"/>
      <c r="C380" s="52" t="n"/>
      <c r="D380" s="51" t="n"/>
      <c r="E380" s="51" t="n"/>
      <c r="F380" s="51" t="n"/>
    </row>
    <row r="381">
      <c r="A381" s="50" t="n"/>
      <c r="B381" s="51" t="n"/>
      <c r="C381" s="52" t="n"/>
      <c r="D381" s="51" t="n"/>
      <c r="E381" s="51" t="n"/>
      <c r="F381" s="51" t="n"/>
    </row>
    <row r="382">
      <c r="A382" s="50" t="n"/>
      <c r="B382" s="51" t="n"/>
      <c r="C382" s="52" t="n"/>
      <c r="D382" s="51" t="n"/>
      <c r="E382" s="51" t="n"/>
      <c r="F382" s="51" t="n"/>
    </row>
    <row r="383">
      <c r="A383" s="50" t="n"/>
      <c r="B383" s="51" t="n"/>
      <c r="C383" s="52" t="n"/>
      <c r="D383" s="51" t="n"/>
      <c r="E383" s="51" t="n"/>
      <c r="F383" s="51" t="n"/>
    </row>
    <row r="384">
      <c r="A384" s="50" t="n"/>
      <c r="B384" s="51" t="n"/>
      <c r="C384" s="52" t="n"/>
      <c r="D384" s="51" t="n"/>
      <c r="E384" s="51" t="n"/>
      <c r="F384" s="51" t="n"/>
    </row>
    <row r="385">
      <c r="A385" s="50" t="n"/>
      <c r="B385" s="51" t="n"/>
      <c r="C385" s="52" t="n"/>
      <c r="D385" s="51" t="n"/>
      <c r="E385" s="51" t="n"/>
      <c r="F385" s="51" t="n"/>
    </row>
    <row r="386">
      <c r="A386" s="50" t="n"/>
      <c r="B386" s="51" t="n"/>
      <c r="C386" s="52" t="n"/>
      <c r="D386" s="51" t="n"/>
      <c r="E386" s="51" t="n"/>
      <c r="F386" s="51" t="n"/>
    </row>
    <row r="387">
      <c r="A387" s="50" t="n"/>
      <c r="B387" s="51" t="n"/>
      <c r="C387" s="52" t="n"/>
      <c r="D387" s="51" t="n"/>
      <c r="E387" s="51" t="n"/>
      <c r="F387" s="51" t="n"/>
    </row>
    <row r="388">
      <c r="A388" s="50" t="n"/>
      <c r="B388" s="51" t="n"/>
      <c r="C388" s="52" t="n"/>
      <c r="D388" s="51" t="n"/>
      <c r="E388" s="51" t="n"/>
      <c r="F388" s="51" t="n"/>
    </row>
    <row r="389">
      <c r="A389" s="50" t="n"/>
      <c r="B389" s="51" t="n"/>
      <c r="C389" s="52" t="n"/>
      <c r="D389" s="51" t="n"/>
      <c r="E389" s="51" t="n"/>
      <c r="F389" s="51" t="n"/>
    </row>
    <row r="390">
      <c r="A390" s="50" t="n"/>
      <c r="B390" s="51" t="n"/>
      <c r="C390" s="52" t="n"/>
      <c r="D390" s="51" t="n"/>
      <c r="E390" s="51" t="n"/>
      <c r="F390" s="51" t="n"/>
    </row>
    <row r="391">
      <c r="A391" s="50" t="n"/>
      <c r="B391" s="51" t="n"/>
      <c r="C391" s="52" t="n"/>
      <c r="D391" s="51" t="n"/>
      <c r="E391" s="51" t="n"/>
      <c r="F391" s="51" t="n"/>
    </row>
    <row r="392">
      <c r="A392" s="50" t="n"/>
      <c r="B392" s="51" t="n"/>
      <c r="C392" s="52" t="n"/>
      <c r="D392" s="51" t="n"/>
      <c r="E392" s="51" t="n"/>
      <c r="F392" s="51" t="n"/>
    </row>
    <row r="393">
      <c r="A393" s="50" t="n"/>
      <c r="B393" s="51" t="n"/>
      <c r="C393" s="52" t="n"/>
      <c r="D393" s="51" t="n"/>
      <c r="E393" s="51" t="n"/>
      <c r="F393" s="51" t="n"/>
    </row>
    <row r="394">
      <c r="A394" s="50" t="n"/>
      <c r="B394" s="51" t="n"/>
      <c r="C394" s="52" t="n"/>
      <c r="D394" s="51" t="n"/>
      <c r="E394" s="51" t="n"/>
      <c r="F394" s="51" t="n"/>
    </row>
    <row r="395">
      <c r="A395" s="50" t="n"/>
      <c r="B395" s="51" t="n"/>
      <c r="C395" s="52" t="n"/>
      <c r="D395" s="51" t="n"/>
      <c r="E395" s="51" t="n"/>
      <c r="F395" s="51" t="n"/>
    </row>
    <row r="396">
      <c r="A396" s="50" t="n"/>
      <c r="B396" s="51" t="n"/>
      <c r="C396" s="52" t="n"/>
      <c r="D396" s="51" t="n"/>
      <c r="E396" s="51" t="n"/>
      <c r="F396" s="51" t="n"/>
    </row>
    <row r="397">
      <c r="A397" s="50" t="n"/>
      <c r="B397" s="51" t="n"/>
      <c r="C397" s="52" t="n"/>
      <c r="D397" s="51" t="n"/>
      <c r="E397" s="51" t="n"/>
      <c r="F397" s="51" t="n"/>
    </row>
    <row r="398">
      <c r="A398" s="50" t="n"/>
      <c r="B398" s="51" t="n"/>
      <c r="C398" s="52" t="n"/>
      <c r="D398" s="51" t="n"/>
      <c r="E398" s="51" t="n"/>
      <c r="F398" s="51" t="n"/>
    </row>
    <row r="399">
      <c r="A399" s="50" t="n"/>
      <c r="B399" s="51" t="n"/>
      <c r="C399" s="52" t="n"/>
      <c r="D399" s="51" t="n"/>
      <c r="E399" s="51" t="n"/>
      <c r="F399" s="51" t="n"/>
    </row>
    <row r="400">
      <c r="A400" s="50" t="n"/>
      <c r="B400" s="51" t="n"/>
      <c r="C400" s="52" t="n"/>
      <c r="D400" s="51" t="n"/>
      <c r="E400" s="51" t="n"/>
      <c r="F400" s="51" t="n"/>
    </row>
    <row r="401">
      <c r="A401" s="50" t="n"/>
      <c r="B401" s="51" t="n"/>
      <c r="C401" s="52" t="n"/>
      <c r="D401" s="51" t="n"/>
      <c r="E401" s="51" t="n"/>
      <c r="F401" s="51" t="n"/>
    </row>
    <row r="402">
      <c r="A402" s="50" t="n"/>
      <c r="B402" s="51" t="n"/>
      <c r="C402" s="52" t="n"/>
      <c r="D402" s="51" t="n"/>
      <c r="E402" s="51" t="n"/>
      <c r="F402" s="51" t="n"/>
    </row>
    <row r="403">
      <c r="A403" s="50" t="n"/>
      <c r="B403" s="51" t="n"/>
      <c r="C403" s="52" t="n"/>
      <c r="D403" s="51" t="n"/>
      <c r="E403" s="51" t="n"/>
      <c r="F403" s="51" t="n"/>
    </row>
    <row r="404">
      <c r="A404" s="50" t="n"/>
      <c r="B404" s="51" t="n"/>
      <c r="C404" s="52" t="n"/>
      <c r="D404" s="51" t="n"/>
      <c r="E404" s="51" t="n"/>
      <c r="F404" s="51" t="n"/>
    </row>
    <row r="405">
      <c r="A405" s="50" t="n"/>
      <c r="B405" s="51" t="n"/>
      <c r="C405" s="52" t="n"/>
      <c r="D405" s="51" t="n"/>
      <c r="E405" s="51" t="n"/>
      <c r="F405" s="51" t="n"/>
    </row>
    <row r="406">
      <c r="A406" s="50" t="n"/>
      <c r="B406" s="51" t="n"/>
      <c r="C406" s="52" t="n"/>
      <c r="D406" s="51" t="n"/>
      <c r="E406" s="51" t="n"/>
      <c r="F406" s="51" t="n"/>
    </row>
    <row r="407">
      <c r="A407" s="50" t="n"/>
      <c r="B407" s="51" t="n"/>
      <c r="C407" s="52" t="n"/>
      <c r="D407" s="51" t="n"/>
      <c r="E407" s="51" t="n"/>
      <c r="F407" s="51" t="n"/>
    </row>
    <row r="408">
      <c r="A408" s="50" t="n"/>
      <c r="B408" s="51" t="n"/>
      <c r="C408" s="52" t="n"/>
      <c r="D408" s="51" t="n"/>
      <c r="E408" s="51" t="n"/>
      <c r="F408" s="51" t="n"/>
    </row>
    <row r="409">
      <c r="A409" s="50" t="n"/>
      <c r="B409" s="51" t="n"/>
      <c r="C409" s="52" t="n"/>
      <c r="D409" s="51" t="n"/>
      <c r="E409" s="51" t="n"/>
      <c r="F409" s="51" t="n"/>
    </row>
    <row r="410">
      <c r="A410" s="50" t="n"/>
      <c r="B410" s="51" t="n"/>
      <c r="C410" s="52" t="n"/>
      <c r="D410" s="51" t="n"/>
      <c r="E410" s="51" t="n"/>
      <c r="F410" s="51" t="n"/>
    </row>
    <row r="411">
      <c r="A411" s="50" t="n"/>
      <c r="B411" s="51" t="n"/>
      <c r="C411" s="52" t="n"/>
      <c r="D411" s="51" t="n"/>
      <c r="E411" s="51" t="n"/>
      <c r="F411" s="51" t="n"/>
    </row>
    <row r="412">
      <c r="A412" s="50" t="n"/>
      <c r="B412" s="51" t="n"/>
      <c r="C412" s="52" t="n"/>
      <c r="D412" s="51" t="n"/>
      <c r="E412" s="51" t="n"/>
      <c r="F412" s="51" t="n"/>
    </row>
    <row r="413">
      <c r="A413" s="50" t="n"/>
      <c r="B413" s="51" t="n"/>
      <c r="C413" s="52" t="n"/>
      <c r="D413" s="51" t="n"/>
      <c r="E413" s="51" t="n"/>
      <c r="F413" s="51" t="n"/>
    </row>
    <row r="414">
      <c r="A414" s="50" t="n"/>
      <c r="B414" s="51" t="n"/>
      <c r="C414" s="52" t="n"/>
      <c r="D414" s="51" t="n"/>
      <c r="E414" s="51" t="n"/>
      <c r="F414" s="51" t="n"/>
    </row>
    <row r="415">
      <c r="A415" s="50" t="n"/>
      <c r="B415" s="51" t="n"/>
      <c r="C415" s="52" t="n"/>
      <c r="D415" s="51" t="n"/>
      <c r="E415" s="51" t="n"/>
      <c r="F415" s="51" t="n"/>
    </row>
    <row r="416">
      <c r="A416" s="50" t="n"/>
      <c r="B416" s="51" t="n"/>
      <c r="C416" s="52" t="n"/>
      <c r="D416" s="51" t="n"/>
      <c r="E416" s="51" t="n"/>
      <c r="F416" s="51" t="n"/>
    </row>
    <row r="417">
      <c r="A417" s="50" t="n"/>
      <c r="B417" s="51" t="n"/>
      <c r="C417" s="52" t="n"/>
      <c r="D417" s="51" t="n"/>
      <c r="E417" s="51" t="n"/>
      <c r="F417" s="51" t="n"/>
    </row>
    <row r="418">
      <c r="A418" s="50" t="n"/>
      <c r="B418" s="51" t="n"/>
      <c r="C418" s="52" t="n"/>
      <c r="D418" s="51" t="n"/>
      <c r="E418" s="51" t="n"/>
      <c r="F418" s="51" t="n"/>
    </row>
    <row r="419">
      <c r="A419" s="50" t="n"/>
      <c r="B419" s="51" t="n"/>
      <c r="C419" s="52" t="n"/>
      <c r="D419" s="51" t="n"/>
      <c r="E419" s="51" t="n"/>
      <c r="F419" s="51" t="n"/>
    </row>
    <row r="420">
      <c r="A420" s="50" t="n"/>
      <c r="B420" s="51" t="n"/>
      <c r="C420" s="52" t="n"/>
      <c r="D420" s="51" t="n"/>
      <c r="E420" s="51" t="n"/>
      <c r="F420" s="51" t="n"/>
    </row>
    <row r="421">
      <c r="A421" s="50" t="n"/>
      <c r="B421" s="51" t="n"/>
      <c r="C421" s="52" t="n"/>
      <c r="D421" s="51" t="n"/>
      <c r="E421" s="51" t="n"/>
      <c r="F421" s="51" t="n"/>
    </row>
    <row r="422">
      <c r="A422" s="50" t="n"/>
      <c r="B422" s="51" t="n"/>
      <c r="C422" s="52" t="n"/>
      <c r="D422" s="51" t="n"/>
      <c r="E422" s="51" t="n"/>
      <c r="F422" s="51" t="n"/>
    </row>
    <row r="423">
      <c r="A423" s="50" t="n"/>
      <c r="B423" s="51" t="n"/>
      <c r="C423" s="52" t="n"/>
      <c r="D423" s="51" t="n"/>
      <c r="E423" s="51" t="n"/>
      <c r="F423" s="51" t="n"/>
    </row>
    <row r="424">
      <c r="A424" s="50" t="n"/>
      <c r="B424" s="51" t="n"/>
      <c r="C424" s="52" t="n"/>
      <c r="D424" s="51" t="n"/>
      <c r="E424" s="51" t="n"/>
      <c r="F424" s="51" t="n"/>
    </row>
    <row r="425">
      <c r="A425" s="50" t="n"/>
      <c r="B425" s="51" t="n"/>
      <c r="C425" s="52" t="n"/>
      <c r="D425" s="51" t="n"/>
      <c r="E425" s="51" t="n"/>
      <c r="F425" s="51" t="n"/>
    </row>
    <row r="426">
      <c r="A426" s="50" t="n"/>
      <c r="B426" s="51" t="n"/>
      <c r="C426" s="52" t="n"/>
      <c r="D426" s="51" t="n"/>
      <c r="E426" s="51" t="n"/>
      <c r="F426" s="51" t="n"/>
    </row>
    <row r="427">
      <c r="A427" s="50" t="n"/>
      <c r="B427" s="51" t="n"/>
      <c r="C427" s="52" t="n"/>
      <c r="D427" s="51" t="n"/>
      <c r="E427" s="51" t="n"/>
      <c r="F427" s="51" t="n"/>
    </row>
    <row r="428">
      <c r="A428" s="50" t="n"/>
      <c r="B428" s="51" t="n"/>
      <c r="C428" s="52" t="n"/>
      <c r="D428" s="51" t="n"/>
      <c r="E428" s="51" t="n"/>
      <c r="F428" s="51" t="n"/>
    </row>
    <row r="429">
      <c r="A429" s="50" t="n"/>
      <c r="B429" s="51" t="n"/>
      <c r="C429" s="52" t="n"/>
      <c r="D429" s="51" t="n"/>
      <c r="E429" s="51" t="n"/>
      <c r="F429" s="51" t="n"/>
    </row>
    <row r="430">
      <c r="A430" s="50" t="n"/>
      <c r="B430" s="51" t="n"/>
      <c r="C430" s="52" t="n"/>
      <c r="D430" s="51" t="n"/>
      <c r="E430" s="51" t="n"/>
      <c r="F430" s="51" t="n"/>
    </row>
    <row r="431">
      <c r="A431" s="50" t="n"/>
      <c r="B431" s="51" t="n"/>
      <c r="C431" s="52" t="n"/>
      <c r="D431" s="51" t="n"/>
      <c r="E431" s="51" t="n"/>
      <c r="F431" s="51" t="n"/>
    </row>
    <row r="432">
      <c r="A432" s="50" t="n"/>
      <c r="B432" s="51" t="n"/>
      <c r="C432" s="52" t="n"/>
      <c r="D432" s="51" t="n"/>
      <c r="E432" s="51" t="n"/>
      <c r="F432" s="51" t="n"/>
    </row>
    <row r="433">
      <c r="A433" s="50" t="n"/>
      <c r="B433" s="51" t="n"/>
      <c r="C433" s="52" t="n"/>
      <c r="D433" s="51" t="n"/>
      <c r="E433" s="51" t="n"/>
      <c r="F433" s="51" t="n"/>
    </row>
    <row r="434">
      <c r="A434" s="50" t="n"/>
      <c r="B434" s="51" t="n"/>
      <c r="C434" s="52" t="n"/>
      <c r="D434" s="51" t="n"/>
      <c r="E434" s="51" t="n"/>
      <c r="F434" s="51" t="n"/>
    </row>
    <row r="435">
      <c r="A435" s="50" t="n"/>
      <c r="B435" s="51" t="n"/>
      <c r="C435" s="52" t="n"/>
      <c r="D435" s="51" t="n"/>
      <c r="E435" s="51" t="n"/>
      <c r="F435" s="51" t="n"/>
    </row>
    <row r="436">
      <c r="A436" s="50" t="n"/>
      <c r="B436" s="51" t="n"/>
      <c r="C436" s="52" t="n"/>
      <c r="D436" s="51" t="n"/>
      <c r="E436" s="51" t="n"/>
      <c r="F436" s="51" t="n"/>
    </row>
    <row r="437">
      <c r="A437" s="50" t="n"/>
      <c r="B437" s="51" t="n"/>
      <c r="C437" s="52" t="n"/>
      <c r="D437" s="51" t="n"/>
      <c r="E437" s="51" t="n"/>
      <c r="F437" s="51" t="n"/>
    </row>
    <row r="438">
      <c r="A438" s="50" t="n"/>
      <c r="B438" s="51" t="n"/>
      <c r="C438" s="52" t="n"/>
      <c r="D438" s="51" t="n"/>
      <c r="E438" s="51" t="n"/>
      <c r="F438" s="51" t="n"/>
    </row>
    <row r="439">
      <c r="A439" s="50" t="n"/>
      <c r="B439" s="51" t="n"/>
      <c r="C439" s="52" t="n"/>
      <c r="D439" s="51" t="n"/>
      <c r="E439" s="51" t="n"/>
      <c r="F439" s="51" t="n"/>
    </row>
    <row r="440">
      <c r="A440" s="50" t="n"/>
      <c r="B440" s="51" t="n"/>
      <c r="C440" s="52" t="n"/>
      <c r="D440" s="51" t="n"/>
      <c r="E440" s="51" t="n"/>
      <c r="F440" s="51" t="n"/>
    </row>
    <row r="441">
      <c r="A441" s="50" t="n"/>
      <c r="B441" s="51" t="n"/>
      <c r="C441" s="52" t="n"/>
      <c r="D441" s="51" t="n"/>
      <c r="E441" s="51" t="n"/>
      <c r="F441" s="51" t="n"/>
    </row>
    <row r="442">
      <c r="A442" s="50" t="n"/>
      <c r="B442" s="51" t="n"/>
      <c r="C442" s="52" t="n"/>
      <c r="D442" s="51" t="n"/>
      <c r="E442" s="51" t="n"/>
      <c r="F442" s="51" t="n"/>
    </row>
    <row r="443">
      <c r="A443" s="50" t="n"/>
      <c r="B443" s="51" t="n"/>
      <c r="C443" s="52" t="n"/>
      <c r="D443" s="51" t="n"/>
      <c r="E443" s="51" t="n"/>
      <c r="F443" s="51" t="n"/>
    </row>
    <row r="444">
      <c r="A444" s="50" t="n"/>
      <c r="B444" s="51" t="n"/>
      <c r="C444" s="52" t="n"/>
      <c r="D444" s="51" t="n"/>
      <c r="E444" s="51" t="n"/>
      <c r="F444" s="51" t="n"/>
    </row>
    <row r="445">
      <c r="A445" s="50" t="n"/>
      <c r="B445" s="51" t="n"/>
      <c r="C445" s="52" t="n"/>
      <c r="D445" s="51" t="n"/>
      <c r="E445" s="51" t="n"/>
      <c r="F445" s="51" t="n"/>
    </row>
    <row r="446">
      <c r="A446" s="50" t="n"/>
      <c r="B446" s="51" t="n"/>
      <c r="C446" s="52" t="n"/>
      <c r="D446" s="51" t="n"/>
      <c r="E446" s="51" t="n"/>
      <c r="F446" s="51" t="n"/>
    </row>
    <row r="447">
      <c r="A447" s="50" t="n"/>
      <c r="B447" s="51" t="n"/>
      <c r="C447" s="52" t="n"/>
      <c r="D447" s="51" t="n"/>
      <c r="E447" s="51" t="n"/>
      <c r="F447" s="51" t="n"/>
    </row>
    <row r="448">
      <c r="A448" s="50" t="n"/>
      <c r="B448" s="51" t="n"/>
      <c r="C448" s="52" t="n"/>
      <c r="D448" s="51" t="n"/>
      <c r="E448" s="51" t="n"/>
      <c r="F448" s="51" t="n"/>
    </row>
    <row r="449">
      <c r="A449" s="50" t="n"/>
      <c r="B449" s="51" t="n"/>
      <c r="C449" s="52" t="n"/>
      <c r="D449" s="51" t="n"/>
      <c r="E449" s="51" t="n"/>
      <c r="F449" s="51" t="n"/>
    </row>
    <row r="450">
      <c r="A450" s="50" t="n"/>
      <c r="B450" s="51" t="n"/>
      <c r="C450" s="52" t="n"/>
      <c r="D450" s="51" t="n"/>
      <c r="E450" s="51" t="n"/>
      <c r="F450" s="51" t="n"/>
    </row>
    <row r="451">
      <c r="A451" s="50" t="n"/>
      <c r="B451" s="51" t="n"/>
      <c r="C451" s="52" t="n"/>
      <c r="D451" s="51" t="n"/>
      <c r="E451" s="51" t="n"/>
      <c r="F451" s="51" t="n"/>
    </row>
    <row r="452">
      <c r="A452" s="50" t="n"/>
      <c r="B452" s="51" t="n"/>
      <c r="C452" s="52" t="n"/>
      <c r="D452" s="51" t="n"/>
      <c r="E452" s="51" t="n"/>
      <c r="F452" s="51" t="n"/>
    </row>
    <row r="453">
      <c r="A453" s="50" t="n"/>
      <c r="B453" s="51" t="n"/>
      <c r="C453" s="52" t="n"/>
      <c r="D453" s="51" t="n"/>
      <c r="E453" s="51" t="n"/>
      <c r="F453" s="51" t="n"/>
    </row>
    <row r="454">
      <c r="A454" s="50" t="n"/>
      <c r="B454" s="51" t="n"/>
      <c r="C454" s="52" t="n"/>
      <c r="D454" s="51" t="n"/>
      <c r="E454" s="51" t="n"/>
      <c r="F454" s="51" t="n"/>
    </row>
    <row r="455">
      <c r="A455" s="50" t="n"/>
      <c r="B455" s="51" t="n"/>
      <c r="C455" s="52" t="n"/>
      <c r="D455" s="51" t="n"/>
      <c r="E455" s="51" t="n"/>
      <c r="F455" s="51" t="n"/>
    </row>
    <row r="456">
      <c r="A456" s="50" t="n"/>
      <c r="B456" s="51" t="n"/>
      <c r="C456" s="52" t="n"/>
      <c r="D456" s="51" t="n"/>
      <c r="E456" s="51" t="n"/>
      <c r="F456" s="51" t="n"/>
    </row>
    <row r="457">
      <c r="A457" s="50" t="n"/>
      <c r="B457" s="51" t="n"/>
      <c r="C457" s="52" t="n"/>
      <c r="D457" s="51" t="n"/>
      <c r="E457" s="51" t="n"/>
      <c r="F457" s="51" t="n"/>
    </row>
    <row r="458">
      <c r="A458" s="50" t="n"/>
      <c r="B458" s="51" t="n"/>
      <c r="C458" s="52" t="n"/>
      <c r="D458" s="51" t="n"/>
      <c r="E458" s="51" t="n"/>
      <c r="F458" s="51" t="n"/>
    </row>
    <row r="459">
      <c r="A459" s="50" t="n"/>
      <c r="B459" s="51" t="n"/>
      <c r="C459" s="52" t="n"/>
      <c r="D459" s="51" t="n"/>
      <c r="E459" s="51" t="n"/>
      <c r="F459" s="51" t="n"/>
    </row>
    <row r="460">
      <c r="A460" s="50" t="n"/>
      <c r="B460" s="51" t="n"/>
      <c r="C460" s="52" t="n"/>
      <c r="D460" s="51" t="n"/>
      <c r="E460" s="51" t="n"/>
      <c r="F460" s="51" t="n"/>
    </row>
    <row r="461">
      <c r="A461" s="50" t="n"/>
      <c r="B461" s="51" t="n"/>
      <c r="C461" s="52" t="n"/>
      <c r="D461" s="51" t="n"/>
      <c r="E461" s="51" t="n"/>
      <c r="F461" s="51" t="n"/>
    </row>
    <row r="462">
      <c r="A462" s="50" t="n"/>
      <c r="B462" s="51" t="n"/>
      <c r="C462" s="52" t="n"/>
      <c r="D462" s="51" t="n"/>
      <c r="E462" s="51" t="n"/>
      <c r="F462" s="51" t="n"/>
    </row>
    <row r="463">
      <c r="A463" s="50" t="n"/>
      <c r="B463" s="51" t="n"/>
      <c r="C463" s="52" t="n"/>
      <c r="D463" s="51" t="n"/>
      <c r="E463" s="51" t="n"/>
      <c r="F463" s="51" t="n"/>
    </row>
    <row r="464">
      <c r="A464" s="50" t="n"/>
      <c r="B464" s="51" t="n"/>
      <c r="C464" s="52" t="n"/>
      <c r="D464" s="51" t="n"/>
      <c r="E464" s="51" t="n"/>
      <c r="F464" s="51" t="n"/>
    </row>
    <row r="465">
      <c r="A465" s="50" t="n"/>
      <c r="B465" s="51" t="n"/>
      <c r="C465" s="52" t="n"/>
      <c r="D465" s="51" t="n"/>
      <c r="E465" s="51" t="n"/>
      <c r="F465" s="51" t="n"/>
    </row>
    <row r="466">
      <c r="A466" s="50" t="n"/>
      <c r="B466" s="51" t="n"/>
      <c r="C466" s="52" t="n"/>
      <c r="D466" s="51" t="n"/>
      <c r="E466" s="51" t="n"/>
      <c r="F466" s="51" t="n"/>
    </row>
    <row r="467">
      <c r="A467" s="50" t="n"/>
      <c r="B467" s="51" t="n"/>
      <c r="C467" s="52" t="n"/>
      <c r="D467" s="51" t="n"/>
      <c r="E467" s="51" t="n"/>
      <c r="F467" s="51" t="n"/>
    </row>
    <row r="468">
      <c r="A468" s="50" t="n"/>
      <c r="B468" s="51" t="n"/>
      <c r="C468" s="52" t="n"/>
      <c r="D468" s="51" t="n"/>
      <c r="E468" s="51" t="n"/>
      <c r="F468" s="51" t="n"/>
    </row>
    <row r="469">
      <c r="A469" s="50" t="n"/>
      <c r="B469" s="51" t="n"/>
      <c r="C469" s="52" t="n"/>
      <c r="D469" s="51" t="n"/>
      <c r="E469" s="51" t="n"/>
      <c r="F469" s="51" t="n"/>
    </row>
    <row r="470">
      <c r="A470" s="50" t="n"/>
      <c r="B470" s="51" t="n"/>
      <c r="C470" s="52" t="n"/>
      <c r="D470" s="51" t="n"/>
      <c r="E470" s="51" t="n"/>
      <c r="F470" s="51" t="n"/>
    </row>
    <row r="471">
      <c r="A471" s="50" t="n"/>
      <c r="B471" s="51" t="n"/>
      <c r="C471" s="52" t="n"/>
      <c r="D471" s="51" t="n"/>
      <c r="E471" s="51" t="n"/>
      <c r="F471" s="51" t="n"/>
    </row>
    <row r="472">
      <c r="A472" s="50" t="n"/>
      <c r="B472" s="51" t="n"/>
      <c r="C472" s="52" t="n"/>
      <c r="D472" s="51" t="n"/>
      <c r="E472" s="51" t="n"/>
      <c r="F472" s="51" t="n"/>
    </row>
    <row r="473">
      <c r="A473" s="50" t="n"/>
      <c r="B473" s="51" t="n"/>
      <c r="C473" s="52" t="n"/>
      <c r="D473" s="51" t="n"/>
      <c r="E473" s="51" t="n"/>
      <c r="F473" s="51" t="n"/>
    </row>
    <row r="474">
      <c r="A474" s="50" t="n"/>
      <c r="B474" s="51" t="n"/>
      <c r="C474" s="52" t="n"/>
      <c r="D474" s="51" t="n"/>
      <c r="E474" s="51" t="n"/>
      <c r="F474" s="51" t="n"/>
    </row>
    <row r="475">
      <c r="A475" s="50" t="n"/>
      <c r="B475" s="51" t="n"/>
      <c r="C475" s="52" t="n"/>
      <c r="D475" s="51" t="n"/>
      <c r="E475" s="51" t="n"/>
      <c r="F475" s="51" t="n"/>
    </row>
    <row r="476">
      <c r="A476" s="50" t="n"/>
      <c r="B476" s="51" t="n"/>
      <c r="C476" s="52" t="n"/>
      <c r="D476" s="51" t="n"/>
      <c r="E476" s="51" t="n"/>
      <c r="F476" s="51" t="n"/>
    </row>
    <row r="477">
      <c r="A477" s="50" t="n"/>
      <c r="B477" s="51" t="n"/>
      <c r="C477" s="52" t="n"/>
      <c r="D477" s="51" t="n"/>
      <c r="E477" s="51" t="n"/>
      <c r="F477" s="51" t="n"/>
    </row>
    <row r="478">
      <c r="A478" s="50" t="n"/>
      <c r="B478" s="51" t="n"/>
      <c r="C478" s="52" t="n"/>
      <c r="D478" s="51" t="n"/>
      <c r="E478" s="51" t="n"/>
      <c r="F478" s="51" t="n"/>
    </row>
    <row r="479">
      <c r="A479" s="50" t="n"/>
      <c r="B479" s="51" t="n"/>
      <c r="C479" s="52" t="n"/>
      <c r="D479" s="51" t="n"/>
      <c r="E479" s="51" t="n"/>
      <c r="F479" s="51" t="n"/>
    </row>
    <row r="480">
      <c r="A480" s="50" t="n"/>
      <c r="B480" s="51" t="n"/>
      <c r="C480" s="52" t="n"/>
      <c r="D480" s="51" t="n"/>
      <c r="E480" s="51" t="n"/>
      <c r="F480" s="51" t="n"/>
    </row>
    <row r="481">
      <c r="A481" s="50" t="n"/>
      <c r="B481" s="51" t="n"/>
      <c r="C481" s="52" t="n"/>
      <c r="D481" s="51" t="n"/>
      <c r="E481" s="51" t="n"/>
      <c r="F481" s="51" t="n"/>
    </row>
    <row r="482">
      <c r="A482" s="50" t="n"/>
      <c r="B482" s="51" t="n"/>
      <c r="C482" s="52" t="n"/>
      <c r="D482" s="51" t="n"/>
      <c r="E482" s="51" t="n"/>
      <c r="F482" s="51" t="n"/>
    </row>
    <row r="483">
      <c r="A483" s="50" t="n"/>
      <c r="B483" s="51" t="n"/>
      <c r="C483" s="52" t="n"/>
      <c r="D483" s="51" t="n"/>
      <c r="E483" s="51" t="n"/>
      <c r="F483" s="51" t="n"/>
    </row>
    <row r="484">
      <c r="A484" s="50" t="n"/>
      <c r="B484" s="51" t="n"/>
      <c r="C484" s="52" t="n"/>
      <c r="D484" s="51" t="n"/>
      <c r="E484" s="51" t="n"/>
      <c r="F484" s="51" t="n"/>
    </row>
    <row r="485">
      <c r="A485" s="50" t="n"/>
      <c r="B485" s="51" t="n"/>
      <c r="C485" s="52" t="n"/>
      <c r="D485" s="51" t="n"/>
      <c r="E485" s="51" t="n"/>
      <c r="F485" s="51" t="n"/>
    </row>
    <row r="486">
      <c r="A486" s="50" t="n"/>
      <c r="B486" s="51" t="n"/>
      <c r="C486" s="52" t="n"/>
      <c r="D486" s="51" t="n"/>
      <c r="E486" s="51" t="n"/>
      <c r="F486" s="51" t="n"/>
    </row>
    <row r="487">
      <c r="A487" s="50" t="n"/>
      <c r="B487" s="51" t="n"/>
      <c r="C487" s="52" t="n"/>
      <c r="D487" s="51" t="n"/>
      <c r="E487" s="51" t="n"/>
      <c r="F487" s="51" t="n"/>
    </row>
    <row r="488">
      <c r="A488" s="50" t="n"/>
      <c r="B488" s="51" t="n"/>
      <c r="C488" s="52" t="n"/>
      <c r="D488" s="51" t="n"/>
      <c r="E488" s="51" t="n"/>
      <c r="F488" s="51" t="n"/>
    </row>
    <row r="489">
      <c r="A489" s="50" t="n"/>
      <c r="B489" s="51" t="n"/>
      <c r="C489" s="52" t="n"/>
      <c r="D489" s="51" t="n"/>
      <c r="E489" s="51" t="n"/>
      <c r="F489" s="51" t="n"/>
    </row>
    <row r="490">
      <c r="A490" s="50" t="n"/>
      <c r="B490" s="51" t="n"/>
      <c r="C490" s="52" t="n"/>
      <c r="D490" s="51" t="n"/>
      <c r="E490" s="51" t="n"/>
      <c r="F490" s="51" t="n"/>
    </row>
    <row r="491">
      <c r="A491" s="50" t="n"/>
      <c r="B491" s="51" t="n"/>
      <c r="C491" s="52" t="n"/>
      <c r="D491" s="51" t="n"/>
      <c r="E491" s="51" t="n"/>
      <c r="F491" s="51" t="n"/>
    </row>
    <row r="492">
      <c r="A492" s="50" t="n"/>
      <c r="B492" s="51" t="n"/>
      <c r="C492" s="52" t="n"/>
      <c r="D492" s="51" t="n"/>
      <c r="E492" s="51" t="n"/>
      <c r="F492" s="51" t="n"/>
    </row>
    <row r="493">
      <c r="A493" s="50" t="n"/>
      <c r="B493" s="51" t="n"/>
      <c r="C493" s="52" t="n"/>
      <c r="D493" s="51" t="n"/>
      <c r="E493" s="51" t="n"/>
      <c r="F493" s="51" t="n"/>
    </row>
    <row r="494">
      <c r="A494" s="50" t="n"/>
      <c r="B494" s="51" t="n"/>
      <c r="C494" s="52" t="n"/>
      <c r="D494" s="51" t="n"/>
      <c r="E494" s="51" t="n"/>
      <c r="F494" s="51" t="n"/>
    </row>
    <row r="495">
      <c r="A495" s="50" t="n"/>
      <c r="B495" s="51" t="n"/>
      <c r="C495" s="52" t="n"/>
      <c r="D495" s="51" t="n"/>
      <c r="E495" s="51" t="n"/>
      <c r="F495" s="51" t="n"/>
    </row>
    <row r="496">
      <c r="A496" s="50" t="n"/>
      <c r="B496" s="51" t="n"/>
      <c r="C496" s="52" t="n"/>
      <c r="D496" s="51" t="n"/>
      <c r="E496" s="51" t="n"/>
      <c r="F496" s="51" t="n"/>
    </row>
    <row r="497">
      <c r="A497" s="50" t="n"/>
      <c r="B497" s="51" t="n"/>
      <c r="C497" s="52" t="n"/>
      <c r="D497" s="51" t="n"/>
      <c r="E497" s="51" t="n"/>
      <c r="F497" s="51" t="n"/>
    </row>
    <row r="498">
      <c r="A498" s="50" t="n"/>
      <c r="B498" s="51" t="n"/>
      <c r="C498" s="52" t="n"/>
      <c r="D498" s="51" t="n"/>
      <c r="E498" s="51" t="n"/>
      <c r="F498" s="51" t="n"/>
    </row>
    <row r="499">
      <c r="A499" s="50" t="n"/>
      <c r="B499" s="51" t="n"/>
      <c r="C499" s="52" t="n"/>
      <c r="D499" s="51" t="n"/>
      <c r="E499" s="51" t="n"/>
      <c r="F499" s="51" t="n"/>
    </row>
    <row r="500">
      <c r="A500" s="50" t="n"/>
      <c r="B500" s="51" t="n"/>
      <c r="C500" s="52" t="n"/>
      <c r="D500" s="51" t="n"/>
      <c r="E500" s="51" t="n"/>
      <c r="F500" s="51" t="n"/>
    </row>
    <row r="501">
      <c r="A501" s="50" t="n"/>
      <c r="B501" s="51" t="n"/>
      <c r="C501" s="52" t="n"/>
      <c r="D501" s="51" t="n"/>
      <c r="E501" s="51" t="n"/>
      <c r="F501" s="51" t="n"/>
    </row>
    <row r="502">
      <c r="A502" s="50" t="n"/>
      <c r="B502" s="51" t="n"/>
      <c r="C502" s="52" t="n"/>
      <c r="D502" s="51" t="n"/>
      <c r="E502" s="51" t="n"/>
      <c r="F502" s="51" t="n"/>
    </row>
    <row r="503">
      <c r="A503" s="50" t="n"/>
      <c r="B503" s="51" t="n"/>
      <c r="C503" s="52" t="n"/>
      <c r="D503" s="51" t="n"/>
      <c r="E503" s="51" t="n"/>
      <c r="F503" s="51" t="n"/>
    </row>
    <row r="504">
      <c r="A504" s="50" t="n"/>
      <c r="B504" s="51" t="n"/>
      <c r="C504" s="52" t="n"/>
      <c r="D504" s="51" t="n"/>
      <c r="E504" s="51" t="n"/>
      <c r="F504" s="51" t="n"/>
    </row>
    <row r="505">
      <c r="A505" s="50" t="n"/>
      <c r="B505" s="51" t="n"/>
      <c r="C505" s="52" t="n"/>
      <c r="D505" s="51" t="n"/>
      <c r="E505" s="51" t="n"/>
      <c r="F505" s="51" t="n"/>
    </row>
    <row r="506">
      <c r="A506" s="50" t="n"/>
      <c r="B506" s="51" t="n"/>
      <c r="C506" s="52" t="n"/>
      <c r="D506" s="51" t="n"/>
      <c r="E506" s="51" t="n"/>
      <c r="F506" s="51" t="n"/>
    </row>
    <row r="507">
      <c r="A507" s="50" t="n"/>
      <c r="B507" s="51" t="n"/>
      <c r="C507" s="52" t="n"/>
      <c r="D507" s="51" t="n"/>
      <c r="E507" s="51" t="n"/>
      <c r="F507" s="51" t="n"/>
    </row>
    <row r="508">
      <c r="A508" s="50" t="n"/>
      <c r="B508" s="51" t="n"/>
      <c r="C508" s="52" t="n"/>
      <c r="D508" s="51" t="n"/>
      <c r="E508" s="51" t="n"/>
      <c r="F508" s="51" t="n"/>
    </row>
    <row r="509">
      <c r="A509" s="50" t="n"/>
      <c r="B509" s="51" t="n"/>
      <c r="C509" s="52" t="n"/>
      <c r="D509" s="51" t="n"/>
      <c r="E509" s="51" t="n"/>
      <c r="F509" s="51" t="n"/>
    </row>
    <row r="510">
      <c r="A510" s="50" t="n"/>
      <c r="B510" s="51" t="n"/>
      <c r="C510" s="52" t="n"/>
      <c r="D510" s="51" t="n"/>
      <c r="E510" s="51" t="n"/>
      <c r="F510" s="51" t="n"/>
    </row>
    <row r="511">
      <c r="A511" s="50" t="n"/>
      <c r="B511" s="51" t="n"/>
      <c r="C511" s="52" t="n"/>
      <c r="D511" s="51" t="n"/>
      <c r="E511" s="51" t="n"/>
      <c r="F511" s="51" t="n"/>
    </row>
    <row r="512">
      <c r="A512" s="50" t="n"/>
      <c r="B512" s="51" t="n"/>
      <c r="C512" s="52" t="n"/>
      <c r="D512" s="51" t="n"/>
      <c r="E512" s="51" t="n"/>
      <c r="F512" s="51" t="n"/>
    </row>
    <row r="513">
      <c r="A513" s="50" t="n"/>
      <c r="B513" s="51" t="n"/>
      <c r="C513" s="52" t="n"/>
      <c r="D513" s="51" t="n"/>
      <c r="E513" s="51" t="n"/>
      <c r="F513" s="51" t="n"/>
    </row>
    <row r="514">
      <c r="A514" s="50" t="n"/>
      <c r="B514" s="51" t="n"/>
      <c r="C514" s="52" t="n"/>
      <c r="D514" s="51" t="n"/>
      <c r="E514" s="51" t="n"/>
      <c r="F514" s="51" t="n"/>
    </row>
    <row r="515">
      <c r="A515" s="50" t="n"/>
      <c r="B515" s="51" t="n"/>
      <c r="C515" s="52" t="n"/>
      <c r="D515" s="51" t="n"/>
      <c r="E515" s="51" t="n"/>
      <c r="F515" s="51" t="n"/>
    </row>
    <row r="516">
      <c r="A516" s="50" t="n"/>
      <c r="B516" s="51" t="n"/>
      <c r="C516" s="52" t="n"/>
      <c r="D516" s="51" t="n"/>
      <c r="E516" s="51" t="n"/>
      <c r="F516" s="51" t="n"/>
    </row>
    <row r="517">
      <c r="A517" s="50" t="n"/>
      <c r="B517" s="51" t="n"/>
      <c r="C517" s="52" t="n"/>
      <c r="D517" s="51" t="n"/>
      <c r="E517" s="51" t="n"/>
      <c r="F517" s="51" t="n"/>
    </row>
    <row r="518">
      <c r="A518" s="50" t="n"/>
      <c r="B518" s="51" t="n"/>
      <c r="C518" s="52" t="n"/>
      <c r="D518" s="51" t="n"/>
      <c r="E518" s="51" t="n"/>
      <c r="F518" s="51" t="n"/>
    </row>
    <row r="519">
      <c r="A519" s="50" t="n"/>
      <c r="B519" s="51" t="n"/>
      <c r="C519" s="52" t="n"/>
      <c r="D519" s="51" t="n"/>
      <c r="E519" s="51" t="n"/>
      <c r="F519" s="51" t="n"/>
    </row>
    <row r="520">
      <c r="A520" s="50" t="n"/>
      <c r="B520" s="51" t="n"/>
      <c r="C520" s="52" t="n"/>
      <c r="D520" s="51" t="n"/>
      <c r="E520" s="51" t="n"/>
      <c r="F520" s="51" t="n"/>
    </row>
    <row r="521">
      <c r="A521" s="50" t="n"/>
      <c r="B521" s="51" t="n"/>
      <c r="C521" s="52" t="n"/>
      <c r="D521" s="51" t="n"/>
      <c r="E521" s="51" t="n"/>
      <c r="F521" s="51" t="n"/>
    </row>
    <row r="522">
      <c r="A522" s="50" t="n"/>
      <c r="B522" s="51" t="n"/>
      <c r="C522" s="52" t="n"/>
      <c r="D522" s="51" t="n"/>
      <c r="E522" s="51" t="n"/>
      <c r="F522" s="51" t="n"/>
    </row>
    <row r="523">
      <c r="A523" s="50" t="n"/>
      <c r="B523" s="51" t="n"/>
      <c r="C523" s="52" t="n"/>
      <c r="D523" s="51" t="n"/>
      <c r="E523" s="51" t="n"/>
      <c r="F523" s="51" t="n"/>
    </row>
    <row r="524">
      <c r="A524" s="50" t="n"/>
      <c r="B524" s="51" t="n"/>
      <c r="C524" s="52" t="n"/>
      <c r="D524" s="51" t="n"/>
      <c r="E524" s="51" t="n"/>
      <c r="F524" s="51" t="n"/>
    </row>
    <row r="525">
      <c r="A525" s="50" t="n"/>
      <c r="B525" s="51" t="n"/>
      <c r="C525" s="52" t="n"/>
      <c r="D525" s="51" t="n"/>
      <c r="E525" s="51" t="n"/>
      <c r="F525" s="51" t="n"/>
    </row>
    <row r="526">
      <c r="A526" s="50" t="n"/>
      <c r="B526" s="51" t="n"/>
      <c r="C526" s="52" t="n"/>
      <c r="D526" s="51" t="n"/>
      <c r="E526" s="51" t="n"/>
      <c r="F526" s="51" t="n"/>
    </row>
    <row r="527">
      <c r="A527" s="50" t="n"/>
      <c r="B527" s="51" t="n"/>
      <c r="C527" s="52" t="n"/>
      <c r="D527" s="51" t="n"/>
      <c r="E527" s="51" t="n"/>
      <c r="F527" s="51" t="n"/>
    </row>
    <row r="528">
      <c r="A528" s="50" t="n"/>
      <c r="B528" s="51" t="n"/>
      <c r="C528" s="52" t="n"/>
      <c r="D528" s="51" t="n"/>
      <c r="E528" s="51" t="n"/>
      <c r="F528" s="51" t="n"/>
    </row>
    <row r="529">
      <c r="A529" s="50" t="n"/>
      <c r="B529" s="51" t="n"/>
      <c r="C529" s="52" t="n"/>
      <c r="D529" s="51" t="n"/>
      <c r="E529" s="51" t="n"/>
      <c r="F529" s="51" t="n"/>
    </row>
    <row r="530">
      <c r="A530" s="50" t="n"/>
      <c r="B530" s="51" t="n"/>
      <c r="C530" s="52" t="n"/>
      <c r="D530" s="51" t="n"/>
      <c r="E530" s="51" t="n"/>
      <c r="F530" s="51" t="n"/>
    </row>
    <row r="531">
      <c r="A531" s="50" t="n"/>
      <c r="B531" s="51" t="n"/>
      <c r="C531" s="52" t="n"/>
      <c r="D531" s="51" t="n"/>
      <c r="E531" s="51" t="n"/>
      <c r="F531" s="51" t="n"/>
    </row>
    <row r="532">
      <c r="A532" s="50" t="n"/>
      <c r="B532" s="51" t="n"/>
      <c r="C532" s="52" t="n"/>
      <c r="D532" s="51" t="n"/>
      <c r="E532" s="51" t="n"/>
      <c r="F532" s="51" t="n"/>
    </row>
    <row r="533">
      <c r="A533" s="50" t="n"/>
      <c r="B533" s="51" t="n"/>
      <c r="C533" s="52" t="n"/>
      <c r="D533" s="51" t="n"/>
      <c r="E533" s="51" t="n"/>
      <c r="F533" s="51" t="n"/>
    </row>
    <row r="534">
      <c r="A534" s="50" t="n"/>
      <c r="B534" s="51" t="n"/>
      <c r="C534" s="52" t="n"/>
      <c r="D534" s="51" t="n"/>
      <c r="E534" s="51" t="n"/>
      <c r="F534" s="51" t="n"/>
    </row>
    <row r="535">
      <c r="A535" s="50" t="n"/>
      <c r="B535" s="51" t="n"/>
      <c r="C535" s="52" t="n"/>
      <c r="D535" s="51" t="n"/>
      <c r="E535" s="51" t="n"/>
      <c r="F535" s="51" t="n"/>
    </row>
    <row r="536">
      <c r="A536" s="50" t="n"/>
      <c r="B536" s="51" t="n"/>
      <c r="C536" s="52" t="n"/>
      <c r="D536" s="51" t="n"/>
      <c r="E536" s="51" t="n"/>
      <c r="F536" s="51" t="n"/>
    </row>
    <row r="537">
      <c r="A537" s="50" t="n"/>
      <c r="B537" s="51" t="n"/>
      <c r="C537" s="52" t="n"/>
      <c r="D537" s="51" t="n"/>
      <c r="E537" s="51" t="n"/>
      <c r="F537" s="51" t="n"/>
    </row>
    <row r="538">
      <c r="A538" s="50" t="n"/>
      <c r="B538" s="51" t="n"/>
      <c r="C538" s="52" t="n"/>
      <c r="D538" s="51" t="n"/>
      <c r="E538" s="51" t="n"/>
      <c r="F538" s="51" t="n"/>
    </row>
    <row r="539">
      <c r="A539" s="50" t="n"/>
      <c r="B539" s="51" t="n"/>
      <c r="C539" s="52" t="n"/>
      <c r="D539" s="51" t="n"/>
      <c r="E539" s="51" t="n"/>
      <c r="F539" s="51" t="n"/>
    </row>
    <row r="540">
      <c r="A540" s="50" t="n"/>
      <c r="B540" s="51" t="n"/>
      <c r="C540" s="52" t="n"/>
      <c r="D540" s="51" t="n"/>
      <c r="E540" s="51" t="n"/>
      <c r="F540" s="51" t="n"/>
    </row>
    <row r="541">
      <c r="A541" s="50" t="n"/>
      <c r="B541" s="51" t="n"/>
      <c r="C541" s="52" t="n"/>
      <c r="D541" s="51" t="n"/>
      <c r="E541" s="51" t="n"/>
      <c r="F541" s="51" t="n"/>
    </row>
    <row r="542">
      <c r="A542" s="50" t="n"/>
      <c r="B542" s="51" t="n"/>
      <c r="C542" s="52" t="n"/>
      <c r="D542" s="51" t="n"/>
      <c r="E542" s="51" t="n"/>
      <c r="F542" s="51" t="n"/>
    </row>
    <row r="543">
      <c r="A543" s="50" t="n"/>
      <c r="B543" s="51" t="n"/>
      <c r="C543" s="52" t="n"/>
      <c r="D543" s="51" t="n"/>
      <c r="E543" s="51" t="n"/>
      <c r="F543" s="51" t="n"/>
    </row>
    <row r="544">
      <c r="A544" s="50" t="n"/>
      <c r="B544" s="51" t="n"/>
      <c r="C544" s="52" t="n"/>
      <c r="D544" s="51" t="n"/>
      <c r="E544" s="51" t="n"/>
      <c r="F544" s="51" t="n"/>
    </row>
    <row r="545">
      <c r="A545" s="50" t="n"/>
      <c r="B545" s="51" t="n"/>
      <c r="C545" s="52" t="n"/>
      <c r="D545" s="51" t="n"/>
      <c r="E545" s="51" t="n"/>
      <c r="F545" s="51" t="n"/>
    </row>
    <row r="546">
      <c r="A546" s="50" t="n"/>
      <c r="B546" s="51" t="n"/>
      <c r="C546" s="52" t="n"/>
      <c r="D546" s="51" t="n"/>
      <c r="E546" s="51" t="n"/>
      <c r="F546" s="51" t="n"/>
    </row>
    <row r="547">
      <c r="A547" s="50" t="n"/>
      <c r="B547" s="51" t="n"/>
      <c r="C547" s="52" t="n"/>
      <c r="D547" s="51" t="n"/>
      <c r="E547" s="51" t="n"/>
      <c r="F547" s="51" t="n"/>
    </row>
    <row r="548">
      <c r="A548" s="50" t="n"/>
      <c r="B548" s="51" t="n"/>
      <c r="C548" s="52" t="n"/>
      <c r="D548" s="51" t="n"/>
      <c r="E548" s="51" t="n"/>
      <c r="F548" s="51" t="n"/>
    </row>
    <row r="549">
      <c r="A549" s="50" t="n"/>
      <c r="B549" s="51" t="n"/>
      <c r="C549" s="52" t="n"/>
      <c r="D549" s="51" t="n"/>
      <c r="E549" s="51" t="n"/>
      <c r="F549" s="51" t="n"/>
    </row>
    <row r="550">
      <c r="A550" s="50" t="n"/>
      <c r="B550" s="51" t="n"/>
      <c r="C550" s="52" t="n"/>
      <c r="D550" s="51" t="n"/>
      <c r="E550" s="51" t="n"/>
      <c r="F550" s="51" t="n"/>
    </row>
    <row r="551">
      <c r="A551" s="50" t="n"/>
      <c r="B551" s="51" t="n"/>
      <c r="C551" s="52" t="n"/>
      <c r="D551" s="51" t="n"/>
      <c r="E551" s="51" t="n"/>
      <c r="F551" s="51" t="n"/>
    </row>
    <row r="552">
      <c r="A552" s="50" t="n"/>
      <c r="B552" s="51" t="n"/>
      <c r="C552" s="52" t="n"/>
      <c r="D552" s="51" t="n"/>
      <c r="E552" s="51" t="n"/>
      <c r="F552" s="51" t="n"/>
    </row>
    <row r="553">
      <c r="A553" s="50" t="n"/>
      <c r="B553" s="51" t="n"/>
      <c r="C553" s="52" t="n"/>
      <c r="D553" s="51" t="n"/>
      <c r="E553" s="51" t="n"/>
      <c r="F553" s="51" t="n"/>
    </row>
    <row r="554">
      <c r="A554" s="50" t="n"/>
      <c r="B554" s="51" t="n"/>
      <c r="C554" s="52" t="n"/>
      <c r="D554" s="51" t="n"/>
      <c r="E554" s="51" t="n"/>
      <c r="F554" s="51" t="n"/>
    </row>
    <row r="555">
      <c r="A555" s="50" t="n"/>
      <c r="B555" s="51" t="n"/>
      <c r="C555" s="52" t="n"/>
      <c r="D555" s="51" t="n"/>
      <c r="E555" s="51" t="n"/>
      <c r="F555" s="51" t="n"/>
    </row>
    <row r="556">
      <c r="A556" s="50" t="n"/>
      <c r="B556" s="51" t="n"/>
      <c r="C556" s="52" t="n"/>
      <c r="D556" s="51" t="n"/>
      <c r="E556" s="51" t="n"/>
      <c r="F556" s="51" t="n"/>
    </row>
    <row r="557">
      <c r="A557" s="50" t="n"/>
      <c r="B557" s="51" t="n"/>
      <c r="C557" s="52" t="n"/>
      <c r="D557" s="51" t="n"/>
      <c r="E557" s="51" t="n"/>
      <c r="F557" s="51" t="n"/>
    </row>
    <row r="558">
      <c r="A558" s="50" t="n"/>
      <c r="B558" s="51" t="n"/>
      <c r="C558" s="52" t="n"/>
      <c r="D558" s="51" t="n"/>
      <c r="E558" s="51" t="n"/>
      <c r="F558" s="51" t="n"/>
    </row>
    <row r="559">
      <c r="A559" s="50" t="n"/>
      <c r="B559" s="51" t="n"/>
      <c r="C559" s="52" t="n"/>
      <c r="D559" s="51" t="n"/>
      <c r="E559" s="51" t="n"/>
      <c r="F559" s="51" t="n"/>
    </row>
    <row r="560">
      <c r="A560" s="50" t="n"/>
      <c r="B560" s="51" t="n"/>
      <c r="C560" s="52" t="n"/>
      <c r="D560" s="51" t="n"/>
      <c r="E560" s="51" t="n"/>
      <c r="F560" s="51" t="n"/>
    </row>
    <row r="561">
      <c r="A561" s="50" t="n"/>
      <c r="B561" s="51" t="n"/>
      <c r="C561" s="52" t="n"/>
      <c r="D561" s="51" t="n"/>
      <c r="E561" s="51" t="n"/>
      <c r="F561" s="51" t="n"/>
    </row>
    <row r="562">
      <c r="A562" s="50" t="n"/>
      <c r="B562" s="51" t="n"/>
      <c r="C562" s="52" t="n"/>
      <c r="D562" s="51" t="n"/>
      <c r="E562" s="51" t="n"/>
      <c r="F562" s="51" t="n"/>
    </row>
    <row r="563">
      <c r="A563" s="50" t="n"/>
      <c r="B563" s="51" t="n"/>
      <c r="C563" s="52" t="n"/>
      <c r="D563" s="51" t="n"/>
      <c r="E563" s="51" t="n"/>
      <c r="F563" s="51" t="n"/>
    </row>
    <row r="564">
      <c r="A564" s="50" t="n"/>
      <c r="B564" s="51" t="n"/>
      <c r="C564" s="52" t="n"/>
      <c r="D564" s="51" t="n"/>
      <c r="E564" s="51" t="n"/>
      <c r="F564" s="51" t="n"/>
    </row>
    <row r="565">
      <c r="A565" s="50" t="n"/>
      <c r="B565" s="51" t="n"/>
      <c r="C565" s="52" t="n"/>
      <c r="D565" s="51" t="n"/>
      <c r="E565" s="51" t="n"/>
      <c r="F565" s="51" t="n"/>
    </row>
    <row r="566">
      <c r="A566" s="50" t="n"/>
      <c r="B566" s="51" t="n"/>
      <c r="C566" s="52" t="n"/>
      <c r="D566" s="51" t="n"/>
      <c r="E566" s="51" t="n"/>
      <c r="F566" s="51" t="n"/>
    </row>
    <row r="567">
      <c r="A567" s="50" t="n"/>
      <c r="B567" s="51" t="n"/>
      <c r="C567" s="52" t="n"/>
      <c r="D567" s="51" t="n"/>
      <c r="E567" s="51" t="n"/>
      <c r="F567" s="51" t="n"/>
    </row>
    <row r="568">
      <c r="A568" s="50" t="n"/>
      <c r="B568" s="51" t="n"/>
      <c r="C568" s="52" t="n"/>
      <c r="D568" s="51" t="n"/>
      <c r="E568" s="51" t="n"/>
      <c r="F568" s="51" t="n"/>
    </row>
    <row r="569">
      <c r="A569" s="50" t="n"/>
      <c r="B569" s="51" t="n"/>
      <c r="C569" s="52" t="n"/>
      <c r="D569" s="51" t="n"/>
      <c r="E569" s="51" t="n"/>
      <c r="F569" s="51" t="n"/>
    </row>
    <row r="570">
      <c r="A570" s="50" t="n"/>
      <c r="B570" s="51" t="n"/>
      <c r="C570" s="52" t="n"/>
      <c r="D570" s="51" t="n"/>
      <c r="E570" s="51" t="n"/>
      <c r="F570" s="51" t="n"/>
    </row>
    <row r="571">
      <c r="A571" s="50" t="n"/>
      <c r="B571" s="51" t="n"/>
      <c r="C571" s="52" t="n"/>
      <c r="D571" s="51" t="n"/>
      <c r="E571" s="51" t="n"/>
      <c r="F571" s="51" t="n"/>
    </row>
    <row r="572">
      <c r="A572" s="50" t="n"/>
      <c r="B572" s="51" t="n"/>
      <c r="C572" s="52" t="n"/>
      <c r="D572" s="51" t="n"/>
      <c r="E572" s="51" t="n"/>
      <c r="F572" s="51" t="n"/>
    </row>
    <row r="573">
      <c r="A573" s="50" t="n"/>
      <c r="B573" s="51" t="n"/>
      <c r="C573" s="52" t="n"/>
      <c r="D573" s="51" t="n"/>
      <c r="E573" s="51" t="n"/>
      <c r="F573" s="51" t="n"/>
    </row>
    <row r="574">
      <c r="A574" s="50" t="n"/>
      <c r="B574" s="51" t="n"/>
      <c r="C574" s="52" t="n"/>
      <c r="D574" s="51" t="n"/>
      <c r="E574" s="51" t="n"/>
      <c r="F574" s="51" t="n"/>
    </row>
    <row r="575">
      <c r="A575" s="50" t="n"/>
      <c r="B575" s="51" t="n"/>
      <c r="C575" s="52" t="n"/>
      <c r="D575" s="51" t="n"/>
      <c r="E575" s="51" t="n"/>
      <c r="F575" s="51" t="n"/>
    </row>
    <row r="576">
      <c r="A576" s="50" t="n"/>
      <c r="B576" s="51" t="n"/>
      <c r="C576" s="52" t="n"/>
      <c r="D576" s="51" t="n"/>
      <c r="E576" s="51" t="n"/>
      <c r="F576" s="51" t="n"/>
    </row>
    <row r="577">
      <c r="A577" s="50" t="n"/>
      <c r="B577" s="51" t="n"/>
      <c r="C577" s="52" t="n"/>
      <c r="D577" s="51" t="n"/>
      <c r="E577" s="51" t="n"/>
      <c r="F577" s="51" t="n"/>
    </row>
    <row r="578">
      <c r="A578" s="50" t="n"/>
      <c r="B578" s="51" t="n"/>
      <c r="C578" s="52" t="n"/>
      <c r="D578" s="51" t="n"/>
      <c r="E578" s="51" t="n"/>
      <c r="F578" s="51" t="n"/>
    </row>
    <row r="579">
      <c r="A579" s="50" t="n"/>
      <c r="B579" s="51" t="n"/>
      <c r="C579" s="52" t="n"/>
      <c r="D579" s="51" t="n"/>
      <c r="E579" s="51" t="n"/>
      <c r="F579" s="51" t="n"/>
    </row>
    <row r="580">
      <c r="A580" s="50" t="n"/>
      <c r="B580" s="51" t="n"/>
      <c r="C580" s="52" t="n"/>
      <c r="D580" s="51" t="n"/>
      <c r="E580" s="51" t="n"/>
      <c r="F580" s="51" t="n"/>
    </row>
    <row r="581">
      <c r="A581" s="50" t="n"/>
      <c r="B581" s="51" t="n"/>
      <c r="C581" s="52" t="n"/>
      <c r="D581" s="51" t="n"/>
      <c r="E581" s="51" t="n"/>
      <c r="F581" s="51" t="n"/>
    </row>
    <row r="582">
      <c r="A582" s="50" t="n"/>
      <c r="B582" s="51" t="n"/>
      <c r="C582" s="52" t="n"/>
      <c r="D582" s="51" t="n"/>
      <c r="E582" s="51" t="n"/>
      <c r="F582" s="51" t="n"/>
    </row>
    <row r="583">
      <c r="A583" s="50" t="n"/>
      <c r="B583" s="51" t="n"/>
      <c r="C583" s="52" t="n"/>
      <c r="D583" s="51" t="n"/>
      <c r="E583" s="51" t="n"/>
      <c r="F583" s="51" t="n"/>
    </row>
    <row r="584">
      <c r="A584" s="50" t="n"/>
      <c r="B584" s="51" t="n"/>
      <c r="C584" s="52" t="n"/>
      <c r="D584" s="51" t="n"/>
      <c r="E584" s="51" t="n"/>
      <c r="F584" s="51" t="n"/>
    </row>
    <row r="585">
      <c r="A585" s="50" t="n"/>
      <c r="B585" s="51" t="n"/>
      <c r="C585" s="52" t="n"/>
      <c r="D585" s="51" t="n"/>
      <c r="E585" s="51" t="n"/>
      <c r="F585" s="51" t="n"/>
    </row>
    <row r="586">
      <c r="A586" s="50" t="n"/>
      <c r="B586" s="51" t="n"/>
      <c r="C586" s="52" t="n"/>
      <c r="D586" s="51" t="n"/>
      <c r="E586" s="51" t="n"/>
      <c r="F586" s="51" t="n"/>
    </row>
    <row r="587">
      <c r="A587" s="50" t="n"/>
      <c r="B587" s="51" t="n"/>
      <c r="C587" s="52" t="n"/>
      <c r="D587" s="51" t="n"/>
      <c r="E587" s="51" t="n"/>
      <c r="F587" s="51" t="n"/>
    </row>
    <row r="588">
      <c r="A588" s="50" t="n"/>
      <c r="B588" s="51" t="n"/>
      <c r="C588" s="52" t="n"/>
      <c r="D588" s="51" t="n"/>
      <c r="E588" s="51" t="n"/>
      <c r="F588" s="51" t="n"/>
    </row>
    <row r="589">
      <c r="A589" s="50" t="n"/>
      <c r="B589" s="51" t="n"/>
      <c r="C589" s="52" t="n"/>
      <c r="D589" s="51" t="n"/>
      <c r="E589" s="51" t="n"/>
      <c r="F589" s="51" t="n"/>
    </row>
    <row r="590">
      <c r="A590" s="50" t="n"/>
      <c r="B590" s="51" t="n"/>
      <c r="C590" s="52" t="n"/>
      <c r="D590" s="51" t="n"/>
      <c r="E590" s="51" t="n"/>
      <c r="F590" s="51" t="n"/>
    </row>
    <row r="591">
      <c r="A591" s="50" t="n"/>
      <c r="B591" s="51" t="n"/>
      <c r="C591" s="52" t="n"/>
      <c r="D591" s="51" t="n"/>
      <c r="E591" s="51" t="n"/>
      <c r="F591" s="51" t="n"/>
    </row>
    <row r="592">
      <c r="A592" s="50" t="n"/>
      <c r="B592" s="51" t="n"/>
      <c r="C592" s="52" t="n"/>
      <c r="D592" s="51" t="n"/>
      <c r="E592" s="51" t="n"/>
      <c r="F592" s="51" t="n"/>
    </row>
    <row r="593">
      <c r="A593" s="50" t="n"/>
      <c r="B593" s="51" t="n"/>
      <c r="C593" s="52" t="n"/>
      <c r="D593" s="51" t="n"/>
      <c r="E593" s="51" t="n"/>
      <c r="F593" s="51" t="n"/>
    </row>
    <row r="594">
      <c r="A594" s="50" t="n"/>
      <c r="B594" s="51" t="n"/>
      <c r="C594" s="52" t="n"/>
      <c r="D594" s="51" t="n"/>
      <c r="E594" s="51" t="n"/>
      <c r="F594" s="51" t="n"/>
    </row>
    <row r="595">
      <c r="A595" s="50" t="n"/>
      <c r="B595" s="51" t="n"/>
      <c r="C595" s="52" t="n"/>
      <c r="D595" s="51" t="n"/>
      <c r="E595" s="51" t="n"/>
      <c r="F595" s="51" t="n"/>
    </row>
    <row r="596">
      <c r="A596" s="50" t="n"/>
      <c r="B596" s="51" t="n"/>
      <c r="C596" s="52" t="n"/>
      <c r="D596" s="51" t="n"/>
      <c r="E596" s="51" t="n"/>
      <c r="F596" s="51" t="n"/>
    </row>
    <row r="597">
      <c r="A597" s="50" t="n"/>
      <c r="B597" s="51" t="n"/>
      <c r="C597" s="52" t="n"/>
      <c r="D597" s="51" t="n"/>
      <c r="E597" s="51" t="n"/>
      <c r="F597" s="51" t="n"/>
    </row>
    <row r="598">
      <c r="A598" s="50" t="n"/>
      <c r="B598" s="51" t="n"/>
      <c r="C598" s="52" t="n"/>
      <c r="D598" s="51" t="n"/>
      <c r="E598" s="51" t="n"/>
      <c r="F598" s="51" t="n"/>
    </row>
    <row r="599">
      <c r="A599" s="50" t="n"/>
      <c r="B599" s="51" t="n"/>
      <c r="C599" s="52" t="n"/>
      <c r="D599" s="51" t="n"/>
      <c r="E599" s="51" t="n"/>
      <c r="F599" s="51" t="n"/>
    </row>
    <row r="600">
      <c r="A600" s="50" t="n"/>
      <c r="B600" s="51" t="n"/>
      <c r="C600" s="52" t="n"/>
      <c r="D600" s="51" t="n"/>
      <c r="E600" s="51" t="n"/>
      <c r="F600" s="51" t="n"/>
    </row>
    <row r="601">
      <c r="A601" s="50" t="n"/>
      <c r="B601" s="51" t="n"/>
      <c r="C601" s="52" t="n"/>
      <c r="D601" s="51" t="n"/>
      <c r="E601" s="51" t="n"/>
      <c r="F601" s="51" t="n"/>
    </row>
    <row r="602">
      <c r="A602" s="50" t="n"/>
      <c r="B602" s="51" t="n"/>
      <c r="C602" s="52" t="n"/>
      <c r="D602" s="51" t="n"/>
      <c r="E602" s="51" t="n"/>
      <c r="F602" s="51" t="n"/>
    </row>
    <row r="603">
      <c r="A603" s="50" t="n"/>
      <c r="B603" s="51" t="n"/>
      <c r="C603" s="52" t="n"/>
      <c r="D603" s="51" t="n"/>
      <c r="E603" s="51" t="n"/>
      <c r="F603" s="51" t="n"/>
    </row>
    <row r="604">
      <c r="A604" s="50" t="n"/>
      <c r="B604" s="51" t="n"/>
      <c r="C604" s="52" t="n"/>
      <c r="D604" s="51" t="n"/>
      <c r="E604" s="51" t="n"/>
      <c r="F604" s="51" t="n"/>
    </row>
    <row r="605">
      <c r="A605" s="50" t="n"/>
      <c r="B605" s="51" t="n"/>
      <c r="C605" s="52" t="n"/>
      <c r="D605" s="51" t="n"/>
      <c r="E605" s="51" t="n"/>
      <c r="F605" s="51" t="n"/>
    </row>
    <row r="606">
      <c r="A606" s="50" t="n"/>
      <c r="B606" s="51" t="n"/>
      <c r="C606" s="52" t="n"/>
      <c r="D606" s="51" t="n"/>
      <c r="E606" s="51" t="n"/>
      <c r="F606" s="51" t="n"/>
    </row>
    <row r="607">
      <c r="A607" s="50" t="n"/>
      <c r="B607" s="51" t="n"/>
      <c r="C607" s="52" t="n"/>
      <c r="D607" s="51" t="n"/>
      <c r="E607" s="51" t="n"/>
      <c r="F607" s="51" t="n"/>
    </row>
    <row r="608">
      <c r="A608" s="50" t="n"/>
      <c r="B608" s="51" t="n"/>
      <c r="C608" s="52" t="n"/>
      <c r="D608" s="51" t="n"/>
      <c r="E608" s="51" t="n"/>
      <c r="F608" s="51" t="n"/>
    </row>
    <row r="609">
      <c r="A609" s="50" t="n"/>
      <c r="B609" s="51" t="n"/>
      <c r="C609" s="52" t="n"/>
      <c r="D609" s="51" t="n"/>
      <c r="E609" s="51" t="n"/>
      <c r="F609" s="51" t="n"/>
    </row>
    <row r="610">
      <c r="A610" s="50" t="n"/>
      <c r="B610" s="51" t="n"/>
      <c r="C610" s="52" t="n"/>
      <c r="D610" s="51" t="n"/>
      <c r="E610" s="51" t="n"/>
      <c r="F610" s="51" t="n"/>
    </row>
    <row r="611">
      <c r="A611" s="50" t="n"/>
      <c r="B611" s="51" t="n"/>
      <c r="C611" s="52" t="n"/>
      <c r="D611" s="51" t="n"/>
      <c r="E611" s="51" t="n"/>
      <c r="F611" s="51" t="n"/>
    </row>
    <row r="612">
      <c r="A612" s="50" t="n"/>
      <c r="B612" s="51" t="n"/>
      <c r="C612" s="52" t="n"/>
      <c r="D612" s="51" t="n"/>
      <c r="E612" s="51" t="n"/>
      <c r="F612" s="51" t="n"/>
    </row>
    <row r="613">
      <c r="A613" s="50" t="n"/>
      <c r="B613" s="51" t="n"/>
      <c r="C613" s="52" t="n"/>
      <c r="D613" s="51" t="n"/>
      <c r="E613" s="51" t="n"/>
      <c r="F613" s="51" t="n"/>
    </row>
    <row r="614">
      <c r="A614" s="50" t="n"/>
      <c r="B614" s="51" t="n"/>
      <c r="C614" s="52" t="n"/>
      <c r="D614" s="51" t="n"/>
      <c r="E614" s="51" t="n"/>
      <c r="F614" s="51" t="n"/>
    </row>
    <row r="615">
      <c r="A615" s="50" t="n"/>
      <c r="B615" s="51" t="n"/>
      <c r="C615" s="52" t="n"/>
      <c r="D615" s="51" t="n"/>
      <c r="E615" s="51" t="n"/>
      <c r="F615" s="51" t="n"/>
    </row>
    <row r="616">
      <c r="A616" s="50" t="n"/>
      <c r="B616" s="51" t="n"/>
      <c r="C616" s="52" t="n"/>
      <c r="D616" s="51" t="n"/>
      <c r="E616" s="51" t="n"/>
      <c r="F616" s="51" t="n"/>
    </row>
    <row r="617">
      <c r="A617" s="50" t="n"/>
      <c r="B617" s="51" t="n"/>
      <c r="C617" s="52" t="n"/>
      <c r="D617" s="51" t="n"/>
      <c r="E617" s="51" t="n"/>
      <c r="F617" s="51" t="n"/>
    </row>
    <row r="618">
      <c r="A618" s="50" t="n"/>
      <c r="B618" s="51" t="n"/>
      <c r="C618" s="52" t="n"/>
      <c r="D618" s="51" t="n"/>
      <c r="E618" s="51" t="n"/>
      <c r="F618" s="51" t="n"/>
    </row>
    <row r="619">
      <c r="A619" s="50" t="n"/>
      <c r="B619" s="51" t="n"/>
      <c r="C619" s="52" t="n"/>
      <c r="D619" s="51" t="n"/>
      <c r="E619" s="51" t="n"/>
      <c r="F619" s="51" t="n"/>
    </row>
    <row r="620">
      <c r="A620" s="50" t="n"/>
      <c r="B620" s="51" t="n"/>
      <c r="C620" s="52" t="n"/>
      <c r="D620" s="51" t="n"/>
      <c r="E620" s="51" t="n"/>
      <c r="F620" s="51" t="n"/>
    </row>
    <row r="621">
      <c r="A621" s="50" t="n"/>
      <c r="B621" s="51" t="n"/>
      <c r="C621" s="52" t="n"/>
      <c r="D621" s="51" t="n"/>
      <c r="E621" s="51" t="n"/>
      <c r="F621" s="51" t="n"/>
    </row>
    <row r="622">
      <c r="A622" s="50" t="n"/>
      <c r="B622" s="51" t="n"/>
      <c r="C622" s="52" t="n"/>
      <c r="D622" s="51" t="n"/>
      <c r="E622" s="51" t="n"/>
      <c r="F622" s="51" t="n"/>
    </row>
    <row r="623">
      <c r="A623" s="50" t="n"/>
      <c r="B623" s="51" t="n"/>
      <c r="C623" s="52" t="n"/>
      <c r="D623" s="51" t="n"/>
      <c r="E623" s="51" t="n"/>
      <c r="F623" s="51" t="n"/>
    </row>
    <row r="624">
      <c r="A624" s="50" t="n"/>
      <c r="B624" s="51" t="n"/>
      <c r="C624" s="52" t="n"/>
      <c r="D624" s="51" t="n"/>
      <c r="E624" s="51" t="n"/>
      <c r="F624" s="51" t="n"/>
    </row>
    <row r="625">
      <c r="A625" s="50" t="n"/>
      <c r="B625" s="51" t="n"/>
      <c r="C625" s="52" t="n"/>
      <c r="D625" s="51" t="n"/>
      <c r="E625" s="51" t="n"/>
      <c r="F625" s="51" t="n"/>
    </row>
    <row r="626">
      <c r="A626" s="50" t="n"/>
      <c r="B626" s="51" t="n"/>
      <c r="C626" s="52" t="n"/>
      <c r="D626" s="51" t="n"/>
      <c r="E626" s="51" t="n"/>
      <c r="F626" s="51" t="n"/>
    </row>
    <row r="627">
      <c r="A627" s="50" t="n"/>
      <c r="B627" s="51" t="n"/>
      <c r="C627" s="52" t="n"/>
      <c r="D627" s="51" t="n"/>
      <c r="E627" s="51" t="n"/>
      <c r="F627" s="51" t="n"/>
    </row>
    <row r="628">
      <c r="A628" s="50" t="n"/>
      <c r="B628" s="51" t="n"/>
      <c r="C628" s="52" t="n"/>
      <c r="D628" s="51" t="n"/>
      <c r="E628" s="51" t="n"/>
      <c r="F628" s="51" t="n"/>
    </row>
    <row r="629">
      <c r="A629" s="50" t="n"/>
      <c r="B629" s="51" t="n"/>
      <c r="C629" s="52" t="n"/>
      <c r="D629" s="51" t="n"/>
      <c r="E629" s="51" t="n"/>
      <c r="F629" s="51" t="n"/>
    </row>
    <row r="630">
      <c r="A630" s="50" t="n"/>
      <c r="B630" s="51" t="n"/>
      <c r="C630" s="52" t="n"/>
      <c r="D630" s="51" t="n"/>
      <c r="E630" s="51" t="n"/>
      <c r="F630" s="51" t="n"/>
    </row>
    <row r="631">
      <c r="A631" s="50" t="n"/>
      <c r="B631" s="51" t="n"/>
      <c r="C631" s="52" t="n"/>
      <c r="D631" s="51" t="n"/>
      <c r="E631" s="51" t="n"/>
      <c r="F631" s="51" t="n"/>
    </row>
    <row r="632">
      <c r="A632" s="50" t="n"/>
      <c r="B632" s="51" t="n"/>
      <c r="C632" s="52" t="n"/>
      <c r="D632" s="51" t="n"/>
      <c r="E632" s="51" t="n"/>
      <c r="F632" s="51" t="n"/>
    </row>
    <row r="633">
      <c r="A633" s="50" t="n"/>
      <c r="B633" s="51" t="n"/>
      <c r="C633" s="52" t="n"/>
      <c r="D633" s="51" t="n"/>
      <c r="E633" s="51" t="n"/>
      <c r="F633" s="51" t="n"/>
    </row>
    <row r="634">
      <c r="A634" s="50" t="n"/>
      <c r="B634" s="51" t="n"/>
      <c r="C634" s="52" t="n"/>
      <c r="D634" s="51" t="n"/>
      <c r="E634" s="51" t="n"/>
      <c r="F634" s="51" t="n"/>
    </row>
    <row r="635">
      <c r="A635" s="50" t="n"/>
      <c r="B635" s="51" t="n"/>
      <c r="C635" s="52" t="n"/>
      <c r="D635" s="51" t="n"/>
      <c r="E635" s="51" t="n"/>
      <c r="F635" s="51" t="n"/>
    </row>
    <row r="636">
      <c r="A636" s="50" t="n"/>
      <c r="B636" s="51" t="n"/>
      <c r="C636" s="52" t="n"/>
      <c r="D636" s="51" t="n"/>
      <c r="E636" s="51" t="n"/>
      <c r="F636" s="51" t="n"/>
    </row>
    <row r="637">
      <c r="A637" s="50" t="n"/>
      <c r="B637" s="51" t="n"/>
      <c r="C637" s="52" t="n"/>
      <c r="D637" s="51" t="n"/>
      <c r="E637" s="51" t="n"/>
      <c r="F637" s="51" t="n"/>
    </row>
    <row r="638">
      <c r="A638" s="50" t="n"/>
      <c r="B638" s="51" t="n"/>
      <c r="C638" s="52" t="n"/>
      <c r="D638" s="51" t="n"/>
      <c r="E638" s="51" t="n"/>
      <c r="F638" s="51" t="n"/>
    </row>
    <row r="639">
      <c r="A639" s="50" t="n"/>
      <c r="B639" s="51" t="n"/>
      <c r="C639" s="52" t="n"/>
      <c r="D639" s="51" t="n"/>
      <c r="E639" s="51" t="n"/>
      <c r="F639" s="51" t="n"/>
    </row>
    <row r="640">
      <c r="A640" s="50" t="n"/>
      <c r="B640" s="51" t="n"/>
      <c r="C640" s="52" t="n"/>
      <c r="D640" s="51" t="n"/>
      <c r="E640" s="51" t="n"/>
      <c r="F640" s="51" t="n"/>
    </row>
    <row r="641">
      <c r="A641" s="50" t="n"/>
      <c r="B641" s="51" t="n"/>
      <c r="C641" s="52" t="n"/>
      <c r="D641" s="51" t="n"/>
      <c r="E641" s="51" t="n"/>
      <c r="F641" s="51" t="n"/>
    </row>
    <row r="642">
      <c r="A642" s="50" t="n"/>
      <c r="B642" s="51" t="n"/>
      <c r="C642" s="52" t="n"/>
      <c r="D642" s="51" t="n"/>
      <c r="E642" s="51" t="n"/>
      <c r="F642" s="51" t="n"/>
    </row>
    <row r="643">
      <c r="A643" s="50" t="n"/>
      <c r="B643" s="51" t="n"/>
      <c r="C643" s="52" t="n"/>
      <c r="D643" s="51" t="n"/>
      <c r="E643" s="51" t="n"/>
      <c r="F643" s="51" t="n"/>
    </row>
    <row r="644">
      <c r="A644" s="50" t="n"/>
      <c r="B644" s="51" t="n"/>
      <c r="C644" s="52" t="n"/>
      <c r="D644" s="51" t="n"/>
      <c r="E644" s="51" t="n"/>
      <c r="F644" s="51" t="n"/>
    </row>
    <row r="645">
      <c r="A645" s="50" t="n"/>
      <c r="B645" s="51" t="n"/>
      <c r="C645" s="52" t="n"/>
      <c r="D645" s="51" t="n"/>
      <c r="E645" s="51" t="n"/>
      <c r="F645" s="51" t="n"/>
    </row>
    <row r="646">
      <c r="A646" s="50" t="n"/>
      <c r="B646" s="51" t="n"/>
      <c r="C646" s="52" t="n"/>
      <c r="D646" s="51" t="n"/>
      <c r="E646" s="51" t="n"/>
      <c r="F646" s="51" t="n"/>
    </row>
    <row r="647">
      <c r="A647" s="50" t="n"/>
      <c r="B647" s="51" t="n"/>
      <c r="C647" s="52" t="n"/>
      <c r="D647" s="51" t="n"/>
      <c r="E647" s="51" t="n"/>
      <c r="F647" s="51" t="n"/>
    </row>
    <row r="648">
      <c r="A648" s="50" t="n"/>
      <c r="B648" s="51" t="n"/>
      <c r="C648" s="52" t="n"/>
      <c r="D648" s="51" t="n"/>
      <c r="E648" s="51" t="n"/>
      <c r="F648" s="51" t="n"/>
    </row>
    <row r="649">
      <c r="A649" s="50" t="n"/>
      <c r="B649" s="51" t="n"/>
      <c r="C649" s="52" t="n"/>
      <c r="D649" s="51" t="n"/>
      <c r="E649" s="51" t="n"/>
      <c r="F649" s="51" t="n"/>
    </row>
    <row r="650">
      <c r="A650" s="50" t="n"/>
      <c r="B650" s="51" t="n"/>
      <c r="C650" s="52" t="n"/>
      <c r="D650" s="51" t="n"/>
      <c r="E650" s="51" t="n"/>
      <c r="F650" s="51" t="n"/>
    </row>
    <row r="651">
      <c r="A651" s="50" t="n"/>
      <c r="B651" s="51" t="n"/>
      <c r="C651" s="52" t="n"/>
      <c r="D651" s="51" t="n"/>
      <c r="E651" s="51" t="n"/>
      <c r="F651" s="51" t="n"/>
    </row>
    <row r="652">
      <c r="A652" s="50" t="n"/>
      <c r="B652" s="51" t="n"/>
      <c r="C652" s="52" t="n"/>
      <c r="D652" s="51" t="n"/>
      <c r="E652" s="51" t="n"/>
      <c r="F652" s="51" t="n"/>
    </row>
    <row r="653">
      <c r="A653" s="50" t="n"/>
      <c r="B653" s="51" t="n"/>
      <c r="C653" s="52" t="n"/>
      <c r="D653" s="51" t="n"/>
      <c r="E653" s="51" t="n"/>
      <c r="F653" s="51" t="n"/>
    </row>
    <row r="654">
      <c r="A654" s="50" t="n"/>
      <c r="B654" s="51" t="n"/>
      <c r="C654" s="52" t="n"/>
      <c r="D654" s="51" t="n"/>
      <c r="E654" s="51" t="n"/>
      <c r="F654" s="51" t="n"/>
    </row>
    <row r="655">
      <c r="A655" s="50" t="n"/>
      <c r="B655" s="51" t="n"/>
      <c r="C655" s="52" t="n"/>
      <c r="D655" s="51" t="n"/>
      <c r="E655" s="51" t="n"/>
      <c r="F655" s="51" t="n"/>
    </row>
    <row r="656">
      <c r="A656" s="50" t="n"/>
      <c r="B656" s="51" t="n"/>
      <c r="C656" s="52" t="n"/>
      <c r="D656" s="51" t="n"/>
      <c r="E656" s="51" t="n"/>
      <c r="F656" s="51" t="n"/>
    </row>
    <row r="657">
      <c r="A657" s="50" t="n"/>
      <c r="B657" s="51" t="n"/>
      <c r="C657" s="52" t="n"/>
      <c r="D657" s="51" t="n"/>
      <c r="E657" s="51" t="n"/>
      <c r="F657" s="51" t="n"/>
    </row>
    <row r="658">
      <c r="A658" s="50" t="n"/>
      <c r="B658" s="51" t="n"/>
      <c r="C658" s="52" t="n"/>
      <c r="D658" s="51" t="n"/>
      <c r="E658" s="51" t="n"/>
      <c r="F658" s="51" t="n"/>
    </row>
    <row r="659">
      <c r="A659" s="50" t="n"/>
      <c r="B659" s="51" t="n"/>
      <c r="C659" s="52" t="n"/>
      <c r="D659" s="51" t="n"/>
      <c r="E659" s="51" t="n"/>
      <c r="F659" s="51" t="n"/>
    </row>
    <row r="660">
      <c r="A660" s="50" t="n"/>
      <c r="B660" s="51" t="n"/>
      <c r="C660" s="52" t="n"/>
      <c r="D660" s="51" t="n"/>
      <c r="E660" s="51" t="n"/>
      <c r="F660" s="51" t="n"/>
    </row>
    <row r="661">
      <c r="A661" s="50" t="n"/>
      <c r="B661" s="51" t="n"/>
      <c r="C661" s="52" t="n"/>
      <c r="D661" s="51" t="n"/>
      <c r="E661" s="51" t="n"/>
      <c r="F661" s="51" t="n"/>
    </row>
    <row r="662">
      <c r="A662" s="50" t="n"/>
      <c r="B662" s="51" t="n"/>
      <c r="C662" s="52" t="n"/>
      <c r="D662" s="51" t="n"/>
      <c r="E662" s="51" t="n"/>
      <c r="F662" s="51" t="n"/>
    </row>
    <row r="663">
      <c r="A663" s="50" t="n"/>
      <c r="B663" s="51" t="n"/>
      <c r="C663" s="52" t="n"/>
      <c r="D663" s="51" t="n"/>
      <c r="E663" s="51" t="n"/>
      <c r="F663" s="51" t="n"/>
    </row>
    <row r="664">
      <c r="A664" s="50" t="n"/>
      <c r="B664" s="51" t="n"/>
      <c r="C664" s="52" t="n"/>
      <c r="D664" s="51" t="n"/>
      <c r="E664" s="51" t="n"/>
      <c r="F664" s="51" t="n"/>
    </row>
    <row r="665">
      <c r="A665" s="50" t="n"/>
      <c r="B665" s="51" t="n"/>
      <c r="C665" s="52" t="n"/>
      <c r="D665" s="51" t="n"/>
      <c r="E665" s="51" t="n"/>
      <c r="F665" s="51" t="n"/>
    </row>
    <row r="666">
      <c r="A666" s="50" t="n"/>
      <c r="B666" s="51" t="n"/>
      <c r="C666" s="52" t="n"/>
      <c r="D666" s="51" t="n"/>
      <c r="E666" s="51" t="n"/>
      <c r="F666" s="51" t="n"/>
    </row>
    <row r="667">
      <c r="A667" s="50" t="n"/>
      <c r="B667" s="51" t="n"/>
      <c r="C667" s="52" t="n"/>
      <c r="D667" s="51" t="n"/>
      <c r="E667" s="51" t="n"/>
      <c r="F667" s="51" t="n"/>
    </row>
    <row r="668">
      <c r="A668" s="50" t="n"/>
      <c r="B668" s="51" t="n"/>
      <c r="C668" s="52" t="n"/>
      <c r="D668" s="51" t="n"/>
      <c r="E668" s="51" t="n"/>
      <c r="F668" s="51" t="n"/>
    </row>
    <row r="669">
      <c r="A669" s="50" t="n"/>
      <c r="B669" s="51" t="n"/>
      <c r="C669" s="52" t="n"/>
      <c r="D669" s="51" t="n"/>
      <c r="E669" s="51" t="n"/>
      <c r="F669" s="51" t="n"/>
    </row>
    <row r="670">
      <c r="A670" s="50" t="n"/>
      <c r="B670" s="51" t="n"/>
      <c r="C670" s="52" t="n"/>
      <c r="D670" s="51" t="n"/>
      <c r="E670" s="51" t="n"/>
      <c r="F670" s="51" t="n"/>
    </row>
    <row r="671">
      <c r="A671" s="50" t="n"/>
      <c r="B671" s="51" t="n"/>
      <c r="C671" s="52" t="n"/>
      <c r="D671" s="51" t="n"/>
      <c r="E671" s="51" t="n"/>
      <c r="F671" s="51" t="n"/>
    </row>
    <row r="672">
      <c r="A672" s="50" t="n"/>
      <c r="B672" s="51" t="n"/>
      <c r="C672" s="52" t="n"/>
      <c r="D672" s="51" t="n"/>
      <c r="E672" s="51" t="n"/>
      <c r="F672" s="51" t="n"/>
    </row>
    <row r="673">
      <c r="A673" s="50" t="n"/>
      <c r="B673" s="51" t="n"/>
      <c r="C673" s="52" t="n"/>
      <c r="D673" s="51" t="n"/>
      <c r="E673" s="51" t="n"/>
      <c r="F673" s="51" t="n"/>
    </row>
    <row r="674">
      <c r="A674" s="50" t="n"/>
      <c r="B674" s="51" t="n"/>
      <c r="C674" s="52" t="n"/>
      <c r="D674" s="51" t="n"/>
      <c r="E674" s="51" t="n"/>
      <c r="F674" s="51" t="n"/>
    </row>
    <row r="675">
      <c r="A675" s="50" t="n"/>
      <c r="B675" s="51" t="n"/>
      <c r="C675" s="52" t="n"/>
      <c r="D675" s="51" t="n"/>
      <c r="E675" s="51" t="n"/>
      <c r="F675" s="51" t="n"/>
    </row>
    <row r="676">
      <c r="A676" s="50" t="n"/>
      <c r="B676" s="51" t="n"/>
      <c r="C676" s="52" t="n"/>
      <c r="D676" s="51" t="n"/>
      <c r="E676" s="51" t="n"/>
      <c r="F676" s="51" t="n"/>
    </row>
    <row r="677">
      <c r="A677" s="50" t="n"/>
      <c r="B677" s="51" t="n"/>
      <c r="C677" s="52" t="n"/>
      <c r="D677" s="51" t="n"/>
      <c r="E677" s="51" t="n"/>
      <c r="F677" s="51" t="n"/>
    </row>
    <row r="678">
      <c r="A678" s="50" t="n"/>
      <c r="B678" s="51" t="n"/>
      <c r="C678" s="52" t="n"/>
      <c r="D678" s="51" t="n"/>
      <c r="E678" s="51" t="n"/>
      <c r="F678" s="51" t="n"/>
    </row>
    <row r="679">
      <c r="A679" s="50" t="n"/>
      <c r="B679" s="51" t="n"/>
      <c r="C679" s="52" t="n"/>
      <c r="D679" s="51" t="n"/>
      <c r="E679" s="51" t="n"/>
      <c r="F679" s="51" t="n"/>
    </row>
    <row r="680">
      <c r="A680" s="50" t="n"/>
      <c r="B680" s="51" t="n"/>
      <c r="C680" s="52" t="n"/>
      <c r="D680" s="51" t="n"/>
      <c r="E680" s="51" t="n"/>
      <c r="F680" s="51" t="n"/>
    </row>
    <row r="681">
      <c r="A681" s="50" t="n"/>
      <c r="B681" s="51" t="n"/>
      <c r="C681" s="52" t="n"/>
      <c r="D681" s="51" t="n"/>
      <c r="E681" s="51" t="n"/>
      <c r="F681" s="51" t="n"/>
    </row>
    <row r="682">
      <c r="A682" s="50" t="n"/>
      <c r="B682" s="51" t="n"/>
      <c r="C682" s="52" t="n"/>
      <c r="D682" s="51" t="n"/>
      <c r="E682" s="51" t="n"/>
      <c r="F682" s="51" t="n"/>
    </row>
    <row r="683">
      <c r="A683" s="50" t="n"/>
      <c r="B683" s="51" t="n"/>
      <c r="C683" s="52" t="n"/>
      <c r="D683" s="51" t="n"/>
      <c r="E683" s="51" t="n"/>
      <c r="F683" s="51" t="n"/>
    </row>
    <row r="684">
      <c r="A684" s="50" t="n"/>
      <c r="B684" s="51" t="n"/>
      <c r="C684" s="52" t="n"/>
      <c r="D684" s="51" t="n"/>
      <c r="E684" s="51" t="n"/>
      <c r="F684" s="51" t="n"/>
    </row>
    <row r="685">
      <c r="A685" s="50" t="n"/>
      <c r="B685" s="51" t="n"/>
      <c r="C685" s="52" t="n"/>
      <c r="D685" s="51" t="n"/>
      <c r="E685" s="51" t="n"/>
      <c r="F685" s="51" t="n"/>
    </row>
    <row r="686">
      <c r="A686" s="50" t="n"/>
      <c r="B686" s="51" t="n"/>
      <c r="C686" s="52" t="n"/>
      <c r="D686" s="51" t="n"/>
      <c r="E686" s="51" t="n"/>
      <c r="F686" s="51" t="n"/>
    </row>
    <row r="687">
      <c r="A687" s="50" t="n"/>
      <c r="B687" s="51" t="n"/>
      <c r="C687" s="52" t="n"/>
      <c r="D687" s="51" t="n"/>
      <c r="E687" s="51" t="n"/>
      <c r="F687" s="51" t="n"/>
    </row>
    <row r="688">
      <c r="A688" s="50" t="n"/>
      <c r="B688" s="51" t="n"/>
      <c r="C688" s="52" t="n"/>
      <c r="D688" s="51" t="n"/>
      <c r="E688" s="51" t="n"/>
      <c r="F688" s="51" t="n"/>
    </row>
    <row r="689">
      <c r="A689" s="50" t="n"/>
      <c r="B689" s="51" t="n"/>
      <c r="C689" s="52" t="n"/>
      <c r="D689" s="51" t="n"/>
      <c r="E689" s="51" t="n"/>
      <c r="F689" s="51" t="n"/>
    </row>
    <row r="690">
      <c r="A690" s="50" t="n"/>
      <c r="B690" s="51" t="n"/>
      <c r="C690" s="52" t="n"/>
      <c r="D690" s="51" t="n"/>
      <c r="E690" s="51" t="n"/>
      <c r="F690" s="51" t="n"/>
    </row>
    <row r="691">
      <c r="A691" s="50" t="n"/>
      <c r="B691" s="51" t="n"/>
      <c r="C691" s="52" t="n"/>
      <c r="D691" s="51" t="n"/>
      <c r="E691" s="51" t="n"/>
      <c r="F691" s="51" t="n"/>
    </row>
    <row r="692">
      <c r="A692" s="50" t="n"/>
      <c r="B692" s="51" t="n"/>
      <c r="C692" s="52" t="n"/>
      <c r="D692" s="51" t="n"/>
      <c r="E692" s="51" t="n"/>
      <c r="F692" s="51" t="n"/>
    </row>
    <row r="693">
      <c r="A693" s="50" t="n"/>
      <c r="B693" s="51" t="n"/>
      <c r="C693" s="52" t="n"/>
      <c r="D693" s="51" t="n"/>
      <c r="E693" s="51" t="n"/>
      <c r="F693" s="51" t="n"/>
    </row>
    <row r="694">
      <c r="A694" s="50" t="n"/>
      <c r="B694" s="51" t="n"/>
      <c r="C694" s="52" t="n"/>
      <c r="D694" s="51" t="n"/>
      <c r="E694" s="51" t="n"/>
      <c r="F694" s="51" t="n"/>
    </row>
    <row r="695">
      <c r="A695" s="50" t="n"/>
      <c r="B695" s="51" t="n"/>
      <c r="C695" s="52" t="n"/>
      <c r="D695" s="51" t="n"/>
      <c r="E695" s="51" t="n"/>
      <c r="F695" s="51" t="n"/>
    </row>
    <row r="696">
      <c r="A696" s="50" t="n"/>
      <c r="B696" s="51" t="n"/>
      <c r="C696" s="52" t="n"/>
      <c r="D696" s="51" t="n"/>
      <c r="E696" s="51" t="n"/>
      <c r="F696" s="51" t="n"/>
    </row>
    <row r="697">
      <c r="A697" s="50" t="n"/>
      <c r="B697" s="51" t="n"/>
      <c r="C697" s="52" t="n"/>
      <c r="D697" s="51" t="n"/>
      <c r="E697" s="51" t="n"/>
      <c r="F697" s="51" t="n"/>
    </row>
    <row r="698">
      <c r="A698" s="50" t="n"/>
      <c r="B698" s="51" t="n"/>
      <c r="C698" s="52" t="n"/>
      <c r="D698" s="51" t="n"/>
      <c r="E698" s="51" t="n"/>
      <c r="F698" s="51" t="n"/>
    </row>
    <row r="699">
      <c r="A699" s="50" t="n"/>
      <c r="B699" s="51" t="n"/>
      <c r="C699" s="52" t="n"/>
      <c r="D699" s="51" t="n"/>
      <c r="E699" s="51" t="n"/>
      <c r="F699" s="51" t="n"/>
    </row>
    <row r="700">
      <c r="A700" s="50" t="n"/>
      <c r="B700" s="51" t="n"/>
      <c r="C700" s="52" t="n"/>
      <c r="D700" s="51" t="n"/>
      <c r="E700" s="51" t="n"/>
      <c r="F700" s="51" t="n"/>
    </row>
    <row r="701">
      <c r="A701" s="50" t="n"/>
      <c r="B701" s="51" t="n"/>
      <c r="C701" s="52" t="n"/>
      <c r="D701" s="51" t="n"/>
      <c r="E701" s="51" t="n"/>
      <c r="F701" s="51" t="n"/>
    </row>
    <row r="702">
      <c r="A702" s="50" t="n"/>
      <c r="B702" s="51" t="n"/>
      <c r="C702" s="52" t="n"/>
      <c r="D702" s="51" t="n"/>
      <c r="E702" s="51" t="n"/>
      <c r="F702" s="51" t="n"/>
    </row>
    <row r="703">
      <c r="A703" s="50" t="n"/>
      <c r="B703" s="51" t="n"/>
      <c r="C703" s="52" t="n"/>
      <c r="D703" s="51" t="n"/>
      <c r="E703" s="51" t="n"/>
      <c r="F703" s="51" t="n"/>
    </row>
    <row r="704">
      <c r="A704" s="50" t="n"/>
      <c r="B704" s="51" t="n"/>
      <c r="C704" s="52" t="n"/>
      <c r="D704" s="51" t="n"/>
      <c r="E704" s="51" t="n"/>
      <c r="F704" s="51" t="n"/>
    </row>
    <row r="705">
      <c r="A705" s="50" t="n"/>
      <c r="B705" s="51" t="n"/>
      <c r="C705" s="52" t="n"/>
      <c r="D705" s="51" t="n"/>
      <c r="E705" s="51" t="n"/>
      <c r="F705" s="51" t="n"/>
    </row>
    <row r="706">
      <c r="A706" s="50" t="n"/>
      <c r="B706" s="51" t="n"/>
      <c r="C706" s="52" t="n"/>
      <c r="D706" s="51" t="n"/>
      <c r="E706" s="51" t="n"/>
      <c r="F706" s="51" t="n"/>
    </row>
    <row r="707">
      <c r="A707" s="50" t="n"/>
      <c r="B707" s="51" t="n"/>
      <c r="C707" s="52" t="n"/>
      <c r="D707" s="51" t="n"/>
      <c r="E707" s="51" t="n"/>
      <c r="F707" s="51" t="n"/>
    </row>
    <row r="708">
      <c r="A708" s="50" t="n"/>
      <c r="B708" s="51" t="n"/>
      <c r="C708" s="52" t="n"/>
      <c r="D708" s="51" t="n"/>
      <c r="E708" s="51" t="n"/>
      <c r="F708" s="51" t="n"/>
    </row>
    <row r="709">
      <c r="A709" s="50" t="n"/>
      <c r="B709" s="51" t="n"/>
      <c r="C709" s="52" t="n"/>
      <c r="D709" s="51" t="n"/>
      <c r="E709" s="51" t="n"/>
      <c r="F709" s="51" t="n"/>
    </row>
    <row r="710">
      <c r="A710" s="50" t="n"/>
      <c r="B710" s="51" t="n"/>
      <c r="C710" s="52" t="n"/>
      <c r="D710" s="51" t="n"/>
      <c r="E710" s="51" t="n"/>
      <c r="F710" s="51" t="n"/>
    </row>
    <row r="711">
      <c r="A711" s="50" t="n"/>
      <c r="B711" s="51" t="n"/>
      <c r="C711" s="52" t="n"/>
      <c r="D711" s="51" t="n"/>
      <c r="E711" s="51" t="n"/>
      <c r="F711" s="51" t="n"/>
    </row>
    <row r="712">
      <c r="A712" s="50" t="n"/>
      <c r="B712" s="51" t="n"/>
      <c r="C712" s="52" t="n"/>
      <c r="D712" s="51" t="n"/>
      <c r="E712" s="51" t="n"/>
      <c r="F712" s="51" t="n"/>
    </row>
    <row r="713">
      <c r="A713" s="50" t="n"/>
      <c r="B713" s="51" t="n"/>
      <c r="C713" s="52" t="n"/>
      <c r="D713" s="51" t="n"/>
      <c r="E713" s="51" t="n"/>
      <c r="F713" s="51" t="n"/>
    </row>
    <row r="714">
      <c r="A714" s="50" t="n"/>
      <c r="B714" s="51" t="n"/>
      <c r="C714" s="52" t="n"/>
      <c r="D714" s="51" t="n"/>
      <c r="E714" s="51" t="n"/>
      <c r="F714" s="51" t="n"/>
    </row>
    <row r="715">
      <c r="A715" s="50" t="n"/>
      <c r="B715" s="51" t="n"/>
      <c r="C715" s="52" t="n"/>
      <c r="D715" s="51" t="n"/>
      <c r="E715" s="51" t="n"/>
      <c r="F715" s="51" t="n"/>
    </row>
    <row r="716">
      <c r="A716" s="50" t="n"/>
      <c r="B716" s="51" t="n"/>
      <c r="C716" s="52" t="n"/>
      <c r="D716" s="51" t="n"/>
      <c r="E716" s="51" t="n"/>
      <c r="F716" s="51" t="n"/>
    </row>
    <row r="717">
      <c r="A717" s="50" t="n"/>
      <c r="B717" s="51" t="n"/>
      <c r="C717" s="52" t="n"/>
      <c r="D717" s="51" t="n"/>
      <c r="E717" s="51" t="n"/>
      <c r="F717" s="51" t="n"/>
    </row>
    <row r="718">
      <c r="A718" s="50" t="n"/>
      <c r="B718" s="51" t="n"/>
      <c r="C718" s="52" t="n"/>
      <c r="D718" s="51" t="n"/>
      <c r="E718" s="51" t="n"/>
      <c r="F718" s="51" t="n"/>
    </row>
    <row r="719">
      <c r="A719" s="50" t="n"/>
      <c r="B719" s="51" t="n"/>
      <c r="C719" s="52" t="n"/>
      <c r="D719" s="51" t="n"/>
      <c r="E719" s="51" t="n"/>
      <c r="F719" s="51" t="n"/>
    </row>
    <row r="720">
      <c r="A720" s="50" t="n"/>
      <c r="B720" s="51" t="n"/>
      <c r="C720" s="52" t="n"/>
      <c r="D720" s="51" t="n"/>
      <c r="E720" s="51" t="n"/>
      <c r="F720" s="51" t="n"/>
    </row>
    <row r="721">
      <c r="A721" s="50" t="n"/>
      <c r="B721" s="51" t="n"/>
      <c r="C721" s="52" t="n"/>
      <c r="D721" s="51" t="n"/>
      <c r="E721" s="51" t="n"/>
      <c r="F721" s="51" t="n"/>
    </row>
    <row r="722">
      <c r="A722" s="50" t="n"/>
      <c r="B722" s="51" t="n"/>
      <c r="C722" s="52" t="n"/>
      <c r="D722" s="51" t="n"/>
      <c r="E722" s="51" t="n"/>
      <c r="F722" s="51" t="n"/>
    </row>
    <row r="723">
      <c r="A723" s="50" t="n"/>
      <c r="B723" s="51" t="n"/>
      <c r="C723" s="52" t="n"/>
      <c r="D723" s="51" t="n"/>
      <c r="E723" s="51" t="n"/>
      <c r="F723" s="51" t="n"/>
    </row>
    <row r="724">
      <c r="A724" s="50" t="n"/>
      <c r="B724" s="51" t="n"/>
      <c r="C724" s="52" t="n"/>
      <c r="D724" s="51" t="n"/>
      <c r="E724" s="51" t="n"/>
      <c r="F724" s="51" t="n"/>
    </row>
    <row r="725">
      <c r="A725" s="50" t="n"/>
      <c r="B725" s="51" t="n"/>
      <c r="C725" s="52" t="n"/>
      <c r="D725" s="51" t="n"/>
      <c r="E725" s="51" t="n"/>
      <c r="F725" s="51" t="n"/>
    </row>
    <row r="726">
      <c r="A726" s="50" t="n"/>
      <c r="B726" s="51" t="n"/>
      <c r="C726" s="52" t="n"/>
      <c r="D726" s="51" t="n"/>
      <c r="E726" s="51" t="n"/>
      <c r="F726" s="51" t="n"/>
    </row>
    <row r="727">
      <c r="A727" s="50" t="n"/>
      <c r="B727" s="51" t="n"/>
      <c r="C727" s="52" t="n"/>
      <c r="D727" s="51" t="n"/>
      <c r="E727" s="51" t="n"/>
      <c r="F727" s="51" t="n"/>
    </row>
    <row r="728">
      <c r="A728" s="50" t="n"/>
      <c r="B728" s="51" t="n"/>
      <c r="C728" s="52" t="n"/>
      <c r="D728" s="51" t="n"/>
      <c r="E728" s="51" t="n"/>
      <c r="F728" s="51" t="n"/>
    </row>
    <row r="729">
      <c r="A729" s="50" t="n"/>
      <c r="B729" s="51" t="n"/>
      <c r="C729" s="52" t="n"/>
      <c r="D729" s="51" t="n"/>
      <c r="E729" s="51" t="n"/>
      <c r="F729" s="51" t="n"/>
    </row>
    <row r="730">
      <c r="A730" s="50" t="n"/>
      <c r="B730" s="51" t="n"/>
      <c r="C730" s="52" t="n"/>
      <c r="D730" s="51" t="n"/>
      <c r="E730" s="51" t="n"/>
      <c r="F730" s="51" t="n"/>
    </row>
    <row r="731">
      <c r="A731" s="50" t="n"/>
      <c r="B731" s="51" t="n"/>
      <c r="C731" s="52" t="n"/>
      <c r="D731" s="51" t="n"/>
      <c r="E731" s="51" t="n"/>
      <c r="F731" s="51" t="n"/>
    </row>
    <row r="732">
      <c r="A732" s="50" t="n"/>
      <c r="B732" s="51" t="n"/>
      <c r="C732" s="52" t="n"/>
      <c r="D732" s="51" t="n"/>
      <c r="E732" s="51" t="n"/>
      <c r="F732" s="51" t="n"/>
    </row>
    <row r="733">
      <c r="A733" s="50" t="n"/>
      <c r="B733" s="51" t="n"/>
      <c r="C733" s="52" t="n"/>
      <c r="D733" s="51" t="n"/>
      <c r="E733" s="51" t="n"/>
      <c r="F733" s="51" t="n"/>
    </row>
    <row r="734">
      <c r="A734" s="50" t="n"/>
      <c r="B734" s="51" t="n"/>
      <c r="C734" s="52" t="n"/>
      <c r="D734" s="51" t="n"/>
      <c r="E734" s="51" t="n"/>
      <c r="F734" s="51" t="n"/>
    </row>
    <row r="735">
      <c r="A735" s="50" t="n"/>
      <c r="B735" s="51" t="n"/>
      <c r="C735" s="52" t="n"/>
      <c r="D735" s="51" t="n"/>
      <c r="E735" s="51" t="n"/>
      <c r="F735" s="51" t="n"/>
    </row>
    <row r="736">
      <c r="A736" s="50" t="n"/>
      <c r="B736" s="51" t="n"/>
      <c r="C736" s="52" t="n"/>
      <c r="D736" s="51" t="n"/>
      <c r="E736" s="51" t="n"/>
      <c r="F736" s="51" t="n"/>
    </row>
    <row r="737">
      <c r="A737" s="50" t="n"/>
      <c r="B737" s="51" t="n"/>
      <c r="C737" s="52" t="n"/>
      <c r="D737" s="51" t="n"/>
      <c r="E737" s="51" t="n"/>
      <c r="F737" s="51" t="n"/>
    </row>
    <row r="738">
      <c r="A738" s="50" t="n"/>
      <c r="B738" s="51" t="n"/>
      <c r="C738" s="52" t="n"/>
      <c r="D738" s="51" t="n"/>
      <c r="E738" s="51" t="n"/>
      <c r="F738" s="51" t="n"/>
    </row>
    <row r="739">
      <c r="A739" s="50" t="n"/>
      <c r="B739" s="51" t="n"/>
      <c r="C739" s="52" t="n"/>
      <c r="D739" s="51" t="n"/>
      <c r="E739" s="51" t="n"/>
      <c r="F739" s="51" t="n"/>
    </row>
    <row r="740">
      <c r="A740" s="50" t="n"/>
      <c r="B740" s="51" t="n"/>
      <c r="C740" s="52" t="n"/>
      <c r="D740" s="51" t="n"/>
      <c r="E740" s="51" t="n"/>
      <c r="F740" s="51" t="n"/>
    </row>
    <row r="741">
      <c r="A741" s="50" t="n"/>
      <c r="B741" s="51" t="n"/>
      <c r="C741" s="52" t="n"/>
      <c r="D741" s="51" t="n"/>
      <c r="E741" s="51" t="n"/>
      <c r="F741" s="51" t="n"/>
    </row>
    <row r="742">
      <c r="A742" s="50" t="n"/>
      <c r="B742" s="51" t="n"/>
      <c r="C742" s="52" t="n"/>
      <c r="D742" s="51" t="n"/>
      <c r="E742" s="51" t="n"/>
      <c r="F742" s="51" t="n"/>
    </row>
    <row r="743">
      <c r="A743" s="50" t="n"/>
      <c r="B743" s="51" t="n"/>
      <c r="C743" s="52" t="n"/>
      <c r="D743" s="51" t="n"/>
      <c r="E743" s="51" t="n"/>
      <c r="F743" s="51" t="n"/>
    </row>
    <row r="744">
      <c r="A744" s="50" t="n"/>
      <c r="B744" s="51" t="n"/>
      <c r="C744" s="52" t="n"/>
      <c r="D744" s="51" t="n"/>
      <c r="E744" s="51" t="n"/>
      <c r="F744" s="51" t="n"/>
    </row>
    <row r="745">
      <c r="A745" s="50" t="n"/>
      <c r="B745" s="51" t="n"/>
      <c r="C745" s="52" t="n"/>
      <c r="D745" s="51" t="n"/>
      <c r="E745" s="51" t="n"/>
      <c r="F745" s="51" t="n"/>
    </row>
    <row r="746">
      <c r="A746" s="50" t="n"/>
      <c r="B746" s="51" t="n"/>
      <c r="C746" s="52" t="n"/>
      <c r="D746" s="51" t="n"/>
      <c r="E746" s="51" t="n"/>
      <c r="F746" s="51" t="n"/>
    </row>
    <row r="747">
      <c r="A747" s="50" t="n"/>
      <c r="B747" s="51" t="n"/>
      <c r="C747" s="52" t="n"/>
      <c r="D747" s="51" t="n"/>
      <c r="E747" s="51" t="n"/>
      <c r="F747" s="51" t="n"/>
    </row>
    <row r="748">
      <c r="A748" s="50" t="n"/>
      <c r="B748" s="51" t="n"/>
      <c r="C748" s="52" t="n"/>
      <c r="D748" s="51" t="n"/>
      <c r="E748" s="51" t="n"/>
      <c r="F748" s="51" t="n"/>
    </row>
    <row r="749">
      <c r="A749" s="50" t="n"/>
      <c r="B749" s="51" t="n"/>
      <c r="C749" s="52" t="n"/>
      <c r="D749" s="51" t="n"/>
      <c r="E749" s="51" t="n"/>
      <c r="F749" s="51" t="n"/>
    </row>
    <row r="750">
      <c r="A750" s="50" t="n"/>
      <c r="B750" s="51" t="n"/>
      <c r="C750" s="52" t="n"/>
      <c r="D750" s="51" t="n"/>
      <c r="E750" s="51" t="n"/>
      <c r="F750" s="51" t="n"/>
    </row>
    <row r="751">
      <c r="A751" s="50" t="n"/>
      <c r="B751" s="51" t="n"/>
      <c r="C751" s="52" t="n"/>
      <c r="D751" s="51" t="n"/>
      <c r="E751" s="51" t="n"/>
      <c r="F751" s="51" t="n"/>
    </row>
    <row r="752">
      <c r="A752" s="50" t="n"/>
      <c r="B752" s="51" t="n"/>
      <c r="C752" s="52" t="n"/>
      <c r="D752" s="51" t="n"/>
      <c r="E752" s="51" t="n"/>
      <c r="F752" s="51" t="n"/>
    </row>
    <row r="753">
      <c r="A753" s="50" t="n"/>
      <c r="B753" s="51" t="n"/>
      <c r="C753" s="52" t="n"/>
      <c r="D753" s="51" t="n"/>
      <c r="E753" s="51" t="n"/>
      <c r="F753" s="51" t="n"/>
    </row>
    <row r="754">
      <c r="A754" s="50" t="n"/>
      <c r="B754" s="51" t="n"/>
      <c r="C754" s="52" t="n"/>
      <c r="D754" s="51" t="n"/>
      <c r="E754" s="51" t="n"/>
      <c r="F754" s="51" t="n"/>
    </row>
    <row r="755">
      <c r="A755" s="50" t="n"/>
      <c r="B755" s="51" t="n"/>
      <c r="C755" s="52" t="n"/>
      <c r="D755" s="51" t="n"/>
      <c r="E755" s="51" t="n"/>
      <c r="F755" s="51" t="n"/>
    </row>
    <row r="756">
      <c r="A756" s="50" t="n"/>
      <c r="B756" s="51" t="n"/>
      <c r="C756" s="52" t="n"/>
      <c r="D756" s="51" t="n"/>
      <c r="E756" s="51" t="n"/>
      <c r="F756" s="51" t="n"/>
    </row>
    <row r="757">
      <c r="A757" s="50" t="n"/>
      <c r="B757" s="51" t="n"/>
      <c r="C757" s="52" t="n"/>
      <c r="D757" s="51" t="n"/>
      <c r="E757" s="51" t="n"/>
      <c r="F757" s="51" t="n"/>
    </row>
    <row r="758">
      <c r="A758" s="50" t="n"/>
      <c r="B758" s="51" t="n"/>
      <c r="C758" s="52" t="n"/>
      <c r="D758" s="51" t="n"/>
      <c r="E758" s="51" t="n"/>
      <c r="F758" s="51" t="n"/>
    </row>
    <row r="759">
      <c r="A759" s="50" t="n"/>
      <c r="B759" s="51" t="n"/>
      <c r="C759" s="52" t="n"/>
      <c r="D759" s="51" t="n"/>
      <c r="E759" s="51" t="n"/>
      <c r="F759" s="51" t="n"/>
    </row>
    <row r="760">
      <c r="A760" s="50" t="n"/>
      <c r="B760" s="51" t="n"/>
      <c r="C760" s="52" t="n"/>
      <c r="D760" s="51" t="n"/>
      <c r="E760" s="51" t="n"/>
      <c r="F760" s="51" t="n"/>
    </row>
    <row r="761">
      <c r="A761" s="50" t="n"/>
      <c r="B761" s="51" t="n"/>
      <c r="C761" s="52" t="n"/>
      <c r="D761" s="51" t="n"/>
      <c r="E761" s="51" t="n"/>
      <c r="F761" s="51" t="n"/>
    </row>
    <row r="762">
      <c r="A762" s="50" t="n"/>
      <c r="B762" s="51" t="n"/>
      <c r="C762" s="52" t="n"/>
      <c r="D762" s="51" t="n"/>
      <c r="E762" s="51" t="n"/>
      <c r="F762" s="51" t="n"/>
    </row>
    <row r="763">
      <c r="A763" s="50" t="n"/>
      <c r="B763" s="51" t="n"/>
      <c r="C763" s="52" t="n"/>
      <c r="D763" s="51" t="n"/>
      <c r="E763" s="51" t="n"/>
      <c r="F763" s="51" t="n"/>
    </row>
    <row r="764">
      <c r="A764" s="50" t="n"/>
      <c r="B764" s="51" t="n"/>
      <c r="C764" s="52" t="n"/>
      <c r="D764" s="51" t="n"/>
      <c r="E764" s="51" t="n"/>
      <c r="F764" s="51" t="n"/>
    </row>
    <row r="765">
      <c r="A765" s="50" t="n"/>
      <c r="B765" s="51" t="n"/>
      <c r="C765" s="52" t="n"/>
      <c r="D765" s="51" t="n"/>
      <c r="E765" s="51" t="n"/>
      <c r="F765" s="51" t="n"/>
    </row>
    <row r="766">
      <c r="A766" s="50" t="n"/>
      <c r="B766" s="51" t="n"/>
      <c r="C766" s="52" t="n"/>
      <c r="D766" s="51" t="n"/>
      <c r="E766" s="51" t="n"/>
      <c r="F766" s="51" t="n"/>
    </row>
    <row r="767">
      <c r="A767" s="50" t="n"/>
      <c r="B767" s="51" t="n"/>
      <c r="C767" s="52" t="n"/>
      <c r="D767" s="51" t="n"/>
      <c r="E767" s="51" t="n"/>
      <c r="F767" s="51" t="n"/>
    </row>
    <row r="768">
      <c r="A768" s="50" t="n"/>
      <c r="B768" s="51" t="n"/>
      <c r="C768" s="52" t="n"/>
      <c r="D768" s="51" t="n"/>
      <c r="E768" s="51" t="n"/>
      <c r="F768" s="51" t="n"/>
    </row>
    <row r="769">
      <c r="A769" s="50" t="n"/>
      <c r="B769" s="51" t="n"/>
      <c r="C769" s="52" t="n"/>
      <c r="D769" s="51" t="n"/>
      <c r="E769" s="51" t="n"/>
      <c r="F769" s="51" t="n"/>
    </row>
    <row r="770">
      <c r="A770" s="50" t="n"/>
      <c r="B770" s="51" t="n"/>
      <c r="C770" s="52" t="n"/>
      <c r="D770" s="51" t="n"/>
      <c r="E770" s="51" t="n"/>
      <c r="F770" s="51" t="n"/>
    </row>
    <row r="771">
      <c r="A771" s="50" t="n"/>
      <c r="B771" s="51" t="n"/>
      <c r="C771" s="52" t="n"/>
      <c r="D771" s="51" t="n"/>
      <c r="E771" s="51" t="n"/>
      <c r="F771" s="51" t="n"/>
    </row>
    <row r="772">
      <c r="A772" s="50" t="n"/>
      <c r="B772" s="51" t="n"/>
      <c r="C772" s="52" t="n"/>
      <c r="D772" s="51" t="n"/>
      <c r="E772" s="51" t="n"/>
      <c r="F772" s="51" t="n"/>
    </row>
    <row r="773">
      <c r="A773" s="50" t="n"/>
      <c r="B773" s="51" t="n"/>
      <c r="C773" s="52" t="n"/>
      <c r="D773" s="51" t="n"/>
      <c r="E773" s="51" t="n"/>
      <c r="F773" s="51" t="n"/>
    </row>
    <row r="774">
      <c r="A774" s="50" t="n"/>
      <c r="B774" s="51" t="n"/>
      <c r="C774" s="52" t="n"/>
      <c r="D774" s="51" t="n"/>
      <c r="E774" s="51" t="n"/>
      <c r="F774" s="51" t="n"/>
    </row>
    <row r="775">
      <c r="A775" s="50" t="n"/>
      <c r="B775" s="51" t="n"/>
      <c r="C775" s="52" t="n"/>
      <c r="D775" s="51" t="n"/>
      <c r="E775" s="51" t="n"/>
      <c r="F775" s="51" t="n"/>
    </row>
    <row r="776">
      <c r="A776" s="50" t="n"/>
      <c r="B776" s="51" t="n"/>
      <c r="C776" s="52" t="n"/>
      <c r="D776" s="51" t="n"/>
      <c r="E776" s="51" t="n"/>
      <c r="F776" s="51" t="n"/>
    </row>
    <row r="777">
      <c r="A777" s="50" t="n"/>
      <c r="B777" s="51" t="n"/>
      <c r="C777" s="52" t="n"/>
      <c r="D777" s="51" t="n"/>
      <c r="E777" s="51" t="n"/>
      <c r="F777" s="51" t="n"/>
    </row>
    <row r="778">
      <c r="A778" s="50" t="n"/>
      <c r="B778" s="51" t="n"/>
      <c r="C778" s="52" t="n"/>
      <c r="D778" s="51" t="n"/>
      <c r="E778" s="51" t="n"/>
      <c r="F778" s="51" t="n"/>
    </row>
    <row r="779">
      <c r="A779" s="50" t="n"/>
      <c r="B779" s="51" t="n"/>
      <c r="C779" s="52" t="n"/>
      <c r="D779" s="51" t="n"/>
      <c r="E779" s="51" t="n"/>
      <c r="F779" s="51" t="n"/>
    </row>
    <row r="780">
      <c r="A780" s="50" t="n"/>
      <c r="B780" s="51" t="n"/>
      <c r="C780" s="52" t="n"/>
      <c r="D780" s="51" t="n"/>
      <c r="E780" s="51" t="n"/>
      <c r="F780" s="51" t="n"/>
    </row>
    <row r="781">
      <c r="A781" s="50" t="n"/>
      <c r="B781" s="51" t="n"/>
      <c r="C781" s="52" t="n"/>
      <c r="D781" s="51" t="n"/>
      <c r="E781" s="51" t="n"/>
      <c r="F781" s="51" t="n"/>
    </row>
    <row r="782">
      <c r="A782" s="50" t="n"/>
      <c r="B782" s="51" t="n"/>
      <c r="C782" s="52" t="n"/>
      <c r="D782" s="51" t="n"/>
      <c r="E782" s="51" t="n"/>
      <c r="F782" s="51" t="n"/>
    </row>
    <row r="783">
      <c r="A783" s="50" t="n"/>
      <c r="B783" s="51" t="n"/>
      <c r="C783" s="52" t="n"/>
      <c r="D783" s="51" t="n"/>
      <c r="E783" s="51" t="n"/>
      <c r="F783" s="51" t="n"/>
    </row>
    <row r="784">
      <c r="A784" s="50" t="n"/>
      <c r="B784" s="51" t="n"/>
      <c r="C784" s="52" t="n"/>
      <c r="D784" s="51" t="n"/>
      <c r="E784" s="51" t="n"/>
      <c r="F784" s="51" t="n"/>
    </row>
    <row r="785">
      <c r="A785" s="50" t="n"/>
      <c r="B785" s="51" t="n"/>
      <c r="C785" s="52" t="n"/>
      <c r="D785" s="51" t="n"/>
      <c r="E785" s="51" t="n"/>
      <c r="F785" s="51" t="n"/>
    </row>
    <row r="786">
      <c r="A786" s="50" t="n"/>
      <c r="B786" s="51" t="n"/>
      <c r="C786" s="52" t="n"/>
      <c r="D786" s="51" t="n"/>
      <c r="E786" s="51" t="n"/>
      <c r="F786" s="51" t="n"/>
    </row>
    <row r="787">
      <c r="A787" s="50" t="n"/>
      <c r="B787" s="51" t="n"/>
      <c r="C787" s="52" t="n"/>
      <c r="D787" s="51" t="n"/>
      <c r="E787" s="51" t="n"/>
      <c r="F787" s="51" t="n"/>
    </row>
    <row r="788">
      <c r="A788" s="50" t="n"/>
      <c r="B788" s="51" t="n"/>
      <c r="C788" s="52" t="n"/>
      <c r="D788" s="51" t="n"/>
      <c r="E788" s="51" t="n"/>
      <c r="F788" s="51" t="n"/>
    </row>
    <row r="789">
      <c r="A789" s="50" t="n"/>
      <c r="B789" s="51" t="n"/>
      <c r="C789" s="52" t="n"/>
      <c r="D789" s="51" t="n"/>
      <c r="E789" s="51" t="n"/>
      <c r="F789" s="51" t="n"/>
    </row>
    <row r="790">
      <c r="A790" s="50" t="n"/>
      <c r="B790" s="51" t="n"/>
      <c r="C790" s="52" t="n"/>
      <c r="D790" s="51" t="n"/>
      <c r="E790" s="51" t="n"/>
      <c r="F790" s="51" t="n"/>
    </row>
    <row r="791">
      <c r="A791" s="50" t="n"/>
      <c r="B791" s="51" t="n"/>
      <c r="C791" s="52" t="n"/>
      <c r="D791" s="51" t="n"/>
      <c r="E791" s="51" t="n"/>
      <c r="F791" s="51" t="n"/>
    </row>
    <row r="792">
      <c r="A792" s="50" t="n"/>
      <c r="B792" s="51" t="n"/>
      <c r="C792" s="52" t="n"/>
      <c r="D792" s="51" t="n"/>
      <c r="E792" s="51" t="n"/>
      <c r="F792" s="51" t="n"/>
    </row>
    <row r="793">
      <c r="A793" s="50" t="n"/>
      <c r="B793" s="51" t="n"/>
      <c r="C793" s="52" t="n"/>
      <c r="D793" s="51" t="n"/>
      <c r="E793" s="51" t="n"/>
      <c r="F793" s="51" t="n"/>
    </row>
    <row r="794">
      <c r="A794" s="50" t="n"/>
      <c r="B794" s="51" t="n"/>
      <c r="C794" s="52" t="n"/>
      <c r="D794" s="51" t="n"/>
      <c r="E794" s="51" t="n"/>
      <c r="F794" s="51" t="n"/>
    </row>
    <row r="795">
      <c r="A795" s="50" t="n"/>
      <c r="B795" s="51" t="n"/>
      <c r="C795" s="52" t="n"/>
      <c r="D795" s="51" t="n"/>
      <c r="E795" s="51" t="n"/>
      <c r="F795" s="51" t="n"/>
    </row>
    <row r="796">
      <c r="A796" s="50" t="n"/>
      <c r="B796" s="51" t="n"/>
      <c r="C796" s="52" t="n"/>
      <c r="D796" s="51" t="n"/>
      <c r="E796" s="51" t="n"/>
      <c r="F796" s="51" t="n"/>
    </row>
    <row r="797">
      <c r="A797" s="50" t="n"/>
      <c r="B797" s="51" t="n"/>
      <c r="C797" s="52" t="n"/>
      <c r="D797" s="51" t="n"/>
      <c r="E797" s="51" t="n"/>
      <c r="F797" s="51" t="n"/>
    </row>
    <row r="798">
      <c r="A798" s="50" t="n"/>
      <c r="B798" s="51" t="n"/>
      <c r="C798" s="52" t="n"/>
      <c r="D798" s="51" t="n"/>
      <c r="E798" s="51" t="n"/>
      <c r="F798" s="51" t="n"/>
    </row>
    <row r="799">
      <c r="A799" s="50" t="n"/>
      <c r="B799" s="51" t="n"/>
      <c r="C799" s="52" t="n"/>
      <c r="D799" s="51" t="n"/>
      <c r="E799" s="51" t="n"/>
      <c r="F799" s="51" t="n"/>
    </row>
    <row r="800">
      <c r="A800" s="50" t="n"/>
      <c r="B800" s="51" t="n"/>
      <c r="C800" s="52" t="n"/>
      <c r="D800" s="51" t="n"/>
      <c r="E800" s="51" t="n"/>
      <c r="F800" s="51" t="n"/>
    </row>
    <row r="801">
      <c r="A801" s="50" t="n"/>
      <c r="B801" s="51" t="n"/>
      <c r="C801" s="52" t="n"/>
      <c r="D801" s="51" t="n"/>
      <c r="E801" s="51" t="n"/>
      <c r="F801" s="51" t="n"/>
    </row>
    <row r="802">
      <c r="A802" s="50" t="n"/>
      <c r="B802" s="51" t="n"/>
      <c r="C802" s="52" t="n"/>
      <c r="D802" s="51" t="n"/>
      <c r="E802" s="51" t="n"/>
      <c r="F802" s="51" t="n"/>
    </row>
    <row r="803">
      <c r="A803" s="50" t="n"/>
      <c r="B803" s="51" t="n"/>
      <c r="C803" s="52" t="n"/>
      <c r="D803" s="51" t="n"/>
      <c r="E803" s="51" t="n"/>
      <c r="F803" s="51" t="n"/>
    </row>
    <row r="804">
      <c r="A804" s="50" t="n"/>
      <c r="B804" s="51" t="n"/>
      <c r="C804" s="52" t="n"/>
      <c r="D804" s="51" t="n"/>
      <c r="E804" s="51" t="n"/>
      <c r="F804" s="51" t="n"/>
    </row>
    <row r="805">
      <c r="A805" s="50" t="n"/>
      <c r="B805" s="51" t="n"/>
      <c r="C805" s="52" t="n"/>
      <c r="D805" s="51" t="n"/>
      <c r="E805" s="51" t="n"/>
      <c r="F805" s="51" t="n"/>
    </row>
    <row r="806">
      <c r="A806" s="50" t="n"/>
      <c r="B806" s="51" t="n"/>
      <c r="C806" s="52" t="n"/>
      <c r="D806" s="51" t="n"/>
      <c r="E806" s="51" t="n"/>
      <c r="F806" s="51" t="n"/>
    </row>
    <row r="807">
      <c r="A807" s="50" t="n"/>
      <c r="B807" s="51" t="n"/>
      <c r="C807" s="52" t="n"/>
      <c r="D807" s="51" t="n"/>
      <c r="E807" s="51" t="n"/>
      <c r="F807" s="51" t="n"/>
    </row>
    <row r="808">
      <c r="A808" s="50" t="n"/>
      <c r="B808" s="51" t="n"/>
      <c r="C808" s="52" t="n"/>
      <c r="D808" s="51" t="n"/>
      <c r="E808" s="51" t="n"/>
      <c r="F808" s="51" t="n"/>
    </row>
    <row r="809">
      <c r="A809" s="50" t="n"/>
      <c r="B809" s="51" t="n"/>
      <c r="C809" s="52" t="n"/>
      <c r="D809" s="51" t="n"/>
      <c r="E809" s="51" t="n"/>
      <c r="F809" s="51" t="n"/>
    </row>
    <row r="810">
      <c r="A810" s="50" t="n"/>
      <c r="B810" s="51" t="n"/>
      <c r="C810" s="52" t="n"/>
      <c r="D810" s="51" t="n"/>
      <c r="E810" s="51" t="n"/>
      <c r="F810" s="51" t="n"/>
    </row>
    <row r="811">
      <c r="A811" s="50" t="n"/>
      <c r="B811" s="51" t="n"/>
      <c r="C811" s="52" t="n"/>
      <c r="D811" s="51" t="n"/>
      <c r="E811" s="51" t="n"/>
      <c r="F811" s="51" t="n"/>
    </row>
    <row r="812">
      <c r="A812" s="50" t="n"/>
      <c r="B812" s="51" t="n"/>
      <c r="C812" s="52" t="n"/>
      <c r="D812" s="51" t="n"/>
      <c r="E812" s="51" t="n"/>
      <c r="F812" s="51" t="n"/>
    </row>
    <row r="813">
      <c r="A813" s="50" t="n"/>
      <c r="B813" s="51" t="n"/>
      <c r="C813" s="52" t="n"/>
      <c r="D813" s="51" t="n"/>
      <c r="E813" s="51" t="n"/>
      <c r="F813" s="51" t="n"/>
    </row>
    <row r="814">
      <c r="A814" s="50" t="n"/>
      <c r="B814" s="51" t="n"/>
      <c r="C814" s="52" t="n"/>
      <c r="D814" s="51" t="n"/>
      <c r="E814" s="51" t="n"/>
      <c r="F814" s="51" t="n"/>
    </row>
    <row r="815">
      <c r="A815" s="50" t="n"/>
      <c r="B815" s="51" t="n"/>
      <c r="C815" s="52" t="n"/>
      <c r="D815" s="51" t="n"/>
      <c r="E815" s="51" t="n"/>
      <c r="F815" s="51" t="n"/>
    </row>
    <row r="816">
      <c r="A816" s="50" t="n"/>
      <c r="B816" s="51" t="n"/>
      <c r="C816" s="52" t="n"/>
      <c r="D816" s="51" t="n"/>
      <c r="E816" s="51" t="n"/>
      <c r="F816" s="51" t="n"/>
    </row>
    <row r="817">
      <c r="A817" s="50" t="n"/>
      <c r="B817" s="51" t="n"/>
      <c r="C817" s="52" t="n"/>
      <c r="D817" s="51" t="n"/>
      <c r="E817" s="51" t="n"/>
      <c r="F817" s="51" t="n"/>
    </row>
    <row r="818">
      <c r="A818" s="50" t="n"/>
      <c r="B818" s="51" t="n"/>
      <c r="C818" s="52" t="n"/>
      <c r="D818" s="51" t="n"/>
      <c r="E818" s="51" t="n"/>
      <c r="F818" s="51" t="n"/>
    </row>
    <row r="819">
      <c r="A819" s="50" t="n"/>
      <c r="B819" s="51" t="n"/>
      <c r="C819" s="52" t="n"/>
      <c r="D819" s="51" t="n"/>
      <c r="E819" s="51" t="n"/>
      <c r="F819" s="51" t="n"/>
    </row>
    <row r="820">
      <c r="A820" s="50" t="n"/>
      <c r="B820" s="51" t="n"/>
      <c r="C820" s="52" t="n"/>
      <c r="D820" s="51" t="n"/>
      <c r="E820" s="51" t="n"/>
      <c r="F820" s="51" t="n"/>
    </row>
    <row r="821">
      <c r="A821" s="50" t="n"/>
      <c r="B821" s="51" t="n"/>
      <c r="C821" s="52" t="n"/>
      <c r="D821" s="51" t="n"/>
      <c r="E821" s="51" t="n"/>
      <c r="F821" s="51" t="n"/>
    </row>
    <row r="822">
      <c r="A822" s="50" t="n"/>
      <c r="B822" s="51" t="n"/>
      <c r="C822" s="52" t="n"/>
      <c r="D822" s="51" t="n"/>
      <c r="E822" s="51" t="n"/>
      <c r="F822" s="51" t="n"/>
    </row>
    <row r="823">
      <c r="A823" s="50" t="n"/>
      <c r="B823" s="51" t="n"/>
      <c r="C823" s="52" t="n"/>
      <c r="D823" s="51" t="n"/>
      <c r="E823" s="51" t="n"/>
      <c r="F823" s="51" t="n"/>
    </row>
    <row r="824">
      <c r="A824" s="50" t="n"/>
      <c r="B824" s="51" t="n"/>
      <c r="C824" s="52" t="n"/>
      <c r="D824" s="51" t="n"/>
      <c r="E824" s="51" t="n"/>
      <c r="F824" s="51" t="n"/>
    </row>
    <row r="825">
      <c r="A825" s="50" t="n"/>
      <c r="B825" s="51" t="n"/>
      <c r="C825" s="52" t="n"/>
      <c r="D825" s="51" t="n"/>
      <c r="E825" s="51" t="n"/>
      <c r="F825" s="51" t="n"/>
    </row>
    <row r="826">
      <c r="A826" s="50" t="n"/>
      <c r="B826" s="51" t="n"/>
      <c r="C826" s="52" t="n"/>
      <c r="D826" s="51" t="n"/>
      <c r="E826" s="51" t="n"/>
      <c r="F826" s="51" t="n"/>
    </row>
    <row r="827">
      <c r="A827" s="50" t="n"/>
      <c r="B827" s="51" t="n"/>
      <c r="C827" s="52" t="n"/>
      <c r="D827" s="51" t="n"/>
      <c r="E827" s="51" t="n"/>
      <c r="F827" s="51" t="n"/>
    </row>
    <row r="828">
      <c r="A828" s="50" t="n"/>
      <c r="B828" s="51" t="n"/>
      <c r="C828" s="52" t="n"/>
      <c r="D828" s="51" t="n"/>
      <c r="E828" s="51" t="n"/>
      <c r="F828" s="51" t="n"/>
    </row>
    <row r="829">
      <c r="A829" s="50" t="n"/>
      <c r="B829" s="51" t="n"/>
      <c r="C829" s="52" t="n"/>
      <c r="D829" s="51" t="n"/>
      <c r="E829" s="51" t="n"/>
      <c r="F829" s="51" t="n"/>
    </row>
    <row r="830">
      <c r="A830" s="50" t="n"/>
      <c r="B830" s="51" t="n"/>
      <c r="C830" s="52" t="n"/>
      <c r="D830" s="51" t="n"/>
      <c r="E830" s="51" t="n"/>
      <c r="F830" s="51" t="n"/>
    </row>
    <row r="831">
      <c r="A831" s="50" t="n"/>
      <c r="B831" s="51" t="n"/>
      <c r="C831" s="52" t="n"/>
      <c r="D831" s="51" t="n"/>
      <c r="E831" s="51" t="n"/>
      <c r="F831" s="51" t="n"/>
    </row>
    <row r="832">
      <c r="A832" s="50" t="n"/>
      <c r="B832" s="51" t="n"/>
      <c r="C832" s="52" t="n"/>
      <c r="D832" s="51" t="n"/>
      <c r="E832" s="51" t="n"/>
      <c r="F832" s="51" t="n"/>
    </row>
    <row r="833">
      <c r="A833" s="50" t="n"/>
      <c r="B833" s="51" t="n"/>
      <c r="C833" s="52" t="n"/>
      <c r="D833" s="51" t="n"/>
      <c r="E833" s="51" t="n"/>
      <c r="F833" s="51" t="n"/>
    </row>
    <row r="834">
      <c r="A834" s="50" t="n"/>
      <c r="B834" s="51" t="n"/>
      <c r="C834" s="52" t="n"/>
      <c r="D834" s="51" t="n"/>
      <c r="E834" s="51" t="n"/>
      <c r="F834" s="51" t="n"/>
    </row>
    <row r="835">
      <c r="A835" s="50" t="n"/>
      <c r="B835" s="51" t="n"/>
      <c r="C835" s="52" t="n"/>
      <c r="D835" s="51" t="n"/>
      <c r="E835" s="51" t="n"/>
      <c r="F835" s="51" t="n"/>
    </row>
    <row r="836">
      <c r="A836" s="50" t="n"/>
      <c r="B836" s="51" t="n"/>
      <c r="C836" s="52" t="n"/>
      <c r="D836" s="51" t="n"/>
      <c r="E836" s="51" t="n"/>
      <c r="F836" s="51" t="n"/>
    </row>
    <row r="837">
      <c r="A837" s="50" t="n"/>
      <c r="B837" s="51" t="n"/>
      <c r="C837" s="52" t="n"/>
      <c r="D837" s="51" t="n"/>
      <c r="E837" s="51" t="n"/>
      <c r="F837" s="51" t="n"/>
    </row>
    <row r="838">
      <c r="A838" s="50" t="n"/>
      <c r="B838" s="51" t="n"/>
      <c r="C838" s="52" t="n"/>
      <c r="D838" s="51" t="n"/>
      <c r="E838" s="51" t="n"/>
      <c r="F838" s="51" t="n"/>
    </row>
    <row r="839">
      <c r="A839" s="50" t="n"/>
      <c r="B839" s="51" t="n"/>
      <c r="C839" s="52" t="n"/>
      <c r="D839" s="51" t="n"/>
      <c r="E839" s="51" t="n"/>
      <c r="F839" s="51" t="n"/>
    </row>
    <row r="840">
      <c r="A840" s="50" t="n"/>
      <c r="B840" s="51" t="n"/>
      <c r="C840" s="52" t="n"/>
      <c r="D840" s="51" t="n"/>
      <c r="E840" s="51" t="n"/>
      <c r="F840" s="51" t="n"/>
    </row>
    <row r="841">
      <c r="A841" s="50" t="n"/>
      <c r="B841" s="51" t="n"/>
      <c r="C841" s="52" t="n"/>
      <c r="D841" s="51" t="n"/>
      <c r="E841" s="51" t="n"/>
      <c r="F841" s="51" t="n"/>
    </row>
    <row r="842">
      <c r="A842" s="50" t="n"/>
      <c r="B842" s="51" t="n"/>
      <c r="C842" s="52" t="n"/>
      <c r="D842" s="51" t="n"/>
      <c r="E842" s="51" t="n"/>
      <c r="F842" s="51" t="n"/>
    </row>
    <row r="843">
      <c r="A843" s="50" t="n"/>
      <c r="B843" s="51" t="n"/>
      <c r="C843" s="52" t="n"/>
      <c r="D843" s="51" t="n"/>
      <c r="E843" s="51" t="n"/>
      <c r="F843" s="51" t="n"/>
    </row>
    <row r="844">
      <c r="A844" s="50" t="n"/>
      <c r="B844" s="51" t="n"/>
      <c r="C844" s="52" t="n"/>
      <c r="D844" s="51" t="n"/>
      <c r="E844" s="51" t="n"/>
      <c r="F844" s="51" t="n"/>
    </row>
    <row r="845">
      <c r="A845" s="50" t="n"/>
      <c r="B845" s="51" t="n"/>
      <c r="C845" s="52" t="n"/>
      <c r="D845" s="51" t="n"/>
      <c r="E845" s="51" t="n"/>
      <c r="F845" s="51" t="n"/>
    </row>
    <row r="846">
      <c r="A846" s="50" t="n"/>
      <c r="B846" s="51" t="n"/>
      <c r="C846" s="52" t="n"/>
      <c r="D846" s="51" t="n"/>
      <c r="E846" s="51" t="n"/>
      <c r="F846" s="51" t="n"/>
    </row>
    <row r="847">
      <c r="A847" s="50" t="n"/>
      <c r="B847" s="51" t="n"/>
      <c r="C847" s="52" t="n"/>
      <c r="D847" s="51" t="n"/>
      <c r="E847" s="51" t="n"/>
      <c r="F847" s="51" t="n"/>
    </row>
    <row r="848">
      <c r="A848" s="50" t="n"/>
      <c r="B848" s="51" t="n"/>
      <c r="C848" s="52" t="n"/>
      <c r="D848" s="51" t="n"/>
      <c r="E848" s="51" t="n"/>
      <c r="F848" s="51" t="n"/>
    </row>
    <row r="849">
      <c r="A849" s="50" t="n"/>
      <c r="B849" s="51" t="n"/>
      <c r="C849" s="52" t="n"/>
      <c r="D849" s="51" t="n"/>
      <c r="E849" s="51" t="n"/>
      <c r="F849" s="51" t="n"/>
    </row>
    <row r="850">
      <c r="A850" s="50" t="n"/>
      <c r="B850" s="51" t="n"/>
      <c r="C850" s="52" t="n"/>
      <c r="D850" s="51" t="n"/>
      <c r="E850" s="51" t="n"/>
      <c r="F850" s="51" t="n"/>
    </row>
    <row r="851">
      <c r="A851" s="50" t="n"/>
      <c r="B851" s="51" t="n"/>
      <c r="C851" s="52" t="n"/>
      <c r="D851" s="51" t="n"/>
      <c r="E851" s="51" t="n"/>
      <c r="F851" s="51" t="n"/>
    </row>
    <row r="852">
      <c r="A852" s="50" t="n"/>
      <c r="B852" s="51" t="n"/>
      <c r="C852" s="52" t="n"/>
      <c r="D852" s="51" t="n"/>
      <c r="E852" s="51" t="n"/>
      <c r="F852" s="51" t="n"/>
    </row>
    <row r="853">
      <c r="A853" s="50" t="n"/>
      <c r="B853" s="51" t="n"/>
      <c r="C853" s="52" t="n"/>
      <c r="D853" s="51" t="n"/>
      <c r="E853" s="51" t="n"/>
      <c r="F853" s="51" t="n"/>
    </row>
    <row r="854">
      <c r="A854" s="50" t="n"/>
      <c r="B854" s="51" t="n"/>
      <c r="C854" s="52" t="n"/>
      <c r="D854" s="51" t="n"/>
      <c r="E854" s="51" t="n"/>
      <c r="F854" s="51" t="n"/>
    </row>
    <row r="855">
      <c r="A855" s="50" t="n"/>
      <c r="B855" s="51" t="n"/>
      <c r="C855" s="52" t="n"/>
      <c r="D855" s="51" t="n"/>
      <c r="E855" s="51" t="n"/>
      <c r="F855" s="51" t="n"/>
    </row>
    <row r="856">
      <c r="A856" s="50" t="n"/>
      <c r="B856" s="51" t="n"/>
      <c r="C856" s="52" t="n"/>
      <c r="D856" s="51" t="n"/>
      <c r="E856" s="51" t="n"/>
      <c r="F856" s="51" t="n"/>
    </row>
    <row r="857">
      <c r="A857" s="50" t="n"/>
      <c r="B857" s="51" t="n"/>
      <c r="C857" s="52" t="n"/>
      <c r="D857" s="51" t="n"/>
      <c r="E857" s="51" t="n"/>
      <c r="F857" s="51" t="n"/>
    </row>
    <row r="858">
      <c r="A858" s="50" t="n"/>
      <c r="B858" s="51" t="n"/>
      <c r="C858" s="52" t="n"/>
      <c r="D858" s="51" t="n"/>
      <c r="E858" s="51" t="n"/>
      <c r="F858" s="51" t="n"/>
    </row>
    <row r="859">
      <c r="A859" s="50" t="n"/>
      <c r="B859" s="51" t="n"/>
      <c r="C859" s="52" t="n"/>
      <c r="D859" s="51" t="n"/>
      <c r="E859" s="51" t="n"/>
      <c r="F859" s="51" t="n"/>
    </row>
    <row r="860">
      <c r="A860" s="50" t="n"/>
      <c r="B860" s="51" t="n"/>
      <c r="C860" s="52" t="n"/>
      <c r="D860" s="51" t="n"/>
      <c r="E860" s="51" t="n"/>
      <c r="F860" s="51" t="n"/>
    </row>
    <row r="861">
      <c r="A861" s="50" t="n"/>
      <c r="B861" s="51" t="n"/>
      <c r="C861" s="52" t="n"/>
      <c r="D861" s="51" t="n"/>
      <c r="E861" s="51" t="n"/>
      <c r="F861" s="51" t="n"/>
    </row>
    <row r="862">
      <c r="A862" s="50" t="n"/>
      <c r="B862" s="51" t="n"/>
      <c r="C862" s="52" t="n"/>
      <c r="D862" s="51" t="n"/>
      <c r="E862" s="51" t="n"/>
      <c r="F862" s="51" t="n"/>
    </row>
    <row r="863">
      <c r="A863" s="50" t="n"/>
      <c r="B863" s="51" t="n"/>
      <c r="C863" s="52" t="n"/>
      <c r="D863" s="51" t="n"/>
      <c r="E863" s="51" t="n"/>
      <c r="F863" s="51" t="n"/>
    </row>
    <row r="864">
      <c r="A864" s="50" t="n"/>
      <c r="B864" s="51" t="n"/>
      <c r="C864" s="52" t="n"/>
      <c r="D864" s="51" t="n"/>
      <c r="E864" s="51" t="n"/>
      <c r="F864" s="51" t="n"/>
    </row>
    <row r="865">
      <c r="A865" s="50" t="n"/>
      <c r="B865" s="51" t="n"/>
      <c r="C865" s="52" t="n"/>
      <c r="D865" s="51" t="n"/>
      <c r="E865" s="51" t="n"/>
      <c r="F865" s="51" t="n"/>
    </row>
    <row r="866">
      <c r="A866" s="50" t="n"/>
      <c r="B866" s="51" t="n"/>
      <c r="C866" s="52" t="n"/>
      <c r="D866" s="51" t="n"/>
      <c r="E866" s="51" t="n"/>
      <c r="F866" s="51" t="n"/>
    </row>
    <row r="867">
      <c r="A867" s="50" t="n"/>
      <c r="B867" s="51" t="n"/>
      <c r="C867" s="52" t="n"/>
      <c r="D867" s="51" t="n"/>
      <c r="E867" s="51" t="n"/>
      <c r="F867" s="51" t="n"/>
    </row>
    <row r="868">
      <c r="A868" s="50" t="n"/>
      <c r="B868" s="51" t="n"/>
      <c r="C868" s="52" t="n"/>
      <c r="D868" s="51" t="n"/>
      <c r="E868" s="51" t="n"/>
      <c r="F868" s="51" t="n"/>
    </row>
    <row r="869">
      <c r="A869" s="50" t="n"/>
      <c r="B869" s="51" t="n"/>
      <c r="C869" s="52" t="n"/>
      <c r="D869" s="51" t="n"/>
      <c r="E869" s="51" t="n"/>
      <c r="F869" s="51" t="n"/>
    </row>
    <row r="870">
      <c r="A870" s="50" t="n"/>
      <c r="B870" s="51" t="n"/>
      <c r="C870" s="52" t="n"/>
      <c r="D870" s="51" t="n"/>
      <c r="E870" s="51" t="n"/>
      <c r="F870" s="51" t="n"/>
    </row>
    <row r="871">
      <c r="A871" s="50" t="n"/>
      <c r="B871" s="51" t="n"/>
      <c r="C871" s="52" t="n"/>
      <c r="D871" s="51" t="n"/>
      <c r="E871" s="51" t="n"/>
      <c r="F871" s="51" t="n"/>
    </row>
    <row r="872">
      <c r="A872" s="50" t="n"/>
      <c r="B872" s="51" t="n"/>
      <c r="C872" s="52" t="n"/>
      <c r="D872" s="51" t="n"/>
      <c r="E872" s="51" t="n"/>
      <c r="F872" s="51" t="n"/>
    </row>
    <row r="873">
      <c r="A873" s="50" t="n"/>
      <c r="B873" s="51" t="n"/>
      <c r="C873" s="52" t="n"/>
      <c r="D873" s="51" t="n"/>
      <c r="E873" s="51" t="n"/>
      <c r="F873" s="51" t="n"/>
    </row>
    <row r="874">
      <c r="A874" s="50" t="n"/>
      <c r="B874" s="51" t="n"/>
      <c r="C874" s="52" t="n"/>
      <c r="D874" s="51" t="n"/>
      <c r="E874" s="51" t="n"/>
      <c r="F874" s="51" t="n"/>
    </row>
    <row r="875">
      <c r="A875" s="50" t="n"/>
      <c r="B875" s="51" t="n"/>
      <c r="C875" s="52" t="n"/>
      <c r="D875" s="51" t="n"/>
      <c r="E875" s="51" t="n"/>
      <c r="F875" s="51" t="n"/>
    </row>
    <row r="876">
      <c r="A876" s="50" t="n"/>
      <c r="B876" s="51" t="n"/>
      <c r="C876" s="52" t="n"/>
      <c r="D876" s="51" t="n"/>
      <c r="E876" s="51" t="n"/>
      <c r="F876" s="51" t="n"/>
    </row>
    <row r="877">
      <c r="A877" s="50" t="n"/>
      <c r="B877" s="51" t="n"/>
      <c r="C877" s="52" t="n"/>
      <c r="D877" s="51" t="n"/>
      <c r="E877" s="51" t="n"/>
      <c r="F877" s="51" t="n"/>
    </row>
    <row r="878">
      <c r="A878" s="50" t="n"/>
      <c r="B878" s="51" t="n"/>
      <c r="C878" s="52" t="n"/>
      <c r="D878" s="51" t="n"/>
      <c r="E878" s="51" t="n"/>
      <c r="F878" s="51" t="n"/>
    </row>
    <row r="879">
      <c r="A879" s="50" t="n"/>
      <c r="B879" s="51" t="n"/>
      <c r="C879" s="52" t="n"/>
      <c r="D879" s="51" t="n"/>
      <c r="E879" s="51" t="n"/>
      <c r="F879" s="51" t="n"/>
    </row>
    <row r="880">
      <c r="A880" s="50" t="n"/>
      <c r="B880" s="51" t="n"/>
      <c r="C880" s="52" t="n"/>
      <c r="D880" s="51" t="n"/>
      <c r="E880" s="51" t="n"/>
      <c r="F880" s="51" t="n"/>
    </row>
    <row r="881">
      <c r="A881" s="50" t="n"/>
      <c r="B881" s="51" t="n"/>
      <c r="C881" s="52" t="n"/>
      <c r="D881" s="51" t="n"/>
      <c r="E881" s="51" t="n"/>
      <c r="F881" s="51" t="n"/>
    </row>
    <row r="882">
      <c r="A882" s="50" t="n"/>
      <c r="B882" s="51" t="n"/>
      <c r="C882" s="52" t="n"/>
      <c r="D882" s="51" t="n"/>
      <c r="E882" s="51" t="n"/>
      <c r="F882" s="51" t="n"/>
    </row>
    <row r="883">
      <c r="A883" s="50" t="n"/>
      <c r="B883" s="51" t="n"/>
      <c r="C883" s="52" t="n"/>
      <c r="D883" s="51" t="n"/>
      <c r="E883" s="51" t="n"/>
      <c r="F883" s="51" t="n"/>
    </row>
    <row r="884">
      <c r="A884" s="50" t="n"/>
      <c r="B884" s="51" t="n"/>
      <c r="C884" s="52" t="n"/>
      <c r="D884" s="51" t="n"/>
      <c r="E884" s="51" t="n"/>
      <c r="F884" s="51" t="n"/>
    </row>
    <row r="885">
      <c r="A885" s="50" t="n"/>
      <c r="B885" s="51" t="n"/>
      <c r="C885" s="52" t="n"/>
      <c r="D885" s="51" t="n"/>
      <c r="E885" s="51" t="n"/>
      <c r="F885" s="51" t="n"/>
    </row>
    <row r="886">
      <c r="A886" s="50" t="n"/>
      <c r="B886" s="51" t="n"/>
      <c r="C886" s="52" t="n"/>
      <c r="D886" s="51" t="n"/>
      <c r="E886" s="51" t="n"/>
      <c r="F886" s="51" t="n"/>
    </row>
    <row r="887">
      <c r="A887" s="50" t="n"/>
      <c r="B887" s="51" t="n"/>
      <c r="C887" s="52" t="n"/>
      <c r="D887" s="51" t="n"/>
      <c r="E887" s="51" t="n"/>
      <c r="F887" s="51" t="n"/>
    </row>
    <row r="888">
      <c r="A888" s="50" t="n"/>
      <c r="B888" s="51" t="n"/>
      <c r="C888" s="52" t="n"/>
      <c r="D888" s="51" t="n"/>
      <c r="E888" s="51" t="n"/>
      <c r="F888" s="51" t="n"/>
    </row>
    <row r="889">
      <c r="A889" s="50" t="n"/>
      <c r="B889" s="51" t="n"/>
      <c r="C889" s="52" t="n"/>
      <c r="D889" s="51" t="n"/>
      <c r="E889" s="51" t="n"/>
      <c r="F889" s="51" t="n"/>
    </row>
    <row r="890">
      <c r="A890" s="50" t="n"/>
      <c r="B890" s="51" t="n"/>
      <c r="C890" s="52" t="n"/>
      <c r="D890" s="51" t="n"/>
      <c r="E890" s="51" t="n"/>
      <c r="F890" s="51" t="n"/>
    </row>
    <row r="891">
      <c r="A891" s="50" t="n"/>
      <c r="B891" s="51" t="n"/>
      <c r="C891" s="52" t="n"/>
      <c r="D891" s="51" t="n"/>
      <c r="E891" s="51" t="n"/>
      <c r="F891" s="51" t="n"/>
    </row>
    <row r="892">
      <c r="A892" s="50" t="n"/>
      <c r="B892" s="51" t="n"/>
      <c r="C892" s="52" t="n"/>
      <c r="D892" s="51" t="n"/>
      <c r="E892" s="51" t="n"/>
      <c r="F892" s="51" t="n"/>
    </row>
    <row r="893">
      <c r="A893" s="50" t="n"/>
      <c r="B893" s="51" t="n"/>
      <c r="C893" s="52" t="n"/>
      <c r="D893" s="51" t="n"/>
      <c r="E893" s="51" t="n"/>
      <c r="F893" s="51" t="n"/>
    </row>
    <row r="894">
      <c r="A894" s="50" t="n"/>
      <c r="B894" s="51" t="n"/>
      <c r="C894" s="52" t="n"/>
      <c r="D894" s="51" t="n"/>
      <c r="E894" s="51" t="n"/>
      <c r="F894" s="51" t="n"/>
    </row>
    <row r="895">
      <c r="A895" s="50" t="n"/>
      <c r="B895" s="51" t="n"/>
      <c r="C895" s="52" t="n"/>
      <c r="D895" s="51" t="n"/>
      <c r="E895" s="51" t="n"/>
      <c r="F895" s="51" t="n"/>
    </row>
    <row r="896">
      <c r="A896" s="50" t="n"/>
      <c r="B896" s="51" t="n"/>
      <c r="C896" s="52" t="n"/>
      <c r="D896" s="51" t="n"/>
      <c r="E896" s="51" t="n"/>
      <c r="F896" s="51" t="n"/>
    </row>
    <row r="897">
      <c r="A897" s="50" t="n"/>
      <c r="B897" s="51" t="n"/>
      <c r="C897" s="52" t="n"/>
      <c r="D897" s="51" t="n"/>
      <c r="E897" s="51" t="n"/>
      <c r="F897" s="51" t="n"/>
    </row>
    <row r="898">
      <c r="A898" s="50" t="n"/>
      <c r="B898" s="51" t="n"/>
      <c r="C898" s="52" t="n"/>
      <c r="D898" s="51" t="n"/>
      <c r="E898" s="51" t="n"/>
      <c r="F898" s="51" t="n"/>
    </row>
    <row r="899">
      <c r="A899" s="50" t="n"/>
      <c r="B899" s="51" t="n"/>
      <c r="C899" s="52" t="n"/>
      <c r="D899" s="51" t="n"/>
      <c r="E899" s="51" t="n"/>
      <c r="F899" s="51" t="n"/>
    </row>
    <row r="900">
      <c r="A900" s="50" t="n"/>
      <c r="B900" s="51" t="n"/>
      <c r="C900" s="52" t="n"/>
      <c r="D900" s="51" t="n"/>
      <c r="E900" s="51" t="n"/>
      <c r="F900" s="51" t="n"/>
    </row>
    <row r="901">
      <c r="A901" s="50" t="n"/>
      <c r="B901" s="51" t="n"/>
      <c r="C901" s="52" t="n"/>
      <c r="D901" s="51" t="n"/>
      <c r="E901" s="51" t="n"/>
      <c r="F901" s="51" t="n"/>
    </row>
    <row r="902">
      <c r="A902" s="50" t="n"/>
      <c r="B902" s="51" t="n"/>
      <c r="C902" s="52" t="n"/>
      <c r="D902" s="51" t="n"/>
      <c r="E902" s="51" t="n"/>
      <c r="F902" s="51" t="n"/>
    </row>
    <row r="903">
      <c r="A903" s="50" t="n"/>
      <c r="B903" s="51" t="n"/>
      <c r="C903" s="52" t="n"/>
      <c r="D903" s="51" t="n"/>
      <c r="E903" s="51" t="n"/>
      <c r="F903" s="51" t="n"/>
    </row>
    <row r="904">
      <c r="A904" s="50" t="n"/>
      <c r="B904" s="51" t="n"/>
      <c r="C904" s="52" t="n"/>
      <c r="D904" s="51" t="n"/>
      <c r="E904" s="51" t="n"/>
      <c r="F904" s="51" t="n"/>
    </row>
    <row r="905">
      <c r="A905" s="50" t="n"/>
      <c r="B905" s="51" t="n"/>
      <c r="C905" s="52" t="n"/>
      <c r="D905" s="51" t="n"/>
      <c r="E905" s="51" t="n"/>
      <c r="F905" s="51" t="n"/>
    </row>
    <row r="906">
      <c r="A906" s="50" t="n"/>
      <c r="B906" s="51" t="n"/>
      <c r="C906" s="52" t="n"/>
      <c r="D906" s="51" t="n"/>
      <c r="E906" s="51" t="n"/>
      <c r="F906" s="51" t="n"/>
    </row>
    <row r="907">
      <c r="A907" s="50" t="n"/>
      <c r="B907" s="51" t="n"/>
      <c r="C907" s="52" t="n"/>
      <c r="D907" s="51" t="n"/>
      <c r="E907" s="51" t="n"/>
      <c r="F907" s="51" t="n"/>
    </row>
    <row r="908">
      <c r="A908" s="50" t="n"/>
      <c r="B908" s="51" t="n"/>
      <c r="C908" s="52" t="n"/>
      <c r="D908" s="51" t="n"/>
      <c r="E908" s="51" t="n"/>
      <c r="F908" s="51" t="n"/>
    </row>
    <row r="909">
      <c r="A909" s="50" t="n"/>
      <c r="B909" s="51" t="n"/>
      <c r="C909" s="52" t="n"/>
      <c r="D909" s="51" t="n"/>
      <c r="E909" s="51" t="n"/>
      <c r="F909" s="51" t="n"/>
    </row>
    <row r="910">
      <c r="A910" s="50" t="n"/>
      <c r="B910" s="51" t="n"/>
      <c r="C910" s="52" t="n"/>
      <c r="D910" s="51" t="n"/>
      <c r="E910" s="51" t="n"/>
      <c r="F910" s="51" t="n"/>
    </row>
    <row r="911">
      <c r="A911" s="50" t="n"/>
      <c r="B911" s="51" t="n"/>
      <c r="C911" s="52" t="n"/>
      <c r="D911" s="51" t="n"/>
      <c r="E911" s="51" t="n"/>
      <c r="F911" s="51" t="n"/>
    </row>
    <row r="912">
      <c r="A912" s="50" t="n"/>
      <c r="B912" s="51" t="n"/>
      <c r="C912" s="52" t="n"/>
      <c r="D912" s="51" t="n"/>
      <c r="E912" s="51" t="n"/>
      <c r="F912" s="51" t="n"/>
    </row>
    <row r="913">
      <c r="A913" s="50" t="n"/>
      <c r="B913" s="51" t="n"/>
      <c r="C913" s="52" t="n"/>
      <c r="D913" s="51" t="n"/>
      <c r="E913" s="51" t="n"/>
      <c r="F913" s="51" t="n"/>
    </row>
    <row r="914">
      <c r="A914" s="50" t="n"/>
      <c r="B914" s="51" t="n"/>
      <c r="C914" s="52" t="n"/>
      <c r="D914" s="51" t="n"/>
      <c r="E914" s="51" t="n"/>
      <c r="F914" s="51" t="n"/>
    </row>
    <row r="915">
      <c r="A915" s="50" t="n"/>
      <c r="B915" s="51" t="n"/>
      <c r="C915" s="52" t="n"/>
      <c r="D915" s="51" t="n"/>
      <c r="E915" s="51" t="n"/>
      <c r="F915" s="51" t="n"/>
    </row>
    <row r="916">
      <c r="A916" s="50" t="n"/>
      <c r="B916" s="51" t="n"/>
      <c r="C916" s="52" t="n"/>
      <c r="D916" s="51" t="n"/>
      <c r="E916" s="51" t="n"/>
      <c r="F916" s="51" t="n"/>
    </row>
    <row r="917">
      <c r="A917" s="50" t="n"/>
      <c r="B917" s="51" t="n"/>
      <c r="C917" s="52" t="n"/>
      <c r="D917" s="51" t="n"/>
      <c r="E917" s="51" t="n"/>
      <c r="F917" s="51" t="n"/>
    </row>
    <row r="918">
      <c r="A918" s="50" t="n"/>
      <c r="B918" s="51" t="n"/>
      <c r="C918" s="52" t="n"/>
      <c r="D918" s="51" t="n"/>
      <c r="E918" s="51" t="n"/>
      <c r="F918" s="51" t="n"/>
    </row>
    <row r="919">
      <c r="A919" s="50" t="n"/>
      <c r="B919" s="51" t="n"/>
      <c r="C919" s="52" t="n"/>
      <c r="D919" s="51" t="n"/>
      <c r="E919" s="51" t="n"/>
      <c r="F919" s="51" t="n"/>
    </row>
    <row r="920">
      <c r="A920" s="50" t="n"/>
      <c r="B920" s="51" t="n"/>
      <c r="C920" s="52" t="n"/>
      <c r="D920" s="51" t="n"/>
      <c r="E920" s="51" t="n"/>
      <c r="F920" s="51" t="n"/>
    </row>
    <row r="921">
      <c r="A921" s="50" t="n"/>
      <c r="B921" s="51" t="n"/>
      <c r="C921" s="52" t="n"/>
      <c r="D921" s="51" t="n"/>
      <c r="E921" s="51" t="n"/>
      <c r="F921" s="51" t="n"/>
    </row>
    <row r="922">
      <c r="A922" s="50" t="n"/>
      <c r="B922" s="51" t="n"/>
      <c r="C922" s="52" t="n"/>
      <c r="D922" s="51" t="n"/>
      <c r="E922" s="51" t="n"/>
      <c r="F922" s="51" t="n"/>
    </row>
    <row r="923">
      <c r="A923" s="50" t="n"/>
      <c r="B923" s="51" t="n"/>
      <c r="C923" s="52" t="n"/>
      <c r="D923" s="51" t="n"/>
      <c r="E923" s="51" t="n"/>
      <c r="F923" s="51" t="n"/>
    </row>
    <row r="924">
      <c r="A924" s="50" t="n"/>
      <c r="B924" s="51" t="n"/>
      <c r="C924" s="52" t="n"/>
      <c r="D924" s="51" t="n"/>
      <c r="E924" s="51" t="n"/>
      <c r="F924" s="51" t="n"/>
    </row>
    <row r="925">
      <c r="A925" s="50" t="n"/>
      <c r="B925" s="51" t="n"/>
      <c r="C925" s="52" t="n"/>
      <c r="D925" s="51" t="n"/>
      <c r="E925" s="51" t="n"/>
      <c r="F925" s="51" t="n"/>
    </row>
    <row r="926">
      <c r="A926" s="50" t="n"/>
      <c r="B926" s="51" t="n"/>
      <c r="C926" s="52" t="n"/>
      <c r="D926" s="51" t="n"/>
      <c r="E926" s="51" t="n"/>
      <c r="F926" s="51" t="n"/>
    </row>
    <row r="927">
      <c r="A927" s="50" t="n"/>
      <c r="B927" s="51" t="n"/>
      <c r="C927" s="52" t="n"/>
      <c r="D927" s="51" t="n"/>
      <c r="E927" s="51" t="n"/>
      <c r="F927" s="51" t="n"/>
    </row>
    <row r="928">
      <c r="A928" s="50" t="n"/>
      <c r="B928" s="51" t="n"/>
      <c r="C928" s="52" t="n"/>
      <c r="D928" s="51" t="n"/>
      <c r="E928" s="51" t="n"/>
      <c r="F928" s="51" t="n"/>
    </row>
    <row r="929">
      <c r="A929" s="50" t="n"/>
      <c r="B929" s="51" t="n"/>
      <c r="C929" s="52" t="n"/>
      <c r="D929" s="51" t="n"/>
      <c r="E929" s="51" t="n"/>
      <c r="F929" s="51" t="n"/>
    </row>
    <row r="930">
      <c r="A930" s="50" t="n"/>
      <c r="B930" s="51" t="n"/>
      <c r="C930" s="52" t="n"/>
      <c r="D930" s="51" t="n"/>
      <c r="E930" s="51" t="n"/>
      <c r="F930" s="51" t="n"/>
    </row>
    <row r="931">
      <c r="A931" s="50" t="n"/>
      <c r="B931" s="51" t="n"/>
      <c r="C931" s="52" t="n"/>
      <c r="D931" s="51" t="n"/>
      <c r="E931" s="51" t="n"/>
      <c r="F931" s="51" t="n"/>
    </row>
    <row r="932">
      <c r="A932" s="50" t="n"/>
      <c r="B932" s="51" t="n"/>
      <c r="C932" s="52" t="n"/>
      <c r="D932" s="51" t="n"/>
      <c r="E932" s="51" t="n"/>
      <c r="F932" s="51" t="n"/>
    </row>
    <row r="933">
      <c r="A933" s="50" t="n"/>
      <c r="B933" s="51" t="n"/>
      <c r="C933" s="52" t="n"/>
      <c r="D933" s="51" t="n"/>
      <c r="E933" s="51" t="n"/>
      <c r="F933" s="51" t="n"/>
    </row>
    <row r="934">
      <c r="A934" s="50" t="n"/>
      <c r="B934" s="51" t="n"/>
      <c r="C934" s="52" t="n"/>
      <c r="D934" s="51" t="n"/>
      <c r="E934" s="51" t="n"/>
      <c r="F934" s="51" t="n"/>
    </row>
    <row r="935">
      <c r="A935" s="50" t="n"/>
      <c r="B935" s="51" t="n"/>
      <c r="C935" s="52" t="n"/>
      <c r="D935" s="51" t="n"/>
      <c r="E935" s="51" t="n"/>
      <c r="F935" s="51" t="n"/>
    </row>
    <row r="936">
      <c r="A936" s="50" t="n"/>
      <c r="B936" s="51" t="n"/>
      <c r="C936" s="52" t="n"/>
      <c r="D936" s="51" t="n"/>
      <c r="E936" s="51" t="n"/>
      <c r="F936" s="51" t="n"/>
    </row>
    <row r="937">
      <c r="A937" s="50" t="n"/>
      <c r="B937" s="51" t="n"/>
      <c r="C937" s="52" t="n"/>
      <c r="D937" s="51" t="n"/>
      <c r="E937" s="51" t="n"/>
      <c r="F937" s="51" t="n"/>
    </row>
    <row r="938">
      <c r="A938" s="50" t="n"/>
      <c r="B938" s="51" t="n"/>
      <c r="C938" s="52" t="n"/>
      <c r="D938" s="51" t="n"/>
      <c r="E938" s="51" t="n"/>
      <c r="F938" s="51" t="n"/>
    </row>
    <row r="939">
      <c r="A939" s="50" t="n"/>
      <c r="B939" s="51" t="n"/>
      <c r="C939" s="52" t="n"/>
      <c r="D939" s="51" t="n"/>
      <c r="E939" s="51" t="n"/>
      <c r="F939" s="51" t="n"/>
    </row>
    <row r="940">
      <c r="A940" s="50" t="n"/>
      <c r="B940" s="51" t="n"/>
      <c r="C940" s="52" t="n"/>
      <c r="D940" s="51" t="n"/>
      <c r="E940" s="51" t="n"/>
      <c r="F940" s="51" t="n"/>
    </row>
    <row r="941">
      <c r="A941" s="50" t="n"/>
      <c r="B941" s="51" t="n"/>
      <c r="C941" s="52" t="n"/>
      <c r="D941" s="51" t="n"/>
      <c r="E941" s="51" t="n"/>
      <c r="F941" s="51" t="n"/>
    </row>
    <row r="942">
      <c r="A942" s="50" t="n"/>
      <c r="B942" s="51" t="n"/>
      <c r="C942" s="52" t="n"/>
      <c r="D942" s="51" t="n"/>
      <c r="E942" s="51" t="n"/>
      <c r="F942" s="51" t="n"/>
    </row>
    <row r="943">
      <c r="A943" s="50" t="n"/>
      <c r="B943" s="51" t="n"/>
      <c r="C943" s="52" t="n"/>
      <c r="D943" s="51" t="n"/>
      <c r="E943" s="51" t="n"/>
      <c r="F943" s="51" t="n"/>
    </row>
    <row r="944">
      <c r="A944" s="50" t="n"/>
      <c r="B944" s="51" t="n"/>
      <c r="C944" s="52" t="n"/>
      <c r="D944" s="51" t="n"/>
      <c r="E944" s="51" t="n"/>
      <c r="F944" s="51" t="n"/>
    </row>
    <row r="945">
      <c r="A945" s="50" t="n"/>
      <c r="B945" s="51" t="n"/>
      <c r="C945" s="52" t="n"/>
      <c r="D945" s="51" t="n"/>
      <c r="E945" s="51" t="n"/>
      <c r="F945" s="51" t="n"/>
    </row>
    <row r="946">
      <c r="A946" s="50" t="n"/>
      <c r="B946" s="51" t="n"/>
      <c r="C946" s="52" t="n"/>
      <c r="D946" s="51" t="n"/>
      <c r="E946" s="51" t="n"/>
      <c r="F946" s="51" t="n"/>
    </row>
    <row r="947">
      <c r="A947" s="50" t="n"/>
      <c r="B947" s="51" t="n"/>
      <c r="C947" s="52" t="n"/>
      <c r="D947" s="51" t="n"/>
      <c r="E947" s="51" t="n"/>
      <c r="F947" s="51" t="n"/>
    </row>
    <row r="948">
      <c r="A948" s="50" t="n"/>
      <c r="B948" s="51" t="n"/>
      <c r="C948" s="52" t="n"/>
      <c r="D948" s="51" t="n"/>
      <c r="E948" s="51" t="n"/>
      <c r="F948" s="51" t="n"/>
    </row>
    <row r="949">
      <c r="A949" s="50" t="n"/>
      <c r="B949" s="51" t="n"/>
      <c r="C949" s="52" t="n"/>
      <c r="D949" s="51" t="n"/>
      <c r="E949" s="51" t="n"/>
      <c r="F949" s="51" t="n"/>
    </row>
    <row r="950">
      <c r="A950" s="50" t="n"/>
      <c r="B950" s="51" t="n"/>
      <c r="C950" s="52" t="n"/>
      <c r="D950" s="51" t="n"/>
      <c r="E950" s="51" t="n"/>
      <c r="F950" s="51" t="n"/>
    </row>
    <row r="951">
      <c r="A951" s="50" t="n"/>
      <c r="B951" s="51" t="n"/>
      <c r="C951" s="52" t="n"/>
      <c r="D951" s="51" t="n"/>
      <c r="E951" s="51" t="n"/>
      <c r="F951" s="51" t="n"/>
    </row>
    <row r="952">
      <c r="A952" s="50" t="n"/>
      <c r="B952" s="51" t="n"/>
      <c r="C952" s="52" t="n"/>
      <c r="D952" s="51" t="n"/>
      <c r="E952" s="51" t="n"/>
      <c r="F952" s="51" t="n"/>
    </row>
    <row r="953">
      <c r="A953" s="50" t="n"/>
      <c r="B953" s="51" t="n"/>
      <c r="C953" s="52" t="n"/>
      <c r="D953" s="51" t="n"/>
      <c r="E953" s="51" t="n"/>
      <c r="F953" s="51" t="n"/>
    </row>
    <row r="954">
      <c r="A954" s="50" t="n"/>
      <c r="B954" s="51" t="n"/>
      <c r="C954" s="52" t="n"/>
      <c r="D954" s="51" t="n"/>
      <c r="E954" s="51" t="n"/>
      <c r="F954" s="51" t="n"/>
    </row>
    <row r="955">
      <c r="A955" s="50" t="n"/>
      <c r="B955" s="51" t="n"/>
      <c r="C955" s="52" t="n"/>
      <c r="D955" s="51" t="n"/>
      <c r="E955" s="51" t="n"/>
      <c r="F955" s="51" t="n"/>
    </row>
    <row r="956">
      <c r="A956" s="50" t="n"/>
      <c r="B956" s="51" t="n"/>
      <c r="C956" s="52" t="n"/>
      <c r="D956" s="51" t="n"/>
      <c r="E956" s="51" t="n"/>
      <c r="F956" s="51" t="n"/>
    </row>
    <row r="957">
      <c r="A957" s="50" t="n"/>
      <c r="B957" s="51" t="n"/>
      <c r="C957" s="52" t="n"/>
      <c r="D957" s="51" t="n"/>
      <c r="E957" s="51" t="n"/>
      <c r="F957" s="51" t="n"/>
    </row>
    <row r="958">
      <c r="A958" s="50" t="n"/>
      <c r="B958" s="51" t="n"/>
      <c r="C958" s="52" t="n"/>
      <c r="D958" s="51" t="n"/>
      <c r="E958" s="51" t="n"/>
      <c r="F958" s="51" t="n"/>
    </row>
    <row r="959">
      <c r="A959" s="50" t="n"/>
      <c r="B959" s="51" t="n"/>
      <c r="C959" s="52" t="n"/>
      <c r="D959" s="51" t="n"/>
      <c r="E959" s="51" t="n"/>
      <c r="F959" s="51" t="n"/>
    </row>
    <row r="960">
      <c r="A960" s="50" t="n"/>
      <c r="B960" s="51" t="n"/>
      <c r="C960" s="52" t="n"/>
      <c r="D960" s="51" t="n"/>
      <c r="E960" s="51" t="n"/>
      <c r="F960" s="51" t="n"/>
    </row>
    <row r="961">
      <c r="A961" s="50" t="n"/>
      <c r="B961" s="51" t="n"/>
      <c r="C961" s="52" t="n"/>
      <c r="D961" s="51" t="n"/>
      <c r="E961" s="51" t="n"/>
      <c r="F961" s="51" t="n"/>
    </row>
    <row r="962">
      <c r="A962" s="50" t="n"/>
      <c r="B962" s="51" t="n"/>
      <c r="C962" s="52" t="n"/>
      <c r="D962" s="51" t="n"/>
      <c r="E962" s="51" t="n"/>
      <c r="F962" s="51" t="n"/>
    </row>
    <row r="963">
      <c r="A963" s="50" t="n"/>
      <c r="B963" s="51" t="n"/>
      <c r="C963" s="52" t="n"/>
      <c r="D963" s="51" t="n"/>
      <c r="E963" s="51" t="n"/>
      <c r="F963" s="51" t="n"/>
    </row>
    <row r="964">
      <c r="A964" s="50" t="n"/>
      <c r="B964" s="51" t="n"/>
      <c r="C964" s="52" t="n"/>
      <c r="D964" s="51" t="n"/>
      <c r="E964" s="51" t="n"/>
      <c r="F964" s="51" t="n"/>
    </row>
    <row r="965">
      <c r="A965" s="50" t="n"/>
      <c r="B965" s="51" t="n"/>
      <c r="C965" s="52" t="n"/>
      <c r="D965" s="51" t="n"/>
      <c r="E965" s="51" t="n"/>
      <c r="F965" s="51" t="n"/>
    </row>
    <row r="966">
      <c r="A966" s="50" t="n"/>
      <c r="B966" s="51" t="n"/>
      <c r="C966" s="52" t="n"/>
      <c r="D966" s="51" t="n"/>
      <c r="E966" s="51" t="n"/>
      <c r="F966" s="51" t="n"/>
    </row>
    <row r="967">
      <c r="A967" s="50" t="n"/>
      <c r="B967" s="51" t="n"/>
      <c r="C967" s="52" t="n"/>
      <c r="D967" s="51" t="n"/>
      <c r="E967" s="51" t="n"/>
      <c r="F967" s="51" t="n"/>
    </row>
    <row r="968">
      <c r="A968" s="50" t="n"/>
      <c r="B968" s="51" t="n"/>
      <c r="C968" s="52" t="n"/>
      <c r="D968" s="51" t="n"/>
      <c r="E968" s="51" t="n"/>
      <c r="F968" s="51" t="n"/>
    </row>
    <row r="969">
      <c r="A969" s="50" t="n"/>
      <c r="B969" s="51" t="n"/>
      <c r="C969" s="52" t="n"/>
      <c r="D969" s="51" t="n"/>
      <c r="E969" s="51" t="n"/>
      <c r="F969" s="51" t="n"/>
    </row>
    <row r="970">
      <c r="A970" s="50" t="n"/>
      <c r="B970" s="51" t="n"/>
      <c r="C970" s="52" t="n"/>
      <c r="D970" s="51" t="n"/>
      <c r="E970" s="51" t="n"/>
      <c r="F970" s="51" t="n"/>
    </row>
    <row r="971">
      <c r="A971" s="50" t="n"/>
      <c r="B971" s="51" t="n"/>
      <c r="C971" s="52" t="n"/>
      <c r="D971" s="51" t="n"/>
      <c r="E971" s="51" t="n"/>
      <c r="F971" s="51" t="n"/>
    </row>
    <row r="972">
      <c r="A972" s="50" t="n"/>
      <c r="B972" s="51" t="n"/>
      <c r="C972" s="52" t="n"/>
      <c r="D972" s="51" t="n"/>
      <c r="E972" s="51" t="n"/>
      <c r="F972" s="51" t="n"/>
    </row>
    <row r="973">
      <c r="A973" s="50" t="n"/>
      <c r="B973" s="51" t="n"/>
      <c r="C973" s="52" t="n"/>
      <c r="D973" s="51" t="n"/>
      <c r="E973" s="51" t="n"/>
      <c r="F973" s="51" t="n"/>
    </row>
    <row r="974">
      <c r="A974" s="50" t="n"/>
      <c r="B974" s="51" t="n"/>
      <c r="C974" s="52" t="n"/>
      <c r="D974" s="51" t="n"/>
      <c r="E974" s="51" t="n"/>
      <c r="F974" s="51" t="n"/>
    </row>
    <row r="975">
      <c r="A975" s="50" t="n"/>
      <c r="B975" s="51" t="n"/>
      <c r="C975" s="52" t="n"/>
      <c r="D975" s="51" t="n"/>
      <c r="E975" s="51" t="n"/>
      <c r="F975" s="51" t="n"/>
    </row>
    <row r="976">
      <c r="A976" s="50" t="n"/>
      <c r="B976" s="51" t="n"/>
      <c r="C976" s="52" t="n"/>
      <c r="D976" s="51" t="n"/>
      <c r="E976" s="51" t="n"/>
      <c r="F976" s="51" t="n"/>
    </row>
    <row r="977">
      <c r="A977" s="50" t="n"/>
      <c r="B977" s="51" t="n"/>
      <c r="C977" s="52" t="n"/>
      <c r="D977" s="51" t="n"/>
      <c r="E977" s="51" t="n"/>
      <c r="F977" s="51" t="n"/>
    </row>
    <row r="978">
      <c r="A978" s="50" t="n"/>
      <c r="B978" s="51" t="n"/>
      <c r="C978" s="52" t="n"/>
      <c r="D978" s="51" t="n"/>
      <c r="E978" s="51" t="n"/>
      <c r="F978" s="51" t="n"/>
    </row>
    <row r="979">
      <c r="A979" s="50" t="n"/>
      <c r="B979" s="51" t="n"/>
      <c r="C979" s="52" t="n"/>
      <c r="D979" s="51" t="n"/>
      <c r="E979" s="51" t="n"/>
      <c r="F979" s="51" t="n"/>
    </row>
    <row r="980">
      <c r="A980" s="50" t="n"/>
      <c r="B980" s="51" t="n"/>
      <c r="C980" s="52" t="n"/>
      <c r="D980" s="51" t="n"/>
      <c r="E980" s="51" t="n"/>
      <c r="F980" s="51" t="n"/>
    </row>
    <row r="981">
      <c r="A981" s="50" t="n"/>
      <c r="B981" s="51" t="n"/>
      <c r="C981" s="52" t="n"/>
      <c r="D981" s="51" t="n"/>
      <c r="E981" s="51" t="n"/>
      <c r="F981" s="51" t="n"/>
    </row>
    <row r="982">
      <c r="A982" s="50" t="n"/>
      <c r="B982" s="51" t="n"/>
      <c r="C982" s="52" t="n"/>
      <c r="D982" s="51" t="n"/>
      <c r="E982" s="51" t="n"/>
      <c r="F982" s="51" t="n"/>
    </row>
    <row r="983">
      <c r="A983" s="50" t="n"/>
      <c r="B983" s="51" t="n"/>
      <c r="C983" s="52" t="n"/>
      <c r="D983" s="51" t="n"/>
      <c r="E983" s="51" t="n"/>
      <c r="F983" s="51" t="n"/>
    </row>
    <row r="984">
      <c r="A984" s="50" t="n"/>
      <c r="B984" s="51" t="n"/>
      <c r="C984" s="52" t="n"/>
      <c r="D984" s="51" t="n"/>
      <c r="E984" s="51" t="n"/>
      <c r="F984" s="51" t="n"/>
    </row>
    <row r="985">
      <c r="A985" s="50" t="n"/>
      <c r="B985" s="51" t="n"/>
      <c r="C985" s="52" t="n"/>
      <c r="D985" s="51" t="n"/>
      <c r="E985" s="51" t="n"/>
      <c r="F985" s="51" t="n"/>
    </row>
    <row r="986">
      <c r="A986" s="50" t="n"/>
      <c r="B986" s="51" t="n"/>
      <c r="C986" s="52" t="n"/>
      <c r="D986" s="51" t="n"/>
      <c r="E986" s="51" t="n"/>
      <c r="F986" s="51" t="n"/>
    </row>
    <row r="987">
      <c r="A987" s="50" t="n"/>
      <c r="B987" s="51" t="n"/>
      <c r="C987" s="52" t="n"/>
      <c r="D987" s="51" t="n"/>
      <c r="E987" s="51" t="n"/>
      <c r="F987" s="51" t="n"/>
    </row>
    <row r="988">
      <c r="A988" s="50" t="n"/>
      <c r="B988" s="51" t="n"/>
      <c r="C988" s="52" t="n"/>
      <c r="D988" s="51" t="n"/>
      <c r="E988" s="51" t="n"/>
      <c r="F988" s="51" t="n"/>
    </row>
    <row r="989">
      <c r="A989" s="50" t="n"/>
      <c r="B989" s="51" t="n"/>
      <c r="C989" s="52" t="n"/>
      <c r="D989" s="51" t="n"/>
      <c r="E989" s="51" t="n"/>
      <c r="F989" s="51" t="n"/>
    </row>
    <row r="990">
      <c r="A990" s="50" t="n"/>
      <c r="B990" s="51" t="n"/>
      <c r="C990" s="52" t="n"/>
      <c r="D990" s="51" t="n"/>
      <c r="E990" s="51" t="n"/>
      <c r="F990" s="51" t="n"/>
    </row>
    <row r="991">
      <c r="A991" s="50" t="n"/>
      <c r="B991" s="51" t="n"/>
      <c r="C991" s="52" t="n"/>
      <c r="D991" s="51" t="n"/>
      <c r="E991" s="51" t="n"/>
      <c r="F991" s="51" t="n"/>
    </row>
    <row r="992">
      <c r="A992" s="50" t="n"/>
      <c r="B992" s="51" t="n"/>
      <c r="C992" s="52" t="n"/>
      <c r="D992" s="51" t="n"/>
      <c r="E992" s="51" t="n"/>
      <c r="F992" s="51" t="n"/>
    </row>
    <row r="993">
      <c r="A993" s="50" t="n"/>
      <c r="B993" s="51" t="n"/>
      <c r="C993" s="52" t="n"/>
      <c r="D993" s="51" t="n"/>
      <c r="E993" s="51" t="n"/>
      <c r="F993" s="51" t="n"/>
    </row>
    <row r="994">
      <c r="A994" s="50" t="n"/>
      <c r="B994" s="51" t="n"/>
      <c r="C994" s="52" t="n"/>
      <c r="D994" s="51" t="n"/>
      <c r="E994" s="51" t="n"/>
      <c r="F994" s="51" t="n"/>
    </row>
    <row r="995">
      <c r="A995" s="50" t="n"/>
      <c r="B995" s="51" t="n"/>
      <c r="C995" s="52" t="n"/>
      <c r="D995" s="51" t="n"/>
      <c r="E995" s="51" t="n"/>
      <c r="F995" s="51" t="n"/>
    </row>
    <row r="996">
      <c r="A996" s="50" t="n"/>
      <c r="B996" s="51" t="n"/>
      <c r="C996" s="52" t="n"/>
      <c r="D996" s="51" t="n"/>
      <c r="E996" s="51" t="n"/>
      <c r="F996" s="51" t="n"/>
    </row>
    <row r="997">
      <c r="A997" s="50" t="n"/>
      <c r="B997" s="51" t="n"/>
      <c r="C997" s="52" t="n"/>
      <c r="D997" s="51" t="n"/>
      <c r="E997" s="51" t="n"/>
      <c r="F997" s="51" t="n"/>
    </row>
    <row r="998">
      <c r="A998" s="50" t="n"/>
      <c r="B998" s="51" t="n"/>
      <c r="C998" s="52" t="n"/>
      <c r="D998" s="51" t="n"/>
      <c r="E998" s="51" t="n"/>
      <c r="F998" s="51" t="n"/>
    </row>
    <row r="999">
      <c r="A999" s="50" t="n"/>
      <c r="B999" s="51" t="n"/>
      <c r="C999" s="52" t="n"/>
      <c r="D999" s="51" t="n"/>
      <c r="E999" s="51" t="n"/>
      <c r="F999" s="51" t="n"/>
    </row>
    <row r="1000">
      <c r="A1000" s="50" t="n"/>
      <c r="B1000" s="51" t="n"/>
      <c r="C1000" s="52" t="n"/>
      <c r="D1000" s="51" t="n"/>
      <c r="E1000" s="51" t="n"/>
      <c r="F1000" s="51" t="n"/>
    </row>
  </sheetData>
  <autoFilter ref="A1:F5000"/>
  <dataValidations count="3">
    <dataValidation sqref="B2:B1000" showDropDown="0" showInputMessage="0" showErrorMessage="0" allowBlank="1" type="list">
      <formula1>=Equipamentos!$A$2:$A$61</formula1>
    </dataValidation>
    <dataValidation sqref="D2:D1000" showDropDown="0" showInputMessage="0" showErrorMessage="0" allowBlank="1" type="list">
      <formula1>"t,corridas,dias"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0" customHeight="1">
      <c r="A1" s="49" t="inlineStr">
        <is>
          <t>Início</t>
        </is>
      </c>
      <c r="B1" s="49" t="inlineStr">
        <is>
          <t>Fim</t>
        </is>
      </c>
      <c r="C1" s="49" t="inlineStr">
        <is>
          <t>Veio / equipamento</t>
        </is>
      </c>
      <c r="D1" s="49" t="inlineStr">
        <is>
          <t>Motivo</t>
        </is>
      </c>
      <c r="E1" s="49" t="inlineStr">
        <is>
          <t>Dias parado</t>
        </is>
      </c>
      <c r="F1" s="49" t="inlineStr">
        <is>
          <t>Observação</t>
        </is>
      </c>
    </row>
    <row r="2">
      <c r="A2" s="50" t="n"/>
      <c r="B2" s="50" t="n"/>
      <c r="C2" s="51" t="n"/>
      <c r="D2" s="51" t="n"/>
      <c r="E2">
        <f>IF(OR(A2="",B2=""),"",B2-A2)</f>
        <v/>
      </c>
      <c r="F2" s="51" t="n"/>
    </row>
    <row r="3">
      <c r="A3" s="50" t="n"/>
      <c r="B3" s="50" t="n"/>
      <c r="C3" s="51" t="n"/>
      <c r="D3" s="51" t="n"/>
      <c r="E3">
        <f>IF(OR(A3="",B3=""),"",B3-A3)</f>
        <v/>
      </c>
      <c r="F3" s="51" t="n"/>
    </row>
    <row r="4">
      <c r="A4" s="50" t="n"/>
      <c r="B4" s="50" t="n"/>
      <c r="C4" s="51" t="n"/>
      <c r="D4" s="51" t="n"/>
      <c r="E4">
        <f>IF(OR(A4="",B4=""),"",B4-A4)</f>
        <v/>
      </c>
      <c r="F4" s="51" t="n"/>
    </row>
    <row r="5">
      <c r="A5" s="50" t="n"/>
      <c r="B5" s="50" t="n"/>
      <c r="C5" s="51" t="n"/>
      <c r="D5" s="51" t="n"/>
      <c r="E5">
        <f>IF(OR(A5="",B5=""),"",B5-A5)</f>
        <v/>
      </c>
      <c r="F5" s="51" t="n"/>
    </row>
    <row r="6">
      <c r="A6" s="50" t="n"/>
      <c r="B6" s="50" t="n"/>
      <c r="C6" s="51" t="n"/>
      <c r="D6" s="51" t="n"/>
      <c r="E6">
        <f>IF(OR(A6="",B6=""),"",B6-A6)</f>
        <v/>
      </c>
      <c r="F6" s="51" t="n"/>
    </row>
    <row r="7">
      <c r="A7" s="50" t="n"/>
      <c r="B7" s="50" t="n"/>
      <c r="C7" s="51" t="n"/>
      <c r="D7" s="51" t="n"/>
      <c r="E7">
        <f>IF(OR(A7="",B7=""),"",B7-A7)</f>
        <v/>
      </c>
      <c r="F7" s="51" t="n"/>
    </row>
    <row r="8">
      <c r="A8" s="50" t="n"/>
      <c r="B8" s="50" t="n"/>
      <c r="C8" s="51" t="n"/>
      <c r="D8" s="51" t="n"/>
      <c r="E8">
        <f>IF(OR(A8="",B8=""),"",B8-A8)</f>
        <v/>
      </c>
      <c r="F8" s="51" t="n"/>
    </row>
    <row r="9">
      <c r="A9" s="50" t="n"/>
      <c r="B9" s="50" t="n"/>
      <c r="C9" s="51" t="n"/>
      <c r="D9" s="51" t="n"/>
      <c r="E9">
        <f>IF(OR(A9="",B9=""),"",B9-A9)</f>
        <v/>
      </c>
      <c r="F9" s="51" t="n"/>
    </row>
    <row r="10">
      <c r="A10" s="50" t="n"/>
      <c r="B10" s="50" t="n"/>
      <c r="C10" s="51" t="n"/>
      <c r="D10" s="51" t="n"/>
      <c r="E10">
        <f>IF(OR(A10="",B10=""),"",B10-A10)</f>
        <v/>
      </c>
      <c r="F10" s="51" t="n"/>
    </row>
    <row r="11">
      <c r="A11" s="50" t="n"/>
      <c r="B11" s="50" t="n"/>
      <c r="C11" s="51" t="n"/>
      <c r="D11" s="51" t="n"/>
      <c r="E11">
        <f>IF(OR(A11="",B11=""),"",B11-A11)</f>
        <v/>
      </c>
      <c r="F11" s="51" t="n"/>
    </row>
    <row r="12">
      <c r="A12" s="50" t="n"/>
      <c r="B12" s="50" t="n"/>
      <c r="C12" s="51" t="n"/>
      <c r="D12" s="51" t="n"/>
      <c r="E12">
        <f>IF(OR(A12="",B12=""),"",B12-A12)</f>
        <v/>
      </c>
      <c r="F12" s="51" t="n"/>
    </row>
    <row r="13">
      <c r="A13" s="50" t="n"/>
      <c r="B13" s="50" t="n"/>
      <c r="C13" s="51" t="n"/>
      <c r="D13" s="51" t="n"/>
      <c r="E13">
        <f>IF(OR(A13="",B13=""),"",B13-A13)</f>
        <v/>
      </c>
      <c r="F13" s="51" t="n"/>
    </row>
    <row r="14">
      <c r="A14" s="50" t="n"/>
      <c r="B14" s="50" t="n"/>
      <c r="C14" s="51" t="n"/>
      <c r="D14" s="51" t="n"/>
      <c r="E14">
        <f>IF(OR(A14="",B14=""),"",B14-A14)</f>
        <v/>
      </c>
      <c r="F14" s="51" t="n"/>
    </row>
    <row r="15">
      <c r="A15" s="50" t="n"/>
      <c r="B15" s="50" t="n"/>
      <c r="C15" s="51" t="n"/>
      <c r="D15" s="51" t="n"/>
      <c r="E15">
        <f>IF(OR(A15="",B15=""),"",B15-A15)</f>
        <v/>
      </c>
      <c r="F15" s="51" t="n"/>
    </row>
    <row r="16">
      <c r="A16" s="50" t="n"/>
      <c r="B16" s="50" t="n"/>
      <c r="C16" s="51" t="n"/>
      <c r="D16" s="51" t="n"/>
      <c r="E16">
        <f>IF(OR(A16="",B16=""),"",B16-A16)</f>
        <v/>
      </c>
      <c r="F16" s="51" t="n"/>
    </row>
    <row r="17">
      <c r="A17" s="50" t="n"/>
      <c r="B17" s="50" t="n"/>
      <c r="C17" s="51" t="n"/>
      <c r="D17" s="51" t="n"/>
      <c r="E17">
        <f>IF(OR(A17="",B17=""),"",B17-A17)</f>
        <v/>
      </c>
      <c r="F17" s="51" t="n"/>
    </row>
    <row r="18">
      <c r="A18" s="50" t="n"/>
      <c r="B18" s="50" t="n"/>
      <c r="C18" s="51" t="n"/>
      <c r="D18" s="51" t="n"/>
      <c r="E18">
        <f>IF(OR(A18="",B18=""),"",B18-A18)</f>
        <v/>
      </c>
      <c r="F18" s="51" t="n"/>
    </row>
    <row r="19">
      <c r="A19" s="50" t="n"/>
      <c r="B19" s="50" t="n"/>
      <c r="C19" s="51" t="n"/>
      <c r="D19" s="51" t="n"/>
      <c r="E19">
        <f>IF(OR(A19="",B19=""),"",B19-A19)</f>
        <v/>
      </c>
      <c r="F19" s="51" t="n"/>
    </row>
    <row r="20">
      <c r="A20" s="50" t="n"/>
      <c r="B20" s="50" t="n"/>
      <c r="C20" s="51" t="n"/>
      <c r="D20" s="51" t="n"/>
      <c r="E20">
        <f>IF(OR(A20="",B20=""),"",B20-A20)</f>
        <v/>
      </c>
      <c r="F20" s="51" t="n"/>
    </row>
    <row r="21">
      <c r="A21" s="50" t="n"/>
      <c r="B21" s="50" t="n"/>
      <c r="C21" s="51" t="n"/>
      <c r="D21" s="51" t="n"/>
      <c r="E21">
        <f>IF(OR(A21="",B21=""),"",B21-A21)</f>
        <v/>
      </c>
      <c r="F21" s="51" t="n"/>
    </row>
    <row r="22">
      <c r="A22" s="50" t="n"/>
      <c r="B22" s="50" t="n"/>
      <c r="C22" s="51" t="n"/>
      <c r="D22" s="51" t="n"/>
      <c r="E22">
        <f>IF(OR(A22="",B22=""),"",B22-A22)</f>
        <v/>
      </c>
      <c r="F22" s="51" t="n"/>
    </row>
    <row r="23">
      <c r="A23" s="50" t="n"/>
      <c r="B23" s="50" t="n"/>
      <c r="C23" s="51" t="n"/>
      <c r="D23" s="51" t="n"/>
      <c r="E23">
        <f>IF(OR(A23="",B23=""),"",B23-A23)</f>
        <v/>
      </c>
      <c r="F23" s="51" t="n"/>
    </row>
    <row r="24">
      <c r="A24" s="50" t="n"/>
      <c r="B24" s="50" t="n"/>
      <c r="C24" s="51" t="n"/>
      <c r="D24" s="51" t="n"/>
      <c r="E24">
        <f>IF(OR(A24="",B24=""),"",B24-A24)</f>
        <v/>
      </c>
      <c r="F24" s="51" t="n"/>
    </row>
    <row r="25">
      <c r="A25" s="50" t="n"/>
      <c r="B25" s="50" t="n"/>
      <c r="C25" s="51" t="n"/>
      <c r="D25" s="51" t="n"/>
      <c r="E25">
        <f>IF(OR(A25="",B25=""),"",B25-A25)</f>
        <v/>
      </c>
      <c r="F25" s="51" t="n"/>
    </row>
    <row r="26">
      <c r="A26" s="50" t="n"/>
      <c r="B26" s="50" t="n"/>
      <c r="C26" s="51" t="n"/>
      <c r="D26" s="51" t="n"/>
      <c r="E26">
        <f>IF(OR(A26="",B26=""),"",B26-A26)</f>
        <v/>
      </c>
      <c r="F26" s="51" t="n"/>
    </row>
    <row r="27">
      <c r="A27" s="50" t="n"/>
      <c r="B27" s="50" t="n"/>
      <c r="C27" s="51" t="n"/>
      <c r="D27" s="51" t="n"/>
      <c r="E27">
        <f>IF(OR(A27="",B27=""),"",B27-A27)</f>
        <v/>
      </c>
      <c r="F27" s="51" t="n"/>
    </row>
    <row r="28">
      <c r="A28" s="50" t="n"/>
      <c r="B28" s="50" t="n"/>
      <c r="C28" s="51" t="n"/>
      <c r="D28" s="51" t="n"/>
      <c r="E28">
        <f>IF(OR(A28="",B28=""),"",B28-A28)</f>
        <v/>
      </c>
      <c r="F28" s="51" t="n"/>
    </row>
    <row r="29">
      <c r="A29" s="50" t="n"/>
      <c r="B29" s="50" t="n"/>
      <c r="C29" s="51" t="n"/>
      <c r="D29" s="51" t="n"/>
      <c r="E29">
        <f>IF(OR(A29="",B29=""),"",B29-A29)</f>
        <v/>
      </c>
      <c r="F29" s="51" t="n"/>
    </row>
    <row r="30">
      <c r="A30" s="50" t="n"/>
      <c r="B30" s="50" t="n"/>
      <c r="C30" s="51" t="n"/>
      <c r="D30" s="51" t="n"/>
      <c r="E30">
        <f>IF(OR(A30="",B30=""),"",B30-A30)</f>
        <v/>
      </c>
      <c r="F30" s="51" t="n"/>
    </row>
    <row r="31">
      <c r="A31" s="50" t="n"/>
      <c r="B31" s="50" t="n"/>
      <c r="C31" s="51" t="n"/>
      <c r="D31" s="51" t="n"/>
      <c r="E31">
        <f>IF(OR(A31="",B31=""),"",B31-A31)</f>
        <v/>
      </c>
      <c r="F31" s="51" t="n"/>
    </row>
    <row r="32">
      <c r="A32" s="50" t="n"/>
      <c r="B32" s="50" t="n"/>
      <c r="C32" s="51" t="n"/>
      <c r="D32" s="51" t="n"/>
      <c r="E32">
        <f>IF(OR(A32="",B32=""),"",B32-A32)</f>
        <v/>
      </c>
      <c r="F32" s="51" t="n"/>
    </row>
    <row r="33">
      <c r="A33" s="50" t="n"/>
      <c r="B33" s="50" t="n"/>
      <c r="C33" s="51" t="n"/>
      <c r="D33" s="51" t="n"/>
      <c r="E33">
        <f>IF(OR(A33="",B33=""),"",B33-A33)</f>
        <v/>
      </c>
      <c r="F33" s="51" t="n"/>
    </row>
    <row r="34">
      <c r="A34" s="50" t="n"/>
      <c r="B34" s="50" t="n"/>
      <c r="C34" s="51" t="n"/>
      <c r="D34" s="51" t="n"/>
      <c r="E34">
        <f>IF(OR(A34="",B34=""),"",B34-A34)</f>
        <v/>
      </c>
      <c r="F34" s="51" t="n"/>
    </row>
    <row r="35">
      <c r="A35" s="50" t="n"/>
      <c r="B35" s="50" t="n"/>
      <c r="C35" s="51" t="n"/>
      <c r="D35" s="51" t="n"/>
      <c r="E35">
        <f>IF(OR(A35="",B35=""),"",B35-A35)</f>
        <v/>
      </c>
      <c r="F35" s="51" t="n"/>
    </row>
    <row r="36">
      <c r="A36" s="50" t="n"/>
      <c r="B36" s="50" t="n"/>
      <c r="C36" s="51" t="n"/>
      <c r="D36" s="51" t="n"/>
      <c r="E36">
        <f>IF(OR(A36="",B36=""),"",B36-A36)</f>
        <v/>
      </c>
      <c r="F36" s="51" t="n"/>
    </row>
    <row r="37">
      <c r="A37" s="50" t="n"/>
      <c r="B37" s="50" t="n"/>
      <c r="C37" s="51" t="n"/>
      <c r="D37" s="51" t="n"/>
      <c r="E37">
        <f>IF(OR(A37="",B37=""),"",B37-A37)</f>
        <v/>
      </c>
      <c r="F37" s="51" t="n"/>
    </row>
    <row r="38">
      <c r="A38" s="50" t="n"/>
      <c r="B38" s="50" t="n"/>
      <c r="C38" s="51" t="n"/>
      <c r="D38" s="51" t="n"/>
      <c r="E38">
        <f>IF(OR(A38="",B38=""),"",B38-A38)</f>
        <v/>
      </c>
      <c r="F38" s="51" t="n"/>
    </row>
    <row r="39">
      <c r="A39" s="50" t="n"/>
      <c r="B39" s="50" t="n"/>
      <c r="C39" s="51" t="n"/>
      <c r="D39" s="51" t="n"/>
      <c r="E39">
        <f>IF(OR(A39="",B39=""),"",B39-A39)</f>
        <v/>
      </c>
      <c r="F39" s="51" t="n"/>
    </row>
    <row r="40">
      <c r="A40" s="50" t="n"/>
      <c r="B40" s="50" t="n"/>
      <c r="C40" s="51" t="n"/>
      <c r="D40" s="51" t="n"/>
      <c r="E40">
        <f>IF(OR(A40="",B40=""),"",B40-A40)</f>
        <v/>
      </c>
      <c r="F40" s="51" t="n"/>
    </row>
    <row r="41">
      <c r="A41" s="50" t="n"/>
      <c r="B41" s="50" t="n"/>
      <c r="C41" s="51" t="n"/>
      <c r="D41" s="51" t="n"/>
      <c r="E41">
        <f>IF(OR(A41="",B41=""),"",B41-A41)</f>
        <v/>
      </c>
      <c r="F41" s="51" t="n"/>
    </row>
    <row r="42">
      <c r="A42" s="50" t="n"/>
      <c r="B42" s="50" t="n"/>
      <c r="C42" s="51" t="n"/>
      <c r="D42" s="51" t="n"/>
      <c r="E42">
        <f>IF(OR(A42="",B42=""),"",B42-A42)</f>
        <v/>
      </c>
      <c r="F42" s="51" t="n"/>
    </row>
    <row r="43">
      <c r="A43" s="50" t="n"/>
      <c r="B43" s="50" t="n"/>
      <c r="C43" s="51" t="n"/>
      <c r="D43" s="51" t="n"/>
      <c r="E43">
        <f>IF(OR(A43="",B43=""),"",B43-A43)</f>
        <v/>
      </c>
      <c r="F43" s="51" t="n"/>
    </row>
    <row r="44">
      <c r="A44" s="50" t="n"/>
      <c r="B44" s="50" t="n"/>
      <c r="C44" s="51" t="n"/>
      <c r="D44" s="51" t="n"/>
      <c r="E44">
        <f>IF(OR(A44="",B44=""),"",B44-A44)</f>
        <v/>
      </c>
      <c r="F44" s="51" t="n"/>
    </row>
    <row r="45">
      <c r="A45" s="50" t="n"/>
      <c r="B45" s="50" t="n"/>
      <c r="C45" s="51" t="n"/>
      <c r="D45" s="51" t="n"/>
      <c r="E45">
        <f>IF(OR(A45="",B45=""),"",B45-A45)</f>
        <v/>
      </c>
      <c r="F45" s="51" t="n"/>
    </row>
    <row r="46">
      <c r="A46" s="50" t="n"/>
      <c r="B46" s="50" t="n"/>
      <c r="C46" s="51" t="n"/>
      <c r="D46" s="51" t="n"/>
      <c r="E46">
        <f>IF(OR(A46="",B46=""),"",B46-A46)</f>
        <v/>
      </c>
      <c r="F46" s="51" t="n"/>
    </row>
    <row r="47">
      <c r="A47" s="50" t="n"/>
      <c r="B47" s="50" t="n"/>
      <c r="C47" s="51" t="n"/>
      <c r="D47" s="51" t="n"/>
      <c r="E47">
        <f>IF(OR(A47="",B47=""),"",B47-A47)</f>
        <v/>
      </c>
      <c r="F47" s="51" t="n"/>
    </row>
    <row r="48">
      <c r="A48" s="50" t="n"/>
      <c r="B48" s="50" t="n"/>
      <c r="C48" s="51" t="n"/>
      <c r="D48" s="51" t="n"/>
      <c r="E48">
        <f>IF(OR(A48="",B48=""),"",B48-A48)</f>
        <v/>
      </c>
      <c r="F48" s="51" t="n"/>
    </row>
    <row r="49">
      <c r="A49" s="50" t="n"/>
      <c r="B49" s="50" t="n"/>
      <c r="C49" s="51" t="n"/>
      <c r="D49" s="51" t="n"/>
      <c r="E49">
        <f>IF(OR(A49="",B49=""),"",B49-A49)</f>
        <v/>
      </c>
      <c r="F49" s="51" t="n"/>
    </row>
    <row r="50">
      <c r="A50" s="50" t="n"/>
      <c r="B50" s="50" t="n"/>
      <c r="C50" s="51" t="n"/>
      <c r="D50" s="51" t="n"/>
      <c r="E50">
        <f>IF(OR(A50="",B50=""),"",B50-A50)</f>
        <v/>
      </c>
      <c r="F50" s="51" t="n"/>
    </row>
    <row r="51">
      <c r="A51" s="50" t="n"/>
      <c r="B51" s="50" t="n"/>
      <c r="C51" s="51" t="n"/>
      <c r="D51" s="51" t="n"/>
      <c r="E51">
        <f>IF(OR(A51="",B51=""),"",B51-A51)</f>
        <v/>
      </c>
      <c r="F51" s="51" t="n"/>
    </row>
    <row r="52">
      <c r="A52" s="50" t="n"/>
      <c r="B52" s="50" t="n"/>
      <c r="C52" s="51" t="n"/>
      <c r="D52" s="51" t="n"/>
      <c r="E52">
        <f>IF(OR(A52="",B52=""),"",B52-A52)</f>
        <v/>
      </c>
      <c r="F52" s="51" t="n"/>
    </row>
    <row r="53">
      <c r="A53" s="50" t="n"/>
      <c r="B53" s="50" t="n"/>
      <c r="C53" s="51" t="n"/>
      <c r="D53" s="51" t="n"/>
      <c r="E53">
        <f>IF(OR(A53="",B53=""),"",B53-A53)</f>
        <v/>
      </c>
      <c r="F53" s="51" t="n"/>
    </row>
    <row r="54">
      <c r="A54" s="50" t="n"/>
      <c r="B54" s="50" t="n"/>
      <c r="C54" s="51" t="n"/>
      <c r="D54" s="51" t="n"/>
      <c r="E54">
        <f>IF(OR(A54="",B54=""),"",B54-A54)</f>
        <v/>
      </c>
      <c r="F54" s="51" t="n"/>
    </row>
    <row r="55">
      <c r="A55" s="50" t="n"/>
      <c r="B55" s="50" t="n"/>
      <c r="C55" s="51" t="n"/>
      <c r="D55" s="51" t="n"/>
      <c r="E55">
        <f>IF(OR(A55="",B55=""),"",B55-A55)</f>
        <v/>
      </c>
      <c r="F55" s="51" t="n"/>
    </row>
    <row r="56">
      <c r="A56" s="50" t="n"/>
      <c r="B56" s="50" t="n"/>
      <c r="C56" s="51" t="n"/>
      <c r="D56" s="51" t="n"/>
      <c r="E56">
        <f>IF(OR(A56="",B56=""),"",B56-A56)</f>
        <v/>
      </c>
      <c r="F56" s="51" t="n"/>
    </row>
    <row r="57">
      <c r="A57" s="50" t="n"/>
      <c r="B57" s="50" t="n"/>
      <c r="C57" s="51" t="n"/>
      <c r="D57" s="51" t="n"/>
      <c r="E57">
        <f>IF(OR(A57="",B57=""),"",B57-A57)</f>
        <v/>
      </c>
      <c r="F57" s="51" t="n"/>
    </row>
    <row r="58">
      <c r="A58" s="50" t="n"/>
      <c r="B58" s="50" t="n"/>
      <c r="C58" s="51" t="n"/>
      <c r="D58" s="51" t="n"/>
      <c r="E58">
        <f>IF(OR(A58="",B58=""),"",B58-A58)</f>
        <v/>
      </c>
      <c r="F58" s="51" t="n"/>
    </row>
    <row r="59">
      <c r="A59" s="50" t="n"/>
      <c r="B59" s="50" t="n"/>
      <c r="C59" s="51" t="n"/>
      <c r="D59" s="51" t="n"/>
      <c r="E59">
        <f>IF(OR(A59="",B59=""),"",B59-A59)</f>
        <v/>
      </c>
      <c r="F59" s="51" t="n"/>
    </row>
    <row r="60">
      <c r="A60" s="50" t="n"/>
      <c r="B60" s="50" t="n"/>
      <c r="C60" s="51" t="n"/>
      <c r="D60" s="51" t="n"/>
      <c r="E60">
        <f>IF(OR(A60="",B60=""),"",B60-A60)</f>
        <v/>
      </c>
      <c r="F60" s="51" t="n"/>
    </row>
    <row r="61">
      <c r="A61" s="50" t="n"/>
      <c r="B61" s="50" t="n"/>
      <c r="C61" s="51" t="n"/>
      <c r="D61" s="51" t="n"/>
      <c r="E61">
        <f>IF(OR(A61="",B61=""),"",B61-A61)</f>
        <v/>
      </c>
      <c r="F61" s="51" t="n"/>
    </row>
    <row r="62">
      <c r="A62" s="50" t="n"/>
      <c r="B62" s="50" t="n"/>
      <c r="C62" s="51" t="n"/>
      <c r="D62" s="51" t="n"/>
      <c r="E62">
        <f>IF(OR(A62="",B62=""),"",B62-A62)</f>
        <v/>
      </c>
      <c r="F62" s="51" t="n"/>
    </row>
    <row r="63">
      <c r="A63" s="50" t="n"/>
      <c r="B63" s="50" t="n"/>
      <c r="C63" s="51" t="n"/>
      <c r="D63" s="51" t="n"/>
      <c r="E63">
        <f>IF(OR(A63="",B63=""),"",B63-A63)</f>
        <v/>
      </c>
      <c r="F63" s="51" t="n"/>
    </row>
    <row r="64">
      <c r="A64" s="50" t="n"/>
      <c r="B64" s="50" t="n"/>
      <c r="C64" s="51" t="n"/>
      <c r="D64" s="51" t="n"/>
      <c r="E64">
        <f>IF(OR(A64="",B64=""),"",B64-A64)</f>
        <v/>
      </c>
      <c r="F64" s="51" t="n"/>
    </row>
    <row r="65">
      <c r="A65" s="50" t="n"/>
      <c r="B65" s="50" t="n"/>
      <c r="C65" s="51" t="n"/>
      <c r="D65" s="51" t="n"/>
      <c r="E65">
        <f>IF(OR(A65="",B65=""),"",B65-A65)</f>
        <v/>
      </c>
      <c r="F65" s="51" t="n"/>
    </row>
    <row r="66">
      <c r="A66" s="50" t="n"/>
      <c r="B66" s="50" t="n"/>
      <c r="C66" s="51" t="n"/>
      <c r="D66" s="51" t="n"/>
      <c r="E66">
        <f>IF(OR(A66="",B66=""),"",B66-A66)</f>
        <v/>
      </c>
      <c r="F66" s="51" t="n"/>
    </row>
    <row r="67">
      <c r="A67" s="50" t="n"/>
      <c r="B67" s="50" t="n"/>
      <c r="C67" s="51" t="n"/>
      <c r="D67" s="51" t="n"/>
      <c r="E67">
        <f>IF(OR(A67="",B67=""),"",B67-A67)</f>
        <v/>
      </c>
      <c r="F67" s="51" t="n"/>
    </row>
    <row r="68">
      <c r="A68" s="50" t="n"/>
      <c r="B68" s="50" t="n"/>
      <c r="C68" s="51" t="n"/>
      <c r="D68" s="51" t="n"/>
      <c r="E68">
        <f>IF(OR(A68="",B68=""),"",B68-A68)</f>
        <v/>
      </c>
      <c r="F68" s="51" t="n"/>
    </row>
    <row r="69">
      <c r="A69" s="50" t="n"/>
      <c r="B69" s="50" t="n"/>
      <c r="C69" s="51" t="n"/>
      <c r="D69" s="51" t="n"/>
      <c r="E69">
        <f>IF(OR(A69="",B69=""),"",B69-A69)</f>
        <v/>
      </c>
      <c r="F69" s="51" t="n"/>
    </row>
    <row r="70">
      <c r="A70" s="50" t="n"/>
      <c r="B70" s="50" t="n"/>
      <c r="C70" s="51" t="n"/>
      <c r="D70" s="51" t="n"/>
      <c r="E70">
        <f>IF(OR(A70="",B70=""),"",B70-A70)</f>
        <v/>
      </c>
      <c r="F70" s="51" t="n"/>
    </row>
    <row r="71">
      <c r="A71" s="50" t="n"/>
      <c r="B71" s="50" t="n"/>
      <c r="C71" s="51" t="n"/>
      <c r="D71" s="51" t="n"/>
      <c r="E71">
        <f>IF(OR(A71="",B71=""),"",B71-A71)</f>
        <v/>
      </c>
      <c r="F71" s="51" t="n"/>
    </row>
    <row r="72">
      <c r="A72" s="50" t="n"/>
      <c r="B72" s="50" t="n"/>
      <c r="C72" s="51" t="n"/>
      <c r="D72" s="51" t="n"/>
      <c r="E72">
        <f>IF(OR(A72="",B72=""),"",B72-A72)</f>
        <v/>
      </c>
      <c r="F72" s="51" t="n"/>
    </row>
    <row r="73">
      <c r="A73" s="50" t="n"/>
      <c r="B73" s="50" t="n"/>
      <c r="C73" s="51" t="n"/>
      <c r="D73" s="51" t="n"/>
      <c r="E73">
        <f>IF(OR(A73="",B73=""),"",B73-A73)</f>
        <v/>
      </c>
      <c r="F73" s="51" t="n"/>
    </row>
    <row r="74">
      <c r="A74" s="50" t="n"/>
      <c r="B74" s="50" t="n"/>
      <c r="C74" s="51" t="n"/>
      <c r="D74" s="51" t="n"/>
      <c r="E74">
        <f>IF(OR(A74="",B74=""),"",B74-A74)</f>
        <v/>
      </c>
      <c r="F74" s="51" t="n"/>
    </row>
    <row r="75">
      <c r="A75" s="50" t="n"/>
      <c r="B75" s="50" t="n"/>
      <c r="C75" s="51" t="n"/>
      <c r="D75" s="51" t="n"/>
      <c r="E75">
        <f>IF(OR(A75="",B75=""),"",B75-A75)</f>
        <v/>
      </c>
      <c r="F75" s="51" t="n"/>
    </row>
    <row r="76">
      <c r="A76" s="50" t="n"/>
      <c r="B76" s="50" t="n"/>
      <c r="C76" s="51" t="n"/>
      <c r="D76" s="51" t="n"/>
      <c r="E76">
        <f>IF(OR(A76="",B76=""),"",B76-A76)</f>
        <v/>
      </c>
      <c r="F76" s="51" t="n"/>
    </row>
    <row r="77">
      <c r="A77" s="50" t="n"/>
      <c r="B77" s="50" t="n"/>
      <c r="C77" s="51" t="n"/>
      <c r="D77" s="51" t="n"/>
      <c r="E77">
        <f>IF(OR(A77="",B77=""),"",B77-A77)</f>
        <v/>
      </c>
      <c r="F77" s="51" t="n"/>
    </row>
    <row r="78">
      <c r="A78" s="50" t="n"/>
      <c r="B78" s="50" t="n"/>
      <c r="C78" s="51" t="n"/>
      <c r="D78" s="51" t="n"/>
      <c r="E78">
        <f>IF(OR(A78="",B78=""),"",B78-A78)</f>
        <v/>
      </c>
      <c r="F78" s="51" t="n"/>
    </row>
    <row r="79">
      <c r="A79" s="50" t="n"/>
      <c r="B79" s="50" t="n"/>
      <c r="C79" s="51" t="n"/>
      <c r="D79" s="51" t="n"/>
      <c r="E79">
        <f>IF(OR(A79="",B79=""),"",B79-A79)</f>
        <v/>
      </c>
      <c r="F79" s="51" t="n"/>
    </row>
    <row r="80">
      <c r="A80" s="50" t="n"/>
      <c r="B80" s="50" t="n"/>
      <c r="C80" s="51" t="n"/>
      <c r="D80" s="51" t="n"/>
      <c r="E80">
        <f>IF(OR(A80="",B80=""),"",B80-A80)</f>
        <v/>
      </c>
      <c r="F80" s="51" t="n"/>
    </row>
    <row r="81">
      <c r="A81" s="50" t="n"/>
      <c r="B81" s="50" t="n"/>
      <c r="C81" s="51" t="n"/>
      <c r="D81" s="51" t="n"/>
      <c r="E81">
        <f>IF(OR(A81="",B81=""),"",B81-A81)</f>
        <v/>
      </c>
      <c r="F81" s="51" t="n"/>
    </row>
    <row r="82">
      <c r="A82" s="50" t="n"/>
      <c r="B82" s="50" t="n"/>
      <c r="C82" s="51" t="n"/>
      <c r="D82" s="51" t="n"/>
      <c r="E82">
        <f>IF(OR(A82="",B82=""),"",B82-A82)</f>
        <v/>
      </c>
      <c r="F82" s="51" t="n"/>
    </row>
    <row r="83">
      <c r="A83" s="50" t="n"/>
      <c r="B83" s="50" t="n"/>
      <c r="C83" s="51" t="n"/>
      <c r="D83" s="51" t="n"/>
      <c r="E83">
        <f>IF(OR(A83="",B83=""),"",B83-A83)</f>
        <v/>
      </c>
      <c r="F83" s="51" t="n"/>
    </row>
    <row r="84">
      <c r="A84" s="50" t="n"/>
      <c r="B84" s="50" t="n"/>
      <c r="C84" s="51" t="n"/>
      <c r="D84" s="51" t="n"/>
      <c r="E84">
        <f>IF(OR(A84="",B84=""),"",B84-A84)</f>
        <v/>
      </c>
      <c r="F84" s="51" t="n"/>
    </row>
    <row r="85">
      <c r="A85" s="50" t="n"/>
      <c r="B85" s="50" t="n"/>
      <c r="C85" s="51" t="n"/>
      <c r="D85" s="51" t="n"/>
      <c r="E85">
        <f>IF(OR(A85="",B85=""),"",B85-A85)</f>
        <v/>
      </c>
      <c r="F85" s="51" t="n"/>
    </row>
    <row r="86">
      <c r="A86" s="50" t="n"/>
      <c r="B86" s="50" t="n"/>
      <c r="C86" s="51" t="n"/>
      <c r="D86" s="51" t="n"/>
      <c r="E86">
        <f>IF(OR(A86="",B86=""),"",B86-A86)</f>
        <v/>
      </c>
      <c r="F86" s="51" t="n"/>
    </row>
    <row r="87">
      <c r="A87" s="50" t="n"/>
      <c r="B87" s="50" t="n"/>
      <c r="C87" s="51" t="n"/>
      <c r="D87" s="51" t="n"/>
      <c r="E87">
        <f>IF(OR(A87="",B87=""),"",B87-A87)</f>
        <v/>
      </c>
      <c r="F87" s="51" t="n"/>
    </row>
    <row r="88">
      <c r="A88" s="50" t="n"/>
      <c r="B88" s="50" t="n"/>
      <c r="C88" s="51" t="n"/>
      <c r="D88" s="51" t="n"/>
      <c r="E88">
        <f>IF(OR(A88="",B88=""),"",B88-A88)</f>
        <v/>
      </c>
      <c r="F88" s="51" t="n"/>
    </row>
    <row r="89">
      <c r="A89" s="50" t="n"/>
      <c r="B89" s="50" t="n"/>
      <c r="C89" s="51" t="n"/>
      <c r="D89" s="51" t="n"/>
      <c r="E89">
        <f>IF(OR(A89="",B89=""),"",B89-A89)</f>
        <v/>
      </c>
      <c r="F89" s="51" t="n"/>
    </row>
    <row r="90">
      <c r="A90" s="50" t="n"/>
      <c r="B90" s="50" t="n"/>
      <c r="C90" s="51" t="n"/>
      <c r="D90" s="51" t="n"/>
      <c r="E90">
        <f>IF(OR(A90="",B90=""),"",B90-A90)</f>
        <v/>
      </c>
      <c r="F90" s="51" t="n"/>
    </row>
    <row r="91">
      <c r="A91" s="50" t="n"/>
      <c r="B91" s="50" t="n"/>
      <c r="C91" s="51" t="n"/>
      <c r="D91" s="51" t="n"/>
      <c r="E91">
        <f>IF(OR(A91="",B91=""),"",B91-A91)</f>
        <v/>
      </c>
      <c r="F91" s="51" t="n"/>
    </row>
    <row r="92">
      <c r="A92" s="50" t="n"/>
      <c r="B92" s="50" t="n"/>
      <c r="C92" s="51" t="n"/>
      <c r="D92" s="51" t="n"/>
      <c r="E92">
        <f>IF(OR(A92="",B92=""),"",B92-A92)</f>
        <v/>
      </c>
      <c r="F92" s="51" t="n"/>
    </row>
    <row r="93">
      <c r="A93" s="50" t="n"/>
      <c r="B93" s="50" t="n"/>
      <c r="C93" s="51" t="n"/>
      <c r="D93" s="51" t="n"/>
      <c r="E93">
        <f>IF(OR(A93="",B93=""),"",B93-A93)</f>
        <v/>
      </c>
      <c r="F93" s="51" t="n"/>
    </row>
    <row r="94">
      <c r="A94" s="50" t="n"/>
      <c r="B94" s="50" t="n"/>
      <c r="C94" s="51" t="n"/>
      <c r="D94" s="51" t="n"/>
      <c r="E94">
        <f>IF(OR(A94="",B94=""),"",B94-A94)</f>
        <v/>
      </c>
      <c r="F94" s="51" t="n"/>
    </row>
    <row r="95">
      <c r="A95" s="50" t="n"/>
      <c r="B95" s="50" t="n"/>
      <c r="C95" s="51" t="n"/>
      <c r="D95" s="51" t="n"/>
      <c r="E95">
        <f>IF(OR(A95="",B95=""),"",B95-A95)</f>
        <v/>
      </c>
      <c r="F95" s="51" t="n"/>
    </row>
    <row r="96">
      <c r="A96" s="50" t="n"/>
      <c r="B96" s="50" t="n"/>
      <c r="C96" s="51" t="n"/>
      <c r="D96" s="51" t="n"/>
      <c r="E96">
        <f>IF(OR(A96="",B96=""),"",B96-A96)</f>
        <v/>
      </c>
      <c r="F96" s="51" t="n"/>
    </row>
    <row r="97">
      <c r="A97" s="50" t="n"/>
      <c r="B97" s="50" t="n"/>
      <c r="C97" s="51" t="n"/>
      <c r="D97" s="51" t="n"/>
      <c r="E97">
        <f>IF(OR(A97="",B97=""),"",B97-A97)</f>
        <v/>
      </c>
      <c r="F97" s="51" t="n"/>
    </row>
    <row r="98">
      <c r="A98" s="50" t="n"/>
      <c r="B98" s="50" t="n"/>
      <c r="C98" s="51" t="n"/>
      <c r="D98" s="51" t="n"/>
      <c r="E98">
        <f>IF(OR(A98="",B98=""),"",B98-A98)</f>
        <v/>
      </c>
      <c r="F98" s="51" t="n"/>
    </row>
    <row r="99">
      <c r="A99" s="50" t="n"/>
      <c r="B99" s="50" t="n"/>
      <c r="C99" s="51" t="n"/>
      <c r="D99" s="51" t="n"/>
      <c r="E99">
        <f>IF(OR(A99="",B99=""),"",B99-A99)</f>
        <v/>
      </c>
      <c r="F99" s="51" t="n"/>
    </row>
    <row r="100">
      <c r="A100" s="50" t="n"/>
      <c r="B100" s="50" t="n"/>
      <c r="C100" s="51" t="n"/>
      <c r="D100" s="51" t="n"/>
      <c r="E100">
        <f>IF(OR(A100="",B100=""),"",B100-A100)</f>
        <v/>
      </c>
      <c r="F100" s="51" t="n"/>
    </row>
    <row r="101">
      <c r="A101" s="50" t="n"/>
      <c r="B101" s="50" t="n"/>
      <c r="C101" s="51" t="n"/>
      <c r="D101" s="51" t="n"/>
      <c r="E101">
        <f>IF(OR(A101="",B101=""),"",B101-A101)</f>
        <v/>
      </c>
      <c r="F101" s="51" t="n"/>
    </row>
    <row r="102">
      <c r="A102" s="50" t="n"/>
      <c r="B102" s="50" t="n"/>
      <c r="C102" s="51" t="n"/>
      <c r="D102" s="51" t="n"/>
      <c r="E102">
        <f>IF(OR(A102="",B102=""),"",B102-A102)</f>
        <v/>
      </c>
      <c r="F102" s="51" t="n"/>
    </row>
    <row r="103">
      <c r="A103" s="50" t="n"/>
      <c r="B103" s="50" t="n"/>
      <c r="C103" s="51" t="n"/>
      <c r="D103" s="51" t="n"/>
      <c r="E103">
        <f>IF(OR(A103="",B103=""),"",B103-A103)</f>
        <v/>
      </c>
      <c r="F103" s="51" t="n"/>
    </row>
    <row r="104">
      <c r="A104" s="50" t="n"/>
      <c r="B104" s="50" t="n"/>
      <c r="C104" s="51" t="n"/>
      <c r="D104" s="51" t="n"/>
      <c r="E104">
        <f>IF(OR(A104="",B104=""),"",B104-A104)</f>
        <v/>
      </c>
      <c r="F104" s="51" t="n"/>
    </row>
    <row r="105">
      <c r="A105" s="50" t="n"/>
      <c r="B105" s="50" t="n"/>
      <c r="C105" s="51" t="n"/>
      <c r="D105" s="51" t="n"/>
      <c r="E105">
        <f>IF(OR(A105="",B105=""),"",B105-A105)</f>
        <v/>
      </c>
      <c r="F105" s="51" t="n"/>
    </row>
    <row r="106">
      <c r="A106" s="50" t="n"/>
      <c r="B106" s="50" t="n"/>
      <c r="C106" s="51" t="n"/>
      <c r="D106" s="51" t="n"/>
      <c r="E106">
        <f>IF(OR(A106="",B106=""),"",B106-A106)</f>
        <v/>
      </c>
      <c r="F106" s="51" t="n"/>
    </row>
    <row r="107">
      <c r="A107" s="50" t="n"/>
      <c r="B107" s="50" t="n"/>
      <c r="C107" s="51" t="n"/>
      <c r="D107" s="51" t="n"/>
      <c r="E107">
        <f>IF(OR(A107="",B107=""),"",B107-A107)</f>
        <v/>
      </c>
      <c r="F107" s="51" t="n"/>
    </row>
    <row r="108">
      <c r="A108" s="50" t="n"/>
      <c r="B108" s="50" t="n"/>
      <c r="C108" s="51" t="n"/>
      <c r="D108" s="51" t="n"/>
      <c r="E108">
        <f>IF(OR(A108="",B108=""),"",B108-A108)</f>
        <v/>
      </c>
      <c r="F108" s="51" t="n"/>
    </row>
    <row r="109">
      <c r="A109" s="50" t="n"/>
      <c r="B109" s="50" t="n"/>
      <c r="C109" s="51" t="n"/>
      <c r="D109" s="51" t="n"/>
      <c r="E109">
        <f>IF(OR(A109="",B109=""),"",B109-A109)</f>
        <v/>
      </c>
      <c r="F109" s="51" t="n"/>
    </row>
    <row r="110">
      <c r="A110" s="50" t="n"/>
      <c r="B110" s="50" t="n"/>
      <c r="C110" s="51" t="n"/>
      <c r="D110" s="51" t="n"/>
      <c r="E110">
        <f>IF(OR(A110="",B110=""),"",B110-A110)</f>
        <v/>
      </c>
      <c r="F110" s="51" t="n"/>
    </row>
    <row r="111">
      <c r="A111" s="50" t="n"/>
      <c r="B111" s="50" t="n"/>
      <c r="C111" s="51" t="n"/>
      <c r="D111" s="51" t="n"/>
      <c r="E111">
        <f>IF(OR(A111="",B111=""),"",B111-A111)</f>
        <v/>
      </c>
      <c r="F111" s="51" t="n"/>
    </row>
    <row r="112">
      <c r="A112" s="50" t="n"/>
      <c r="B112" s="50" t="n"/>
      <c r="C112" s="51" t="n"/>
      <c r="D112" s="51" t="n"/>
      <c r="E112">
        <f>IF(OR(A112="",B112=""),"",B112-A112)</f>
        <v/>
      </c>
      <c r="F112" s="51" t="n"/>
    </row>
    <row r="113">
      <c r="A113" s="50" t="n"/>
      <c r="B113" s="50" t="n"/>
      <c r="C113" s="51" t="n"/>
      <c r="D113" s="51" t="n"/>
      <c r="E113">
        <f>IF(OR(A113="",B113=""),"",B113-A113)</f>
        <v/>
      </c>
      <c r="F113" s="51" t="n"/>
    </row>
    <row r="114">
      <c r="A114" s="50" t="n"/>
      <c r="B114" s="50" t="n"/>
      <c r="C114" s="51" t="n"/>
      <c r="D114" s="51" t="n"/>
      <c r="E114">
        <f>IF(OR(A114="",B114=""),"",B114-A114)</f>
        <v/>
      </c>
      <c r="F114" s="51" t="n"/>
    </row>
    <row r="115">
      <c r="A115" s="50" t="n"/>
      <c r="B115" s="50" t="n"/>
      <c r="C115" s="51" t="n"/>
      <c r="D115" s="51" t="n"/>
      <c r="E115">
        <f>IF(OR(A115="",B115=""),"",B115-A115)</f>
        <v/>
      </c>
      <c r="F115" s="51" t="n"/>
    </row>
    <row r="116">
      <c r="A116" s="50" t="n"/>
      <c r="B116" s="50" t="n"/>
      <c r="C116" s="51" t="n"/>
      <c r="D116" s="51" t="n"/>
      <c r="E116">
        <f>IF(OR(A116="",B116=""),"",B116-A116)</f>
        <v/>
      </c>
      <c r="F116" s="51" t="n"/>
    </row>
    <row r="117">
      <c r="A117" s="50" t="n"/>
      <c r="B117" s="50" t="n"/>
      <c r="C117" s="51" t="n"/>
      <c r="D117" s="51" t="n"/>
      <c r="E117">
        <f>IF(OR(A117="",B117=""),"",B117-A117)</f>
        <v/>
      </c>
      <c r="F117" s="51" t="n"/>
    </row>
    <row r="118">
      <c r="A118" s="50" t="n"/>
      <c r="B118" s="50" t="n"/>
      <c r="C118" s="51" t="n"/>
      <c r="D118" s="51" t="n"/>
      <c r="E118">
        <f>IF(OR(A118="",B118=""),"",B118-A118)</f>
        <v/>
      </c>
      <c r="F118" s="51" t="n"/>
    </row>
    <row r="119">
      <c r="A119" s="50" t="n"/>
      <c r="B119" s="50" t="n"/>
      <c r="C119" s="51" t="n"/>
      <c r="D119" s="51" t="n"/>
      <c r="E119">
        <f>IF(OR(A119="",B119=""),"",B119-A119)</f>
        <v/>
      </c>
      <c r="F119" s="51" t="n"/>
    </row>
    <row r="120">
      <c r="A120" s="50" t="n"/>
      <c r="B120" s="50" t="n"/>
      <c r="C120" s="51" t="n"/>
      <c r="D120" s="51" t="n"/>
      <c r="E120">
        <f>IF(OR(A120="",B120=""),"",B120-A120)</f>
        <v/>
      </c>
      <c r="F120" s="51" t="n"/>
    </row>
    <row r="121">
      <c r="A121" s="50" t="n"/>
      <c r="B121" s="50" t="n"/>
      <c r="C121" s="51" t="n"/>
      <c r="D121" s="51" t="n"/>
      <c r="E121">
        <f>IF(OR(A121="",B121=""),"",B121-A121)</f>
        <v/>
      </c>
      <c r="F121" s="51" t="n"/>
    </row>
    <row r="122">
      <c r="A122" s="50" t="n"/>
      <c r="B122" s="50" t="n"/>
      <c r="C122" s="51" t="n"/>
      <c r="D122" s="51" t="n"/>
      <c r="E122">
        <f>IF(OR(A122="",B122=""),"",B122-A122)</f>
        <v/>
      </c>
      <c r="F122" s="51" t="n"/>
    </row>
    <row r="123">
      <c r="A123" s="50" t="n"/>
      <c r="B123" s="50" t="n"/>
      <c r="C123" s="51" t="n"/>
      <c r="D123" s="51" t="n"/>
      <c r="E123">
        <f>IF(OR(A123="",B123=""),"",B123-A123)</f>
        <v/>
      </c>
      <c r="F123" s="51" t="n"/>
    </row>
    <row r="124">
      <c r="A124" s="50" t="n"/>
      <c r="B124" s="50" t="n"/>
      <c r="C124" s="51" t="n"/>
      <c r="D124" s="51" t="n"/>
      <c r="E124">
        <f>IF(OR(A124="",B124=""),"",B124-A124)</f>
        <v/>
      </c>
      <c r="F124" s="51" t="n"/>
    </row>
    <row r="125">
      <c r="A125" s="50" t="n"/>
      <c r="B125" s="50" t="n"/>
      <c r="C125" s="51" t="n"/>
      <c r="D125" s="51" t="n"/>
      <c r="E125">
        <f>IF(OR(A125="",B125=""),"",B125-A125)</f>
        <v/>
      </c>
      <c r="F125" s="51" t="n"/>
    </row>
    <row r="126">
      <c r="A126" s="50" t="n"/>
      <c r="B126" s="50" t="n"/>
      <c r="C126" s="51" t="n"/>
      <c r="D126" s="51" t="n"/>
      <c r="E126">
        <f>IF(OR(A126="",B126=""),"",B126-A126)</f>
        <v/>
      </c>
      <c r="F126" s="51" t="n"/>
    </row>
    <row r="127">
      <c r="A127" s="50" t="n"/>
      <c r="B127" s="50" t="n"/>
      <c r="C127" s="51" t="n"/>
      <c r="D127" s="51" t="n"/>
      <c r="E127">
        <f>IF(OR(A127="",B127=""),"",B127-A127)</f>
        <v/>
      </c>
      <c r="F127" s="51" t="n"/>
    </row>
    <row r="128">
      <c r="A128" s="50" t="n"/>
      <c r="B128" s="50" t="n"/>
      <c r="C128" s="51" t="n"/>
      <c r="D128" s="51" t="n"/>
      <c r="E128">
        <f>IF(OR(A128="",B128=""),"",B128-A128)</f>
        <v/>
      </c>
      <c r="F128" s="51" t="n"/>
    </row>
    <row r="129">
      <c r="A129" s="50" t="n"/>
      <c r="B129" s="50" t="n"/>
      <c r="C129" s="51" t="n"/>
      <c r="D129" s="51" t="n"/>
      <c r="E129">
        <f>IF(OR(A129="",B129=""),"",B129-A129)</f>
        <v/>
      </c>
      <c r="F129" s="51" t="n"/>
    </row>
    <row r="130">
      <c r="A130" s="50" t="n"/>
      <c r="B130" s="50" t="n"/>
      <c r="C130" s="51" t="n"/>
      <c r="D130" s="51" t="n"/>
      <c r="E130">
        <f>IF(OR(A130="",B130=""),"",B130-A130)</f>
        <v/>
      </c>
      <c r="F130" s="51" t="n"/>
    </row>
    <row r="131">
      <c r="A131" s="50" t="n"/>
      <c r="B131" s="50" t="n"/>
      <c r="C131" s="51" t="n"/>
      <c r="D131" s="51" t="n"/>
      <c r="E131">
        <f>IF(OR(A131="",B131=""),"",B131-A131)</f>
        <v/>
      </c>
      <c r="F131" s="51" t="n"/>
    </row>
    <row r="132">
      <c r="A132" s="50" t="n"/>
      <c r="B132" s="50" t="n"/>
      <c r="C132" s="51" t="n"/>
      <c r="D132" s="51" t="n"/>
      <c r="E132">
        <f>IF(OR(A132="",B132=""),"",B132-A132)</f>
        <v/>
      </c>
      <c r="F132" s="51" t="n"/>
    </row>
    <row r="133">
      <c r="A133" s="50" t="n"/>
      <c r="B133" s="50" t="n"/>
      <c r="C133" s="51" t="n"/>
      <c r="D133" s="51" t="n"/>
      <c r="E133">
        <f>IF(OR(A133="",B133=""),"",B133-A133)</f>
        <v/>
      </c>
      <c r="F133" s="51" t="n"/>
    </row>
    <row r="134">
      <c r="A134" s="50" t="n"/>
      <c r="B134" s="50" t="n"/>
      <c r="C134" s="51" t="n"/>
      <c r="D134" s="51" t="n"/>
      <c r="E134">
        <f>IF(OR(A134="",B134=""),"",B134-A134)</f>
        <v/>
      </c>
      <c r="F134" s="51" t="n"/>
    </row>
    <row r="135">
      <c r="A135" s="50" t="n"/>
      <c r="B135" s="50" t="n"/>
      <c r="C135" s="51" t="n"/>
      <c r="D135" s="51" t="n"/>
      <c r="E135">
        <f>IF(OR(A135="",B135=""),"",B135-A135)</f>
        <v/>
      </c>
      <c r="F135" s="51" t="n"/>
    </row>
    <row r="136">
      <c r="A136" s="50" t="n"/>
      <c r="B136" s="50" t="n"/>
      <c r="C136" s="51" t="n"/>
      <c r="D136" s="51" t="n"/>
      <c r="E136">
        <f>IF(OR(A136="",B136=""),"",B136-A136)</f>
        <v/>
      </c>
      <c r="F136" s="51" t="n"/>
    </row>
    <row r="137">
      <c r="A137" s="50" t="n"/>
      <c r="B137" s="50" t="n"/>
      <c r="C137" s="51" t="n"/>
      <c r="D137" s="51" t="n"/>
      <c r="E137">
        <f>IF(OR(A137="",B137=""),"",B137-A137)</f>
        <v/>
      </c>
      <c r="F137" s="51" t="n"/>
    </row>
    <row r="138">
      <c r="A138" s="50" t="n"/>
      <c r="B138" s="50" t="n"/>
      <c r="C138" s="51" t="n"/>
      <c r="D138" s="51" t="n"/>
      <c r="E138">
        <f>IF(OR(A138="",B138=""),"",B138-A138)</f>
        <v/>
      </c>
      <c r="F138" s="51" t="n"/>
    </row>
    <row r="139">
      <c r="A139" s="50" t="n"/>
      <c r="B139" s="50" t="n"/>
      <c r="C139" s="51" t="n"/>
      <c r="D139" s="51" t="n"/>
      <c r="E139">
        <f>IF(OR(A139="",B139=""),"",B139-A139)</f>
        <v/>
      </c>
      <c r="F139" s="51" t="n"/>
    </row>
    <row r="140">
      <c r="A140" s="50" t="n"/>
      <c r="B140" s="50" t="n"/>
      <c r="C140" s="51" t="n"/>
      <c r="D140" s="51" t="n"/>
      <c r="E140">
        <f>IF(OR(A140="",B140=""),"",B140-A140)</f>
        <v/>
      </c>
      <c r="F140" s="51" t="n"/>
    </row>
    <row r="141">
      <c r="A141" s="50" t="n"/>
      <c r="B141" s="50" t="n"/>
      <c r="C141" s="51" t="n"/>
      <c r="D141" s="51" t="n"/>
      <c r="E141">
        <f>IF(OR(A141="",B141=""),"",B141-A141)</f>
        <v/>
      </c>
      <c r="F141" s="51" t="n"/>
    </row>
    <row r="142">
      <c r="A142" s="50" t="n"/>
      <c r="B142" s="50" t="n"/>
      <c r="C142" s="51" t="n"/>
      <c r="D142" s="51" t="n"/>
      <c r="E142">
        <f>IF(OR(A142="",B142=""),"",B142-A142)</f>
        <v/>
      </c>
      <c r="F142" s="51" t="n"/>
    </row>
    <row r="143">
      <c r="A143" s="50" t="n"/>
      <c r="B143" s="50" t="n"/>
      <c r="C143" s="51" t="n"/>
      <c r="D143" s="51" t="n"/>
      <c r="E143">
        <f>IF(OR(A143="",B143=""),"",B143-A143)</f>
        <v/>
      </c>
      <c r="F143" s="51" t="n"/>
    </row>
    <row r="144">
      <c r="A144" s="50" t="n"/>
      <c r="B144" s="50" t="n"/>
      <c r="C144" s="51" t="n"/>
      <c r="D144" s="51" t="n"/>
      <c r="E144">
        <f>IF(OR(A144="",B144=""),"",B144-A144)</f>
        <v/>
      </c>
      <c r="F144" s="51" t="n"/>
    </row>
    <row r="145">
      <c r="A145" s="50" t="n"/>
      <c r="B145" s="50" t="n"/>
      <c r="C145" s="51" t="n"/>
      <c r="D145" s="51" t="n"/>
      <c r="E145">
        <f>IF(OR(A145="",B145=""),"",B145-A145)</f>
        <v/>
      </c>
      <c r="F145" s="51" t="n"/>
    </row>
    <row r="146">
      <c r="A146" s="50" t="n"/>
      <c r="B146" s="50" t="n"/>
      <c r="C146" s="51" t="n"/>
      <c r="D146" s="51" t="n"/>
      <c r="E146">
        <f>IF(OR(A146="",B146=""),"",B146-A146)</f>
        <v/>
      </c>
      <c r="F146" s="51" t="n"/>
    </row>
    <row r="147">
      <c r="A147" s="50" t="n"/>
      <c r="B147" s="50" t="n"/>
      <c r="C147" s="51" t="n"/>
      <c r="D147" s="51" t="n"/>
      <c r="E147">
        <f>IF(OR(A147="",B147=""),"",B147-A147)</f>
        <v/>
      </c>
      <c r="F147" s="51" t="n"/>
    </row>
    <row r="148">
      <c r="A148" s="50" t="n"/>
      <c r="B148" s="50" t="n"/>
      <c r="C148" s="51" t="n"/>
      <c r="D148" s="51" t="n"/>
      <c r="E148">
        <f>IF(OR(A148="",B148=""),"",B148-A148)</f>
        <v/>
      </c>
      <c r="F148" s="51" t="n"/>
    </row>
    <row r="149">
      <c r="A149" s="50" t="n"/>
      <c r="B149" s="50" t="n"/>
      <c r="C149" s="51" t="n"/>
      <c r="D149" s="51" t="n"/>
      <c r="E149">
        <f>IF(OR(A149="",B149=""),"",B149-A149)</f>
        <v/>
      </c>
      <c r="F149" s="51" t="n"/>
    </row>
    <row r="150">
      <c r="A150" s="50" t="n"/>
      <c r="B150" s="50" t="n"/>
      <c r="C150" s="51" t="n"/>
      <c r="D150" s="51" t="n"/>
      <c r="E150">
        <f>IF(OR(A150="",B150=""),"",B150-A150)</f>
        <v/>
      </c>
      <c r="F150" s="51" t="n"/>
    </row>
    <row r="151">
      <c r="A151" s="50" t="n"/>
      <c r="B151" s="50" t="n"/>
      <c r="C151" s="51" t="n"/>
      <c r="D151" s="51" t="n"/>
      <c r="E151">
        <f>IF(OR(A151="",B151=""),"",B151-A151)</f>
        <v/>
      </c>
      <c r="F151" s="51" t="n"/>
    </row>
    <row r="152">
      <c r="A152" s="50" t="n"/>
      <c r="B152" s="50" t="n"/>
      <c r="C152" s="51" t="n"/>
      <c r="D152" s="51" t="n"/>
      <c r="E152">
        <f>IF(OR(A152="",B152=""),"",B152-A152)</f>
        <v/>
      </c>
      <c r="F152" s="51" t="n"/>
    </row>
    <row r="153">
      <c r="A153" s="50" t="n"/>
      <c r="B153" s="50" t="n"/>
      <c r="C153" s="51" t="n"/>
      <c r="D153" s="51" t="n"/>
      <c r="E153">
        <f>IF(OR(A153="",B153=""),"",B153-A153)</f>
        <v/>
      </c>
      <c r="F153" s="51" t="n"/>
    </row>
    <row r="154">
      <c r="A154" s="50" t="n"/>
      <c r="B154" s="50" t="n"/>
      <c r="C154" s="51" t="n"/>
      <c r="D154" s="51" t="n"/>
      <c r="E154">
        <f>IF(OR(A154="",B154=""),"",B154-A154)</f>
        <v/>
      </c>
      <c r="F154" s="51" t="n"/>
    </row>
    <row r="155">
      <c r="A155" s="50" t="n"/>
      <c r="B155" s="50" t="n"/>
      <c r="C155" s="51" t="n"/>
      <c r="D155" s="51" t="n"/>
      <c r="E155">
        <f>IF(OR(A155="",B155=""),"",B155-A155)</f>
        <v/>
      </c>
      <c r="F155" s="51" t="n"/>
    </row>
    <row r="156">
      <c r="A156" s="50" t="n"/>
      <c r="B156" s="50" t="n"/>
      <c r="C156" s="51" t="n"/>
      <c r="D156" s="51" t="n"/>
      <c r="E156">
        <f>IF(OR(A156="",B156=""),"",B156-A156)</f>
        <v/>
      </c>
      <c r="F156" s="51" t="n"/>
    </row>
    <row r="157">
      <c r="A157" s="50" t="n"/>
      <c r="B157" s="50" t="n"/>
      <c r="C157" s="51" t="n"/>
      <c r="D157" s="51" t="n"/>
      <c r="E157">
        <f>IF(OR(A157="",B157=""),"",B157-A157)</f>
        <v/>
      </c>
      <c r="F157" s="51" t="n"/>
    </row>
    <row r="158">
      <c r="A158" s="50" t="n"/>
      <c r="B158" s="50" t="n"/>
      <c r="C158" s="51" t="n"/>
      <c r="D158" s="51" t="n"/>
      <c r="E158">
        <f>IF(OR(A158="",B158=""),"",B158-A158)</f>
        <v/>
      </c>
      <c r="F158" s="51" t="n"/>
    </row>
    <row r="159">
      <c r="A159" s="50" t="n"/>
      <c r="B159" s="50" t="n"/>
      <c r="C159" s="51" t="n"/>
      <c r="D159" s="51" t="n"/>
      <c r="E159">
        <f>IF(OR(A159="",B159=""),"",B159-A159)</f>
        <v/>
      </c>
      <c r="F159" s="51" t="n"/>
    </row>
    <row r="160">
      <c r="A160" s="50" t="n"/>
      <c r="B160" s="50" t="n"/>
      <c r="C160" s="51" t="n"/>
      <c r="D160" s="51" t="n"/>
      <c r="E160">
        <f>IF(OR(A160="",B160=""),"",B160-A160)</f>
        <v/>
      </c>
      <c r="F160" s="51" t="n"/>
    </row>
    <row r="161">
      <c r="A161" s="50" t="n"/>
      <c r="B161" s="50" t="n"/>
      <c r="C161" s="51" t="n"/>
      <c r="D161" s="51" t="n"/>
      <c r="E161">
        <f>IF(OR(A161="",B161=""),"",B161-A161)</f>
        <v/>
      </c>
      <c r="F161" s="51" t="n"/>
    </row>
    <row r="162">
      <c r="A162" s="50" t="n"/>
      <c r="B162" s="50" t="n"/>
      <c r="C162" s="51" t="n"/>
      <c r="D162" s="51" t="n"/>
      <c r="E162">
        <f>IF(OR(A162="",B162=""),"",B162-A162)</f>
        <v/>
      </c>
      <c r="F162" s="51" t="n"/>
    </row>
    <row r="163">
      <c r="A163" s="50" t="n"/>
      <c r="B163" s="50" t="n"/>
      <c r="C163" s="51" t="n"/>
      <c r="D163" s="51" t="n"/>
      <c r="E163">
        <f>IF(OR(A163="",B163=""),"",B163-A163)</f>
        <v/>
      </c>
      <c r="F163" s="51" t="n"/>
    </row>
    <row r="164">
      <c r="A164" s="50" t="n"/>
      <c r="B164" s="50" t="n"/>
      <c r="C164" s="51" t="n"/>
      <c r="D164" s="51" t="n"/>
      <c r="E164">
        <f>IF(OR(A164="",B164=""),"",B164-A164)</f>
        <v/>
      </c>
      <c r="F164" s="51" t="n"/>
    </row>
    <row r="165">
      <c r="A165" s="50" t="n"/>
      <c r="B165" s="50" t="n"/>
      <c r="C165" s="51" t="n"/>
      <c r="D165" s="51" t="n"/>
      <c r="E165">
        <f>IF(OR(A165="",B165=""),"",B165-A165)</f>
        <v/>
      </c>
      <c r="F165" s="51" t="n"/>
    </row>
    <row r="166">
      <c r="A166" s="50" t="n"/>
      <c r="B166" s="50" t="n"/>
      <c r="C166" s="51" t="n"/>
      <c r="D166" s="51" t="n"/>
      <c r="E166">
        <f>IF(OR(A166="",B166=""),"",B166-A166)</f>
        <v/>
      </c>
      <c r="F166" s="51" t="n"/>
    </row>
    <row r="167">
      <c r="A167" s="50" t="n"/>
      <c r="B167" s="50" t="n"/>
      <c r="C167" s="51" t="n"/>
      <c r="D167" s="51" t="n"/>
      <c r="E167">
        <f>IF(OR(A167="",B167=""),"",B167-A167)</f>
        <v/>
      </c>
      <c r="F167" s="51" t="n"/>
    </row>
    <row r="168">
      <c r="A168" s="50" t="n"/>
      <c r="B168" s="50" t="n"/>
      <c r="C168" s="51" t="n"/>
      <c r="D168" s="51" t="n"/>
      <c r="E168">
        <f>IF(OR(A168="",B168=""),"",B168-A168)</f>
        <v/>
      </c>
      <c r="F168" s="51" t="n"/>
    </row>
    <row r="169">
      <c r="A169" s="50" t="n"/>
      <c r="B169" s="50" t="n"/>
      <c r="C169" s="51" t="n"/>
      <c r="D169" s="51" t="n"/>
      <c r="E169">
        <f>IF(OR(A169="",B169=""),"",B169-A169)</f>
        <v/>
      </c>
      <c r="F169" s="51" t="n"/>
    </row>
    <row r="170">
      <c r="A170" s="50" t="n"/>
      <c r="B170" s="50" t="n"/>
      <c r="C170" s="51" t="n"/>
      <c r="D170" s="51" t="n"/>
      <c r="E170">
        <f>IF(OR(A170="",B170=""),"",B170-A170)</f>
        <v/>
      </c>
      <c r="F170" s="51" t="n"/>
    </row>
    <row r="171">
      <c r="A171" s="50" t="n"/>
      <c r="B171" s="50" t="n"/>
      <c r="C171" s="51" t="n"/>
      <c r="D171" s="51" t="n"/>
      <c r="E171">
        <f>IF(OR(A171="",B171=""),"",B171-A171)</f>
        <v/>
      </c>
      <c r="F171" s="51" t="n"/>
    </row>
    <row r="172">
      <c r="A172" s="50" t="n"/>
      <c r="B172" s="50" t="n"/>
      <c r="C172" s="51" t="n"/>
      <c r="D172" s="51" t="n"/>
      <c r="E172">
        <f>IF(OR(A172="",B172=""),"",B172-A172)</f>
        <v/>
      </c>
      <c r="F172" s="51" t="n"/>
    </row>
    <row r="173">
      <c r="A173" s="50" t="n"/>
      <c r="B173" s="50" t="n"/>
      <c r="C173" s="51" t="n"/>
      <c r="D173" s="51" t="n"/>
      <c r="E173">
        <f>IF(OR(A173="",B173=""),"",B173-A173)</f>
        <v/>
      </c>
      <c r="F173" s="51" t="n"/>
    </row>
    <row r="174">
      <c r="A174" s="50" t="n"/>
      <c r="B174" s="50" t="n"/>
      <c r="C174" s="51" t="n"/>
      <c r="D174" s="51" t="n"/>
      <c r="E174">
        <f>IF(OR(A174="",B174=""),"",B174-A174)</f>
        <v/>
      </c>
      <c r="F174" s="51" t="n"/>
    </row>
    <row r="175">
      <c r="A175" s="50" t="n"/>
      <c r="B175" s="50" t="n"/>
      <c r="C175" s="51" t="n"/>
      <c r="D175" s="51" t="n"/>
      <c r="E175">
        <f>IF(OR(A175="",B175=""),"",B175-A175)</f>
        <v/>
      </c>
      <c r="F175" s="51" t="n"/>
    </row>
    <row r="176">
      <c r="A176" s="50" t="n"/>
      <c r="B176" s="50" t="n"/>
      <c r="C176" s="51" t="n"/>
      <c r="D176" s="51" t="n"/>
      <c r="E176">
        <f>IF(OR(A176="",B176=""),"",B176-A176)</f>
        <v/>
      </c>
      <c r="F176" s="51" t="n"/>
    </row>
    <row r="177">
      <c r="A177" s="50" t="n"/>
      <c r="B177" s="50" t="n"/>
      <c r="C177" s="51" t="n"/>
      <c r="D177" s="51" t="n"/>
      <c r="E177">
        <f>IF(OR(A177="",B177=""),"",B177-A177)</f>
        <v/>
      </c>
      <c r="F177" s="51" t="n"/>
    </row>
    <row r="178">
      <c r="A178" s="50" t="n"/>
      <c r="B178" s="50" t="n"/>
      <c r="C178" s="51" t="n"/>
      <c r="D178" s="51" t="n"/>
      <c r="E178">
        <f>IF(OR(A178="",B178=""),"",B178-A178)</f>
        <v/>
      </c>
      <c r="F178" s="51" t="n"/>
    </row>
    <row r="179">
      <c r="A179" s="50" t="n"/>
      <c r="B179" s="50" t="n"/>
      <c r="C179" s="51" t="n"/>
      <c r="D179" s="51" t="n"/>
      <c r="E179">
        <f>IF(OR(A179="",B179=""),"",B179-A179)</f>
        <v/>
      </c>
      <c r="F179" s="51" t="n"/>
    </row>
    <row r="180">
      <c r="A180" s="50" t="n"/>
      <c r="B180" s="50" t="n"/>
      <c r="C180" s="51" t="n"/>
      <c r="D180" s="51" t="n"/>
      <c r="E180">
        <f>IF(OR(A180="",B180=""),"",B180-A180)</f>
        <v/>
      </c>
      <c r="F180" s="51" t="n"/>
    </row>
    <row r="181">
      <c r="A181" s="50" t="n"/>
      <c r="B181" s="50" t="n"/>
      <c r="C181" s="51" t="n"/>
      <c r="D181" s="51" t="n"/>
      <c r="E181">
        <f>IF(OR(A181="",B181=""),"",B181-A181)</f>
        <v/>
      </c>
      <c r="F181" s="51" t="n"/>
    </row>
    <row r="182">
      <c r="A182" s="50" t="n"/>
      <c r="B182" s="50" t="n"/>
      <c r="C182" s="51" t="n"/>
      <c r="D182" s="51" t="n"/>
      <c r="E182">
        <f>IF(OR(A182="",B182=""),"",B182-A182)</f>
        <v/>
      </c>
      <c r="F182" s="51" t="n"/>
    </row>
    <row r="183">
      <c r="A183" s="50" t="n"/>
      <c r="B183" s="50" t="n"/>
      <c r="C183" s="51" t="n"/>
      <c r="D183" s="51" t="n"/>
      <c r="E183">
        <f>IF(OR(A183="",B183=""),"",B183-A183)</f>
        <v/>
      </c>
      <c r="F183" s="51" t="n"/>
    </row>
    <row r="184">
      <c r="A184" s="50" t="n"/>
      <c r="B184" s="50" t="n"/>
      <c r="C184" s="51" t="n"/>
      <c r="D184" s="51" t="n"/>
      <c r="E184">
        <f>IF(OR(A184="",B184=""),"",B184-A184)</f>
        <v/>
      </c>
      <c r="F184" s="51" t="n"/>
    </row>
    <row r="185">
      <c r="A185" s="50" t="n"/>
      <c r="B185" s="50" t="n"/>
      <c r="C185" s="51" t="n"/>
      <c r="D185" s="51" t="n"/>
      <c r="E185">
        <f>IF(OR(A185="",B185=""),"",B185-A185)</f>
        <v/>
      </c>
      <c r="F185" s="51" t="n"/>
    </row>
    <row r="186">
      <c r="A186" s="50" t="n"/>
      <c r="B186" s="50" t="n"/>
      <c r="C186" s="51" t="n"/>
      <c r="D186" s="51" t="n"/>
      <c r="E186">
        <f>IF(OR(A186="",B186=""),"",B186-A186)</f>
        <v/>
      </c>
      <c r="F186" s="51" t="n"/>
    </row>
    <row r="187">
      <c r="A187" s="50" t="n"/>
      <c r="B187" s="50" t="n"/>
      <c r="C187" s="51" t="n"/>
      <c r="D187" s="51" t="n"/>
      <c r="E187">
        <f>IF(OR(A187="",B187=""),"",B187-A187)</f>
        <v/>
      </c>
      <c r="F187" s="51" t="n"/>
    </row>
    <row r="188">
      <c r="A188" s="50" t="n"/>
      <c r="B188" s="50" t="n"/>
      <c r="C188" s="51" t="n"/>
      <c r="D188" s="51" t="n"/>
      <c r="E188">
        <f>IF(OR(A188="",B188=""),"",B188-A188)</f>
        <v/>
      </c>
      <c r="F188" s="51" t="n"/>
    </row>
    <row r="189">
      <c r="A189" s="50" t="n"/>
      <c r="B189" s="50" t="n"/>
      <c r="C189" s="51" t="n"/>
      <c r="D189" s="51" t="n"/>
      <c r="E189">
        <f>IF(OR(A189="",B189=""),"",B189-A189)</f>
        <v/>
      </c>
      <c r="F189" s="51" t="n"/>
    </row>
    <row r="190">
      <c r="A190" s="50" t="n"/>
      <c r="B190" s="50" t="n"/>
      <c r="C190" s="51" t="n"/>
      <c r="D190" s="51" t="n"/>
      <c r="E190">
        <f>IF(OR(A190="",B190=""),"",B190-A190)</f>
        <v/>
      </c>
      <c r="F190" s="51" t="n"/>
    </row>
    <row r="191">
      <c r="A191" s="50" t="n"/>
      <c r="B191" s="50" t="n"/>
      <c r="C191" s="51" t="n"/>
      <c r="D191" s="51" t="n"/>
      <c r="E191">
        <f>IF(OR(A191="",B191=""),"",B191-A191)</f>
        <v/>
      </c>
      <c r="F191" s="51" t="n"/>
    </row>
    <row r="192">
      <c r="A192" s="50" t="n"/>
      <c r="B192" s="50" t="n"/>
      <c r="C192" s="51" t="n"/>
      <c r="D192" s="51" t="n"/>
      <c r="E192">
        <f>IF(OR(A192="",B192=""),"",B192-A192)</f>
        <v/>
      </c>
      <c r="F192" s="51" t="n"/>
    </row>
    <row r="193">
      <c r="A193" s="50" t="n"/>
      <c r="B193" s="50" t="n"/>
      <c r="C193" s="51" t="n"/>
      <c r="D193" s="51" t="n"/>
      <c r="E193">
        <f>IF(OR(A193="",B193=""),"",B193-A193)</f>
        <v/>
      </c>
      <c r="F193" s="51" t="n"/>
    </row>
    <row r="194">
      <c r="A194" s="50" t="n"/>
      <c r="B194" s="50" t="n"/>
      <c r="C194" s="51" t="n"/>
      <c r="D194" s="51" t="n"/>
      <c r="E194">
        <f>IF(OR(A194="",B194=""),"",B194-A194)</f>
        <v/>
      </c>
      <c r="F194" s="51" t="n"/>
    </row>
    <row r="195">
      <c r="A195" s="50" t="n"/>
      <c r="B195" s="50" t="n"/>
      <c r="C195" s="51" t="n"/>
      <c r="D195" s="51" t="n"/>
      <c r="E195">
        <f>IF(OR(A195="",B195=""),"",B195-A195)</f>
        <v/>
      </c>
      <c r="F195" s="51" t="n"/>
    </row>
    <row r="196">
      <c r="A196" s="50" t="n"/>
      <c r="B196" s="50" t="n"/>
      <c r="C196" s="51" t="n"/>
      <c r="D196" s="51" t="n"/>
      <c r="E196">
        <f>IF(OR(A196="",B196=""),"",B196-A196)</f>
        <v/>
      </c>
      <c r="F196" s="51" t="n"/>
    </row>
    <row r="197">
      <c r="A197" s="50" t="n"/>
      <c r="B197" s="50" t="n"/>
      <c r="C197" s="51" t="n"/>
      <c r="D197" s="51" t="n"/>
      <c r="E197">
        <f>IF(OR(A197="",B197=""),"",B197-A197)</f>
        <v/>
      </c>
      <c r="F197" s="51" t="n"/>
    </row>
    <row r="198">
      <c r="A198" s="50" t="n"/>
      <c r="B198" s="50" t="n"/>
      <c r="C198" s="51" t="n"/>
      <c r="D198" s="51" t="n"/>
      <c r="E198">
        <f>IF(OR(A198="",B198=""),"",B198-A198)</f>
        <v/>
      </c>
      <c r="F198" s="51" t="n"/>
    </row>
    <row r="199">
      <c r="A199" s="50" t="n"/>
      <c r="B199" s="50" t="n"/>
      <c r="C199" s="51" t="n"/>
      <c r="D199" s="51" t="n"/>
      <c r="E199">
        <f>IF(OR(A199="",B199=""),"",B199-A199)</f>
        <v/>
      </c>
      <c r="F199" s="51" t="n"/>
    </row>
    <row r="200">
      <c r="A200" s="50" t="n"/>
      <c r="B200" s="50" t="n"/>
      <c r="C200" s="51" t="n"/>
      <c r="D200" s="51" t="n"/>
      <c r="E200">
        <f>IF(OR(A200="",B200=""),"",B200-A200)</f>
        <v/>
      </c>
      <c r="F200" s="51" t="n"/>
    </row>
    <row r="201">
      <c r="A201" s="50" t="n"/>
      <c r="B201" s="50" t="n"/>
      <c r="C201" s="51" t="n"/>
      <c r="D201" s="51" t="n"/>
      <c r="E201">
        <f>IF(OR(A201="",B201=""),"",B201-A201)</f>
        <v/>
      </c>
      <c r="F201" s="51" t="n"/>
    </row>
    <row r="202">
      <c r="A202" s="50" t="n"/>
      <c r="B202" s="50" t="n"/>
      <c r="C202" s="51" t="n"/>
      <c r="D202" s="51" t="n"/>
      <c r="E202">
        <f>IF(OR(A202="",B202=""),"",B202-A202)</f>
        <v/>
      </c>
      <c r="F202" s="51" t="n"/>
    </row>
    <row r="203">
      <c r="A203" s="50" t="n"/>
      <c r="B203" s="50" t="n"/>
      <c r="C203" s="51" t="n"/>
      <c r="D203" s="51" t="n"/>
      <c r="E203">
        <f>IF(OR(A203="",B203=""),"",B203-A203)</f>
        <v/>
      </c>
      <c r="F203" s="51" t="n"/>
    </row>
    <row r="204">
      <c r="A204" s="50" t="n"/>
      <c r="B204" s="50" t="n"/>
      <c r="C204" s="51" t="n"/>
      <c r="D204" s="51" t="n"/>
      <c r="E204">
        <f>IF(OR(A204="",B204=""),"",B204-A204)</f>
        <v/>
      </c>
      <c r="F204" s="51" t="n"/>
    </row>
    <row r="205">
      <c r="A205" s="50" t="n"/>
      <c r="B205" s="50" t="n"/>
      <c r="C205" s="51" t="n"/>
      <c r="D205" s="51" t="n"/>
      <c r="E205">
        <f>IF(OR(A205="",B205=""),"",B205-A205)</f>
        <v/>
      </c>
      <c r="F205" s="51" t="n"/>
    </row>
    <row r="206">
      <c r="A206" s="50" t="n"/>
      <c r="B206" s="50" t="n"/>
      <c r="C206" s="51" t="n"/>
      <c r="D206" s="51" t="n"/>
      <c r="E206">
        <f>IF(OR(A206="",B206=""),"",B206-A206)</f>
        <v/>
      </c>
      <c r="F206" s="51" t="n"/>
    </row>
    <row r="207">
      <c r="A207" s="50" t="n"/>
      <c r="B207" s="50" t="n"/>
      <c r="C207" s="51" t="n"/>
      <c r="D207" s="51" t="n"/>
      <c r="E207">
        <f>IF(OR(A207="",B207=""),"",B207-A207)</f>
        <v/>
      </c>
      <c r="F207" s="51" t="n"/>
    </row>
    <row r="208">
      <c r="A208" s="50" t="n"/>
      <c r="B208" s="50" t="n"/>
      <c r="C208" s="51" t="n"/>
      <c r="D208" s="51" t="n"/>
      <c r="E208">
        <f>IF(OR(A208="",B208=""),"",B208-A208)</f>
        <v/>
      </c>
      <c r="F208" s="51" t="n"/>
    </row>
    <row r="209">
      <c r="A209" s="50" t="n"/>
      <c r="B209" s="50" t="n"/>
      <c r="C209" s="51" t="n"/>
      <c r="D209" s="51" t="n"/>
      <c r="E209">
        <f>IF(OR(A209="",B209=""),"",B209-A209)</f>
        <v/>
      </c>
      <c r="F209" s="51" t="n"/>
    </row>
    <row r="210">
      <c r="A210" s="50" t="n"/>
      <c r="B210" s="50" t="n"/>
      <c r="C210" s="51" t="n"/>
      <c r="D210" s="51" t="n"/>
      <c r="E210">
        <f>IF(OR(A210="",B210=""),"",B210-A210)</f>
        <v/>
      </c>
      <c r="F210" s="51" t="n"/>
    </row>
    <row r="211">
      <c r="A211" s="50" t="n"/>
      <c r="B211" s="50" t="n"/>
      <c r="C211" s="51" t="n"/>
      <c r="D211" s="51" t="n"/>
      <c r="E211">
        <f>IF(OR(A211="",B211=""),"",B211-A211)</f>
        <v/>
      </c>
      <c r="F211" s="51" t="n"/>
    </row>
    <row r="212">
      <c r="A212" s="50" t="n"/>
      <c r="B212" s="50" t="n"/>
      <c r="C212" s="51" t="n"/>
      <c r="D212" s="51" t="n"/>
      <c r="E212">
        <f>IF(OR(A212="",B212=""),"",B212-A212)</f>
        <v/>
      </c>
      <c r="F212" s="51" t="n"/>
    </row>
    <row r="213">
      <c r="A213" s="50" t="n"/>
      <c r="B213" s="50" t="n"/>
      <c r="C213" s="51" t="n"/>
      <c r="D213" s="51" t="n"/>
      <c r="E213">
        <f>IF(OR(A213="",B213=""),"",B213-A213)</f>
        <v/>
      </c>
      <c r="F213" s="51" t="n"/>
    </row>
    <row r="214">
      <c r="A214" s="50" t="n"/>
      <c r="B214" s="50" t="n"/>
      <c r="C214" s="51" t="n"/>
      <c r="D214" s="51" t="n"/>
      <c r="E214">
        <f>IF(OR(A214="",B214=""),"",B214-A214)</f>
        <v/>
      </c>
      <c r="F214" s="51" t="n"/>
    </row>
    <row r="215">
      <c r="A215" s="50" t="n"/>
      <c r="B215" s="50" t="n"/>
      <c r="C215" s="51" t="n"/>
      <c r="D215" s="51" t="n"/>
      <c r="E215">
        <f>IF(OR(A215="",B215=""),"",B215-A215)</f>
        <v/>
      </c>
      <c r="F215" s="51" t="n"/>
    </row>
    <row r="216">
      <c r="A216" s="50" t="n"/>
      <c r="B216" s="50" t="n"/>
      <c r="C216" s="51" t="n"/>
      <c r="D216" s="51" t="n"/>
      <c r="E216">
        <f>IF(OR(A216="",B216=""),"",B216-A216)</f>
        <v/>
      </c>
      <c r="F216" s="51" t="n"/>
    </row>
    <row r="217">
      <c r="A217" s="50" t="n"/>
      <c r="B217" s="50" t="n"/>
      <c r="C217" s="51" t="n"/>
      <c r="D217" s="51" t="n"/>
      <c r="E217">
        <f>IF(OR(A217="",B217=""),"",B217-A217)</f>
        <v/>
      </c>
      <c r="F217" s="51" t="n"/>
    </row>
    <row r="218">
      <c r="A218" s="50" t="n"/>
      <c r="B218" s="50" t="n"/>
      <c r="C218" s="51" t="n"/>
      <c r="D218" s="51" t="n"/>
      <c r="E218">
        <f>IF(OR(A218="",B218=""),"",B218-A218)</f>
        <v/>
      </c>
      <c r="F218" s="51" t="n"/>
    </row>
    <row r="219">
      <c r="A219" s="50" t="n"/>
      <c r="B219" s="50" t="n"/>
      <c r="C219" s="51" t="n"/>
      <c r="D219" s="51" t="n"/>
      <c r="E219">
        <f>IF(OR(A219="",B219=""),"",B219-A219)</f>
        <v/>
      </c>
      <c r="F219" s="51" t="n"/>
    </row>
    <row r="220">
      <c r="A220" s="50" t="n"/>
      <c r="B220" s="50" t="n"/>
      <c r="C220" s="51" t="n"/>
      <c r="D220" s="51" t="n"/>
      <c r="E220">
        <f>IF(OR(A220="",B220=""),"",B220-A220)</f>
        <v/>
      </c>
      <c r="F220" s="51" t="n"/>
    </row>
    <row r="221">
      <c r="A221" s="50" t="n"/>
      <c r="B221" s="50" t="n"/>
      <c r="C221" s="51" t="n"/>
      <c r="D221" s="51" t="n"/>
      <c r="E221">
        <f>IF(OR(A221="",B221=""),"",B221-A221)</f>
        <v/>
      </c>
      <c r="F221" s="51" t="n"/>
    </row>
    <row r="222">
      <c r="A222" s="50" t="n"/>
      <c r="B222" s="50" t="n"/>
      <c r="C222" s="51" t="n"/>
      <c r="D222" s="51" t="n"/>
      <c r="E222">
        <f>IF(OR(A222="",B222=""),"",B222-A222)</f>
        <v/>
      </c>
      <c r="F222" s="51" t="n"/>
    </row>
    <row r="223">
      <c r="A223" s="50" t="n"/>
      <c r="B223" s="50" t="n"/>
      <c r="C223" s="51" t="n"/>
      <c r="D223" s="51" t="n"/>
      <c r="E223">
        <f>IF(OR(A223="",B223=""),"",B223-A223)</f>
        <v/>
      </c>
      <c r="F223" s="51" t="n"/>
    </row>
    <row r="224">
      <c r="A224" s="50" t="n"/>
      <c r="B224" s="50" t="n"/>
      <c r="C224" s="51" t="n"/>
      <c r="D224" s="51" t="n"/>
      <c r="E224">
        <f>IF(OR(A224="",B224=""),"",B224-A224)</f>
        <v/>
      </c>
      <c r="F224" s="51" t="n"/>
    </row>
    <row r="225">
      <c r="A225" s="50" t="n"/>
      <c r="B225" s="50" t="n"/>
      <c r="C225" s="51" t="n"/>
      <c r="D225" s="51" t="n"/>
      <c r="E225">
        <f>IF(OR(A225="",B225=""),"",B225-A225)</f>
        <v/>
      </c>
      <c r="F225" s="51" t="n"/>
    </row>
    <row r="226">
      <c r="A226" s="50" t="n"/>
      <c r="B226" s="50" t="n"/>
      <c r="C226" s="51" t="n"/>
      <c r="D226" s="51" t="n"/>
      <c r="E226">
        <f>IF(OR(A226="",B226=""),"",B226-A226)</f>
        <v/>
      </c>
      <c r="F226" s="51" t="n"/>
    </row>
    <row r="227">
      <c r="A227" s="50" t="n"/>
      <c r="B227" s="50" t="n"/>
      <c r="C227" s="51" t="n"/>
      <c r="D227" s="51" t="n"/>
      <c r="E227">
        <f>IF(OR(A227="",B227=""),"",B227-A227)</f>
        <v/>
      </c>
      <c r="F227" s="51" t="n"/>
    </row>
    <row r="228">
      <c r="A228" s="50" t="n"/>
      <c r="B228" s="50" t="n"/>
      <c r="C228" s="51" t="n"/>
      <c r="D228" s="51" t="n"/>
      <c r="E228">
        <f>IF(OR(A228="",B228=""),"",B228-A228)</f>
        <v/>
      </c>
      <c r="F228" s="51" t="n"/>
    </row>
    <row r="229">
      <c r="A229" s="50" t="n"/>
      <c r="B229" s="50" t="n"/>
      <c r="C229" s="51" t="n"/>
      <c r="D229" s="51" t="n"/>
      <c r="E229">
        <f>IF(OR(A229="",B229=""),"",B229-A229)</f>
        <v/>
      </c>
      <c r="F229" s="51" t="n"/>
    </row>
    <row r="230">
      <c r="A230" s="50" t="n"/>
      <c r="B230" s="50" t="n"/>
      <c r="C230" s="51" t="n"/>
      <c r="D230" s="51" t="n"/>
      <c r="E230">
        <f>IF(OR(A230="",B230=""),"",B230-A230)</f>
        <v/>
      </c>
      <c r="F230" s="51" t="n"/>
    </row>
    <row r="231">
      <c r="A231" s="50" t="n"/>
      <c r="B231" s="50" t="n"/>
      <c r="C231" s="51" t="n"/>
      <c r="D231" s="51" t="n"/>
      <c r="E231">
        <f>IF(OR(A231="",B231=""),"",B231-A231)</f>
        <v/>
      </c>
      <c r="F231" s="51" t="n"/>
    </row>
    <row r="232">
      <c r="A232" s="50" t="n"/>
      <c r="B232" s="50" t="n"/>
      <c r="C232" s="51" t="n"/>
      <c r="D232" s="51" t="n"/>
      <c r="E232">
        <f>IF(OR(A232="",B232=""),"",B232-A232)</f>
        <v/>
      </c>
      <c r="F232" s="51" t="n"/>
    </row>
    <row r="233">
      <c r="A233" s="50" t="n"/>
      <c r="B233" s="50" t="n"/>
      <c r="C233" s="51" t="n"/>
      <c r="D233" s="51" t="n"/>
      <c r="E233">
        <f>IF(OR(A233="",B233=""),"",B233-A233)</f>
        <v/>
      </c>
      <c r="F233" s="51" t="n"/>
    </row>
    <row r="234">
      <c r="A234" s="50" t="n"/>
      <c r="B234" s="50" t="n"/>
      <c r="C234" s="51" t="n"/>
      <c r="D234" s="51" t="n"/>
      <c r="E234">
        <f>IF(OR(A234="",B234=""),"",B234-A234)</f>
        <v/>
      </c>
      <c r="F234" s="51" t="n"/>
    </row>
    <row r="235">
      <c r="A235" s="50" t="n"/>
      <c r="B235" s="50" t="n"/>
      <c r="C235" s="51" t="n"/>
      <c r="D235" s="51" t="n"/>
      <c r="E235">
        <f>IF(OR(A235="",B235=""),"",B235-A235)</f>
        <v/>
      </c>
      <c r="F235" s="51" t="n"/>
    </row>
    <row r="236">
      <c r="A236" s="50" t="n"/>
      <c r="B236" s="50" t="n"/>
      <c r="C236" s="51" t="n"/>
      <c r="D236" s="51" t="n"/>
      <c r="E236">
        <f>IF(OR(A236="",B236=""),"",B236-A236)</f>
        <v/>
      </c>
      <c r="F236" s="51" t="n"/>
    </row>
    <row r="237">
      <c r="A237" s="50" t="n"/>
      <c r="B237" s="50" t="n"/>
      <c r="C237" s="51" t="n"/>
      <c r="D237" s="51" t="n"/>
      <c r="E237">
        <f>IF(OR(A237="",B237=""),"",B237-A237)</f>
        <v/>
      </c>
      <c r="F237" s="51" t="n"/>
    </row>
    <row r="238">
      <c r="A238" s="50" t="n"/>
      <c r="B238" s="50" t="n"/>
      <c r="C238" s="51" t="n"/>
      <c r="D238" s="51" t="n"/>
      <c r="E238">
        <f>IF(OR(A238="",B238=""),"",B238-A238)</f>
        <v/>
      </c>
      <c r="F238" s="51" t="n"/>
    </row>
    <row r="239">
      <c r="A239" s="50" t="n"/>
      <c r="B239" s="50" t="n"/>
      <c r="C239" s="51" t="n"/>
      <c r="D239" s="51" t="n"/>
      <c r="E239">
        <f>IF(OR(A239="",B239=""),"",B239-A239)</f>
        <v/>
      </c>
      <c r="F239" s="51" t="n"/>
    </row>
    <row r="240">
      <c r="A240" s="50" t="n"/>
      <c r="B240" s="50" t="n"/>
      <c r="C240" s="51" t="n"/>
      <c r="D240" s="51" t="n"/>
      <c r="E240">
        <f>IF(OR(A240="",B240=""),"",B240-A240)</f>
        <v/>
      </c>
      <c r="F240" s="51" t="n"/>
    </row>
    <row r="241">
      <c r="A241" s="50" t="n"/>
      <c r="B241" s="50" t="n"/>
      <c r="C241" s="51" t="n"/>
      <c r="D241" s="51" t="n"/>
      <c r="E241">
        <f>IF(OR(A241="",B241=""),"",B241-A241)</f>
        <v/>
      </c>
      <c r="F241" s="51" t="n"/>
    </row>
    <row r="242">
      <c r="A242" s="50" t="n"/>
      <c r="B242" s="50" t="n"/>
      <c r="C242" s="51" t="n"/>
      <c r="D242" s="51" t="n"/>
      <c r="E242">
        <f>IF(OR(A242="",B242=""),"",B242-A242)</f>
        <v/>
      </c>
      <c r="F242" s="51" t="n"/>
    </row>
    <row r="243">
      <c r="A243" s="50" t="n"/>
      <c r="B243" s="50" t="n"/>
      <c r="C243" s="51" t="n"/>
      <c r="D243" s="51" t="n"/>
      <c r="E243">
        <f>IF(OR(A243="",B243=""),"",B243-A243)</f>
        <v/>
      </c>
      <c r="F243" s="51" t="n"/>
    </row>
    <row r="244">
      <c r="A244" s="50" t="n"/>
      <c r="B244" s="50" t="n"/>
      <c r="C244" s="51" t="n"/>
      <c r="D244" s="51" t="n"/>
      <c r="E244">
        <f>IF(OR(A244="",B244=""),"",B244-A244)</f>
        <v/>
      </c>
      <c r="F244" s="51" t="n"/>
    </row>
    <row r="245">
      <c r="A245" s="50" t="n"/>
      <c r="B245" s="50" t="n"/>
      <c r="C245" s="51" t="n"/>
      <c r="D245" s="51" t="n"/>
      <c r="E245">
        <f>IF(OR(A245="",B245=""),"",B245-A245)</f>
        <v/>
      </c>
      <c r="F245" s="51" t="n"/>
    </row>
    <row r="246">
      <c r="A246" s="50" t="n"/>
      <c r="B246" s="50" t="n"/>
      <c r="C246" s="51" t="n"/>
      <c r="D246" s="51" t="n"/>
      <c r="E246">
        <f>IF(OR(A246="",B246=""),"",B246-A246)</f>
        <v/>
      </c>
      <c r="F246" s="51" t="n"/>
    </row>
    <row r="247">
      <c r="A247" s="50" t="n"/>
      <c r="B247" s="50" t="n"/>
      <c r="C247" s="51" t="n"/>
      <c r="D247" s="51" t="n"/>
      <c r="E247">
        <f>IF(OR(A247="",B247=""),"",B247-A247)</f>
        <v/>
      </c>
      <c r="F247" s="51" t="n"/>
    </row>
    <row r="248">
      <c r="A248" s="50" t="n"/>
      <c r="B248" s="50" t="n"/>
      <c r="C248" s="51" t="n"/>
      <c r="D248" s="51" t="n"/>
      <c r="E248">
        <f>IF(OR(A248="",B248=""),"",B248-A248)</f>
        <v/>
      </c>
      <c r="F248" s="51" t="n"/>
    </row>
    <row r="249">
      <c r="A249" s="50" t="n"/>
      <c r="B249" s="50" t="n"/>
      <c r="C249" s="51" t="n"/>
      <c r="D249" s="51" t="n"/>
      <c r="E249">
        <f>IF(OR(A249="",B249=""),"",B249-A249)</f>
        <v/>
      </c>
      <c r="F249" s="51" t="n"/>
    </row>
    <row r="250">
      <c r="A250" s="50" t="n"/>
      <c r="B250" s="50" t="n"/>
      <c r="C250" s="51" t="n"/>
      <c r="D250" s="51" t="n"/>
      <c r="E250">
        <f>IF(OR(A250="",B250=""),"",B250-A250)</f>
        <v/>
      </c>
      <c r="F250" s="51" t="n"/>
    </row>
    <row r="251">
      <c r="A251" s="50" t="n"/>
      <c r="B251" s="50" t="n"/>
      <c r="C251" s="51" t="n"/>
      <c r="D251" s="51" t="n"/>
      <c r="E251">
        <f>IF(OR(A251="",B251=""),"",B251-A251)</f>
        <v/>
      </c>
      <c r="F251" s="51" t="n"/>
    </row>
    <row r="252">
      <c r="A252" s="50" t="n"/>
      <c r="B252" s="50" t="n"/>
      <c r="C252" s="51" t="n"/>
      <c r="D252" s="51" t="n"/>
      <c r="E252">
        <f>IF(OR(A252="",B252=""),"",B252-A252)</f>
        <v/>
      </c>
      <c r="F252" s="51" t="n"/>
    </row>
    <row r="253">
      <c r="A253" s="50" t="n"/>
      <c r="B253" s="50" t="n"/>
      <c r="C253" s="51" t="n"/>
      <c r="D253" s="51" t="n"/>
      <c r="E253">
        <f>IF(OR(A253="",B253=""),"",B253-A253)</f>
        <v/>
      </c>
      <c r="F253" s="51" t="n"/>
    </row>
    <row r="254">
      <c r="A254" s="50" t="n"/>
      <c r="B254" s="50" t="n"/>
      <c r="C254" s="51" t="n"/>
      <c r="D254" s="51" t="n"/>
      <c r="E254">
        <f>IF(OR(A254="",B254=""),"",B254-A254)</f>
        <v/>
      </c>
      <c r="F254" s="51" t="n"/>
    </row>
    <row r="255">
      <c r="A255" s="50" t="n"/>
      <c r="B255" s="50" t="n"/>
      <c r="C255" s="51" t="n"/>
      <c r="D255" s="51" t="n"/>
      <c r="E255">
        <f>IF(OR(A255="",B255=""),"",B255-A255)</f>
        <v/>
      </c>
      <c r="F255" s="51" t="n"/>
    </row>
    <row r="256">
      <c r="A256" s="50" t="n"/>
      <c r="B256" s="50" t="n"/>
      <c r="C256" s="51" t="n"/>
      <c r="D256" s="51" t="n"/>
      <c r="E256">
        <f>IF(OR(A256="",B256=""),"",B256-A256)</f>
        <v/>
      </c>
      <c r="F256" s="51" t="n"/>
    </row>
    <row r="257">
      <c r="A257" s="50" t="n"/>
      <c r="B257" s="50" t="n"/>
      <c r="C257" s="51" t="n"/>
      <c r="D257" s="51" t="n"/>
      <c r="E257">
        <f>IF(OR(A257="",B257=""),"",B257-A257)</f>
        <v/>
      </c>
      <c r="F257" s="51" t="n"/>
    </row>
    <row r="258">
      <c r="A258" s="50" t="n"/>
      <c r="B258" s="50" t="n"/>
      <c r="C258" s="51" t="n"/>
      <c r="D258" s="51" t="n"/>
      <c r="E258">
        <f>IF(OR(A258="",B258=""),"",B258-A258)</f>
        <v/>
      </c>
      <c r="F258" s="51" t="n"/>
    </row>
    <row r="259">
      <c r="A259" s="50" t="n"/>
      <c r="B259" s="50" t="n"/>
      <c r="C259" s="51" t="n"/>
      <c r="D259" s="51" t="n"/>
      <c r="E259">
        <f>IF(OR(A259="",B259=""),"",B259-A259)</f>
        <v/>
      </c>
      <c r="F259" s="51" t="n"/>
    </row>
    <row r="260">
      <c r="A260" s="50" t="n"/>
      <c r="B260" s="50" t="n"/>
      <c r="C260" s="51" t="n"/>
      <c r="D260" s="51" t="n"/>
      <c r="E260">
        <f>IF(OR(A260="",B260=""),"",B260-A260)</f>
        <v/>
      </c>
      <c r="F260" s="51" t="n"/>
    </row>
    <row r="261">
      <c r="A261" s="50" t="n"/>
      <c r="B261" s="50" t="n"/>
      <c r="C261" s="51" t="n"/>
      <c r="D261" s="51" t="n"/>
      <c r="E261">
        <f>IF(OR(A261="",B261=""),"",B261-A261)</f>
        <v/>
      </c>
      <c r="F261" s="51" t="n"/>
    </row>
    <row r="262">
      <c r="A262" s="50" t="n"/>
      <c r="B262" s="50" t="n"/>
      <c r="C262" s="51" t="n"/>
      <c r="D262" s="51" t="n"/>
      <c r="E262">
        <f>IF(OR(A262="",B262=""),"",B262-A262)</f>
        <v/>
      </c>
      <c r="F262" s="51" t="n"/>
    </row>
    <row r="263">
      <c r="A263" s="50" t="n"/>
      <c r="B263" s="50" t="n"/>
      <c r="C263" s="51" t="n"/>
      <c r="D263" s="51" t="n"/>
      <c r="E263">
        <f>IF(OR(A263="",B263=""),"",B263-A263)</f>
        <v/>
      </c>
      <c r="F263" s="51" t="n"/>
    </row>
    <row r="264">
      <c r="A264" s="50" t="n"/>
      <c r="B264" s="50" t="n"/>
      <c r="C264" s="51" t="n"/>
      <c r="D264" s="51" t="n"/>
      <c r="E264">
        <f>IF(OR(A264="",B264=""),"",B264-A264)</f>
        <v/>
      </c>
      <c r="F264" s="51" t="n"/>
    </row>
    <row r="265">
      <c r="A265" s="50" t="n"/>
      <c r="B265" s="50" t="n"/>
      <c r="C265" s="51" t="n"/>
      <c r="D265" s="51" t="n"/>
      <c r="E265">
        <f>IF(OR(A265="",B265=""),"",B265-A265)</f>
        <v/>
      </c>
      <c r="F265" s="51" t="n"/>
    </row>
    <row r="266">
      <c r="A266" s="50" t="n"/>
      <c r="B266" s="50" t="n"/>
      <c r="C266" s="51" t="n"/>
      <c r="D266" s="51" t="n"/>
      <c r="E266">
        <f>IF(OR(A266="",B266=""),"",B266-A266)</f>
        <v/>
      </c>
      <c r="F266" s="51" t="n"/>
    </row>
    <row r="267">
      <c r="A267" s="50" t="n"/>
      <c r="B267" s="50" t="n"/>
      <c r="C267" s="51" t="n"/>
      <c r="D267" s="51" t="n"/>
      <c r="E267">
        <f>IF(OR(A267="",B267=""),"",B267-A267)</f>
        <v/>
      </c>
      <c r="F267" s="51" t="n"/>
    </row>
    <row r="268">
      <c r="A268" s="50" t="n"/>
      <c r="B268" s="50" t="n"/>
      <c r="C268" s="51" t="n"/>
      <c r="D268" s="51" t="n"/>
      <c r="E268">
        <f>IF(OR(A268="",B268=""),"",B268-A268)</f>
        <v/>
      </c>
      <c r="F268" s="51" t="n"/>
    </row>
    <row r="269">
      <c r="A269" s="50" t="n"/>
      <c r="B269" s="50" t="n"/>
      <c r="C269" s="51" t="n"/>
      <c r="D269" s="51" t="n"/>
      <c r="E269">
        <f>IF(OR(A269="",B269=""),"",B269-A269)</f>
        <v/>
      </c>
      <c r="F269" s="51" t="n"/>
    </row>
    <row r="270">
      <c r="A270" s="50" t="n"/>
      <c r="B270" s="50" t="n"/>
      <c r="C270" s="51" t="n"/>
      <c r="D270" s="51" t="n"/>
      <c r="E270">
        <f>IF(OR(A270="",B270=""),"",B270-A270)</f>
        <v/>
      </c>
      <c r="F270" s="51" t="n"/>
    </row>
    <row r="271">
      <c r="A271" s="50" t="n"/>
      <c r="B271" s="50" t="n"/>
      <c r="C271" s="51" t="n"/>
      <c r="D271" s="51" t="n"/>
      <c r="E271">
        <f>IF(OR(A271="",B271=""),"",B271-A271)</f>
        <v/>
      </c>
      <c r="F271" s="51" t="n"/>
    </row>
    <row r="272">
      <c r="A272" s="50" t="n"/>
      <c r="B272" s="50" t="n"/>
      <c r="C272" s="51" t="n"/>
      <c r="D272" s="51" t="n"/>
      <c r="E272">
        <f>IF(OR(A272="",B272=""),"",B272-A272)</f>
        <v/>
      </c>
      <c r="F272" s="51" t="n"/>
    </row>
    <row r="273">
      <c r="A273" s="50" t="n"/>
      <c r="B273" s="50" t="n"/>
      <c r="C273" s="51" t="n"/>
      <c r="D273" s="51" t="n"/>
      <c r="E273">
        <f>IF(OR(A273="",B273=""),"",B273-A273)</f>
        <v/>
      </c>
      <c r="F273" s="51" t="n"/>
    </row>
    <row r="274">
      <c r="A274" s="50" t="n"/>
      <c r="B274" s="50" t="n"/>
      <c r="C274" s="51" t="n"/>
      <c r="D274" s="51" t="n"/>
      <c r="E274">
        <f>IF(OR(A274="",B274=""),"",B274-A274)</f>
        <v/>
      </c>
      <c r="F274" s="51" t="n"/>
    </row>
    <row r="275">
      <c r="A275" s="50" t="n"/>
      <c r="B275" s="50" t="n"/>
      <c r="C275" s="51" t="n"/>
      <c r="D275" s="51" t="n"/>
      <c r="E275">
        <f>IF(OR(A275="",B275=""),"",B275-A275)</f>
        <v/>
      </c>
      <c r="F275" s="51" t="n"/>
    </row>
    <row r="276">
      <c r="A276" s="50" t="n"/>
      <c r="B276" s="50" t="n"/>
      <c r="C276" s="51" t="n"/>
      <c r="D276" s="51" t="n"/>
      <c r="E276">
        <f>IF(OR(A276="",B276=""),"",B276-A276)</f>
        <v/>
      </c>
      <c r="F276" s="51" t="n"/>
    </row>
    <row r="277">
      <c r="A277" s="50" t="n"/>
      <c r="B277" s="50" t="n"/>
      <c r="C277" s="51" t="n"/>
      <c r="D277" s="51" t="n"/>
      <c r="E277">
        <f>IF(OR(A277="",B277=""),"",B277-A277)</f>
        <v/>
      </c>
      <c r="F277" s="51" t="n"/>
    </row>
    <row r="278">
      <c r="A278" s="50" t="n"/>
      <c r="B278" s="50" t="n"/>
      <c r="C278" s="51" t="n"/>
      <c r="D278" s="51" t="n"/>
      <c r="E278">
        <f>IF(OR(A278="",B278=""),"",B278-A278)</f>
        <v/>
      </c>
      <c r="F278" s="51" t="n"/>
    </row>
    <row r="279">
      <c r="A279" s="50" t="n"/>
      <c r="B279" s="50" t="n"/>
      <c r="C279" s="51" t="n"/>
      <c r="D279" s="51" t="n"/>
      <c r="E279">
        <f>IF(OR(A279="",B279=""),"",B279-A279)</f>
        <v/>
      </c>
      <c r="F279" s="51" t="n"/>
    </row>
    <row r="280">
      <c r="A280" s="50" t="n"/>
      <c r="B280" s="50" t="n"/>
      <c r="C280" s="51" t="n"/>
      <c r="D280" s="51" t="n"/>
      <c r="E280">
        <f>IF(OR(A280="",B280=""),"",B280-A280)</f>
        <v/>
      </c>
      <c r="F280" s="51" t="n"/>
    </row>
    <row r="281">
      <c r="A281" s="50" t="n"/>
      <c r="B281" s="50" t="n"/>
      <c r="C281" s="51" t="n"/>
      <c r="D281" s="51" t="n"/>
      <c r="E281">
        <f>IF(OR(A281="",B281=""),"",B281-A281)</f>
        <v/>
      </c>
      <c r="F281" s="51" t="n"/>
    </row>
    <row r="282">
      <c r="A282" s="50" t="n"/>
      <c r="B282" s="50" t="n"/>
      <c r="C282" s="51" t="n"/>
      <c r="D282" s="51" t="n"/>
      <c r="E282">
        <f>IF(OR(A282="",B282=""),"",B282-A282)</f>
        <v/>
      </c>
      <c r="F282" s="51" t="n"/>
    </row>
    <row r="283">
      <c r="A283" s="50" t="n"/>
      <c r="B283" s="50" t="n"/>
      <c r="C283" s="51" t="n"/>
      <c r="D283" s="51" t="n"/>
      <c r="E283">
        <f>IF(OR(A283="",B283=""),"",B283-A283)</f>
        <v/>
      </c>
      <c r="F283" s="51" t="n"/>
    </row>
    <row r="284">
      <c r="A284" s="50" t="n"/>
      <c r="B284" s="50" t="n"/>
      <c r="C284" s="51" t="n"/>
      <c r="D284" s="51" t="n"/>
      <c r="E284">
        <f>IF(OR(A284="",B284=""),"",B284-A284)</f>
        <v/>
      </c>
      <c r="F284" s="51" t="n"/>
    </row>
    <row r="285">
      <c r="A285" s="50" t="n"/>
      <c r="B285" s="50" t="n"/>
      <c r="C285" s="51" t="n"/>
      <c r="D285" s="51" t="n"/>
      <c r="E285">
        <f>IF(OR(A285="",B285=""),"",B285-A285)</f>
        <v/>
      </c>
      <c r="F285" s="51" t="n"/>
    </row>
    <row r="286">
      <c r="A286" s="50" t="n"/>
      <c r="B286" s="50" t="n"/>
      <c r="C286" s="51" t="n"/>
      <c r="D286" s="51" t="n"/>
      <c r="E286">
        <f>IF(OR(A286="",B286=""),"",B286-A286)</f>
        <v/>
      </c>
      <c r="F286" s="51" t="n"/>
    </row>
    <row r="287">
      <c r="A287" s="50" t="n"/>
      <c r="B287" s="50" t="n"/>
      <c r="C287" s="51" t="n"/>
      <c r="D287" s="51" t="n"/>
      <c r="E287">
        <f>IF(OR(A287="",B287=""),"",B287-A287)</f>
        <v/>
      </c>
      <c r="F287" s="51" t="n"/>
    </row>
    <row r="288">
      <c r="A288" s="50" t="n"/>
      <c r="B288" s="50" t="n"/>
      <c r="C288" s="51" t="n"/>
      <c r="D288" s="51" t="n"/>
      <c r="E288">
        <f>IF(OR(A288="",B288=""),"",B288-A288)</f>
        <v/>
      </c>
      <c r="F288" s="51" t="n"/>
    </row>
    <row r="289">
      <c r="A289" s="50" t="n"/>
      <c r="B289" s="50" t="n"/>
      <c r="C289" s="51" t="n"/>
      <c r="D289" s="51" t="n"/>
      <c r="E289">
        <f>IF(OR(A289="",B289=""),"",B289-A289)</f>
        <v/>
      </c>
      <c r="F289" s="51" t="n"/>
    </row>
    <row r="290">
      <c r="A290" s="50" t="n"/>
      <c r="B290" s="50" t="n"/>
      <c r="C290" s="51" t="n"/>
      <c r="D290" s="51" t="n"/>
      <c r="E290">
        <f>IF(OR(A290="",B290=""),"",B290-A290)</f>
        <v/>
      </c>
      <c r="F290" s="51" t="n"/>
    </row>
    <row r="291">
      <c r="A291" s="50" t="n"/>
      <c r="B291" s="50" t="n"/>
      <c r="C291" s="51" t="n"/>
      <c r="D291" s="51" t="n"/>
      <c r="E291">
        <f>IF(OR(A291="",B291=""),"",B291-A291)</f>
        <v/>
      </c>
      <c r="F291" s="51" t="n"/>
    </row>
    <row r="292">
      <c r="A292" s="50" t="n"/>
      <c r="B292" s="50" t="n"/>
      <c r="C292" s="51" t="n"/>
      <c r="D292" s="51" t="n"/>
      <c r="E292">
        <f>IF(OR(A292="",B292=""),"",B292-A292)</f>
        <v/>
      </c>
      <c r="F292" s="51" t="n"/>
    </row>
    <row r="293">
      <c r="A293" s="50" t="n"/>
      <c r="B293" s="50" t="n"/>
      <c r="C293" s="51" t="n"/>
      <c r="D293" s="51" t="n"/>
      <c r="E293">
        <f>IF(OR(A293="",B293=""),"",B293-A293)</f>
        <v/>
      </c>
      <c r="F293" s="51" t="n"/>
    </row>
    <row r="294">
      <c r="A294" s="50" t="n"/>
      <c r="B294" s="50" t="n"/>
      <c r="C294" s="51" t="n"/>
      <c r="D294" s="51" t="n"/>
      <c r="E294">
        <f>IF(OR(A294="",B294=""),"",B294-A294)</f>
        <v/>
      </c>
      <c r="F294" s="51" t="n"/>
    </row>
    <row r="295">
      <c r="A295" s="50" t="n"/>
      <c r="B295" s="50" t="n"/>
      <c r="C295" s="51" t="n"/>
      <c r="D295" s="51" t="n"/>
      <c r="E295">
        <f>IF(OR(A295="",B295=""),"",B295-A295)</f>
        <v/>
      </c>
      <c r="F295" s="51" t="n"/>
    </row>
    <row r="296">
      <c r="A296" s="50" t="n"/>
      <c r="B296" s="50" t="n"/>
      <c r="C296" s="51" t="n"/>
      <c r="D296" s="51" t="n"/>
      <c r="E296">
        <f>IF(OR(A296="",B296=""),"",B296-A296)</f>
        <v/>
      </c>
      <c r="F296" s="51" t="n"/>
    </row>
    <row r="297">
      <c r="A297" s="50" t="n"/>
      <c r="B297" s="50" t="n"/>
      <c r="C297" s="51" t="n"/>
      <c r="D297" s="51" t="n"/>
      <c r="E297">
        <f>IF(OR(A297="",B297=""),"",B297-A297)</f>
        <v/>
      </c>
      <c r="F297" s="51" t="n"/>
    </row>
    <row r="298">
      <c r="A298" s="50" t="n"/>
      <c r="B298" s="50" t="n"/>
      <c r="C298" s="51" t="n"/>
      <c r="D298" s="51" t="n"/>
      <c r="E298">
        <f>IF(OR(A298="",B298=""),"",B298-A298)</f>
        <v/>
      </c>
      <c r="F298" s="51" t="n"/>
    </row>
    <row r="299">
      <c r="A299" s="50" t="n"/>
      <c r="B299" s="50" t="n"/>
      <c r="C299" s="51" t="n"/>
      <c r="D299" s="51" t="n"/>
      <c r="E299">
        <f>IF(OR(A299="",B299=""),"",B299-A299)</f>
        <v/>
      </c>
      <c r="F299" s="51" t="n"/>
    </row>
    <row r="300">
      <c r="A300" s="50" t="n"/>
      <c r="B300" s="50" t="n"/>
      <c r="C300" s="51" t="n"/>
      <c r="D300" s="51" t="n"/>
      <c r="E300">
        <f>IF(OR(A300="",B300=""),"",B300-A300)</f>
        <v/>
      </c>
      <c r="F300" s="51" t="n"/>
    </row>
    <row r="301">
      <c r="A301" s="50" t="n"/>
      <c r="B301" s="50" t="n"/>
      <c r="C301" s="51" t="n"/>
      <c r="D301" s="51" t="n"/>
      <c r="E301">
        <f>IF(OR(A301="",B301=""),"",B301-A301)</f>
        <v/>
      </c>
      <c r="F301" s="51" t="n"/>
    </row>
    <row r="302">
      <c r="A302" s="50" t="n"/>
      <c r="B302" s="50" t="n"/>
      <c r="C302" s="51" t="n"/>
      <c r="D302" s="51" t="n"/>
      <c r="E302">
        <f>IF(OR(A302="",B302=""),"",B302-A302)</f>
        <v/>
      </c>
      <c r="F302" s="51" t="n"/>
    </row>
    <row r="303">
      <c r="A303" s="50" t="n"/>
      <c r="B303" s="50" t="n"/>
      <c r="C303" s="51" t="n"/>
      <c r="D303" s="51" t="n"/>
      <c r="E303">
        <f>IF(OR(A303="",B303=""),"",B303-A303)</f>
        <v/>
      </c>
      <c r="F303" s="51" t="n"/>
    </row>
    <row r="304">
      <c r="A304" s="50" t="n"/>
      <c r="B304" s="50" t="n"/>
      <c r="C304" s="51" t="n"/>
      <c r="D304" s="51" t="n"/>
      <c r="E304">
        <f>IF(OR(A304="",B304=""),"",B304-A304)</f>
        <v/>
      </c>
      <c r="F304" s="51" t="n"/>
    </row>
    <row r="305">
      <c r="A305" s="50" t="n"/>
      <c r="B305" s="50" t="n"/>
      <c r="C305" s="51" t="n"/>
      <c r="D305" s="51" t="n"/>
      <c r="E305">
        <f>IF(OR(A305="",B305=""),"",B305-A305)</f>
        <v/>
      </c>
      <c r="F305" s="51" t="n"/>
    </row>
    <row r="306">
      <c r="A306" s="50" t="n"/>
      <c r="B306" s="50" t="n"/>
      <c r="C306" s="51" t="n"/>
      <c r="D306" s="51" t="n"/>
      <c r="E306">
        <f>IF(OR(A306="",B306=""),"",B306-A306)</f>
        <v/>
      </c>
      <c r="F306" s="51" t="n"/>
    </row>
    <row r="307">
      <c r="A307" s="50" t="n"/>
      <c r="B307" s="50" t="n"/>
      <c r="C307" s="51" t="n"/>
      <c r="D307" s="51" t="n"/>
      <c r="E307">
        <f>IF(OR(A307="",B307=""),"",B307-A307)</f>
        <v/>
      </c>
      <c r="F307" s="51" t="n"/>
    </row>
    <row r="308">
      <c r="A308" s="50" t="n"/>
      <c r="B308" s="50" t="n"/>
      <c r="C308" s="51" t="n"/>
      <c r="D308" s="51" t="n"/>
      <c r="E308">
        <f>IF(OR(A308="",B308=""),"",B308-A308)</f>
        <v/>
      </c>
      <c r="F308" s="51" t="n"/>
    </row>
    <row r="309">
      <c r="A309" s="50" t="n"/>
      <c r="B309" s="50" t="n"/>
      <c r="C309" s="51" t="n"/>
      <c r="D309" s="51" t="n"/>
      <c r="E309">
        <f>IF(OR(A309="",B309=""),"",B309-A309)</f>
        <v/>
      </c>
      <c r="F309" s="51" t="n"/>
    </row>
    <row r="310">
      <c r="A310" s="50" t="n"/>
      <c r="B310" s="50" t="n"/>
      <c r="C310" s="51" t="n"/>
      <c r="D310" s="51" t="n"/>
      <c r="E310">
        <f>IF(OR(A310="",B310=""),"",B310-A310)</f>
        <v/>
      </c>
      <c r="F310" s="51" t="n"/>
    </row>
    <row r="311">
      <c r="A311" s="50" t="n"/>
      <c r="B311" s="50" t="n"/>
      <c r="C311" s="51" t="n"/>
      <c r="D311" s="51" t="n"/>
      <c r="E311">
        <f>IF(OR(A311="",B311=""),"",B311-A311)</f>
        <v/>
      </c>
      <c r="F311" s="51" t="n"/>
    </row>
    <row r="312">
      <c r="A312" s="50" t="n"/>
      <c r="B312" s="50" t="n"/>
      <c r="C312" s="51" t="n"/>
      <c r="D312" s="51" t="n"/>
      <c r="E312">
        <f>IF(OR(A312="",B312=""),"",B312-A312)</f>
        <v/>
      </c>
      <c r="F312" s="51" t="n"/>
    </row>
    <row r="313">
      <c r="A313" s="50" t="n"/>
      <c r="B313" s="50" t="n"/>
      <c r="C313" s="51" t="n"/>
      <c r="D313" s="51" t="n"/>
      <c r="E313">
        <f>IF(OR(A313="",B313=""),"",B313-A313)</f>
        <v/>
      </c>
      <c r="F313" s="51" t="n"/>
    </row>
    <row r="314">
      <c r="A314" s="50" t="n"/>
      <c r="B314" s="50" t="n"/>
      <c r="C314" s="51" t="n"/>
      <c r="D314" s="51" t="n"/>
      <c r="E314">
        <f>IF(OR(A314="",B314=""),"",B314-A314)</f>
        <v/>
      </c>
      <c r="F314" s="51" t="n"/>
    </row>
    <row r="315">
      <c r="A315" s="50" t="n"/>
      <c r="B315" s="50" t="n"/>
      <c r="C315" s="51" t="n"/>
      <c r="D315" s="51" t="n"/>
      <c r="E315">
        <f>IF(OR(A315="",B315=""),"",B315-A315)</f>
        <v/>
      </c>
      <c r="F315" s="51" t="n"/>
    </row>
    <row r="316">
      <c r="A316" s="50" t="n"/>
      <c r="B316" s="50" t="n"/>
      <c r="C316" s="51" t="n"/>
      <c r="D316" s="51" t="n"/>
      <c r="E316">
        <f>IF(OR(A316="",B316=""),"",B316-A316)</f>
        <v/>
      </c>
      <c r="F316" s="51" t="n"/>
    </row>
    <row r="317">
      <c r="A317" s="50" t="n"/>
      <c r="B317" s="50" t="n"/>
      <c r="C317" s="51" t="n"/>
      <c r="D317" s="51" t="n"/>
      <c r="E317">
        <f>IF(OR(A317="",B317=""),"",B317-A317)</f>
        <v/>
      </c>
      <c r="F317" s="51" t="n"/>
    </row>
    <row r="318">
      <c r="A318" s="50" t="n"/>
      <c r="B318" s="50" t="n"/>
      <c r="C318" s="51" t="n"/>
      <c r="D318" s="51" t="n"/>
      <c r="E318">
        <f>IF(OR(A318="",B318=""),"",B318-A318)</f>
        <v/>
      </c>
      <c r="F318" s="51" t="n"/>
    </row>
    <row r="319">
      <c r="A319" s="50" t="n"/>
      <c r="B319" s="50" t="n"/>
      <c r="C319" s="51" t="n"/>
      <c r="D319" s="51" t="n"/>
      <c r="E319">
        <f>IF(OR(A319="",B319=""),"",B319-A319)</f>
        <v/>
      </c>
      <c r="F319" s="51" t="n"/>
    </row>
    <row r="320">
      <c r="A320" s="50" t="n"/>
      <c r="B320" s="50" t="n"/>
      <c r="C320" s="51" t="n"/>
      <c r="D320" s="51" t="n"/>
      <c r="E320">
        <f>IF(OR(A320="",B320=""),"",B320-A320)</f>
        <v/>
      </c>
      <c r="F320" s="51" t="n"/>
    </row>
    <row r="321">
      <c r="A321" s="50" t="n"/>
      <c r="B321" s="50" t="n"/>
      <c r="C321" s="51" t="n"/>
      <c r="D321" s="51" t="n"/>
      <c r="E321">
        <f>IF(OR(A321="",B321=""),"",B321-A321)</f>
        <v/>
      </c>
      <c r="F321" s="51" t="n"/>
    </row>
    <row r="322">
      <c r="A322" s="50" t="n"/>
      <c r="B322" s="50" t="n"/>
      <c r="C322" s="51" t="n"/>
      <c r="D322" s="51" t="n"/>
      <c r="E322">
        <f>IF(OR(A322="",B322=""),"",B322-A322)</f>
        <v/>
      </c>
      <c r="F322" s="51" t="n"/>
    </row>
    <row r="323">
      <c r="A323" s="50" t="n"/>
      <c r="B323" s="50" t="n"/>
      <c r="C323" s="51" t="n"/>
      <c r="D323" s="51" t="n"/>
      <c r="E323">
        <f>IF(OR(A323="",B323=""),"",B323-A323)</f>
        <v/>
      </c>
      <c r="F323" s="51" t="n"/>
    </row>
    <row r="324">
      <c r="A324" s="50" t="n"/>
      <c r="B324" s="50" t="n"/>
      <c r="C324" s="51" t="n"/>
      <c r="D324" s="51" t="n"/>
      <c r="E324">
        <f>IF(OR(A324="",B324=""),"",B324-A324)</f>
        <v/>
      </c>
      <c r="F324" s="51" t="n"/>
    </row>
    <row r="325">
      <c r="A325" s="50" t="n"/>
      <c r="B325" s="50" t="n"/>
      <c r="C325" s="51" t="n"/>
      <c r="D325" s="51" t="n"/>
      <c r="E325">
        <f>IF(OR(A325="",B325=""),"",B325-A325)</f>
        <v/>
      </c>
      <c r="F325" s="51" t="n"/>
    </row>
    <row r="326">
      <c r="A326" s="50" t="n"/>
      <c r="B326" s="50" t="n"/>
      <c r="C326" s="51" t="n"/>
      <c r="D326" s="51" t="n"/>
      <c r="E326">
        <f>IF(OR(A326="",B326=""),"",B326-A326)</f>
        <v/>
      </c>
      <c r="F326" s="51" t="n"/>
    </row>
    <row r="327">
      <c r="A327" s="50" t="n"/>
      <c r="B327" s="50" t="n"/>
      <c r="C327" s="51" t="n"/>
      <c r="D327" s="51" t="n"/>
      <c r="E327">
        <f>IF(OR(A327="",B327=""),"",B327-A327)</f>
        <v/>
      </c>
      <c r="F327" s="51" t="n"/>
    </row>
    <row r="328">
      <c r="A328" s="50" t="n"/>
      <c r="B328" s="50" t="n"/>
      <c r="C328" s="51" t="n"/>
      <c r="D328" s="51" t="n"/>
      <c r="E328">
        <f>IF(OR(A328="",B328=""),"",B328-A328)</f>
        <v/>
      </c>
      <c r="F328" s="51" t="n"/>
    </row>
    <row r="329">
      <c r="A329" s="50" t="n"/>
      <c r="B329" s="50" t="n"/>
      <c r="C329" s="51" t="n"/>
      <c r="D329" s="51" t="n"/>
      <c r="E329">
        <f>IF(OR(A329="",B329=""),"",B329-A329)</f>
        <v/>
      </c>
      <c r="F329" s="51" t="n"/>
    </row>
    <row r="330">
      <c r="A330" s="50" t="n"/>
      <c r="B330" s="50" t="n"/>
      <c r="C330" s="51" t="n"/>
      <c r="D330" s="51" t="n"/>
      <c r="E330">
        <f>IF(OR(A330="",B330=""),"",B330-A330)</f>
        <v/>
      </c>
      <c r="F330" s="51" t="n"/>
    </row>
    <row r="331">
      <c r="A331" s="50" t="n"/>
      <c r="B331" s="50" t="n"/>
      <c r="C331" s="51" t="n"/>
      <c r="D331" s="51" t="n"/>
      <c r="E331">
        <f>IF(OR(A331="",B331=""),"",B331-A331)</f>
        <v/>
      </c>
      <c r="F331" s="51" t="n"/>
    </row>
    <row r="332">
      <c r="A332" s="50" t="n"/>
      <c r="B332" s="50" t="n"/>
      <c r="C332" s="51" t="n"/>
      <c r="D332" s="51" t="n"/>
      <c r="E332">
        <f>IF(OR(A332="",B332=""),"",B332-A332)</f>
        <v/>
      </c>
      <c r="F332" s="51" t="n"/>
    </row>
    <row r="333">
      <c r="A333" s="50" t="n"/>
      <c r="B333" s="50" t="n"/>
      <c r="C333" s="51" t="n"/>
      <c r="D333" s="51" t="n"/>
      <c r="E333">
        <f>IF(OR(A333="",B333=""),"",B333-A333)</f>
        <v/>
      </c>
      <c r="F333" s="51" t="n"/>
    </row>
    <row r="334">
      <c r="A334" s="50" t="n"/>
      <c r="B334" s="50" t="n"/>
      <c r="C334" s="51" t="n"/>
      <c r="D334" s="51" t="n"/>
      <c r="E334">
        <f>IF(OR(A334="",B334=""),"",B334-A334)</f>
        <v/>
      </c>
      <c r="F334" s="51" t="n"/>
    </row>
    <row r="335">
      <c r="A335" s="50" t="n"/>
      <c r="B335" s="50" t="n"/>
      <c r="C335" s="51" t="n"/>
      <c r="D335" s="51" t="n"/>
      <c r="E335">
        <f>IF(OR(A335="",B335=""),"",B335-A335)</f>
        <v/>
      </c>
      <c r="F335" s="51" t="n"/>
    </row>
    <row r="336">
      <c r="A336" s="50" t="n"/>
      <c r="B336" s="50" t="n"/>
      <c r="C336" s="51" t="n"/>
      <c r="D336" s="51" t="n"/>
      <c r="E336">
        <f>IF(OR(A336="",B336=""),"",B336-A336)</f>
        <v/>
      </c>
      <c r="F336" s="51" t="n"/>
    </row>
    <row r="337">
      <c r="A337" s="50" t="n"/>
      <c r="B337" s="50" t="n"/>
      <c r="C337" s="51" t="n"/>
      <c r="D337" s="51" t="n"/>
      <c r="E337">
        <f>IF(OR(A337="",B337=""),"",B337-A337)</f>
        <v/>
      </c>
      <c r="F337" s="51" t="n"/>
    </row>
    <row r="338">
      <c r="A338" s="50" t="n"/>
      <c r="B338" s="50" t="n"/>
      <c r="C338" s="51" t="n"/>
      <c r="D338" s="51" t="n"/>
      <c r="E338">
        <f>IF(OR(A338="",B338=""),"",B338-A338)</f>
        <v/>
      </c>
      <c r="F338" s="51" t="n"/>
    </row>
    <row r="339">
      <c r="A339" s="50" t="n"/>
      <c r="B339" s="50" t="n"/>
      <c r="C339" s="51" t="n"/>
      <c r="D339" s="51" t="n"/>
      <c r="E339">
        <f>IF(OR(A339="",B339=""),"",B339-A339)</f>
        <v/>
      </c>
      <c r="F339" s="51" t="n"/>
    </row>
    <row r="340">
      <c r="A340" s="50" t="n"/>
      <c r="B340" s="50" t="n"/>
      <c r="C340" s="51" t="n"/>
      <c r="D340" s="51" t="n"/>
      <c r="E340">
        <f>IF(OR(A340="",B340=""),"",B340-A340)</f>
        <v/>
      </c>
      <c r="F340" s="51" t="n"/>
    </row>
    <row r="341">
      <c r="A341" s="50" t="n"/>
      <c r="B341" s="50" t="n"/>
      <c r="C341" s="51" t="n"/>
      <c r="D341" s="51" t="n"/>
      <c r="E341">
        <f>IF(OR(A341="",B341=""),"",B341-A341)</f>
        <v/>
      </c>
      <c r="F341" s="51" t="n"/>
    </row>
    <row r="342">
      <c r="A342" s="50" t="n"/>
      <c r="B342" s="50" t="n"/>
      <c r="C342" s="51" t="n"/>
      <c r="D342" s="51" t="n"/>
      <c r="E342">
        <f>IF(OR(A342="",B342=""),"",B342-A342)</f>
        <v/>
      </c>
      <c r="F342" s="51" t="n"/>
    </row>
    <row r="343">
      <c r="A343" s="50" t="n"/>
      <c r="B343" s="50" t="n"/>
      <c r="C343" s="51" t="n"/>
      <c r="D343" s="51" t="n"/>
      <c r="E343">
        <f>IF(OR(A343="",B343=""),"",B343-A343)</f>
        <v/>
      </c>
      <c r="F343" s="51" t="n"/>
    </row>
    <row r="344">
      <c r="A344" s="50" t="n"/>
      <c r="B344" s="50" t="n"/>
      <c r="C344" s="51" t="n"/>
      <c r="D344" s="51" t="n"/>
      <c r="E344">
        <f>IF(OR(A344="",B344=""),"",B344-A344)</f>
        <v/>
      </c>
      <c r="F344" s="51" t="n"/>
    </row>
    <row r="345">
      <c r="A345" s="50" t="n"/>
      <c r="B345" s="50" t="n"/>
      <c r="C345" s="51" t="n"/>
      <c r="D345" s="51" t="n"/>
      <c r="E345">
        <f>IF(OR(A345="",B345=""),"",B345-A345)</f>
        <v/>
      </c>
      <c r="F345" s="51" t="n"/>
    </row>
    <row r="346">
      <c r="A346" s="50" t="n"/>
      <c r="B346" s="50" t="n"/>
      <c r="C346" s="51" t="n"/>
      <c r="D346" s="51" t="n"/>
      <c r="E346">
        <f>IF(OR(A346="",B346=""),"",B346-A346)</f>
        <v/>
      </c>
      <c r="F346" s="51" t="n"/>
    </row>
    <row r="347">
      <c r="A347" s="50" t="n"/>
      <c r="B347" s="50" t="n"/>
      <c r="C347" s="51" t="n"/>
      <c r="D347" s="51" t="n"/>
      <c r="E347">
        <f>IF(OR(A347="",B347=""),"",B347-A347)</f>
        <v/>
      </c>
      <c r="F347" s="51" t="n"/>
    </row>
    <row r="348">
      <c r="A348" s="50" t="n"/>
      <c r="B348" s="50" t="n"/>
      <c r="C348" s="51" t="n"/>
      <c r="D348" s="51" t="n"/>
      <c r="E348">
        <f>IF(OR(A348="",B348=""),"",B348-A348)</f>
        <v/>
      </c>
      <c r="F348" s="51" t="n"/>
    </row>
    <row r="349">
      <c r="A349" s="50" t="n"/>
      <c r="B349" s="50" t="n"/>
      <c r="C349" s="51" t="n"/>
      <c r="D349" s="51" t="n"/>
      <c r="E349">
        <f>IF(OR(A349="",B349=""),"",B349-A349)</f>
        <v/>
      </c>
      <c r="F349" s="51" t="n"/>
    </row>
    <row r="350">
      <c r="A350" s="50" t="n"/>
      <c r="B350" s="50" t="n"/>
      <c r="C350" s="51" t="n"/>
      <c r="D350" s="51" t="n"/>
      <c r="E350">
        <f>IF(OR(A350="",B350=""),"",B350-A350)</f>
        <v/>
      </c>
      <c r="F350" s="51" t="n"/>
    </row>
    <row r="351">
      <c r="A351" s="50" t="n"/>
      <c r="B351" s="50" t="n"/>
      <c r="C351" s="51" t="n"/>
      <c r="D351" s="51" t="n"/>
      <c r="E351">
        <f>IF(OR(A351="",B351=""),"",B351-A351)</f>
        <v/>
      </c>
      <c r="F351" s="51" t="n"/>
    </row>
    <row r="352">
      <c r="A352" s="50" t="n"/>
      <c r="B352" s="50" t="n"/>
      <c r="C352" s="51" t="n"/>
      <c r="D352" s="51" t="n"/>
      <c r="E352">
        <f>IF(OR(A352="",B352=""),"",B352-A352)</f>
        <v/>
      </c>
      <c r="F352" s="51" t="n"/>
    </row>
    <row r="353">
      <c r="A353" s="50" t="n"/>
      <c r="B353" s="50" t="n"/>
      <c r="C353" s="51" t="n"/>
      <c r="D353" s="51" t="n"/>
      <c r="E353">
        <f>IF(OR(A353="",B353=""),"",B353-A353)</f>
        <v/>
      </c>
      <c r="F353" s="51" t="n"/>
    </row>
    <row r="354">
      <c r="A354" s="50" t="n"/>
      <c r="B354" s="50" t="n"/>
      <c r="C354" s="51" t="n"/>
      <c r="D354" s="51" t="n"/>
      <c r="E354">
        <f>IF(OR(A354="",B354=""),"",B354-A354)</f>
        <v/>
      </c>
      <c r="F354" s="51" t="n"/>
    </row>
    <row r="355">
      <c r="A355" s="50" t="n"/>
      <c r="B355" s="50" t="n"/>
      <c r="C355" s="51" t="n"/>
      <c r="D355" s="51" t="n"/>
      <c r="E355">
        <f>IF(OR(A355="",B355=""),"",B355-A355)</f>
        <v/>
      </c>
      <c r="F355" s="51" t="n"/>
    </row>
    <row r="356">
      <c r="A356" s="50" t="n"/>
      <c r="B356" s="50" t="n"/>
      <c r="C356" s="51" t="n"/>
      <c r="D356" s="51" t="n"/>
      <c r="E356">
        <f>IF(OR(A356="",B356=""),"",B356-A356)</f>
        <v/>
      </c>
      <c r="F356" s="51" t="n"/>
    </row>
    <row r="357">
      <c r="A357" s="50" t="n"/>
      <c r="B357" s="50" t="n"/>
      <c r="C357" s="51" t="n"/>
      <c r="D357" s="51" t="n"/>
      <c r="E357">
        <f>IF(OR(A357="",B357=""),"",B357-A357)</f>
        <v/>
      </c>
      <c r="F357" s="51" t="n"/>
    </row>
    <row r="358">
      <c r="A358" s="50" t="n"/>
      <c r="B358" s="50" t="n"/>
      <c r="C358" s="51" t="n"/>
      <c r="D358" s="51" t="n"/>
      <c r="E358">
        <f>IF(OR(A358="",B358=""),"",B358-A358)</f>
        <v/>
      </c>
      <c r="F358" s="51" t="n"/>
    </row>
    <row r="359">
      <c r="A359" s="50" t="n"/>
      <c r="B359" s="50" t="n"/>
      <c r="C359" s="51" t="n"/>
      <c r="D359" s="51" t="n"/>
      <c r="E359">
        <f>IF(OR(A359="",B359=""),"",B359-A359)</f>
        <v/>
      </c>
      <c r="F359" s="51" t="n"/>
    </row>
    <row r="360">
      <c r="A360" s="50" t="n"/>
      <c r="B360" s="50" t="n"/>
      <c r="C360" s="51" t="n"/>
      <c r="D360" s="51" t="n"/>
      <c r="E360">
        <f>IF(OR(A360="",B360=""),"",B360-A360)</f>
        <v/>
      </c>
      <c r="F360" s="51" t="n"/>
    </row>
    <row r="361">
      <c r="A361" s="50" t="n"/>
      <c r="B361" s="50" t="n"/>
      <c r="C361" s="51" t="n"/>
      <c r="D361" s="51" t="n"/>
      <c r="E361">
        <f>IF(OR(A361="",B361=""),"",B361-A361)</f>
        <v/>
      </c>
      <c r="F361" s="51" t="n"/>
    </row>
    <row r="362">
      <c r="A362" s="50" t="n"/>
      <c r="B362" s="50" t="n"/>
      <c r="C362" s="51" t="n"/>
      <c r="D362" s="51" t="n"/>
      <c r="E362">
        <f>IF(OR(A362="",B362=""),"",B362-A362)</f>
        <v/>
      </c>
      <c r="F362" s="51" t="n"/>
    </row>
    <row r="363">
      <c r="A363" s="50" t="n"/>
      <c r="B363" s="50" t="n"/>
      <c r="C363" s="51" t="n"/>
      <c r="D363" s="51" t="n"/>
      <c r="E363">
        <f>IF(OR(A363="",B363=""),"",B363-A363)</f>
        <v/>
      </c>
      <c r="F363" s="51" t="n"/>
    </row>
    <row r="364">
      <c r="A364" s="50" t="n"/>
      <c r="B364" s="50" t="n"/>
      <c r="C364" s="51" t="n"/>
      <c r="D364" s="51" t="n"/>
      <c r="E364">
        <f>IF(OR(A364="",B364=""),"",B364-A364)</f>
        <v/>
      </c>
      <c r="F364" s="51" t="n"/>
    </row>
    <row r="365">
      <c r="A365" s="50" t="n"/>
      <c r="B365" s="50" t="n"/>
      <c r="C365" s="51" t="n"/>
      <c r="D365" s="51" t="n"/>
      <c r="E365">
        <f>IF(OR(A365="",B365=""),"",B365-A365)</f>
        <v/>
      </c>
      <c r="F365" s="51" t="n"/>
    </row>
    <row r="366">
      <c r="A366" s="50" t="n"/>
      <c r="B366" s="50" t="n"/>
      <c r="C366" s="51" t="n"/>
      <c r="D366" s="51" t="n"/>
      <c r="E366">
        <f>IF(OR(A366="",B366=""),"",B366-A366)</f>
        <v/>
      </c>
      <c r="F366" s="51" t="n"/>
    </row>
    <row r="367">
      <c r="A367" s="50" t="n"/>
      <c r="B367" s="50" t="n"/>
      <c r="C367" s="51" t="n"/>
      <c r="D367" s="51" t="n"/>
      <c r="E367">
        <f>IF(OR(A367="",B367=""),"",B367-A367)</f>
        <v/>
      </c>
      <c r="F367" s="51" t="n"/>
    </row>
    <row r="368">
      <c r="A368" s="50" t="n"/>
      <c r="B368" s="50" t="n"/>
      <c r="C368" s="51" t="n"/>
      <c r="D368" s="51" t="n"/>
      <c r="E368">
        <f>IF(OR(A368="",B368=""),"",B368-A368)</f>
        <v/>
      </c>
      <c r="F368" s="51" t="n"/>
    </row>
    <row r="369">
      <c r="A369" s="50" t="n"/>
      <c r="B369" s="50" t="n"/>
      <c r="C369" s="51" t="n"/>
      <c r="D369" s="51" t="n"/>
      <c r="E369">
        <f>IF(OR(A369="",B369=""),"",B369-A369)</f>
        <v/>
      </c>
      <c r="F369" s="51" t="n"/>
    </row>
    <row r="370">
      <c r="A370" s="50" t="n"/>
      <c r="B370" s="50" t="n"/>
      <c r="C370" s="51" t="n"/>
      <c r="D370" s="51" t="n"/>
      <c r="E370">
        <f>IF(OR(A370="",B370=""),"",B370-A370)</f>
        <v/>
      </c>
      <c r="F370" s="51" t="n"/>
    </row>
    <row r="371">
      <c r="A371" s="50" t="n"/>
      <c r="B371" s="50" t="n"/>
      <c r="C371" s="51" t="n"/>
      <c r="D371" s="51" t="n"/>
      <c r="E371">
        <f>IF(OR(A371="",B371=""),"",B371-A371)</f>
        <v/>
      </c>
      <c r="F371" s="51" t="n"/>
    </row>
    <row r="372">
      <c r="A372" s="50" t="n"/>
      <c r="B372" s="50" t="n"/>
      <c r="C372" s="51" t="n"/>
      <c r="D372" s="51" t="n"/>
      <c r="E372">
        <f>IF(OR(A372="",B372=""),"",B372-A372)</f>
        <v/>
      </c>
      <c r="F372" s="51" t="n"/>
    </row>
    <row r="373">
      <c r="A373" s="50" t="n"/>
      <c r="B373" s="50" t="n"/>
      <c r="C373" s="51" t="n"/>
      <c r="D373" s="51" t="n"/>
      <c r="E373">
        <f>IF(OR(A373="",B373=""),"",B373-A373)</f>
        <v/>
      </c>
      <c r="F373" s="51" t="n"/>
    </row>
    <row r="374">
      <c r="A374" s="50" t="n"/>
      <c r="B374" s="50" t="n"/>
      <c r="C374" s="51" t="n"/>
      <c r="D374" s="51" t="n"/>
      <c r="E374">
        <f>IF(OR(A374="",B374=""),"",B374-A374)</f>
        <v/>
      </c>
      <c r="F374" s="51" t="n"/>
    </row>
    <row r="375">
      <c r="A375" s="50" t="n"/>
      <c r="B375" s="50" t="n"/>
      <c r="C375" s="51" t="n"/>
      <c r="D375" s="51" t="n"/>
      <c r="E375">
        <f>IF(OR(A375="",B375=""),"",B375-A375)</f>
        <v/>
      </c>
      <c r="F375" s="51" t="n"/>
    </row>
    <row r="376">
      <c r="A376" s="50" t="n"/>
      <c r="B376" s="50" t="n"/>
      <c r="C376" s="51" t="n"/>
      <c r="D376" s="51" t="n"/>
      <c r="E376">
        <f>IF(OR(A376="",B376=""),"",B376-A376)</f>
        <v/>
      </c>
      <c r="F376" s="51" t="n"/>
    </row>
    <row r="377">
      <c r="A377" s="50" t="n"/>
      <c r="B377" s="50" t="n"/>
      <c r="C377" s="51" t="n"/>
      <c r="D377" s="51" t="n"/>
      <c r="E377">
        <f>IF(OR(A377="",B377=""),"",B377-A377)</f>
        <v/>
      </c>
      <c r="F377" s="51" t="n"/>
    </row>
    <row r="378">
      <c r="A378" s="50" t="n"/>
      <c r="B378" s="50" t="n"/>
      <c r="C378" s="51" t="n"/>
      <c r="D378" s="51" t="n"/>
      <c r="E378">
        <f>IF(OR(A378="",B378=""),"",B378-A378)</f>
        <v/>
      </c>
      <c r="F378" s="51" t="n"/>
    </row>
    <row r="379">
      <c r="A379" s="50" t="n"/>
      <c r="B379" s="50" t="n"/>
      <c r="C379" s="51" t="n"/>
      <c r="D379" s="51" t="n"/>
      <c r="E379">
        <f>IF(OR(A379="",B379=""),"",B379-A379)</f>
        <v/>
      </c>
      <c r="F379" s="51" t="n"/>
    </row>
    <row r="380">
      <c r="A380" s="50" t="n"/>
      <c r="B380" s="50" t="n"/>
      <c r="C380" s="51" t="n"/>
      <c r="D380" s="51" t="n"/>
      <c r="E380">
        <f>IF(OR(A380="",B380=""),"",B380-A380)</f>
        <v/>
      </c>
      <c r="F380" s="51" t="n"/>
    </row>
    <row r="381">
      <c r="A381" s="50" t="n"/>
      <c r="B381" s="50" t="n"/>
      <c r="C381" s="51" t="n"/>
      <c r="D381" s="51" t="n"/>
      <c r="E381">
        <f>IF(OR(A381="",B381=""),"",B381-A381)</f>
        <v/>
      </c>
      <c r="F381" s="51" t="n"/>
    </row>
    <row r="382">
      <c r="A382" s="50" t="n"/>
      <c r="B382" s="50" t="n"/>
      <c r="C382" s="51" t="n"/>
      <c r="D382" s="51" t="n"/>
      <c r="E382">
        <f>IF(OR(A382="",B382=""),"",B382-A382)</f>
        <v/>
      </c>
      <c r="F382" s="51" t="n"/>
    </row>
    <row r="383">
      <c r="A383" s="50" t="n"/>
      <c r="B383" s="50" t="n"/>
      <c r="C383" s="51" t="n"/>
      <c r="D383" s="51" t="n"/>
      <c r="E383">
        <f>IF(OR(A383="",B383=""),"",B383-A383)</f>
        <v/>
      </c>
      <c r="F383" s="51" t="n"/>
    </row>
    <row r="384">
      <c r="A384" s="50" t="n"/>
      <c r="B384" s="50" t="n"/>
      <c r="C384" s="51" t="n"/>
      <c r="D384" s="51" t="n"/>
      <c r="E384">
        <f>IF(OR(A384="",B384=""),"",B384-A384)</f>
        <v/>
      </c>
      <c r="F384" s="51" t="n"/>
    </row>
    <row r="385">
      <c r="A385" s="50" t="n"/>
      <c r="B385" s="50" t="n"/>
      <c r="C385" s="51" t="n"/>
      <c r="D385" s="51" t="n"/>
      <c r="E385">
        <f>IF(OR(A385="",B385=""),"",B385-A385)</f>
        <v/>
      </c>
      <c r="F385" s="51" t="n"/>
    </row>
    <row r="386">
      <c r="A386" s="50" t="n"/>
      <c r="B386" s="50" t="n"/>
      <c r="C386" s="51" t="n"/>
      <c r="D386" s="51" t="n"/>
      <c r="E386">
        <f>IF(OR(A386="",B386=""),"",B386-A386)</f>
        <v/>
      </c>
      <c r="F386" s="51" t="n"/>
    </row>
    <row r="387">
      <c r="A387" s="50" t="n"/>
      <c r="B387" s="50" t="n"/>
      <c r="C387" s="51" t="n"/>
      <c r="D387" s="51" t="n"/>
      <c r="E387">
        <f>IF(OR(A387="",B387=""),"",B387-A387)</f>
        <v/>
      </c>
      <c r="F387" s="51" t="n"/>
    </row>
    <row r="388">
      <c r="A388" s="50" t="n"/>
      <c r="B388" s="50" t="n"/>
      <c r="C388" s="51" t="n"/>
      <c r="D388" s="51" t="n"/>
      <c r="E388">
        <f>IF(OR(A388="",B388=""),"",B388-A388)</f>
        <v/>
      </c>
      <c r="F388" s="51" t="n"/>
    </row>
    <row r="389">
      <c r="A389" s="50" t="n"/>
      <c r="B389" s="50" t="n"/>
      <c r="C389" s="51" t="n"/>
      <c r="D389" s="51" t="n"/>
      <c r="E389">
        <f>IF(OR(A389="",B389=""),"",B389-A389)</f>
        <v/>
      </c>
      <c r="F389" s="51" t="n"/>
    </row>
    <row r="390">
      <c r="A390" s="50" t="n"/>
      <c r="B390" s="50" t="n"/>
      <c r="C390" s="51" t="n"/>
      <c r="D390" s="51" t="n"/>
      <c r="E390">
        <f>IF(OR(A390="",B390=""),"",B390-A390)</f>
        <v/>
      </c>
      <c r="F390" s="51" t="n"/>
    </row>
    <row r="391">
      <c r="A391" s="50" t="n"/>
      <c r="B391" s="50" t="n"/>
      <c r="C391" s="51" t="n"/>
      <c r="D391" s="51" t="n"/>
      <c r="E391">
        <f>IF(OR(A391="",B391=""),"",B391-A391)</f>
        <v/>
      </c>
      <c r="F391" s="51" t="n"/>
    </row>
    <row r="392">
      <c r="A392" s="50" t="n"/>
      <c r="B392" s="50" t="n"/>
      <c r="C392" s="51" t="n"/>
      <c r="D392" s="51" t="n"/>
      <c r="E392">
        <f>IF(OR(A392="",B392=""),"",B392-A392)</f>
        <v/>
      </c>
      <c r="F392" s="51" t="n"/>
    </row>
    <row r="393">
      <c r="A393" s="50" t="n"/>
      <c r="B393" s="50" t="n"/>
      <c r="C393" s="51" t="n"/>
      <c r="D393" s="51" t="n"/>
      <c r="E393">
        <f>IF(OR(A393="",B393=""),"",B393-A393)</f>
        <v/>
      </c>
      <c r="F393" s="51" t="n"/>
    </row>
    <row r="394">
      <c r="A394" s="50" t="n"/>
      <c r="B394" s="50" t="n"/>
      <c r="C394" s="51" t="n"/>
      <c r="D394" s="51" t="n"/>
      <c r="E394">
        <f>IF(OR(A394="",B394=""),"",B394-A394)</f>
        <v/>
      </c>
      <c r="F394" s="51" t="n"/>
    </row>
    <row r="395">
      <c r="A395" s="50" t="n"/>
      <c r="B395" s="50" t="n"/>
      <c r="C395" s="51" t="n"/>
      <c r="D395" s="51" t="n"/>
      <c r="E395">
        <f>IF(OR(A395="",B395=""),"",B395-A395)</f>
        <v/>
      </c>
      <c r="F395" s="51" t="n"/>
    </row>
    <row r="396">
      <c r="A396" s="50" t="n"/>
      <c r="B396" s="50" t="n"/>
      <c r="C396" s="51" t="n"/>
      <c r="D396" s="51" t="n"/>
      <c r="E396">
        <f>IF(OR(A396="",B396=""),"",B396-A396)</f>
        <v/>
      </c>
      <c r="F396" s="51" t="n"/>
    </row>
    <row r="397">
      <c r="A397" s="50" t="n"/>
      <c r="B397" s="50" t="n"/>
      <c r="C397" s="51" t="n"/>
      <c r="D397" s="51" t="n"/>
      <c r="E397">
        <f>IF(OR(A397="",B397=""),"",B397-A397)</f>
        <v/>
      </c>
      <c r="F397" s="51" t="n"/>
    </row>
    <row r="398">
      <c r="A398" s="50" t="n"/>
      <c r="B398" s="50" t="n"/>
      <c r="C398" s="51" t="n"/>
      <c r="D398" s="51" t="n"/>
      <c r="E398">
        <f>IF(OR(A398="",B398=""),"",B398-A398)</f>
        <v/>
      </c>
      <c r="F398" s="51" t="n"/>
    </row>
    <row r="399">
      <c r="A399" s="50" t="n"/>
      <c r="B399" s="50" t="n"/>
      <c r="C399" s="51" t="n"/>
      <c r="D399" s="51" t="n"/>
      <c r="E399">
        <f>IF(OR(A399="",B399=""),"",B399-A399)</f>
        <v/>
      </c>
      <c r="F399" s="51" t="n"/>
    </row>
    <row r="400">
      <c r="A400" s="50" t="n"/>
      <c r="B400" s="50" t="n"/>
      <c r="C400" s="51" t="n"/>
      <c r="D400" s="51" t="n"/>
      <c r="E400">
        <f>IF(OR(A400="",B400=""),"",B400-A400)</f>
        <v/>
      </c>
      <c r="F400" s="51" t="n"/>
    </row>
    <row r="401">
      <c r="A401" s="50" t="n"/>
      <c r="B401" s="50" t="n"/>
      <c r="C401" s="51" t="n"/>
      <c r="D401" s="51" t="n"/>
      <c r="E401">
        <f>IF(OR(A401="",B401=""),"",B401-A401)</f>
        <v/>
      </c>
      <c r="F401" s="51" t="n"/>
    </row>
    <row r="402">
      <c r="A402" s="50" t="n"/>
      <c r="B402" s="50" t="n"/>
      <c r="C402" s="51" t="n"/>
      <c r="D402" s="51" t="n"/>
      <c r="E402">
        <f>IF(OR(A402="",B402=""),"",B402-A402)</f>
        <v/>
      </c>
      <c r="F402" s="51" t="n"/>
    </row>
    <row r="403">
      <c r="A403" s="50" t="n"/>
      <c r="B403" s="50" t="n"/>
      <c r="C403" s="51" t="n"/>
      <c r="D403" s="51" t="n"/>
      <c r="E403">
        <f>IF(OR(A403="",B403=""),"",B403-A403)</f>
        <v/>
      </c>
      <c r="F403" s="51" t="n"/>
    </row>
    <row r="404">
      <c r="A404" s="50" t="n"/>
      <c r="B404" s="50" t="n"/>
      <c r="C404" s="51" t="n"/>
      <c r="D404" s="51" t="n"/>
      <c r="E404">
        <f>IF(OR(A404="",B404=""),"",B404-A404)</f>
        <v/>
      </c>
      <c r="F404" s="51" t="n"/>
    </row>
    <row r="405">
      <c r="A405" s="50" t="n"/>
      <c r="B405" s="50" t="n"/>
      <c r="C405" s="51" t="n"/>
      <c r="D405" s="51" t="n"/>
      <c r="E405">
        <f>IF(OR(A405="",B405=""),"",B405-A405)</f>
        <v/>
      </c>
      <c r="F405" s="51" t="n"/>
    </row>
    <row r="406">
      <c r="A406" s="50" t="n"/>
      <c r="B406" s="50" t="n"/>
      <c r="C406" s="51" t="n"/>
      <c r="D406" s="51" t="n"/>
      <c r="E406">
        <f>IF(OR(A406="",B406=""),"",B406-A406)</f>
        <v/>
      </c>
      <c r="F406" s="51" t="n"/>
    </row>
    <row r="407">
      <c r="A407" s="50" t="n"/>
      <c r="B407" s="50" t="n"/>
      <c r="C407" s="51" t="n"/>
      <c r="D407" s="51" t="n"/>
      <c r="E407">
        <f>IF(OR(A407="",B407=""),"",B407-A407)</f>
        <v/>
      </c>
      <c r="F407" s="51" t="n"/>
    </row>
    <row r="408">
      <c r="A408" s="50" t="n"/>
      <c r="B408" s="50" t="n"/>
      <c r="C408" s="51" t="n"/>
      <c r="D408" s="51" t="n"/>
      <c r="E408">
        <f>IF(OR(A408="",B408=""),"",B408-A408)</f>
        <v/>
      </c>
      <c r="F408" s="51" t="n"/>
    </row>
    <row r="409">
      <c r="A409" s="50" t="n"/>
      <c r="B409" s="50" t="n"/>
      <c r="C409" s="51" t="n"/>
      <c r="D409" s="51" t="n"/>
      <c r="E409">
        <f>IF(OR(A409="",B409=""),"",B409-A409)</f>
        <v/>
      </c>
      <c r="F409" s="51" t="n"/>
    </row>
    <row r="410">
      <c r="A410" s="50" t="n"/>
      <c r="B410" s="50" t="n"/>
      <c r="C410" s="51" t="n"/>
      <c r="D410" s="51" t="n"/>
      <c r="E410">
        <f>IF(OR(A410="",B410=""),"",B410-A410)</f>
        <v/>
      </c>
      <c r="F410" s="51" t="n"/>
    </row>
    <row r="411">
      <c r="A411" s="50" t="n"/>
      <c r="B411" s="50" t="n"/>
      <c r="C411" s="51" t="n"/>
      <c r="D411" s="51" t="n"/>
      <c r="E411">
        <f>IF(OR(A411="",B411=""),"",B411-A411)</f>
        <v/>
      </c>
      <c r="F411" s="51" t="n"/>
    </row>
    <row r="412">
      <c r="A412" s="50" t="n"/>
      <c r="B412" s="50" t="n"/>
      <c r="C412" s="51" t="n"/>
      <c r="D412" s="51" t="n"/>
      <c r="E412">
        <f>IF(OR(A412="",B412=""),"",B412-A412)</f>
        <v/>
      </c>
      <c r="F412" s="51" t="n"/>
    </row>
    <row r="413">
      <c r="A413" s="50" t="n"/>
      <c r="B413" s="50" t="n"/>
      <c r="C413" s="51" t="n"/>
      <c r="D413" s="51" t="n"/>
      <c r="E413">
        <f>IF(OR(A413="",B413=""),"",B413-A413)</f>
        <v/>
      </c>
      <c r="F413" s="51" t="n"/>
    </row>
    <row r="414">
      <c r="A414" s="50" t="n"/>
      <c r="B414" s="50" t="n"/>
      <c r="C414" s="51" t="n"/>
      <c r="D414" s="51" t="n"/>
      <c r="E414">
        <f>IF(OR(A414="",B414=""),"",B414-A414)</f>
        <v/>
      </c>
      <c r="F414" s="51" t="n"/>
    </row>
    <row r="415">
      <c r="A415" s="50" t="n"/>
      <c r="B415" s="50" t="n"/>
      <c r="C415" s="51" t="n"/>
      <c r="D415" s="51" t="n"/>
      <c r="E415">
        <f>IF(OR(A415="",B415=""),"",B415-A415)</f>
        <v/>
      </c>
      <c r="F415" s="51" t="n"/>
    </row>
    <row r="416">
      <c r="A416" s="50" t="n"/>
      <c r="B416" s="50" t="n"/>
      <c r="C416" s="51" t="n"/>
      <c r="D416" s="51" t="n"/>
      <c r="E416">
        <f>IF(OR(A416="",B416=""),"",B416-A416)</f>
        <v/>
      </c>
      <c r="F416" s="51" t="n"/>
    </row>
    <row r="417">
      <c r="A417" s="50" t="n"/>
      <c r="B417" s="50" t="n"/>
      <c r="C417" s="51" t="n"/>
      <c r="D417" s="51" t="n"/>
      <c r="E417">
        <f>IF(OR(A417="",B417=""),"",B417-A417)</f>
        <v/>
      </c>
      <c r="F417" s="51" t="n"/>
    </row>
    <row r="418">
      <c r="A418" s="50" t="n"/>
      <c r="B418" s="50" t="n"/>
      <c r="C418" s="51" t="n"/>
      <c r="D418" s="51" t="n"/>
      <c r="E418">
        <f>IF(OR(A418="",B418=""),"",B418-A418)</f>
        <v/>
      </c>
      <c r="F418" s="51" t="n"/>
    </row>
    <row r="419">
      <c r="A419" s="50" t="n"/>
      <c r="B419" s="50" t="n"/>
      <c r="C419" s="51" t="n"/>
      <c r="D419" s="51" t="n"/>
      <c r="E419">
        <f>IF(OR(A419="",B419=""),"",B419-A419)</f>
        <v/>
      </c>
      <c r="F419" s="51" t="n"/>
    </row>
    <row r="420">
      <c r="A420" s="50" t="n"/>
      <c r="B420" s="50" t="n"/>
      <c r="C420" s="51" t="n"/>
      <c r="D420" s="51" t="n"/>
      <c r="E420">
        <f>IF(OR(A420="",B420=""),"",B420-A420)</f>
        <v/>
      </c>
      <c r="F420" s="51" t="n"/>
    </row>
    <row r="421">
      <c r="A421" s="50" t="n"/>
      <c r="B421" s="50" t="n"/>
      <c r="C421" s="51" t="n"/>
      <c r="D421" s="51" t="n"/>
      <c r="E421">
        <f>IF(OR(A421="",B421=""),"",B421-A421)</f>
        <v/>
      </c>
      <c r="F421" s="51" t="n"/>
    </row>
    <row r="422">
      <c r="A422" s="50" t="n"/>
      <c r="B422" s="50" t="n"/>
      <c r="C422" s="51" t="n"/>
      <c r="D422" s="51" t="n"/>
      <c r="E422">
        <f>IF(OR(A422="",B422=""),"",B422-A422)</f>
        <v/>
      </c>
      <c r="F422" s="51" t="n"/>
    </row>
    <row r="423">
      <c r="A423" s="50" t="n"/>
      <c r="B423" s="50" t="n"/>
      <c r="C423" s="51" t="n"/>
      <c r="D423" s="51" t="n"/>
      <c r="E423">
        <f>IF(OR(A423="",B423=""),"",B423-A423)</f>
        <v/>
      </c>
      <c r="F423" s="51" t="n"/>
    </row>
    <row r="424">
      <c r="A424" s="50" t="n"/>
      <c r="B424" s="50" t="n"/>
      <c r="C424" s="51" t="n"/>
      <c r="D424" s="51" t="n"/>
      <c r="E424">
        <f>IF(OR(A424="",B424=""),"",B424-A424)</f>
        <v/>
      </c>
      <c r="F424" s="51" t="n"/>
    </row>
    <row r="425">
      <c r="A425" s="50" t="n"/>
      <c r="B425" s="50" t="n"/>
      <c r="C425" s="51" t="n"/>
      <c r="D425" s="51" t="n"/>
      <c r="E425">
        <f>IF(OR(A425="",B425=""),"",B425-A425)</f>
        <v/>
      </c>
      <c r="F425" s="51" t="n"/>
    </row>
    <row r="426">
      <c r="A426" s="50" t="n"/>
      <c r="B426" s="50" t="n"/>
      <c r="C426" s="51" t="n"/>
      <c r="D426" s="51" t="n"/>
      <c r="E426">
        <f>IF(OR(A426="",B426=""),"",B426-A426)</f>
        <v/>
      </c>
      <c r="F426" s="51" t="n"/>
    </row>
    <row r="427">
      <c r="A427" s="50" t="n"/>
      <c r="B427" s="50" t="n"/>
      <c r="C427" s="51" t="n"/>
      <c r="D427" s="51" t="n"/>
      <c r="E427">
        <f>IF(OR(A427="",B427=""),"",B427-A427)</f>
        <v/>
      </c>
      <c r="F427" s="51" t="n"/>
    </row>
    <row r="428">
      <c r="A428" s="50" t="n"/>
      <c r="B428" s="50" t="n"/>
      <c r="C428" s="51" t="n"/>
      <c r="D428" s="51" t="n"/>
      <c r="E428">
        <f>IF(OR(A428="",B428=""),"",B428-A428)</f>
        <v/>
      </c>
      <c r="F428" s="51" t="n"/>
    </row>
    <row r="429">
      <c r="A429" s="50" t="n"/>
      <c r="B429" s="50" t="n"/>
      <c r="C429" s="51" t="n"/>
      <c r="D429" s="51" t="n"/>
      <c r="E429">
        <f>IF(OR(A429="",B429=""),"",B429-A429)</f>
        <v/>
      </c>
      <c r="F429" s="51" t="n"/>
    </row>
    <row r="430">
      <c r="A430" s="50" t="n"/>
      <c r="B430" s="50" t="n"/>
      <c r="C430" s="51" t="n"/>
      <c r="D430" s="51" t="n"/>
      <c r="E430">
        <f>IF(OR(A430="",B430=""),"",B430-A430)</f>
        <v/>
      </c>
      <c r="F430" s="51" t="n"/>
    </row>
    <row r="431">
      <c r="A431" s="50" t="n"/>
      <c r="B431" s="50" t="n"/>
      <c r="C431" s="51" t="n"/>
      <c r="D431" s="51" t="n"/>
      <c r="E431">
        <f>IF(OR(A431="",B431=""),"",B431-A431)</f>
        <v/>
      </c>
      <c r="F431" s="51" t="n"/>
    </row>
    <row r="432">
      <c r="A432" s="50" t="n"/>
      <c r="B432" s="50" t="n"/>
      <c r="C432" s="51" t="n"/>
      <c r="D432" s="51" t="n"/>
      <c r="E432">
        <f>IF(OR(A432="",B432=""),"",B432-A432)</f>
        <v/>
      </c>
      <c r="F432" s="51" t="n"/>
    </row>
    <row r="433">
      <c r="A433" s="50" t="n"/>
      <c r="B433" s="50" t="n"/>
      <c r="C433" s="51" t="n"/>
      <c r="D433" s="51" t="n"/>
      <c r="E433">
        <f>IF(OR(A433="",B433=""),"",B433-A433)</f>
        <v/>
      </c>
      <c r="F433" s="51" t="n"/>
    </row>
    <row r="434">
      <c r="A434" s="50" t="n"/>
      <c r="B434" s="50" t="n"/>
      <c r="C434" s="51" t="n"/>
      <c r="D434" s="51" t="n"/>
      <c r="E434">
        <f>IF(OR(A434="",B434=""),"",B434-A434)</f>
        <v/>
      </c>
      <c r="F434" s="51" t="n"/>
    </row>
    <row r="435">
      <c r="A435" s="50" t="n"/>
      <c r="B435" s="50" t="n"/>
      <c r="C435" s="51" t="n"/>
      <c r="D435" s="51" t="n"/>
      <c r="E435">
        <f>IF(OR(A435="",B435=""),"",B435-A435)</f>
        <v/>
      </c>
      <c r="F435" s="51" t="n"/>
    </row>
    <row r="436">
      <c r="A436" s="50" t="n"/>
      <c r="B436" s="50" t="n"/>
      <c r="C436" s="51" t="n"/>
      <c r="D436" s="51" t="n"/>
      <c r="E436">
        <f>IF(OR(A436="",B436=""),"",B436-A436)</f>
        <v/>
      </c>
      <c r="F436" s="51" t="n"/>
    </row>
    <row r="437">
      <c r="A437" s="50" t="n"/>
      <c r="B437" s="50" t="n"/>
      <c r="C437" s="51" t="n"/>
      <c r="D437" s="51" t="n"/>
      <c r="E437">
        <f>IF(OR(A437="",B437=""),"",B437-A437)</f>
        <v/>
      </c>
      <c r="F437" s="51" t="n"/>
    </row>
    <row r="438">
      <c r="A438" s="50" t="n"/>
      <c r="B438" s="50" t="n"/>
      <c r="C438" s="51" t="n"/>
      <c r="D438" s="51" t="n"/>
      <c r="E438">
        <f>IF(OR(A438="",B438=""),"",B438-A438)</f>
        <v/>
      </c>
      <c r="F438" s="51" t="n"/>
    </row>
    <row r="439">
      <c r="A439" s="50" t="n"/>
      <c r="B439" s="50" t="n"/>
      <c r="C439" s="51" t="n"/>
      <c r="D439" s="51" t="n"/>
      <c r="E439">
        <f>IF(OR(A439="",B439=""),"",B439-A439)</f>
        <v/>
      </c>
      <c r="F439" s="51" t="n"/>
    </row>
    <row r="440">
      <c r="A440" s="50" t="n"/>
      <c r="B440" s="50" t="n"/>
      <c r="C440" s="51" t="n"/>
      <c r="D440" s="51" t="n"/>
      <c r="E440">
        <f>IF(OR(A440="",B440=""),"",B440-A440)</f>
        <v/>
      </c>
      <c r="F440" s="51" t="n"/>
    </row>
    <row r="441">
      <c r="A441" s="50" t="n"/>
      <c r="B441" s="50" t="n"/>
      <c r="C441" s="51" t="n"/>
      <c r="D441" s="51" t="n"/>
      <c r="E441">
        <f>IF(OR(A441="",B441=""),"",B441-A441)</f>
        <v/>
      </c>
      <c r="F441" s="51" t="n"/>
    </row>
    <row r="442">
      <c r="A442" s="50" t="n"/>
      <c r="B442" s="50" t="n"/>
      <c r="C442" s="51" t="n"/>
      <c r="D442" s="51" t="n"/>
      <c r="E442">
        <f>IF(OR(A442="",B442=""),"",B442-A442)</f>
        <v/>
      </c>
      <c r="F442" s="51" t="n"/>
    </row>
    <row r="443">
      <c r="A443" s="50" t="n"/>
      <c r="B443" s="50" t="n"/>
      <c r="C443" s="51" t="n"/>
      <c r="D443" s="51" t="n"/>
      <c r="E443">
        <f>IF(OR(A443="",B443=""),"",B443-A443)</f>
        <v/>
      </c>
      <c r="F443" s="51" t="n"/>
    </row>
    <row r="444">
      <c r="A444" s="50" t="n"/>
      <c r="B444" s="50" t="n"/>
      <c r="C444" s="51" t="n"/>
      <c r="D444" s="51" t="n"/>
      <c r="E444">
        <f>IF(OR(A444="",B444=""),"",B444-A444)</f>
        <v/>
      </c>
      <c r="F444" s="51" t="n"/>
    </row>
    <row r="445">
      <c r="A445" s="50" t="n"/>
      <c r="B445" s="50" t="n"/>
      <c r="C445" s="51" t="n"/>
      <c r="D445" s="51" t="n"/>
      <c r="E445">
        <f>IF(OR(A445="",B445=""),"",B445-A445)</f>
        <v/>
      </c>
      <c r="F445" s="51" t="n"/>
    </row>
    <row r="446">
      <c r="A446" s="50" t="n"/>
      <c r="B446" s="50" t="n"/>
      <c r="C446" s="51" t="n"/>
      <c r="D446" s="51" t="n"/>
      <c r="E446">
        <f>IF(OR(A446="",B446=""),"",B446-A446)</f>
        <v/>
      </c>
      <c r="F446" s="51" t="n"/>
    </row>
    <row r="447">
      <c r="A447" s="50" t="n"/>
      <c r="B447" s="50" t="n"/>
      <c r="C447" s="51" t="n"/>
      <c r="D447" s="51" t="n"/>
      <c r="E447">
        <f>IF(OR(A447="",B447=""),"",B447-A447)</f>
        <v/>
      </c>
      <c r="F447" s="51" t="n"/>
    </row>
    <row r="448">
      <c r="A448" s="50" t="n"/>
      <c r="B448" s="50" t="n"/>
      <c r="C448" s="51" t="n"/>
      <c r="D448" s="51" t="n"/>
      <c r="E448">
        <f>IF(OR(A448="",B448=""),"",B448-A448)</f>
        <v/>
      </c>
      <c r="F448" s="51" t="n"/>
    </row>
    <row r="449">
      <c r="A449" s="50" t="n"/>
      <c r="B449" s="50" t="n"/>
      <c r="C449" s="51" t="n"/>
      <c r="D449" s="51" t="n"/>
      <c r="E449">
        <f>IF(OR(A449="",B449=""),"",B449-A449)</f>
        <v/>
      </c>
      <c r="F449" s="51" t="n"/>
    </row>
    <row r="450">
      <c r="A450" s="50" t="n"/>
      <c r="B450" s="50" t="n"/>
      <c r="C450" s="51" t="n"/>
      <c r="D450" s="51" t="n"/>
      <c r="E450">
        <f>IF(OR(A450="",B450=""),"",B450-A450)</f>
        <v/>
      </c>
      <c r="F450" s="51" t="n"/>
    </row>
    <row r="451">
      <c r="A451" s="50" t="n"/>
      <c r="B451" s="50" t="n"/>
      <c r="C451" s="51" t="n"/>
      <c r="D451" s="51" t="n"/>
      <c r="E451">
        <f>IF(OR(A451="",B451=""),"",B451-A451)</f>
        <v/>
      </c>
      <c r="F451" s="51" t="n"/>
    </row>
    <row r="452">
      <c r="A452" s="50" t="n"/>
      <c r="B452" s="50" t="n"/>
      <c r="C452" s="51" t="n"/>
      <c r="D452" s="51" t="n"/>
      <c r="E452">
        <f>IF(OR(A452="",B452=""),"",B452-A452)</f>
        <v/>
      </c>
      <c r="F452" s="51" t="n"/>
    </row>
    <row r="453">
      <c r="A453" s="50" t="n"/>
      <c r="B453" s="50" t="n"/>
      <c r="C453" s="51" t="n"/>
      <c r="D453" s="51" t="n"/>
      <c r="E453">
        <f>IF(OR(A453="",B453=""),"",B453-A453)</f>
        <v/>
      </c>
      <c r="F453" s="51" t="n"/>
    </row>
    <row r="454">
      <c r="A454" s="50" t="n"/>
      <c r="B454" s="50" t="n"/>
      <c r="C454" s="51" t="n"/>
      <c r="D454" s="51" t="n"/>
      <c r="E454">
        <f>IF(OR(A454="",B454=""),"",B454-A454)</f>
        <v/>
      </c>
      <c r="F454" s="51" t="n"/>
    </row>
    <row r="455">
      <c r="A455" s="50" t="n"/>
      <c r="B455" s="50" t="n"/>
      <c r="C455" s="51" t="n"/>
      <c r="D455" s="51" t="n"/>
      <c r="E455">
        <f>IF(OR(A455="",B455=""),"",B455-A455)</f>
        <v/>
      </c>
      <c r="F455" s="51" t="n"/>
    </row>
    <row r="456">
      <c r="A456" s="50" t="n"/>
      <c r="B456" s="50" t="n"/>
      <c r="C456" s="51" t="n"/>
      <c r="D456" s="51" t="n"/>
      <c r="E456">
        <f>IF(OR(A456="",B456=""),"",B456-A456)</f>
        <v/>
      </c>
      <c r="F456" s="51" t="n"/>
    </row>
    <row r="457">
      <c r="A457" s="50" t="n"/>
      <c r="B457" s="50" t="n"/>
      <c r="C457" s="51" t="n"/>
      <c r="D457" s="51" t="n"/>
      <c r="E457">
        <f>IF(OR(A457="",B457=""),"",B457-A457)</f>
        <v/>
      </c>
      <c r="F457" s="51" t="n"/>
    </row>
    <row r="458">
      <c r="A458" s="50" t="n"/>
      <c r="B458" s="50" t="n"/>
      <c r="C458" s="51" t="n"/>
      <c r="D458" s="51" t="n"/>
      <c r="E458">
        <f>IF(OR(A458="",B458=""),"",B458-A458)</f>
        <v/>
      </c>
      <c r="F458" s="51" t="n"/>
    </row>
    <row r="459">
      <c r="A459" s="50" t="n"/>
      <c r="B459" s="50" t="n"/>
      <c r="C459" s="51" t="n"/>
      <c r="D459" s="51" t="n"/>
      <c r="E459">
        <f>IF(OR(A459="",B459=""),"",B459-A459)</f>
        <v/>
      </c>
      <c r="F459" s="51" t="n"/>
    </row>
    <row r="460">
      <c r="A460" s="50" t="n"/>
      <c r="B460" s="50" t="n"/>
      <c r="C460" s="51" t="n"/>
      <c r="D460" s="51" t="n"/>
      <c r="E460">
        <f>IF(OR(A460="",B460=""),"",B460-A460)</f>
        <v/>
      </c>
      <c r="F460" s="51" t="n"/>
    </row>
    <row r="461">
      <c r="A461" s="50" t="n"/>
      <c r="B461" s="50" t="n"/>
      <c r="C461" s="51" t="n"/>
      <c r="D461" s="51" t="n"/>
      <c r="E461">
        <f>IF(OR(A461="",B461=""),"",B461-A461)</f>
        <v/>
      </c>
      <c r="F461" s="51" t="n"/>
    </row>
    <row r="462">
      <c r="A462" s="50" t="n"/>
      <c r="B462" s="50" t="n"/>
      <c r="C462" s="51" t="n"/>
      <c r="D462" s="51" t="n"/>
      <c r="E462">
        <f>IF(OR(A462="",B462=""),"",B462-A462)</f>
        <v/>
      </c>
      <c r="F462" s="51" t="n"/>
    </row>
    <row r="463">
      <c r="A463" s="50" t="n"/>
      <c r="B463" s="50" t="n"/>
      <c r="C463" s="51" t="n"/>
      <c r="D463" s="51" t="n"/>
      <c r="E463">
        <f>IF(OR(A463="",B463=""),"",B463-A463)</f>
        <v/>
      </c>
      <c r="F463" s="51" t="n"/>
    </row>
    <row r="464">
      <c r="A464" s="50" t="n"/>
      <c r="B464" s="50" t="n"/>
      <c r="C464" s="51" t="n"/>
      <c r="D464" s="51" t="n"/>
      <c r="E464">
        <f>IF(OR(A464="",B464=""),"",B464-A464)</f>
        <v/>
      </c>
      <c r="F464" s="51" t="n"/>
    </row>
    <row r="465">
      <c r="A465" s="50" t="n"/>
      <c r="B465" s="50" t="n"/>
      <c r="C465" s="51" t="n"/>
      <c r="D465" s="51" t="n"/>
      <c r="E465">
        <f>IF(OR(A465="",B465=""),"",B465-A465)</f>
        <v/>
      </c>
      <c r="F465" s="51" t="n"/>
    </row>
    <row r="466">
      <c r="A466" s="50" t="n"/>
      <c r="B466" s="50" t="n"/>
      <c r="C466" s="51" t="n"/>
      <c r="D466" s="51" t="n"/>
      <c r="E466">
        <f>IF(OR(A466="",B466=""),"",B466-A466)</f>
        <v/>
      </c>
      <c r="F466" s="51" t="n"/>
    </row>
    <row r="467">
      <c r="A467" s="50" t="n"/>
      <c r="B467" s="50" t="n"/>
      <c r="C467" s="51" t="n"/>
      <c r="D467" s="51" t="n"/>
      <c r="E467">
        <f>IF(OR(A467="",B467=""),"",B467-A467)</f>
        <v/>
      </c>
      <c r="F467" s="51" t="n"/>
    </row>
    <row r="468">
      <c r="A468" s="50" t="n"/>
      <c r="B468" s="50" t="n"/>
      <c r="C468" s="51" t="n"/>
      <c r="D468" s="51" t="n"/>
      <c r="E468">
        <f>IF(OR(A468="",B468=""),"",B468-A468)</f>
        <v/>
      </c>
      <c r="F468" s="51" t="n"/>
    </row>
    <row r="469">
      <c r="A469" s="50" t="n"/>
      <c r="B469" s="50" t="n"/>
      <c r="C469" s="51" t="n"/>
      <c r="D469" s="51" t="n"/>
      <c r="E469">
        <f>IF(OR(A469="",B469=""),"",B469-A469)</f>
        <v/>
      </c>
      <c r="F469" s="51" t="n"/>
    </row>
    <row r="470">
      <c r="A470" s="50" t="n"/>
      <c r="B470" s="50" t="n"/>
      <c r="C470" s="51" t="n"/>
      <c r="D470" s="51" t="n"/>
      <c r="E470">
        <f>IF(OR(A470="",B470=""),"",B470-A470)</f>
        <v/>
      </c>
      <c r="F470" s="51" t="n"/>
    </row>
    <row r="471">
      <c r="A471" s="50" t="n"/>
      <c r="B471" s="50" t="n"/>
      <c r="C471" s="51" t="n"/>
      <c r="D471" s="51" t="n"/>
      <c r="E471">
        <f>IF(OR(A471="",B471=""),"",B471-A471)</f>
        <v/>
      </c>
      <c r="F471" s="51" t="n"/>
    </row>
    <row r="472">
      <c r="A472" s="50" t="n"/>
      <c r="B472" s="50" t="n"/>
      <c r="C472" s="51" t="n"/>
      <c r="D472" s="51" t="n"/>
      <c r="E472">
        <f>IF(OR(A472="",B472=""),"",B472-A472)</f>
        <v/>
      </c>
      <c r="F472" s="51" t="n"/>
    </row>
    <row r="473">
      <c r="A473" s="50" t="n"/>
      <c r="B473" s="50" t="n"/>
      <c r="C473" s="51" t="n"/>
      <c r="D473" s="51" t="n"/>
      <c r="E473">
        <f>IF(OR(A473="",B473=""),"",B473-A473)</f>
        <v/>
      </c>
      <c r="F473" s="51" t="n"/>
    </row>
    <row r="474">
      <c r="A474" s="50" t="n"/>
      <c r="B474" s="50" t="n"/>
      <c r="C474" s="51" t="n"/>
      <c r="D474" s="51" t="n"/>
      <c r="E474">
        <f>IF(OR(A474="",B474=""),"",B474-A474)</f>
        <v/>
      </c>
      <c r="F474" s="51" t="n"/>
    </row>
    <row r="475">
      <c r="A475" s="50" t="n"/>
      <c r="B475" s="50" t="n"/>
      <c r="C475" s="51" t="n"/>
      <c r="D475" s="51" t="n"/>
      <c r="E475">
        <f>IF(OR(A475="",B475=""),"",B475-A475)</f>
        <v/>
      </c>
      <c r="F475" s="51" t="n"/>
    </row>
    <row r="476">
      <c r="A476" s="50" t="n"/>
      <c r="B476" s="50" t="n"/>
      <c r="C476" s="51" t="n"/>
      <c r="D476" s="51" t="n"/>
      <c r="E476">
        <f>IF(OR(A476="",B476=""),"",B476-A476)</f>
        <v/>
      </c>
      <c r="F476" s="51" t="n"/>
    </row>
    <row r="477">
      <c r="A477" s="50" t="n"/>
      <c r="B477" s="50" t="n"/>
      <c r="C477" s="51" t="n"/>
      <c r="D477" s="51" t="n"/>
      <c r="E477">
        <f>IF(OR(A477="",B477=""),"",B477-A477)</f>
        <v/>
      </c>
      <c r="F477" s="51" t="n"/>
    </row>
    <row r="478">
      <c r="A478" s="50" t="n"/>
      <c r="B478" s="50" t="n"/>
      <c r="C478" s="51" t="n"/>
      <c r="D478" s="51" t="n"/>
      <c r="E478">
        <f>IF(OR(A478="",B478=""),"",B478-A478)</f>
        <v/>
      </c>
      <c r="F478" s="51" t="n"/>
    </row>
    <row r="479">
      <c r="A479" s="50" t="n"/>
      <c r="B479" s="50" t="n"/>
      <c r="C479" s="51" t="n"/>
      <c r="D479" s="51" t="n"/>
      <c r="E479">
        <f>IF(OR(A479="",B479=""),"",B479-A479)</f>
        <v/>
      </c>
      <c r="F479" s="51" t="n"/>
    </row>
    <row r="480">
      <c r="A480" s="50" t="n"/>
      <c r="B480" s="50" t="n"/>
      <c r="C480" s="51" t="n"/>
      <c r="D480" s="51" t="n"/>
      <c r="E480">
        <f>IF(OR(A480="",B480=""),"",B480-A480)</f>
        <v/>
      </c>
      <c r="F480" s="51" t="n"/>
    </row>
    <row r="481">
      <c r="A481" s="50" t="n"/>
      <c r="B481" s="50" t="n"/>
      <c r="C481" s="51" t="n"/>
      <c r="D481" s="51" t="n"/>
      <c r="E481">
        <f>IF(OR(A481="",B481=""),"",B481-A481)</f>
        <v/>
      </c>
      <c r="F481" s="51" t="n"/>
    </row>
    <row r="482">
      <c r="A482" s="50" t="n"/>
      <c r="B482" s="50" t="n"/>
      <c r="C482" s="51" t="n"/>
      <c r="D482" s="51" t="n"/>
      <c r="E482">
        <f>IF(OR(A482="",B482=""),"",B482-A482)</f>
        <v/>
      </c>
      <c r="F482" s="51" t="n"/>
    </row>
    <row r="483">
      <c r="A483" s="50" t="n"/>
      <c r="B483" s="50" t="n"/>
      <c r="C483" s="51" t="n"/>
      <c r="D483" s="51" t="n"/>
      <c r="E483">
        <f>IF(OR(A483="",B483=""),"",B483-A483)</f>
        <v/>
      </c>
      <c r="F483" s="51" t="n"/>
    </row>
    <row r="484">
      <c r="A484" s="50" t="n"/>
      <c r="B484" s="50" t="n"/>
      <c r="C484" s="51" t="n"/>
      <c r="D484" s="51" t="n"/>
      <c r="E484">
        <f>IF(OR(A484="",B484=""),"",B484-A484)</f>
        <v/>
      </c>
      <c r="F484" s="51" t="n"/>
    </row>
    <row r="485">
      <c r="A485" s="50" t="n"/>
      <c r="B485" s="50" t="n"/>
      <c r="C485" s="51" t="n"/>
      <c r="D485" s="51" t="n"/>
      <c r="E485">
        <f>IF(OR(A485="",B485=""),"",B485-A485)</f>
        <v/>
      </c>
      <c r="F485" s="51" t="n"/>
    </row>
    <row r="486">
      <c r="A486" s="50" t="n"/>
      <c r="B486" s="50" t="n"/>
      <c r="C486" s="51" t="n"/>
      <c r="D486" s="51" t="n"/>
      <c r="E486">
        <f>IF(OR(A486="",B486=""),"",B486-A486)</f>
        <v/>
      </c>
      <c r="F486" s="51" t="n"/>
    </row>
    <row r="487">
      <c r="A487" s="50" t="n"/>
      <c r="B487" s="50" t="n"/>
      <c r="C487" s="51" t="n"/>
      <c r="D487" s="51" t="n"/>
      <c r="E487">
        <f>IF(OR(A487="",B487=""),"",B487-A487)</f>
        <v/>
      </c>
      <c r="F487" s="51" t="n"/>
    </row>
    <row r="488">
      <c r="A488" s="50" t="n"/>
      <c r="B488" s="50" t="n"/>
      <c r="C488" s="51" t="n"/>
      <c r="D488" s="51" t="n"/>
      <c r="E488">
        <f>IF(OR(A488="",B488=""),"",B488-A488)</f>
        <v/>
      </c>
      <c r="F488" s="51" t="n"/>
    </row>
    <row r="489">
      <c r="A489" s="50" t="n"/>
      <c r="B489" s="50" t="n"/>
      <c r="C489" s="51" t="n"/>
      <c r="D489" s="51" t="n"/>
      <c r="E489">
        <f>IF(OR(A489="",B489=""),"",B489-A489)</f>
        <v/>
      </c>
      <c r="F489" s="51" t="n"/>
    </row>
    <row r="490">
      <c r="A490" s="50" t="n"/>
      <c r="B490" s="50" t="n"/>
      <c r="C490" s="51" t="n"/>
      <c r="D490" s="51" t="n"/>
      <c r="E490">
        <f>IF(OR(A490="",B490=""),"",B490-A490)</f>
        <v/>
      </c>
      <c r="F490" s="51" t="n"/>
    </row>
    <row r="491">
      <c r="A491" s="50" t="n"/>
      <c r="B491" s="50" t="n"/>
      <c r="C491" s="51" t="n"/>
      <c r="D491" s="51" t="n"/>
      <c r="E491">
        <f>IF(OR(A491="",B491=""),"",B491-A491)</f>
        <v/>
      </c>
      <c r="F491" s="51" t="n"/>
    </row>
    <row r="492">
      <c r="A492" s="50" t="n"/>
      <c r="B492" s="50" t="n"/>
      <c r="C492" s="51" t="n"/>
      <c r="D492" s="51" t="n"/>
      <c r="E492">
        <f>IF(OR(A492="",B492=""),"",B492-A492)</f>
        <v/>
      </c>
      <c r="F492" s="51" t="n"/>
    </row>
    <row r="493">
      <c r="A493" s="50" t="n"/>
      <c r="B493" s="50" t="n"/>
      <c r="C493" s="51" t="n"/>
      <c r="D493" s="51" t="n"/>
      <c r="E493">
        <f>IF(OR(A493="",B493=""),"",B493-A493)</f>
        <v/>
      </c>
      <c r="F493" s="51" t="n"/>
    </row>
    <row r="494">
      <c r="A494" s="50" t="n"/>
      <c r="B494" s="50" t="n"/>
      <c r="C494" s="51" t="n"/>
      <c r="D494" s="51" t="n"/>
      <c r="E494">
        <f>IF(OR(A494="",B494=""),"",B494-A494)</f>
        <v/>
      </c>
      <c r="F494" s="51" t="n"/>
    </row>
    <row r="495">
      <c r="A495" s="50" t="n"/>
      <c r="B495" s="50" t="n"/>
      <c r="C495" s="51" t="n"/>
      <c r="D495" s="51" t="n"/>
      <c r="E495">
        <f>IF(OR(A495="",B495=""),"",B495-A495)</f>
        <v/>
      </c>
      <c r="F495" s="51" t="n"/>
    </row>
    <row r="496">
      <c r="A496" s="50" t="n"/>
      <c r="B496" s="50" t="n"/>
      <c r="C496" s="51" t="n"/>
      <c r="D496" s="51" t="n"/>
      <c r="E496">
        <f>IF(OR(A496="",B496=""),"",B496-A496)</f>
        <v/>
      </c>
      <c r="F496" s="51" t="n"/>
    </row>
    <row r="497">
      <c r="A497" s="50" t="n"/>
      <c r="B497" s="50" t="n"/>
      <c r="C497" s="51" t="n"/>
      <c r="D497" s="51" t="n"/>
      <c r="E497">
        <f>IF(OR(A497="",B497=""),"",B497-A497)</f>
        <v/>
      </c>
      <c r="F497" s="51" t="n"/>
    </row>
    <row r="498">
      <c r="A498" s="50" t="n"/>
      <c r="B498" s="50" t="n"/>
      <c r="C498" s="51" t="n"/>
      <c r="D498" s="51" t="n"/>
      <c r="E498">
        <f>IF(OR(A498="",B498=""),"",B498-A498)</f>
        <v/>
      </c>
      <c r="F498" s="51" t="n"/>
    </row>
    <row r="499">
      <c r="A499" s="50" t="n"/>
      <c r="B499" s="50" t="n"/>
      <c r="C499" s="51" t="n"/>
      <c r="D499" s="51" t="n"/>
      <c r="E499">
        <f>IF(OR(A499="",B499=""),"",B499-A499)</f>
        <v/>
      </c>
      <c r="F499" s="51" t="n"/>
    </row>
    <row r="500">
      <c r="A500" s="50" t="n"/>
      <c r="B500" s="50" t="n"/>
      <c r="C500" s="51" t="n"/>
      <c r="D500" s="51" t="n"/>
      <c r="E500">
        <f>IF(OR(A500="",B500=""),"",B500-A500)</f>
        <v/>
      </c>
      <c r="F500" s="51" t="n"/>
    </row>
    <row r="501">
      <c r="A501" s="50" t="n"/>
      <c r="B501" s="50" t="n"/>
      <c r="C501" s="51" t="n"/>
      <c r="D501" s="51" t="n"/>
      <c r="E501">
        <f>IF(OR(A501="",B501=""),"",B501-A501)</f>
        <v/>
      </c>
      <c r="F501" s="51" t="n"/>
    </row>
    <row r="502">
      <c r="A502" s="50" t="n"/>
      <c r="B502" s="50" t="n"/>
      <c r="C502" s="51" t="n"/>
      <c r="D502" s="51" t="n"/>
      <c r="E502">
        <f>IF(OR(A502="",B502=""),"",B502-A502)</f>
        <v/>
      </c>
      <c r="F502" s="51" t="n"/>
    </row>
    <row r="503">
      <c r="A503" s="50" t="n"/>
      <c r="B503" s="50" t="n"/>
      <c r="C503" s="51" t="n"/>
      <c r="D503" s="51" t="n"/>
      <c r="E503">
        <f>IF(OR(A503="",B503=""),"",B503-A503)</f>
        <v/>
      </c>
      <c r="F503" s="51" t="n"/>
    </row>
    <row r="504">
      <c r="A504" s="50" t="n"/>
      <c r="B504" s="50" t="n"/>
      <c r="C504" s="51" t="n"/>
      <c r="D504" s="51" t="n"/>
      <c r="E504">
        <f>IF(OR(A504="",B504=""),"",B504-A504)</f>
        <v/>
      </c>
      <c r="F504" s="51" t="n"/>
    </row>
    <row r="505">
      <c r="A505" s="50" t="n"/>
      <c r="B505" s="50" t="n"/>
      <c r="C505" s="51" t="n"/>
      <c r="D505" s="51" t="n"/>
      <c r="E505">
        <f>IF(OR(A505="",B505=""),"",B505-A505)</f>
        <v/>
      </c>
      <c r="F505" s="51" t="n"/>
    </row>
    <row r="506">
      <c r="A506" s="50" t="n"/>
      <c r="B506" s="50" t="n"/>
      <c r="C506" s="51" t="n"/>
      <c r="D506" s="51" t="n"/>
      <c r="E506">
        <f>IF(OR(A506="",B506=""),"",B506-A506)</f>
        <v/>
      </c>
      <c r="F506" s="51" t="n"/>
    </row>
    <row r="507">
      <c r="A507" s="50" t="n"/>
      <c r="B507" s="50" t="n"/>
      <c r="C507" s="51" t="n"/>
      <c r="D507" s="51" t="n"/>
      <c r="E507">
        <f>IF(OR(A507="",B507=""),"",B507-A507)</f>
        <v/>
      </c>
      <c r="F507" s="51" t="n"/>
    </row>
    <row r="508">
      <c r="A508" s="50" t="n"/>
      <c r="B508" s="50" t="n"/>
      <c r="C508" s="51" t="n"/>
      <c r="D508" s="51" t="n"/>
      <c r="E508">
        <f>IF(OR(A508="",B508=""),"",B508-A508)</f>
        <v/>
      </c>
      <c r="F508" s="51" t="n"/>
    </row>
    <row r="509">
      <c r="A509" s="50" t="n"/>
      <c r="B509" s="50" t="n"/>
      <c r="C509" s="51" t="n"/>
      <c r="D509" s="51" t="n"/>
      <c r="E509">
        <f>IF(OR(A509="",B509=""),"",B509-A509)</f>
        <v/>
      </c>
      <c r="F509" s="51" t="n"/>
    </row>
    <row r="510">
      <c r="A510" s="50" t="n"/>
      <c r="B510" s="50" t="n"/>
      <c r="C510" s="51" t="n"/>
      <c r="D510" s="51" t="n"/>
      <c r="E510">
        <f>IF(OR(A510="",B510=""),"",B510-A510)</f>
        <v/>
      </c>
      <c r="F510" s="51" t="n"/>
    </row>
    <row r="511">
      <c r="A511" s="50" t="n"/>
      <c r="B511" s="50" t="n"/>
      <c r="C511" s="51" t="n"/>
      <c r="D511" s="51" t="n"/>
      <c r="E511">
        <f>IF(OR(A511="",B511=""),"",B511-A511)</f>
        <v/>
      </c>
      <c r="F511" s="51" t="n"/>
    </row>
    <row r="512">
      <c r="A512" s="50" t="n"/>
      <c r="B512" s="50" t="n"/>
      <c r="C512" s="51" t="n"/>
      <c r="D512" s="51" t="n"/>
      <c r="E512">
        <f>IF(OR(A512="",B512=""),"",B512-A512)</f>
        <v/>
      </c>
      <c r="F512" s="51" t="n"/>
    </row>
    <row r="513">
      <c r="A513" s="50" t="n"/>
      <c r="B513" s="50" t="n"/>
      <c r="C513" s="51" t="n"/>
      <c r="D513" s="51" t="n"/>
      <c r="E513">
        <f>IF(OR(A513="",B513=""),"",B513-A513)</f>
        <v/>
      </c>
      <c r="F513" s="51" t="n"/>
    </row>
    <row r="514">
      <c r="A514" s="50" t="n"/>
      <c r="B514" s="50" t="n"/>
      <c r="C514" s="51" t="n"/>
      <c r="D514" s="51" t="n"/>
      <c r="E514">
        <f>IF(OR(A514="",B514=""),"",B514-A514)</f>
        <v/>
      </c>
      <c r="F514" s="51" t="n"/>
    </row>
    <row r="515">
      <c r="A515" s="50" t="n"/>
      <c r="B515" s="50" t="n"/>
      <c r="C515" s="51" t="n"/>
      <c r="D515" s="51" t="n"/>
      <c r="E515">
        <f>IF(OR(A515="",B515=""),"",B515-A515)</f>
        <v/>
      </c>
      <c r="F515" s="51" t="n"/>
    </row>
    <row r="516">
      <c r="A516" s="50" t="n"/>
      <c r="B516" s="50" t="n"/>
      <c r="C516" s="51" t="n"/>
      <c r="D516" s="51" t="n"/>
      <c r="E516">
        <f>IF(OR(A516="",B516=""),"",B516-A516)</f>
        <v/>
      </c>
      <c r="F516" s="51" t="n"/>
    </row>
    <row r="517">
      <c r="A517" s="50" t="n"/>
      <c r="B517" s="50" t="n"/>
      <c r="C517" s="51" t="n"/>
      <c r="D517" s="51" t="n"/>
      <c r="E517">
        <f>IF(OR(A517="",B517=""),"",B517-A517)</f>
        <v/>
      </c>
      <c r="F517" s="51" t="n"/>
    </row>
    <row r="518">
      <c r="A518" s="50" t="n"/>
      <c r="B518" s="50" t="n"/>
      <c r="C518" s="51" t="n"/>
      <c r="D518" s="51" t="n"/>
      <c r="E518">
        <f>IF(OR(A518="",B518=""),"",B518-A518)</f>
        <v/>
      </c>
      <c r="F518" s="51" t="n"/>
    </row>
    <row r="519">
      <c r="A519" s="50" t="n"/>
      <c r="B519" s="50" t="n"/>
      <c r="C519" s="51" t="n"/>
      <c r="D519" s="51" t="n"/>
      <c r="E519">
        <f>IF(OR(A519="",B519=""),"",B519-A519)</f>
        <v/>
      </c>
      <c r="F519" s="51" t="n"/>
    </row>
    <row r="520">
      <c r="A520" s="50" t="n"/>
      <c r="B520" s="50" t="n"/>
      <c r="C520" s="51" t="n"/>
      <c r="D520" s="51" t="n"/>
      <c r="E520">
        <f>IF(OR(A520="",B520=""),"",B520-A520)</f>
        <v/>
      </c>
      <c r="F520" s="51" t="n"/>
    </row>
    <row r="521">
      <c r="A521" s="50" t="n"/>
      <c r="B521" s="50" t="n"/>
      <c r="C521" s="51" t="n"/>
      <c r="D521" s="51" t="n"/>
      <c r="E521">
        <f>IF(OR(A521="",B521=""),"",B521-A521)</f>
        <v/>
      </c>
      <c r="F521" s="51" t="n"/>
    </row>
    <row r="522">
      <c r="A522" s="50" t="n"/>
      <c r="B522" s="50" t="n"/>
      <c r="C522" s="51" t="n"/>
      <c r="D522" s="51" t="n"/>
      <c r="E522">
        <f>IF(OR(A522="",B522=""),"",B522-A522)</f>
        <v/>
      </c>
      <c r="F522" s="51" t="n"/>
    </row>
    <row r="523">
      <c r="A523" s="50" t="n"/>
      <c r="B523" s="50" t="n"/>
      <c r="C523" s="51" t="n"/>
      <c r="D523" s="51" t="n"/>
      <c r="E523">
        <f>IF(OR(A523="",B523=""),"",B523-A523)</f>
        <v/>
      </c>
      <c r="F523" s="51" t="n"/>
    </row>
    <row r="524">
      <c r="A524" s="50" t="n"/>
      <c r="B524" s="50" t="n"/>
      <c r="C524" s="51" t="n"/>
      <c r="D524" s="51" t="n"/>
      <c r="E524">
        <f>IF(OR(A524="",B524=""),"",B524-A524)</f>
        <v/>
      </c>
      <c r="F524" s="51" t="n"/>
    </row>
    <row r="525">
      <c r="A525" s="50" t="n"/>
      <c r="B525" s="50" t="n"/>
      <c r="C525" s="51" t="n"/>
      <c r="D525" s="51" t="n"/>
      <c r="E525">
        <f>IF(OR(A525="",B525=""),"",B525-A525)</f>
        <v/>
      </c>
      <c r="F525" s="51" t="n"/>
    </row>
    <row r="526">
      <c r="A526" s="50" t="n"/>
      <c r="B526" s="50" t="n"/>
      <c r="C526" s="51" t="n"/>
      <c r="D526" s="51" t="n"/>
      <c r="E526">
        <f>IF(OR(A526="",B526=""),"",B526-A526)</f>
        <v/>
      </c>
      <c r="F526" s="51" t="n"/>
    </row>
    <row r="527">
      <c r="A527" s="50" t="n"/>
      <c r="B527" s="50" t="n"/>
      <c r="C527" s="51" t="n"/>
      <c r="D527" s="51" t="n"/>
      <c r="E527">
        <f>IF(OR(A527="",B527=""),"",B527-A527)</f>
        <v/>
      </c>
      <c r="F527" s="51" t="n"/>
    </row>
    <row r="528">
      <c r="A528" s="50" t="n"/>
      <c r="B528" s="50" t="n"/>
      <c r="C528" s="51" t="n"/>
      <c r="D528" s="51" t="n"/>
      <c r="E528">
        <f>IF(OR(A528="",B528=""),"",B528-A528)</f>
        <v/>
      </c>
      <c r="F528" s="51" t="n"/>
    </row>
    <row r="529">
      <c r="A529" s="50" t="n"/>
      <c r="B529" s="50" t="n"/>
      <c r="C529" s="51" t="n"/>
      <c r="D529" s="51" t="n"/>
      <c r="E529">
        <f>IF(OR(A529="",B529=""),"",B529-A529)</f>
        <v/>
      </c>
      <c r="F529" s="51" t="n"/>
    </row>
    <row r="530">
      <c r="A530" s="50" t="n"/>
      <c r="B530" s="50" t="n"/>
      <c r="C530" s="51" t="n"/>
      <c r="D530" s="51" t="n"/>
      <c r="E530">
        <f>IF(OR(A530="",B530=""),"",B530-A530)</f>
        <v/>
      </c>
      <c r="F530" s="51" t="n"/>
    </row>
    <row r="531">
      <c r="A531" s="50" t="n"/>
      <c r="B531" s="50" t="n"/>
      <c r="C531" s="51" t="n"/>
      <c r="D531" s="51" t="n"/>
      <c r="E531">
        <f>IF(OR(A531="",B531=""),"",B531-A531)</f>
        <v/>
      </c>
      <c r="F531" s="51" t="n"/>
    </row>
    <row r="532">
      <c r="A532" s="50" t="n"/>
      <c r="B532" s="50" t="n"/>
      <c r="C532" s="51" t="n"/>
      <c r="D532" s="51" t="n"/>
      <c r="E532">
        <f>IF(OR(A532="",B532=""),"",B532-A532)</f>
        <v/>
      </c>
      <c r="F532" s="51" t="n"/>
    </row>
    <row r="533">
      <c r="A533" s="50" t="n"/>
      <c r="B533" s="50" t="n"/>
      <c r="C533" s="51" t="n"/>
      <c r="D533" s="51" t="n"/>
      <c r="E533">
        <f>IF(OR(A533="",B533=""),"",B533-A533)</f>
        <v/>
      </c>
      <c r="F533" s="51" t="n"/>
    </row>
    <row r="534">
      <c r="A534" s="50" t="n"/>
      <c r="B534" s="50" t="n"/>
      <c r="C534" s="51" t="n"/>
      <c r="D534" s="51" t="n"/>
      <c r="E534">
        <f>IF(OR(A534="",B534=""),"",B534-A534)</f>
        <v/>
      </c>
      <c r="F534" s="51" t="n"/>
    </row>
    <row r="535">
      <c r="A535" s="50" t="n"/>
      <c r="B535" s="50" t="n"/>
      <c r="C535" s="51" t="n"/>
      <c r="D535" s="51" t="n"/>
      <c r="E535">
        <f>IF(OR(A535="",B535=""),"",B535-A535)</f>
        <v/>
      </c>
      <c r="F535" s="51" t="n"/>
    </row>
    <row r="536">
      <c r="A536" s="50" t="n"/>
      <c r="B536" s="50" t="n"/>
      <c r="C536" s="51" t="n"/>
      <c r="D536" s="51" t="n"/>
      <c r="E536">
        <f>IF(OR(A536="",B536=""),"",B536-A536)</f>
        <v/>
      </c>
      <c r="F536" s="51" t="n"/>
    </row>
    <row r="537">
      <c r="A537" s="50" t="n"/>
      <c r="B537" s="50" t="n"/>
      <c r="C537" s="51" t="n"/>
      <c r="D537" s="51" t="n"/>
      <c r="E537">
        <f>IF(OR(A537="",B537=""),"",B537-A537)</f>
        <v/>
      </c>
      <c r="F537" s="51" t="n"/>
    </row>
    <row r="538">
      <c r="A538" s="50" t="n"/>
      <c r="B538" s="50" t="n"/>
      <c r="C538" s="51" t="n"/>
      <c r="D538" s="51" t="n"/>
      <c r="E538">
        <f>IF(OR(A538="",B538=""),"",B538-A538)</f>
        <v/>
      </c>
      <c r="F538" s="51" t="n"/>
    </row>
    <row r="539">
      <c r="A539" s="50" t="n"/>
      <c r="B539" s="50" t="n"/>
      <c r="C539" s="51" t="n"/>
      <c r="D539" s="51" t="n"/>
      <c r="E539">
        <f>IF(OR(A539="",B539=""),"",B539-A539)</f>
        <v/>
      </c>
      <c r="F539" s="51" t="n"/>
    </row>
    <row r="540">
      <c r="A540" s="50" t="n"/>
      <c r="B540" s="50" t="n"/>
      <c r="C540" s="51" t="n"/>
      <c r="D540" s="51" t="n"/>
      <c r="E540">
        <f>IF(OR(A540="",B540=""),"",B540-A540)</f>
        <v/>
      </c>
      <c r="F540" s="51" t="n"/>
    </row>
    <row r="541">
      <c r="A541" s="50" t="n"/>
      <c r="B541" s="50" t="n"/>
      <c r="C541" s="51" t="n"/>
      <c r="D541" s="51" t="n"/>
      <c r="E541">
        <f>IF(OR(A541="",B541=""),"",B541-A541)</f>
        <v/>
      </c>
      <c r="F541" s="51" t="n"/>
    </row>
    <row r="542">
      <c r="A542" s="50" t="n"/>
      <c r="B542" s="50" t="n"/>
      <c r="C542" s="51" t="n"/>
      <c r="D542" s="51" t="n"/>
      <c r="E542">
        <f>IF(OR(A542="",B542=""),"",B542-A542)</f>
        <v/>
      </c>
      <c r="F542" s="51" t="n"/>
    </row>
    <row r="543">
      <c r="A543" s="50" t="n"/>
      <c r="B543" s="50" t="n"/>
      <c r="C543" s="51" t="n"/>
      <c r="D543" s="51" t="n"/>
      <c r="E543">
        <f>IF(OR(A543="",B543=""),"",B543-A543)</f>
        <v/>
      </c>
      <c r="F543" s="51" t="n"/>
    </row>
    <row r="544">
      <c r="A544" s="50" t="n"/>
      <c r="B544" s="50" t="n"/>
      <c r="C544" s="51" t="n"/>
      <c r="D544" s="51" t="n"/>
      <c r="E544">
        <f>IF(OR(A544="",B544=""),"",B544-A544)</f>
        <v/>
      </c>
      <c r="F544" s="51" t="n"/>
    </row>
    <row r="545">
      <c r="A545" s="50" t="n"/>
      <c r="B545" s="50" t="n"/>
      <c r="C545" s="51" t="n"/>
      <c r="D545" s="51" t="n"/>
      <c r="E545">
        <f>IF(OR(A545="",B545=""),"",B545-A545)</f>
        <v/>
      </c>
      <c r="F545" s="51" t="n"/>
    </row>
    <row r="546">
      <c r="A546" s="50" t="n"/>
      <c r="B546" s="50" t="n"/>
      <c r="C546" s="51" t="n"/>
      <c r="D546" s="51" t="n"/>
      <c r="E546">
        <f>IF(OR(A546="",B546=""),"",B546-A546)</f>
        <v/>
      </c>
      <c r="F546" s="51" t="n"/>
    </row>
    <row r="547">
      <c r="A547" s="50" t="n"/>
      <c r="B547" s="50" t="n"/>
      <c r="C547" s="51" t="n"/>
      <c r="D547" s="51" t="n"/>
      <c r="E547">
        <f>IF(OR(A547="",B547=""),"",B547-A547)</f>
        <v/>
      </c>
      <c r="F547" s="51" t="n"/>
    </row>
    <row r="548">
      <c r="A548" s="50" t="n"/>
      <c r="B548" s="50" t="n"/>
      <c r="C548" s="51" t="n"/>
      <c r="D548" s="51" t="n"/>
      <c r="E548">
        <f>IF(OR(A548="",B548=""),"",B548-A548)</f>
        <v/>
      </c>
      <c r="F548" s="51" t="n"/>
    </row>
    <row r="549">
      <c r="A549" s="50" t="n"/>
      <c r="B549" s="50" t="n"/>
      <c r="C549" s="51" t="n"/>
      <c r="D549" s="51" t="n"/>
      <c r="E549">
        <f>IF(OR(A549="",B549=""),"",B549-A549)</f>
        <v/>
      </c>
      <c r="F549" s="51" t="n"/>
    </row>
    <row r="550">
      <c r="A550" s="50" t="n"/>
      <c r="B550" s="50" t="n"/>
      <c r="C550" s="51" t="n"/>
      <c r="D550" s="51" t="n"/>
      <c r="E550">
        <f>IF(OR(A550="",B550=""),"",B550-A550)</f>
        <v/>
      </c>
      <c r="F550" s="51" t="n"/>
    </row>
    <row r="551">
      <c r="A551" s="50" t="n"/>
      <c r="B551" s="50" t="n"/>
      <c r="C551" s="51" t="n"/>
      <c r="D551" s="51" t="n"/>
      <c r="E551">
        <f>IF(OR(A551="",B551=""),"",B551-A551)</f>
        <v/>
      </c>
      <c r="F551" s="51" t="n"/>
    </row>
    <row r="552">
      <c r="A552" s="50" t="n"/>
      <c r="B552" s="50" t="n"/>
      <c r="C552" s="51" t="n"/>
      <c r="D552" s="51" t="n"/>
      <c r="E552">
        <f>IF(OR(A552="",B552=""),"",B552-A552)</f>
        <v/>
      </c>
      <c r="F552" s="51" t="n"/>
    </row>
    <row r="553">
      <c r="A553" s="50" t="n"/>
      <c r="B553" s="50" t="n"/>
      <c r="C553" s="51" t="n"/>
      <c r="D553" s="51" t="n"/>
      <c r="E553">
        <f>IF(OR(A553="",B553=""),"",B553-A553)</f>
        <v/>
      </c>
      <c r="F553" s="51" t="n"/>
    </row>
    <row r="554">
      <c r="A554" s="50" t="n"/>
      <c r="B554" s="50" t="n"/>
      <c r="C554" s="51" t="n"/>
      <c r="D554" s="51" t="n"/>
      <c r="E554">
        <f>IF(OR(A554="",B554=""),"",B554-A554)</f>
        <v/>
      </c>
      <c r="F554" s="51" t="n"/>
    </row>
    <row r="555">
      <c r="A555" s="50" t="n"/>
      <c r="B555" s="50" t="n"/>
      <c r="C555" s="51" t="n"/>
      <c r="D555" s="51" t="n"/>
      <c r="E555">
        <f>IF(OR(A555="",B555=""),"",B555-A555)</f>
        <v/>
      </c>
      <c r="F555" s="51" t="n"/>
    </row>
    <row r="556">
      <c r="A556" s="50" t="n"/>
      <c r="B556" s="50" t="n"/>
      <c r="C556" s="51" t="n"/>
      <c r="D556" s="51" t="n"/>
      <c r="E556">
        <f>IF(OR(A556="",B556=""),"",B556-A556)</f>
        <v/>
      </c>
      <c r="F556" s="51" t="n"/>
    </row>
    <row r="557">
      <c r="A557" s="50" t="n"/>
      <c r="B557" s="50" t="n"/>
      <c r="C557" s="51" t="n"/>
      <c r="D557" s="51" t="n"/>
      <c r="E557">
        <f>IF(OR(A557="",B557=""),"",B557-A557)</f>
        <v/>
      </c>
      <c r="F557" s="51" t="n"/>
    </row>
    <row r="558">
      <c r="A558" s="50" t="n"/>
      <c r="B558" s="50" t="n"/>
      <c r="C558" s="51" t="n"/>
      <c r="D558" s="51" t="n"/>
      <c r="E558">
        <f>IF(OR(A558="",B558=""),"",B558-A558)</f>
        <v/>
      </c>
      <c r="F558" s="51" t="n"/>
    </row>
    <row r="559">
      <c r="A559" s="50" t="n"/>
      <c r="B559" s="50" t="n"/>
      <c r="C559" s="51" t="n"/>
      <c r="D559" s="51" t="n"/>
      <c r="E559">
        <f>IF(OR(A559="",B559=""),"",B559-A559)</f>
        <v/>
      </c>
      <c r="F559" s="51" t="n"/>
    </row>
    <row r="560">
      <c r="A560" s="50" t="n"/>
      <c r="B560" s="50" t="n"/>
      <c r="C560" s="51" t="n"/>
      <c r="D560" s="51" t="n"/>
      <c r="E560">
        <f>IF(OR(A560="",B560=""),"",B560-A560)</f>
        <v/>
      </c>
      <c r="F560" s="51" t="n"/>
    </row>
    <row r="561">
      <c r="A561" s="50" t="n"/>
      <c r="B561" s="50" t="n"/>
      <c r="C561" s="51" t="n"/>
      <c r="D561" s="51" t="n"/>
      <c r="E561">
        <f>IF(OR(A561="",B561=""),"",B561-A561)</f>
        <v/>
      </c>
      <c r="F561" s="51" t="n"/>
    </row>
    <row r="562">
      <c r="A562" s="50" t="n"/>
      <c r="B562" s="50" t="n"/>
      <c r="C562" s="51" t="n"/>
      <c r="D562" s="51" t="n"/>
      <c r="E562">
        <f>IF(OR(A562="",B562=""),"",B562-A562)</f>
        <v/>
      </c>
      <c r="F562" s="51" t="n"/>
    </row>
    <row r="563">
      <c r="A563" s="50" t="n"/>
      <c r="B563" s="50" t="n"/>
      <c r="C563" s="51" t="n"/>
      <c r="D563" s="51" t="n"/>
      <c r="E563">
        <f>IF(OR(A563="",B563=""),"",B563-A563)</f>
        <v/>
      </c>
      <c r="F563" s="51" t="n"/>
    </row>
    <row r="564">
      <c r="A564" s="50" t="n"/>
      <c r="B564" s="50" t="n"/>
      <c r="C564" s="51" t="n"/>
      <c r="D564" s="51" t="n"/>
      <c r="E564">
        <f>IF(OR(A564="",B564=""),"",B564-A564)</f>
        <v/>
      </c>
      <c r="F564" s="51" t="n"/>
    </row>
    <row r="565">
      <c r="A565" s="50" t="n"/>
      <c r="B565" s="50" t="n"/>
      <c r="C565" s="51" t="n"/>
      <c r="D565" s="51" t="n"/>
      <c r="E565">
        <f>IF(OR(A565="",B565=""),"",B565-A565)</f>
        <v/>
      </c>
      <c r="F565" s="51" t="n"/>
    </row>
    <row r="566">
      <c r="A566" s="50" t="n"/>
      <c r="B566" s="50" t="n"/>
      <c r="C566" s="51" t="n"/>
      <c r="D566" s="51" t="n"/>
      <c r="E566">
        <f>IF(OR(A566="",B566=""),"",B566-A566)</f>
        <v/>
      </c>
      <c r="F566" s="51" t="n"/>
    </row>
    <row r="567">
      <c r="A567" s="50" t="n"/>
      <c r="B567" s="50" t="n"/>
      <c r="C567" s="51" t="n"/>
      <c r="D567" s="51" t="n"/>
      <c r="E567">
        <f>IF(OR(A567="",B567=""),"",B567-A567)</f>
        <v/>
      </c>
      <c r="F567" s="51" t="n"/>
    </row>
    <row r="568">
      <c r="A568" s="50" t="n"/>
      <c r="B568" s="50" t="n"/>
      <c r="C568" s="51" t="n"/>
      <c r="D568" s="51" t="n"/>
      <c r="E568">
        <f>IF(OR(A568="",B568=""),"",B568-A568)</f>
        <v/>
      </c>
      <c r="F568" s="51" t="n"/>
    </row>
    <row r="569">
      <c r="A569" s="50" t="n"/>
      <c r="B569" s="50" t="n"/>
      <c r="C569" s="51" t="n"/>
      <c r="D569" s="51" t="n"/>
      <c r="E569">
        <f>IF(OR(A569="",B569=""),"",B569-A569)</f>
        <v/>
      </c>
      <c r="F569" s="51" t="n"/>
    </row>
    <row r="570">
      <c r="A570" s="50" t="n"/>
      <c r="B570" s="50" t="n"/>
      <c r="C570" s="51" t="n"/>
      <c r="D570" s="51" t="n"/>
      <c r="E570">
        <f>IF(OR(A570="",B570=""),"",B570-A570)</f>
        <v/>
      </c>
      <c r="F570" s="51" t="n"/>
    </row>
    <row r="571">
      <c r="A571" s="50" t="n"/>
      <c r="B571" s="50" t="n"/>
      <c r="C571" s="51" t="n"/>
      <c r="D571" s="51" t="n"/>
      <c r="E571">
        <f>IF(OR(A571="",B571=""),"",B571-A571)</f>
        <v/>
      </c>
      <c r="F571" s="51" t="n"/>
    </row>
    <row r="572">
      <c r="A572" s="50" t="n"/>
      <c r="B572" s="50" t="n"/>
      <c r="C572" s="51" t="n"/>
      <c r="D572" s="51" t="n"/>
      <c r="E572">
        <f>IF(OR(A572="",B572=""),"",B572-A572)</f>
        <v/>
      </c>
      <c r="F572" s="51" t="n"/>
    </row>
    <row r="573">
      <c r="A573" s="50" t="n"/>
      <c r="B573" s="50" t="n"/>
      <c r="C573" s="51" t="n"/>
      <c r="D573" s="51" t="n"/>
      <c r="E573">
        <f>IF(OR(A573="",B573=""),"",B573-A573)</f>
        <v/>
      </c>
      <c r="F573" s="51" t="n"/>
    </row>
    <row r="574">
      <c r="A574" s="50" t="n"/>
      <c r="B574" s="50" t="n"/>
      <c r="C574" s="51" t="n"/>
      <c r="D574" s="51" t="n"/>
      <c r="E574">
        <f>IF(OR(A574="",B574=""),"",B574-A574)</f>
        <v/>
      </c>
      <c r="F574" s="51" t="n"/>
    </row>
    <row r="575">
      <c r="A575" s="50" t="n"/>
      <c r="B575" s="50" t="n"/>
      <c r="C575" s="51" t="n"/>
      <c r="D575" s="51" t="n"/>
      <c r="E575">
        <f>IF(OR(A575="",B575=""),"",B575-A575)</f>
        <v/>
      </c>
      <c r="F575" s="51" t="n"/>
    </row>
    <row r="576">
      <c r="A576" s="50" t="n"/>
      <c r="B576" s="50" t="n"/>
      <c r="C576" s="51" t="n"/>
      <c r="D576" s="51" t="n"/>
      <c r="E576">
        <f>IF(OR(A576="",B576=""),"",B576-A576)</f>
        <v/>
      </c>
      <c r="F576" s="51" t="n"/>
    </row>
    <row r="577">
      <c r="A577" s="50" t="n"/>
      <c r="B577" s="50" t="n"/>
      <c r="C577" s="51" t="n"/>
      <c r="D577" s="51" t="n"/>
      <c r="E577">
        <f>IF(OR(A577="",B577=""),"",B577-A577)</f>
        <v/>
      </c>
      <c r="F577" s="51" t="n"/>
    </row>
    <row r="578">
      <c r="A578" s="50" t="n"/>
      <c r="B578" s="50" t="n"/>
      <c r="C578" s="51" t="n"/>
      <c r="D578" s="51" t="n"/>
      <c r="E578">
        <f>IF(OR(A578="",B578=""),"",B578-A578)</f>
        <v/>
      </c>
      <c r="F578" s="51" t="n"/>
    </row>
    <row r="579">
      <c r="A579" s="50" t="n"/>
      <c r="B579" s="50" t="n"/>
      <c r="C579" s="51" t="n"/>
      <c r="D579" s="51" t="n"/>
      <c r="E579">
        <f>IF(OR(A579="",B579=""),"",B579-A579)</f>
        <v/>
      </c>
      <c r="F579" s="51" t="n"/>
    </row>
    <row r="580">
      <c r="A580" s="50" t="n"/>
      <c r="B580" s="50" t="n"/>
      <c r="C580" s="51" t="n"/>
      <c r="D580" s="51" t="n"/>
      <c r="E580">
        <f>IF(OR(A580="",B580=""),"",B580-A580)</f>
        <v/>
      </c>
      <c r="F580" s="51" t="n"/>
    </row>
    <row r="581">
      <c r="A581" s="50" t="n"/>
      <c r="B581" s="50" t="n"/>
      <c r="C581" s="51" t="n"/>
      <c r="D581" s="51" t="n"/>
      <c r="E581">
        <f>IF(OR(A581="",B581=""),"",B581-A581)</f>
        <v/>
      </c>
      <c r="F581" s="51" t="n"/>
    </row>
    <row r="582">
      <c r="A582" s="50" t="n"/>
      <c r="B582" s="50" t="n"/>
      <c r="C582" s="51" t="n"/>
      <c r="D582" s="51" t="n"/>
      <c r="E582">
        <f>IF(OR(A582="",B582=""),"",B582-A582)</f>
        <v/>
      </c>
      <c r="F582" s="51" t="n"/>
    </row>
    <row r="583">
      <c r="A583" s="50" t="n"/>
      <c r="B583" s="50" t="n"/>
      <c r="C583" s="51" t="n"/>
      <c r="D583" s="51" t="n"/>
      <c r="E583">
        <f>IF(OR(A583="",B583=""),"",B583-A583)</f>
        <v/>
      </c>
      <c r="F583" s="51" t="n"/>
    </row>
    <row r="584">
      <c r="A584" s="50" t="n"/>
      <c r="B584" s="50" t="n"/>
      <c r="C584" s="51" t="n"/>
      <c r="D584" s="51" t="n"/>
      <c r="E584">
        <f>IF(OR(A584="",B584=""),"",B584-A584)</f>
        <v/>
      </c>
      <c r="F584" s="51" t="n"/>
    </row>
    <row r="585">
      <c r="A585" s="50" t="n"/>
      <c r="B585" s="50" t="n"/>
      <c r="C585" s="51" t="n"/>
      <c r="D585" s="51" t="n"/>
      <c r="E585">
        <f>IF(OR(A585="",B585=""),"",B585-A585)</f>
        <v/>
      </c>
      <c r="F585" s="51" t="n"/>
    </row>
    <row r="586">
      <c r="A586" s="50" t="n"/>
      <c r="B586" s="50" t="n"/>
      <c r="C586" s="51" t="n"/>
      <c r="D586" s="51" t="n"/>
      <c r="E586">
        <f>IF(OR(A586="",B586=""),"",B586-A586)</f>
        <v/>
      </c>
      <c r="F586" s="51" t="n"/>
    </row>
    <row r="587">
      <c r="A587" s="50" t="n"/>
      <c r="B587" s="50" t="n"/>
      <c r="C587" s="51" t="n"/>
      <c r="D587" s="51" t="n"/>
      <c r="E587">
        <f>IF(OR(A587="",B587=""),"",B587-A587)</f>
        <v/>
      </c>
      <c r="F587" s="51" t="n"/>
    </row>
    <row r="588">
      <c r="A588" s="50" t="n"/>
      <c r="B588" s="50" t="n"/>
      <c r="C588" s="51" t="n"/>
      <c r="D588" s="51" t="n"/>
      <c r="E588">
        <f>IF(OR(A588="",B588=""),"",B588-A588)</f>
        <v/>
      </c>
      <c r="F588" s="51" t="n"/>
    </row>
    <row r="589">
      <c r="A589" s="50" t="n"/>
      <c r="B589" s="50" t="n"/>
      <c r="C589" s="51" t="n"/>
      <c r="D589" s="51" t="n"/>
      <c r="E589">
        <f>IF(OR(A589="",B589=""),"",B589-A589)</f>
        <v/>
      </c>
      <c r="F589" s="51" t="n"/>
    </row>
    <row r="590">
      <c r="A590" s="50" t="n"/>
      <c r="B590" s="50" t="n"/>
      <c r="C590" s="51" t="n"/>
      <c r="D590" s="51" t="n"/>
      <c r="E590">
        <f>IF(OR(A590="",B590=""),"",B590-A590)</f>
        <v/>
      </c>
      <c r="F590" s="51" t="n"/>
    </row>
    <row r="591">
      <c r="A591" s="50" t="n"/>
      <c r="B591" s="50" t="n"/>
      <c r="C591" s="51" t="n"/>
      <c r="D591" s="51" t="n"/>
      <c r="E591">
        <f>IF(OR(A591="",B591=""),"",B591-A591)</f>
        <v/>
      </c>
      <c r="F591" s="51" t="n"/>
    </row>
    <row r="592">
      <c r="A592" s="50" t="n"/>
      <c r="B592" s="50" t="n"/>
      <c r="C592" s="51" t="n"/>
      <c r="D592" s="51" t="n"/>
      <c r="E592">
        <f>IF(OR(A592="",B592=""),"",B592-A592)</f>
        <v/>
      </c>
      <c r="F592" s="51" t="n"/>
    </row>
    <row r="593">
      <c r="A593" s="50" t="n"/>
      <c r="B593" s="50" t="n"/>
      <c r="C593" s="51" t="n"/>
      <c r="D593" s="51" t="n"/>
      <c r="E593">
        <f>IF(OR(A593="",B593=""),"",B593-A593)</f>
        <v/>
      </c>
      <c r="F593" s="51" t="n"/>
    </row>
    <row r="594">
      <c r="A594" s="50" t="n"/>
      <c r="B594" s="50" t="n"/>
      <c r="C594" s="51" t="n"/>
      <c r="D594" s="51" t="n"/>
      <c r="E594">
        <f>IF(OR(A594="",B594=""),"",B594-A594)</f>
        <v/>
      </c>
      <c r="F594" s="51" t="n"/>
    </row>
    <row r="595">
      <c r="A595" s="50" t="n"/>
      <c r="B595" s="50" t="n"/>
      <c r="C595" s="51" t="n"/>
      <c r="D595" s="51" t="n"/>
      <c r="E595">
        <f>IF(OR(A595="",B595=""),"",B595-A595)</f>
        <v/>
      </c>
      <c r="F595" s="51" t="n"/>
    </row>
    <row r="596">
      <c r="A596" s="50" t="n"/>
      <c r="B596" s="50" t="n"/>
      <c r="C596" s="51" t="n"/>
      <c r="D596" s="51" t="n"/>
      <c r="E596">
        <f>IF(OR(A596="",B596=""),"",B596-A596)</f>
        <v/>
      </c>
      <c r="F596" s="51" t="n"/>
    </row>
    <row r="597">
      <c r="A597" s="50" t="n"/>
      <c r="B597" s="50" t="n"/>
      <c r="C597" s="51" t="n"/>
      <c r="D597" s="51" t="n"/>
      <c r="E597">
        <f>IF(OR(A597="",B597=""),"",B597-A597)</f>
        <v/>
      </c>
      <c r="F597" s="51" t="n"/>
    </row>
    <row r="598">
      <c r="A598" s="50" t="n"/>
      <c r="B598" s="50" t="n"/>
      <c r="C598" s="51" t="n"/>
      <c r="D598" s="51" t="n"/>
      <c r="E598">
        <f>IF(OR(A598="",B598=""),"",B598-A598)</f>
        <v/>
      </c>
      <c r="F598" s="51" t="n"/>
    </row>
    <row r="599">
      <c r="A599" s="50" t="n"/>
      <c r="B599" s="50" t="n"/>
      <c r="C599" s="51" t="n"/>
      <c r="D599" s="51" t="n"/>
      <c r="E599">
        <f>IF(OR(A599="",B599=""),"",B599-A599)</f>
        <v/>
      </c>
      <c r="F599" s="51" t="n"/>
    </row>
    <row r="600">
      <c r="A600" s="50" t="n"/>
      <c r="B600" s="50" t="n"/>
      <c r="C600" s="51" t="n"/>
      <c r="D600" s="51" t="n"/>
      <c r="E600">
        <f>IF(OR(A600="",B600=""),"",B600-A600)</f>
        <v/>
      </c>
      <c r="F600" s="51" t="n"/>
    </row>
    <row r="601">
      <c r="A601" s="50" t="n"/>
      <c r="B601" s="50" t="n"/>
      <c r="C601" s="51" t="n"/>
      <c r="D601" s="51" t="n"/>
      <c r="E601">
        <f>IF(OR(A601="",B601=""),"",B601-A601)</f>
        <v/>
      </c>
      <c r="F601" s="51" t="n"/>
    </row>
    <row r="602">
      <c r="A602" s="50" t="n"/>
      <c r="B602" s="50" t="n"/>
      <c r="C602" s="51" t="n"/>
      <c r="D602" s="51" t="n"/>
      <c r="E602">
        <f>IF(OR(A602="",B602=""),"",B602-A602)</f>
        <v/>
      </c>
      <c r="F602" s="51" t="n"/>
    </row>
    <row r="603">
      <c r="A603" s="50" t="n"/>
      <c r="B603" s="50" t="n"/>
      <c r="C603" s="51" t="n"/>
      <c r="D603" s="51" t="n"/>
      <c r="E603">
        <f>IF(OR(A603="",B603=""),"",B603-A603)</f>
        <v/>
      </c>
      <c r="F603" s="51" t="n"/>
    </row>
    <row r="604">
      <c r="A604" s="50" t="n"/>
      <c r="B604" s="50" t="n"/>
      <c r="C604" s="51" t="n"/>
      <c r="D604" s="51" t="n"/>
      <c r="E604">
        <f>IF(OR(A604="",B604=""),"",B604-A604)</f>
        <v/>
      </c>
      <c r="F604" s="51" t="n"/>
    </row>
    <row r="605">
      <c r="A605" s="50" t="n"/>
      <c r="B605" s="50" t="n"/>
      <c r="C605" s="51" t="n"/>
      <c r="D605" s="51" t="n"/>
      <c r="E605">
        <f>IF(OR(A605="",B605=""),"",B605-A605)</f>
        <v/>
      </c>
      <c r="F605" s="51" t="n"/>
    </row>
    <row r="606">
      <c r="A606" s="50" t="n"/>
      <c r="B606" s="50" t="n"/>
      <c r="C606" s="51" t="n"/>
      <c r="D606" s="51" t="n"/>
      <c r="E606">
        <f>IF(OR(A606="",B606=""),"",B606-A606)</f>
        <v/>
      </c>
      <c r="F606" s="51" t="n"/>
    </row>
    <row r="607">
      <c r="A607" s="50" t="n"/>
      <c r="B607" s="50" t="n"/>
      <c r="C607" s="51" t="n"/>
      <c r="D607" s="51" t="n"/>
      <c r="E607">
        <f>IF(OR(A607="",B607=""),"",B607-A607)</f>
        <v/>
      </c>
      <c r="F607" s="51" t="n"/>
    </row>
    <row r="608">
      <c r="A608" s="50" t="n"/>
      <c r="B608" s="50" t="n"/>
      <c r="C608" s="51" t="n"/>
      <c r="D608" s="51" t="n"/>
      <c r="E608">
        <f>IF(OR(A608="",B608=""),"",B608-A608)</f>
        <v/>
      </c>
      <c r="F608" s="51" t="n"/>
    </row>
    <row r="609">
      <c r="A609" s="50" t="n"/>
      <c r="B609" s="50" t="n"/>
      <c r="C609" s="51" t="n"/>
      <c r="D609" s="51" t="n"/>
      <c r="E609">
        <f>IF(OR(A609="",B609=""),"",B609-A609)</f>
        <v/>
      </c>
      <c r="F609" s="51" t="n"/>
    </row>
    <row r="610">
      <c r="A610" s="50" t="n"/>
      <c r="B610" s="50" t="n"/>
      <c r="C610" s="51" t="n"/>
      <c r="D610" s="51" t="n"/>
      <c r="E610">
        <f>IF(OR(A610="",B610=""),"",B610-A610)</f>
        <v/>
      </c>
      <c r="F610" s="51" t="n"/>
    </row>
    <row r="611">
      <c r="A611" s="50" t="n"/>
      <c r="B611" s="50" t="n"/>
      <c r="C611" s="51" t="n"/>
      <c r="D611" s="51" t="n"/>
      <c r="E611">
        <f>IF(OR(A611="",B611=""),"",B611-A611)</f>
        <v/>
      </c>
      <c r="F611" s="51" t="n"/>
    </row>
    <row r="612">
      <c r="A612" s="50" t="n"/>
      <c r="B612" s="50" t="n"/>
      <c r="C612" s="51" t="n"/>
      <c r="D612" s="51" t="n"/>
      <c r="E612">
        <f>IF(OR(A612="",B612=""),"",B612-A612)</f>
        <v/>
      </c>
      <c r="F612" s="51" t="n"/>
    </row>
    <row r="613">
      <c r="A613" s="50" t="n"/>
      <c r="B613" s="50" t="n"/>
      <c r="C613" s="51" t="n"/>
      <c r="D613" s="51" t="n"/>
      <c r="E613">
        <f>IF(OR(A613="",B613=""),"",B613-A613)</f>
        <v/>
      </c>
      <c r="F613" s="51" t="n"/>
    </row>
    <row r="614">
      <c r="A614" s="50" t="n"/>
      <c r="B614" s="50" t="n"/>
      <c r="C614" s="51" t="n"/>
      <c r="D614" s="51" t="n"/>
      <c r="E614">
        <f>IF(OR(A614="",B614=""),"",B614-A614)</f>
        <v/>
      </c>
      <c r="F614" s="51" t="n"/>
    </row>
    <row r="615">
      <c r="A615" s="50" t="n"/>
      <c r="B615" s="50" t="n"/>
      <c r="C615" s="51" t="n"/>
      <c r="D615" s="51" t="n"/>
      <c r="E615">
        <f>IF(OR(A615="",B615=""),"",B615-A615)</f>
        <v/>
      </c>
      <c r="F615" s="51" t="n"/>
    </row>
    <row r="616">
      <c r="A616" s="50" t="n"/>
      <c r="B616" s="50" t="n"/>
      <c r="C616" s="51" t="n"/>
      <c r="D616" s="51" t="n"/>
      <c r="E616">
        <f>IF(OR(A616="",B616=""),"",B616-A616)</f>
        <v/>
      </c>
      <c r="F616" s="51" t="n"/>
    </row>
    <row r="617">
      <c r="A617" s="50" t="n"/>
      <c r="B617" s="50" t="n"/>
      <c r="C617" s="51" t="n"/>
      <c r="D617" s="51" t="n"/>
      <c r="E617">
        <f>IF(OR(A617="",B617=""),"",B617-A617)</f>
        <v/>
      </c>
      <c r="F617" s="51" t="n"/>
    </row>
    <row r="618">
      <c r="A618" s="50" t="n"/>
      <c r="B618" s="50" t="n"/>
      <c r="C618" s="51" t="n"/>
      <c r="D618" s="51" t="n"/>
      <c r="E618">
        <f>IF(OR(A618="",B618=""),"",B618-A618)</f>
        <v/>
      </c>
      <c r="F618" s="51" t="n"/>
    </row>
    <row r="619">
      <c r="A619" s="50" t="n"/>
      <c r="B619" s="50" t="n"/>
      <c r="C619" s="51" t="n"/>
      <c r="D619" s="51" t="n"/>
      <c r="E619">
        <f>IF(OR(A619="",B619=""),"",B619-A619)</f>
        <v/>
      </c>
      <c r="F619" s="51" t="n"/>
    </row>
    <row r="620">
      <c r="A620" s="50" t="n"/>
      <c r="B620" s="50" t="n"/>
      <c r="C620" s="51" t="n"/>
      <c r="D620" s="51" t="n"/>
      <c r="E620">
        <f>IF(OR(A620="",B620=""),"",B620-A620)</f>
        <v/>
      </c>
      <c r="F620" s="51" t="n"/>
    </row>
    <row r="621">
      <c r="A621" s="50" t="n"/>
      <c r="B621" s="50" t="n"/>
      <c r="C621" s="51" t="n"/>
      <c r="D621" s="51" t="n"/>
      <c r="E621">
        <f>IF(OR(A621="",B621=""),"",B621-A621)</f>
        <v/>
      </c>
      <c r="F621" s="51" t="n"/>
    </row>
    <row r="622">
      <c r="A622" s="50" t="n"/>
      <c r="B622" s="50" t="n"/>
      <c r="C622" s="51" t="n"/>
      <c r="D622" s="51" t="n"/>
      <c r="E622">
        <f>IF(OR(A622="",B622=""),"",B622-A622)</f>
        <v/>
      </c>
      <c r="F622" s="51" t="n"/>
    </row>
    <row r="623">
      <c r="A623" s="50" t="n"/>
      <c r="B623" s="50" t="n"/>
      <c r="C623" s="51" t="n"/>
      <c r="D623" s="51" t="n"/>
      <c r="E623">
        <f>IF(OR(A623="",B623=""),"",B623-A623)</f>
        <v/>
      </c>
      <c r="F623" s="51" t="n"/>
    </row>
    <row r="624">
      <c r="A624" s="50" t="n"/>
      <c r="B624" s="50" t="n"/>
      <c r="C624" s="51" t="n"/>
      <c r="D624" s="51" t="n"/>
      <c r="E624">
        <f>IF(OR(A624="",B624=""),"",B624-A624)</f>
        <v/>
      </c>
      <c r="F624" s="51" t="n"/>
    </row>
    <row r="625">
      <c r="A625" s="50" t="n"/>
      <c r="B625" s="50" t="n"/>
      <c r="C625" s="51" t="n"/>
      <c r="D625" s="51" t="n"/>
      <c r="E625">
        <f>IF(OR(A625="",B625=""),"",B625-A625)</f>
        <v/>
      </c>
      <c r="F625" s="51" t="n"/>
    </row>
    <row r="626">
      <c r="A626" s="50" t="n"/>
      <c r="B626" s="50" t="n"/>
      <c r="C626" s="51" t="n"/>
      <c r="D626" s="51" t="n"/>
      <c r="E626">
        <f>IF(OR(A626="",B626=""),"",B626-A626)</f>
        <v/>
      </c>
      <c r="F626" s="51" t="n"/>
    </row>
    <row r="627">
      <c r="A627" s="50" t="n"/>
      <c r="B627" s="50" t="n"/>
      <c r="C627" s="51" t="n"/>
      <c r="D627" s="51" t="n"/>
      <c r="E627">
        <f>IF(OR(A627="",B627=""),"",B627-A627)</f>
        <v/>
      </c>
      <c r="F627" s="51" t="n"/>
    </row>
    <row r="628">
      <c r="A628" s="50" t="n"/>
      <c r="B628" s="50" t="n"/>
      <c r="C628" s="51" t="n"/>
      <c r="D628" s="51" t="n"/>
      <c r="E628">
        <f>IF(OR(A628="",B628=""),"",B628-A628)</f>
        <v/>
      </c>
      <c r="F628" s="51" t="n"/>
    </row>
    <row r="629">
      <c r="A629" s="50" t="n"/>
      <c r="B629" s="50" t="n"/>
      <c r="C629" s="51" t="n"/>
      <c r="D629" s="51" t="n"/>
      <c r="E629">
        <f>IF(OR(A629="",B629=""),"",B629-A629)</f>
        <v/>
      </c>
      <c r="F629" s="51" t="n"/>
    </row>
    <row r="630">
      <c r="A630" s="50" t="n"/>
      <c r="B630" s="50" t="n"/>
      <c r="C630" s="51" t="n"/>
      <c r="D630" s="51" t="n"/>
      <c r="E630">
        <f>IF(OR(A630="",B630=""),"",B630-A630)</f>
        <v/>
      </c>
      <c r="F630" s="51" t="n"/>
    </row>
    <row r="631">
      <c r="A631" s="50" t="n"/>
      <c r="B631" s="50" t="n"/>
      <c r="C631" s="51" t="n"/>
      <c r="D631" s="51" t="n"/>
      <c r="E631">
        <f>IF(OR(A631="",B631=""),"",B631-A631)</f>
        <v/>
      </c>
      <c r="F631" s="51" t="n"/>
    </row>
    <row r="632">
      <c r="A632" s="50" t="n"/>
      <c r="B632" s="50" t="n"/>
      <c r="C632" s="51" t="n"/>
      <c r="D632" s="51" t="n"/>
      <c r="E632">
        <f>IF(OR(A632="",B632=""),"",B632-A632)</f>
        <v/>
      </c>
      <c r="F632" s="51" t="n"/>
    </row>
    <row r="633">
      <c r="A633" s="50" t="n"/>
      <c r="B633" s="50" t="n"/>
      <c r="C633" s="51" t="n"/>
      <c r="D633" s="51" t="n"/>
      <c r="E633">
        <f>IF(OR(A633="",B633=""),"",B633-A633)</f>
        <v/>
      </c>
      <c r="F633" s="51" t="n"/>
    </row>
    <row r="634">
      <c r="A634" s="50" t="n"/>
      <c r="B634" s="50" t="n"/>
      <c r="C634" s="51" t="n"/>
      <c r="D634" s="51" t="n"/>
      <c r="E634">
        <f>IF(OR(A634="",B634=""),"",B634-A634)</f>
        <v/>
      </c>
      <c r="F634" s="51" t="n"/>
    </row>
    <row r="635">
      <c r="A635" s="50" t="n"/>
      <c r="B635" s="50" t="n"/>
      <c r="C635" s="51" t="n"/>
      <c r="D635" s="51" t="n"/>
      <c r="E635">
        <f>IF(OR(A635="",B635=""),"",B635-A635)</f>
        <v/>
      </c>
      <c r="F635" s="51" t="n"/>
    </row>
    <row r="636">
      <c r="A636" s="50" t="n"/>
      <c r="B636" s="50" t="n"/>
      <c r="C636" s="51" t="n"/>
      <c r="D636" s="51" t="n"/>
      <c r="E636">
        <f>IF(OR(A636="",B636=""),"",B636-A636)</f>
        <v/>
      </c>
      <c r="F636" s="51" t="n"/>
    </row>
    <row r="637">
      <c r="A637" s="50" t="n"/>
      <c r="B637" s="50" t="n"/>
      <c r="C637" s="51" t="n"/>
      <c r="D637" s="51" t="n"/>
      <c r="E637">
        <f>IF(OR(A637="",B637=""),"",B637-A637)</f>
        <v/>
      </c>
      <c r="F637" s="51" t="n"/>
    </row>
    <row r="638">
      <c r="A638" s="50" t="n"/>
      <c r="B638" s="50" t="n"/>
      <c r="C638" s="51" t="n"/>
      <c r="D638" s="51" t="n"/>
      <c r="E638">
        <f>IF(OR(A638="",B638=""),"",B638-A638)</f>
        <v/>
      </c>
      <c r="F638" s="51" t="n"/>
    </row>
    <row r="639">
      <c r="A639" s="50" t="n"/>
      <c r="B639" s="50" t="n"/>
      <c r="C639" s="51" t="n"/>
      <c r="D639" s="51" t="n"/>
      <c r="E639">
        <f>IF(OR(A639="",B639=""),"",B639-A639)</f>
        <v/>
      </c>
      <c r="F639" s="51" t="n"/>
    </row>
    <row r="640">
      <c r="A640" s="50" t="n"/>
      <c r="B640" s="50" t="n"/>
      <c r="C640" s="51" t="n"/>
      <c r="D640" s="51" t="n"/>
      <c r="E640">
        <f>IF(OR(A640="",B640=""),"",B640-A640)</f>
        <v/>
      </c>
      <c r="F640" s="51" t="n"/>
    </row>
    <row r="641">
      <c r="A641" s="50" t="n"/>
      <c r="B641" s="50" t="n"/>
      <c r="C641" s="51" t="n"/>
      <c r="D641" s="51" t="n"/>
      <c r="E641">
        <f>IF(OR(A641="",B641=""),"",B641-A641)</f>
        <v/>
      </c>
      <c r="F641" s="51" t="n"/>
    </row>
    <row r="642">
      <c r="A642" s="50" t="n"/>
      <c r="B642" s="50" t="n"/>
      <c r="C642" s="51" t="n"/>
      <c r="D642" s="51" t="n"/>
      <c r="E642">
        <f>IF(OR(A642="",B642=""),"",B642-A642)</f>
        <v/>
      </c>
      <c r="F642" s="51" t="n"/>
    </row>
    <row r="643">
      <c r="A643" s="50" t="n"/>
      <c r="B643" s="50" t="n"/>
      <c r="C643" s="51" t="n"/>
      <c r="D643" s="51" t="n"/>
      <c r="E643">
        <f>IF(OR(A643="",B643=""),"",B643-A643)</f>
        <v/>
      </c>
      <c r="F643" s="51" t="n"/>
    </row>
    <row r="644">
      <c r="A644" s="50" t="n"/>
      <c r="B644" s="50" t="n"/>
      <c r="C644" s="51" t="n"/>
      <c r="D644" s="51" t="n"/>
      <c r="E644">
        <f>IF(OR(A644="",B644=""),"",B644-A644)</f>
        <v/>
      </c>
      <c r="F644" s="51" t="n"/>
    </row>
    <row r="645">
      <c r="A645" s="50" t="n"/>
      <c r="B645" s="50" t="n"/>
      <c r="C645" s="51" t="n"/>
      <c r="D645" s="51" t="n"/>
      <c r="E645">
        <f>IF(OR(A645="",B645=""),"",B645-A645)</f>
        <v/>
      </c>
      <c r="F645" s="51" t="n"/>
    </row>
    <row r="646">
      <c r="A646" s="50" t="n"/>
      <c r="B646" s="50" t="n"/>
      <c r="C646" s="51" t="n"/>
      <c r="D646" s="51" t="n"/>
      <c r="E646">
        <f>IF(OR(A646="",B646=""),"",B646-A646)</f>
        <v/>
      </c>
      <c r="F646" s="51" t="n"/>
    </row>
    <row r="647">
      <c r="A647" s="50" t="n"/>
      <c r="B647" s="50" t="n"/>
      <c r="C647" s="51" t="n"/>
      <c r="D647" s="51" t="n"/>
      <c r="E647">
        <f>IF(OR(A647="",B647=""),"",B647-A647)</f>
        <v/>
      </c>
      <c r="F647" s="51" t="n"/>
    </row>
    <row r="648">
      <c r="A648" s="50" t="n"/>
      <c r="B648" s="50" t="n"/>
      <c r="C648" s="51" t="n"/>
      <c r="D648" s="51" t="n"/>
      <c r="E648">
        <f>IF(OR(A648="",B648=""),"",B648-A648)</f>
        <v/>
      </c>
      <c r="F648" s="51" t="n"/>
    </row>
    <row r="649">
      <c r="A649" s="50" t="n"/>
      <c r="B649" s="50" t="n"/>
      <c r="C649" s="51" t="n"/>
      <c r="D649" s="51" t="n"/>
      <c r="E649">
        <f>IF(OR(A649="",B649=""),"",B649-A649)</f>
        <v/>
      </c>
      <c r="F649" s="51" t="n"/>
    </row>
    <row r="650">
      <c r="A650" s="50" t="n"/>
      <c r="B650" s="50" t="n"/>
      <c r="C650" s="51" t="n"/>
      <c r="D650" s="51" t="n"/>
      <c r="E650">
        <f>IF(OR(A650="",B650=""),"",B650-A650)</f>
        <v/>
      </c>
      <c r="F650" s="51" t="n"/>
    </row>
    <row r="651">
      <c r="A651" s="50" t="n"/>
      <c r="B651" s="50" t="n"/>
      <c r="C651" s="51" t="n"/>
      <c r="D651" s="51" t="n"/>
      <c r="E651">
        <f>IF(OR(A651="",B651=""),"",B651-A651)</f>
        <v/>
      </c>
      <c r="F651" s="51" t="n"/>
    </row>
    <row r="652">
      <c r="A652" s="50" t="n"/>
      <c r="B652" s="50" t="n"/>
      <c r="C652" s="51" t="n"/>
      <c r="D652" s="51" t="n"/>
      <c r="E652">
        <f>IF(OR(A652="",B652=""),"",B652-A652)</f>
        <v/>
      </c>
      <c r="F652" s="51" t="n"/>
    </row>
    <row r="653">
      <c r="A653" s="50" t="n"/>
      <c r="B653" s="50" t="n"/>
      <c r="C653" s="51" t="n"/>
      <c r="D653" s="51" t="n"/>
      <c r="E653">
        <f>IF(OR(A653="",B653=""),"",B653-A653)</f>
        <v/>
      </c>
      <c r="F653" s="51" t="n"/>
    </row>
    <row r="654">
      <c r="A654" s="50" t="n"/>
      <c r="B654" s="50" t="n"/>
      <c r="C654" s="51" t="n"/>
      <c r="D654" s="51" t="n"/>
      <c r="E654">
        <f>IF(OR(A654="",B654=""),"",B654-A654)</f>
        <v/>
      </c>
      <c r="F654" s="51" t="n"/>
    </row>
    <row r="655">
      <c r="A655" s="50" t="n"/>
      <c r="B655" s="50" t="n"/>
      <c r="C655" s="51" t="n"/>
      <c r="D655" s="51" t="n"/>
      <c r="E655">
        <f>IF(OR(A655="",B655=""),"",B655-A655)</f>
        <v/>
      </c>
      <c r="F655" s="51" t="n"/>
    </row>
    <row r="656">
      <c r="A656" s="50" t="n"/>
      <c r="B656" s="50" t="n"/>
      <c r="C656" s="51" t="n"/>
      <c r="D656" s="51" t="n"/>
      <c r="E656">
        <f>IF(OR(A656="",B656=""),"",B656-A656)</f>
        <v/>
      </c>
      <c r="F656" s="51" t="n"/>
    </row>
    <row r="657">
      <c r="A657" s="50" t="n"/>
      <c r="B657" s="50" t="n"/>
      <c r="C657" s="51" t="n"/>
      <c r="D657" s="51" t="n"/>
      <c r="E657">
        <f>IF(OR(A657="",B657=""),"",B657-A657)</f>
        <v/>
      </c>
      <c r="F657" s="51" t="n"/>
    </row>
    <row r="658">
      <c r="A658" s="50" t="n"/>
      <c r="B658" s="50" t="n"/>
      <c r="C658" s="51" t="n"/>
      <c r="D658" s="51" t="n"/>
      <c r="E658">
        <f>IF(OR(A658="",B658=""),"",B658-A658)</f>
        <v/>
      </c>
      <c r="F658" s="51" t="n"/>
    </row>
    <row r="659">
      <c r="A659" s="50" t="n"/>
      <c r="B659" s="50" t="n"/>
      <c r="C659" s="51" t="n"/>
      <c r="D659" s="51" t="n"/>
      <c r="E659">
        <f>IF(OR(A659="",B659=""),"",B659-A659)</f>
        <v/>
      </c>
      <c r="F659" s="51" t="n"/>
    </row>
    <row r="660">
      <c r="A660" s="50" t="n"/>
      <c r="B660" s="50" t="n"/>
      <c r="C660" s="51" t="n"/>
      <c r="D660" s="51" t="n"/>
      <c r="E660">
        <f>IF(OR(A660="",B660=""),"",B660-A660)</f>
        <v/>
      </c>
      <c r="F660" s="51" t="n"/>
    </row>
    <row r="661">
      <c r="A661" s="50" t="n"/>
      <c r="B661" s="50" t="n"/>
      <c r="C661" s="51" t="n"/>
      <c r="D661" s="51" t="n"/>
      <c r="E661">
        <f>IF(OR(A661="",B661=""),"",B661-A661)</f>
        <v/>
      </c>
      <c r="F661" s="51" t="n"/>
    </row>
    <row r="662">
      <c r="A662" s="50" t="n"/>
      <c r="B662" s="50" t="n"/>
      <c r="C662" s="51" t="n"/>
      <c r="D662" s="51" t="n"/>
      <c r="E662">
        <f>IF(OR(A662="",B662=""),"",B662-A662)</f>
        <v/>
      </c>
      <c r="F662" s="51" t="n"/>
    </row>
    <row r="663">
      <c r="A663" s="50" t="n"/>
      <c r="B663" s="50" t="n"/>
      <c r="C663" s="51" t="n"/>
      <c r="D663" s="51" t="n"/>
      <c r="E663">
        <f>IF(OR(A663="",B663=""),"",B663-A663)</f>
        <v/>
      </c>
      <c r="F663" s="51" t="n"/>
    </row>
    <row r="664">
      <c r="A664" s="50" t="n"/>
      <c r="B664" s="50" t="n"/>
      <c r="C664" s="51" t="n"/>
      <c r="D664" s="51" t="n"/>
      <c r="E664">
        <f>IF(OR(A664="",B664=""),"",B664-A664)</f>
        <v/>
      </c>
      <c r="F664" s="51" t="n"/>
    </row>
    <row r="665">
      <c r="A665" s="50" t="n"/>
      <c r="B665" s="50" t="n"/>
      <c r="C665" s="51" t="n"/>
      <c r="D665" s="51" t="n"/>
      <c r="E665">
        <f>IF(OR(A665="",B665=""),"",B665-A665)</f>
        <v/>
      </c>
      <c r="F665" s="51" t="n"/>
    </row>
    <row r="666">
      <c r="A666" s="50" t="n"/>
      <c r="B666" s="50" t="n"/>
      <c r="C666" s="51" t="n"/>
      <c r="D666" s="51" t="n"/>
      <c r="E666">
        <f>IF(OR(A666="",B666=""),"",B666-A666)</f>
        <v/>
      </c>
      <c r="F666" s="51" t="n"/>
    </row>
    <row r="667">
      <c r="A667" s="50" t="n"/>
      <c r="B667" s="50" t="n"/>
      <c r="C667" s="51" t="n"/>
      <c r="D667" s="51" t="n"/>
      <c r="E667">
        <f>IF(OR(A667="",B667=""),"",B667-A667)</f>
        <v/>
      </c>
      <c r="F667" s="51" t="n"/>
    </row>
    <row r="668">
      <c r="A668" s="50" t="n"/>
      <c r="B668" s="50" t="n"/>
      <c r="C668" s="51" t="n"/>
      <c r="D668" s="51" t="n"/>
      <c r="E668">
        <f>IF(OR(A668="",B668=""),"",B668-A668)</f>
        <v/>
      </c>
      <c r="F668" s="51" t="n"/>
    </row>
    <row r="669">
      <c r="A669" s="50" t="n"/>
      <c r="B669" s="50" t="n"/>
      <c r="C669" s="51" t="n"/>
      <c r="D669" s="51" t="n"/>
      <c r="E669">
        <f>IF(OR(A669="",B669=""),"",B669-A669)</f>
        <v/>
      </c>
      <c r="F669" s="51" t="n"/>
    </row>
    <row r="670">
      <c r="A670" s="50" t="n"/>
      <c r="B670" s="50" t="n"/>
      <c r="C670" s="51" t="n"/>
      <c r="D670" s="51" t="n"/>
      <c r="E670">
        <f>IF(OR(A670="",B670=""),"",B670-A670)</f>
        <v/>
      </c>
      <c r="F670" s="51" t="n"/>
    </row>
    <row r="671">
      <c r="A671" s="50" t="n"/>
      <c r="B671" s="50" t="n"/>
      <c r="C671" s="51" t="n"/>
      <c r="D671" s="51" t="n"/>
      <c r="E671">
        <f>IF(OR(A671="",B671=""),"",B671-A671)</f>
        <v/>
      </c>
      <c r="F671" s="51" t="n"/>
    </row>
    <row r="672">
      <c r="A672" s="50" t="n"/>
      <c r="B672" s="50" t="n"/>
      <c r="C672" s="51" t="n"/>
      <c r="D672" s="51" t="n"/>
      <c r="E672">
        <f>IF(OR(A672="",B672=""),"",B672-A672)</f>
        <v/>
      </c>
      <c r="F672" s="51" t="n"/>
    </row>
    <row r="673">
      <c r="A673" s="50" t="n"/>
      <c r="B673" s="50" t="n"/>
      <c r="C673" s="51" t="n"/>
      <c r="D673" s="51" t="n"/>
      <c r="E673">
        <f>IF(OR(A673="",B673=""),"",B673-A673)</f>
        <v/>
      </c>
      <c r="F673" s="51" t="n"/>
    </row>
    <row r="674">
      <c r="A674" s="50" t="n"/>
      <c r="B674" s="50" t="n"/>
      <c r="C674" s="51" t="n"/>
      <c r="D674" s="51" t="n"/>
      <c r="E674">
        <f>IF(OR(A674="",B674=""),"",B674-A674)</f>
        <v/>
      </c>
      <c r="F674" s="51" t="n"/>
    </row>
    <row r="675">
      <c r="A675" s="50" t="n"/>
      <c r="B675" s="50" t="n"/>
      <c r="C675" s="51" t="n"/>
      <c r="D675" s="51" t="n"/>
      <c r="E675">
        <f>IF(OR(A675="",B675=""),"",B675-A675)</f>
        <v/>
      </c>
      <c r="F675" s="51" t="n"/>
    </row>
    <row r="676">
      <c r="A676" s="50" t="n"/>
      <c r="B676" s="50" t="n"/>
      <c r="C676" s="51" t="n"/>
      <c r="D676" s="51" t="n"/>
      <c r="E676">
        <f>IF(OR(A676="",B676=""),"",B676-A676)</f>
        <v/>
      </c>
      <c r="F676" s="51" t="n"/>
    </row>
    <row r="677">
      <c r="A677" s="50" t="n"/>
      <c r="B677" s="50" t="n"/>
      <c r="C677" s="51" t="n"/>
      <c r="D677" s="51" t="n"/>
      <c r="E677">
        <f>IF(OR(A677="",B677=""),"",B677-A677)</f>
        <v/>
      </c>
      <c r="F677" s="51" t="n"/>
    </row>
    <row r="678">
      <c r="A678" s="50" t="n"/>
      <c r="B678" s="50" t="n"/>
      <c r="C678" s="51" t="n"/>
      <c r="D678" s="51" t="n"/>
      <c r="E678">
        <f>IF(OR(A678="",B678=""),"",B678-A678)</f>
        <v/>
      </c>
      <c r="F678" s="51" t="n"/>
    </row>
    <row r="679">
      <c r="A679" s="50" t="n"/>
      <c r="B679" s="50" t="n"/>
      <c r="C679" s="51" t="n"/>
      <c r="D679" s="51" t="n"/>
      <c r="E679">
        <f>IF(OR(A679="",B679=""),"",B679-A679)</f>
        <v/>
      </c>
      <c r="F679" s="51" t="n"/>
    </row>
    <row r="680">
      <c r="A680" s="50" t="n"/>
      <c r="B680" s="50" t="n"/>
      <c r="C680" s="51" t="n"/>
      <c r="D680" s="51" t="n"/>
      <c r="E680">
        <f>IF(OR(A680="",B680=""),"",B680-A680)</f>
        <v/>
      </c>
      <c r="F680" s="51" t="n"/>
    </row>
    <row r="681">
      <c r="A681" s="50" t="n"/>
      <c r="B681" s="50" t="n"/>
      <c r="C681" s="51" t="n"/>
      <c r="D681" s="51" t="n"/>
      <c r="E681">
        <f>IF(OR(A681="",B681=""),"",B681-A681)</f>
        <v/>
      </c>
      <c r="F681" s="51" t="n"/>
    </row>
    <row r="682">
      <c r="A682" s="50" t="n"/>
      <c r="B682" s="50" t="n"/>
      <c r="C682" s="51" t="n"/>
      <c r="D682" s="51" t="n"/>
      <c r="E682">
        <f>IF(OR(A682="",B682=""),"",B682-A682)</f>
        <v/>
      </c>
      <c r="F682" s="51" t="n"/>
    </row>
    <row r="683">
      <c r="A683" s="50" t="n"/>
      <c r="B683" s="50" t="n"/>
      <c r="C683" s="51" t="n"/>
      <c r="D683" s="51" t="n"/>
      <c r="E683">
        <f>IF(OR(A683="",B683=""),"",B683-A683)</f>
        <v/>
      </c>
      <c r="F683" s="51" t="n"/>
    </row>
    <row r="684">
      <c r="A684" s="50" t="n"/>
      <c r="B684" s="50" t="n"/>
      <c r="C684" s="51" t="n"/>
      <c r="D684" s="51" t="n"/>
      <c r="E684">
        <f>IF(OR(A684="",B684=""),"",B684-A684)</f>
        <v/>
      </c>
      <c r="F684" s="51" t="n"/>
    </row>
    <row r="685">
      <c r="A685" s="50" t="n"/>
      <c r="B685" s="50" t="n"/>
      <c r="C685" s="51" t="n"/>
      <c r="D685" s="51" t="n"/>
      <c r="E685">
        <f>IF(OR(A685="",B685=""),"",B685-A685)</f>
        <v/>
      </c>
      <c r="F685" s="51" t="n"/>
    </row>
    <row r="686">
      <c r="A686" s="50" t="n"/>
      <c r="B686" s="50" t="n"/>
      <c r="C686" s="51" t="n"/>
      <c r="D686" s="51" t="n"/>
      <c r="E686">
        <f>IF(OR(A686="",B686=""),"",B686-A686)</f>
        <v/>
      </c>
      <c r="F686" s="51" t="n"/>
    </row>
    <row r="687">
      <c r="A687" s="50" t="n"/>
      <c r="B687" s="50" t="n"/>
      <c r="C687" s="51" t="n"/>
      <c r="D687" s="51" t="n"/>
      <c r="E687">
        <f>IF(OR(A687="",B687=""),"",B687-A687)</f>
        <v/>
      </c>
      <c r="F687" s="51" t="n"/>
    </row>
    <row r="688">
      <c r="A688" s="50" t="n"/>
      <c r="B688" s="50" t="n"/>
      <c r="C688" s="51" t="n"/>
      <c r="D688" s="51" t="n"/>
      <c r="E688">
        <f>IF(OR(A688="",B688=""),"",B688-A688)</f>
        <v/>
      </c>
      <c r="F688" s="51" t="n"/>
    </row>
    <row r="689">
      <c r="A689" s="50" t="n"/>
      <c r="B689" s="50" t="n"/>
      <c r="C689" s="51" t="n"/>
      <c r="D689" s="51" t="n"/>
      <c r="E689">
        <f>IF(OR(A689="",B689=""),"",B689-A689)</f>
        <v/>
      </c>
      <c r="F689" s="51" t="n"/>
    </row>
    <row r="690">
      <c r="A690" s="50" t="n"/>
      <c r="B690" s="50" t="n"/>
      <c r="C690" s="51" t="n"/>
      <c r="D690" s="51" t="n"/>
      <c r="E690">
        <f>IF(OR(A690="",B690=""),"",B690-A690)</f>
        <v/>
      </c>
      <c r="F690" s="51" t="n"/>
    </row>
    <row r="691">
      <c r="A691" s="50" t="n"/>
      <c r="B691" s="50" t="n"/>
      <c r="C691" s="51" t="n"/>
      <c r="D691" s="51" t="n"/>
      <c r="E691">
        <f>IF(OR(A691="",B691=""),"",B691-A691)</f>
        <v/>
      </c>
      <c r="F691" s="51" t="n"/>
    </row>
    <row r="692">
      <c r="A692" s="50" t="n"/>
      <c r="B692" s="50" t="n"/>
      <c r="C692" s="51" t="n"/>
      <c r="D692" s="51" t="n"/>
      <c r="E692">
        <f>IF(OR(A692="",B692=""),"",B692-A692)</f>
        <v/>
      </c>
      <c r="F692" s="51" t="n"/>
    </row>
    <row r="693">
      <c r="A693" s="50" t="n"/>
      <c r="B693" s="50" t="n"/>
      <c r="C693" s="51" t="n"/>
      <c r="D693" s="51" t="n"/>
      <c r="E693">
        <f>IF(OR(A693="",B693=""),"",B693-A693)</f>
        <v/>
      </c>
      <c r="F693" s="51" t="n"/>
    </row>
    <row r="694">
      <c r="A694" s="50" t="n"/>
      <c r="B694" s="50" t="n"/>
      <c r="C694" s="51" t="n"/>
      <c r="D694" s="51" t="n"/>
      <c r="E694">
        <f>IF(OR(A694="",B694=""),"",B694-A694)</f>
        <v/>
      </c>
      <c r="F694" s="51" t="n"/>
    </row>
    <row r="695">
      <c r="A695" s="50" t="n"/>
      <c r="B695" s="50" t="n"/>
      <c r="C695" s="51" t="n"/>
      <c r="D695" s="51" t="n"/>
      <c r="E695">
        <f>IF(OR(A695="",B695=""),"",B695-A695)</f>
        <v/>
      </c>
      <c r="F695" s="51" t="n"/>
    </row>
    <row r="696">
      <c r="A696" s="50" t="n"/>
      <c r="B696" s="50" t="n"/>
      <c r="C696" s="51" t="n"/>
      <c r="D696" s="51" t="n"/>
      <c r="E696">
        <f>IF(OR(A696="",B696=""),"",B696-A696)</f>
        <v/>
      </c>
      <c r="F696" s="51" t="n"/>
    </row>
    <row r="697">
      <c r="A697" s="50" t="n"/>
      <c r="B697" s="50" t="n"/>
      <c r="C697" s="51" t="n"/>
      <c r="D697" s="51" t="n"/>
      <c r="E697">
        <f>IF(OR(A697="",B697=""),"",B697-A697)</f>
        <v/>
      </c>
      <c r="F697" s="51" t="n"/>
    </row>
    <row r="698">
      <c r="A698" s="50" t="n"/>
      <c r="B698" s="50" t="n"/>
      <c r="C698" s="51" t="n"/>
      <c r="D698" s="51" t="n"/>
      <c r="E698">
        <f>IF(OR(A698="",B698=""),"",B698-A698)</f>
        <v/>
      </c>
      <c r="F698" s="51" t="n"/>
    </row>
    <row r="699">
      <c r="A699" s="50" t="n"/>
      <c r="B699" s="50" t="n"/>
      <c r="C699" s="51" t="n"/>
      <c r="D699" s="51" t="n"/>
      <c r="E699">
        <f>IF(OR(A699="",B699=""),"",B699-A699)</f>
        <v/>
      </c>
      <c r="F699" s="51" t="n"/>
    </row>
    <row r="700">
      <c r="A700" s="50" t="n"/>
      <c r="B700" s="50" t="n"/>
      <c r="C700" s="51" t="n"/>
      <c r="D700" s="51" t="n"/>
      <c r="E700">
        <f>IF(OR(A700="",B700=""),"",B700-A700)</f>
        <v/>
      </c>
      <c r="F700" s="51" t="n"/>
    </row>
    <row r="701">
      <c r="A701" s="50" t="n"/>
      <c r="B701" s="50" t="n"/>
      <c r="C701" s="51" t="n"/>
      <c r="D701" s="51" t="n"/>
      <c r="E701">
        <f>IF(OR(A701="",B701=""),"",B701-A701)</f>
        <v/>
      </c>
      <c r="F701" s="51" t="n"/>
    </row>
    <row r="702">
      <c r="A702" s="50" t="n"/>
      <c r="B702" s="50" t="n"/>
      <c r="C702" s="51" t="n"/>
      <c r="D702" s="51" t="n"/>
      <c r="E702">
        <f>IF(OR(A702="",B702=""),"",B702-A702)</f>
        <v/>
      </c>
      <c r="F702" s="51" t="n"/>
    </row>
    <row r="703">
      <c r="A703" s="50" t="n"/>
      <c r="B703" s="50" t="n"/>
      <c r="C703" s="51" t="n"/>
      <c r="D703" s="51" t="n"/>
      <c r="E703">
        <f>IF(OR(A703="",B703=""),"",B703-A703)</f>
        <v/>
      </c>
      <c r="F703" s="51" t="n"/>
    </row>
    <row r="704">
      <c r="A704" s="50" t="n"/>
      <c r="B704" s="50" t="n"/>
      <c r="C704" s="51" t="n"/>
      <c r="D704" s="51" t="n"/>
      <c r="E704">
        <f>IF(OR(A704="",B704=""),"",B704-A704)</f>
        <v/>
      </c>
      <c r="F704" s="51" t="n"/>
    </row>
    <row r="705">
      <c r="A705" s="50" t="n"/>
      <c r="B705" s="50" t="n"/>
      <c r="C705" s="51" t="n"/>
      <c r="D705" s="51" t="n"/>
      <c r="E705">
        <f>IF(OR(A705="",B705=""),"",B705-A705)</f>
        <v/>
      </c>
      <c r="F705" s="51" t="n"/>
    </row>
    <row r="706">
      <c r="A706" s="50" t="n"/>
      <c r="B706" s="50" t="n"/>
      <c r="C706" s="51" t="n"/>
      <c r="D706" s="51" t="n"/>
      <c r="E706">
        <f>IF(OR(A706="",B706=""),"",B706-A706)</f>
        <v/>
      </c>
      <c r="F706" s="51" t="n"/>
    </row>
    <row r="707">
      <c r="A707" s="50" t="n"/>
      <c r="B707" s="50" t="n"/>
      <c r="C707" s="51" t="n"/>
      <c r="D707" s="51" t="n"/>
      <c r="E707">
        <f>IF(OR(A707="",B707=""),"",B707-A707)</f>
        <v/>
      </c>
      <c r="F707" s="51" t="n"/>
    </row>
    <row r="708">
      <c r="A708" s="50" t="n"/>
      <c r="B708" s="50" t="n"/>
      <c r="C708" s="51" t="n"/>
      <c r="D708" s="51" t="n"/>
      <c r="E708">
        <f>IF(OR(A708="",B708=""),"",B708-A708)</f>
        <v/>
      </c>
      <c r="F708" s="51" t="n"/>
    </row>
    <row r="709">
      <c r="A709" s="50" t="n"/>
      <c r="B709" s="50" t="n"/>
      <c r="C709" s="51" t="n"/>
      <c r="D709" s="51" t="n"/>
      <c r="E709">
        <f>IF(OR(A709="",B709=""),"",B709-A709)</f>
        <v/>
      </c>
      <c r="F709" s="51" t="n"/>
    </row>
    <row r="710">
      <c r="A710" s="50" t="n"/>
      <c r="B710" s="50" t="n"/>
      <c r="C710" s="51" t="n"/>
      <c r="D710" s="51" t="n"/>
      <c r="E710">
        <f>IF(OR(A710="",B710=""),"",B710-A710)</f>
        <v/>
      </c>
      <c r="F710" s="51" t="n"/>
    </row>
    <row r="711">
      <c r="A711" s="50" t="n"/>
      <c r="B711" s="50" t="n"/>
      <c r="C711" s="51" t="n"/>
      <c r="D711" s="51" t="n"/>
      <c r="E711">
        <f>IF(OR(A711="",B711=""),"",B711-A711)</f>
        <v/>
      </c>
      <c r="F711" s="51" t="n"/>
    </row>
    <row r="712">
      <c r="A712" s="50" t="n"/>
      <c r="B712" s="50" t="n"/>
      <c r="C712" s="51" t="n"/>
      <c r="D712" s="51" t="n"/>
      <c r="E712">
        <f>IF(OR(A712="",B712=""),"",B712-A712)</f>
        <v/>
      </c>
      <c r="F712" s="51" t="n"/>
    </row>
    <row r="713">
      <c r="A713" s="50" t="n"/>
      <c r="B713" s="50" t="n"/>
      <c r="C713" s="51" t="n"/>
      <c r="D713" s="51" t="n"/>
      <c r="E713">
        <f>IF(OR(A713="",B713=""),"",B713-A713)</f>
        <v/>
      </c>
      <c r="F713" s="51" t="n"/>
    </row>
    <row r="714">
      <c r="A714" s="50" t="n"/>
      <c r="B714" s="50" t="n"/>
      <c r="C714" s="51" t="n"/>
      <c r="D714" s="51" t="n"/>
      <c r="E714">
        <f>IF(OR(A714="",B714=""),"",B714-A714)</f>
        <v/>
      </c>
      <c r="F714" s="51" t="n"/>
    </row>
    <row r="715">
      <c r="A715" s="50" t="n"/>
      <c r="B715" s="50" t="n"/>
      <c r="C715" s="51" t="n"/>
      <c r="D715" s="51" t="n"/>
      <c r="E715">
        <f>IF(OR(A715="",B715=""),"",B715-A715)</f>
        <v/>
      </c>
      <c r="F715" s="51" t="n"/>
    </row>
    <row r="716">
      <c r="A716" s="50" t="n"/>
      <c r="B716" s="50" t="n"/>
      <c r="C716" s="51" t="n"/>
      <c r="D716" s="51" t="n"/>
      <c r="E716">
        <f>IF(OR(A716="",B716=""),"",B716-A716)</f>
        <v/>
      </c>
      <c r="F716" s="51" t="n"/>
    </row>
    <row r="717">
      <c r="A717" s="50" t="n"/>
      <c r="B717" s="50" t="n"/>
      <c r="C717" s="51" t="n"/>
      <c r="D717" s="51" t="n"/>
      <c r="E717">
        <f>IF(OR(A717="",B717=""),"",B717-A717)</f>
        <v/>
      </c>
      <c r="F717" s="51" t="n"/>
    </row>
    <row r="718">
      <c r="A718" s="50" t="n"/>
      <c r="B718" s="50" t="n"/>
      <c r="C718" s="51" t="n"/>
      <c r="D718" s="51" t="n"/>
      <c r="E718">
        <f>IF(OR(A718="",B718=""),"",B718-A718)</f>
        <v/>
      </c>
      <c r="F718" s="51" t="n"/>
    </row>
    <row r="719">
      <c r="A719" s="50" t="n"/>
      <c r="B719" s="50" t="n"/>
      <c r="C719" s="51" t="n"/>
      <c r="D719" s="51" t="n"/>
      <c r="E719">
        <f>IF(OR(A719="",B719=""),"",B719-A719)</f>
        <v/>
      </c>
      <c r="F719" s="51" t="n"/>
    </row>
    <row r="720">
      <c r="A720" s="50" t="n"/>
      <c r="B720" s="50" t="n"/>
      <c r="C720" s="51" t="n"/>
      <c r="D720" s="51" t="n"/>
      <c r="E720">
        <f>IF(OR(A720="",B720=""),"",B720-A720)</f>
        <v/>
      </c>
      <c r="F720" s="51" t="n"/>
    </row>
    <row r="721">
      <c r="A721" s="50" t="n"/>
      <c r="B721" s="50" t="n"/>
      <c r="C721" s="51" t="n"/>
      <c r="D721" s="51" t="n"/>
      <c r="E721">
        <f>IF(OR(A721="",B721=""),"",B721-A721)</f>
        <v/>
      </c>
      <c r="F721" s="51" t="n"/>
    </row>
    <row r="722">
      <c r="A722" s="50" t="n"/>
      <c r="B722" s="50" t="n"/>
      <c r="C722" s="51" t="n"/>
      <c r="D722" s="51" t="n"/>
      <c r="E722">
        <f>IF(OR(A722="",B722=""),"",B722-A722)</f>
        <v/>
      </c>
      <c r="F722" s="51" t="n"/>
    </row>
    <row r="723">
      <c r="A723" s="50" t="n"/>
      <c r="B723" s="50" t="n"/>
      <c r="C723" s="51" t="n"/>
      <c r="D723" s="51" t="n"/>
      <c r="E723">
        <f>IF(OR(A723="",B723=""),"",B723-A723)</f>
        <v/>
      </c>
      <c r="F723" s="51" t="n"/>
    </row>
    <row r="724">
      <c r="A724" s="50" t="n"/>
      <c r="B724" s="50" t="n"/>
      <c r="C724" s="51" t="n"/>
      <c r="D724" s="51" t="n"/>
      <c r="E724">
        <f>IF(OR(A724="",B724=""),"",B724-A724)</f>
        <v/>
      </c>
      <c r="F724" s="51" t="n"/>
    </row>
    <row r="725">
      <c r="A725" s="50" t="n"/>
      <c r="B725" s="50" t="n"/>
      <c r="C725" s="51" t="n"/>
      <c r="D725" s="51" t="n"/>
      <c r="E725">
        <f>IF(OR(A725="",B725=""),"",B725-A725)</f>
        <v/>
      </c>
      <c r="F725" s="51" t="n"/>
    </row>
    <row r="726">
      <c r="A726" s="50" t="n"/>
      <c r="B726" s="50" t="n"/>
      <c r="C726" s="51" t="n"/>
      <c r="D726" s="51" t="n"/>
      <c r="E726">
        <f>IF(OR(A726="",B726=""),"",B726-A726)</f>
        <v/>
      </c>
      <c r="F726" s="51" t="n"/>
    </row>
    <row r="727">
      <c r="A727" s="50" t="n"/>
      <c r="B727" s="50" t="n"/>
      <c r="C727" s="51" t="n"/>
      <c r="D727" s="51" t="n"/>
      <c r="E727">
        <f>IF(OR(A727="",B727=""),"",B727-A727)</f>
        <v/>
      </c>
      <c r="F727" s="51" t="n"/>
    </row>
    <row r="728">
      <c r="A728" s="50" t="n"/>
      <c r="B728" s="50" t="n"/>
      <c r="C728" s="51" t="n"/>
      <c r="D728" s="51" t="n"/>
      <c r="E728">
        <f>IF(OR(A728="",B728=""),"",B728-A728)</f>
        <v/>
      </c>
      <c r="F728" s="51" t="n"/>
    </row>
    <row r="729">
      <c r="A729" s="50" t="n"/>
      <c r="B729" s="50" t="n"/>
      <c r="C729" s="51" t="n"/>
      <c r="D729" s="51" t="n"/>
      <c r="E729">
        <f>IF(OR(A729="",B729=""),"",B729-A729)</f>
        <v/>
      </c>
      <c r="F729" s="51" t="n"/>
    </row>
    <row r="730">
      <c r="A730" s="50" t="n"/>
      <c r="B730" s="50" t="n"/>
      <c r="C730" s="51" t="n"/>
      <c r="D730" s="51" t="n"/>
      <c r="E730">
        <f>IF(OR(A730="",B730=""),"",B730-A730)</f>
        <v/>
      </c>
      <c r="F730" s="51" t="n"/>
    </row>
    <row r="731">
      <c r="A731" s="50" t="n"/>
      <c r="B731" s="50" t="n"/>
      <c r="C731" s="51" t="n"/>
      <c r="D731" s="51" t="n"/>
      <c r="E731">
        <f>IF(OR(A731="",B731=""),"",B731-A731)</f>
        <v/>
      </c>
      <c r="F731" s="51" t="n"/>
    </row>
    <row r="732">
      <c r="A732" s="50" t="n"/>
      <c r="B732" s="50" t="n"/>
      <c r="C732" s="51" t="n"/>
      <c r="D732" s="51" t="n"/>
      <c r="E732">
        <f>IF(OR(A732="",B732=""),"",B732-A732)</f>
        <v/>
      </c>
      <c r="F732" s="51" t="n"/>
    </row>
    <row r="733">
      <c r="A733" s="50" t="n"/>
      <c r="B733" s="50" t="n"/>
      <c r="C733" s="51" t="n"/>
      <c r="D733" s="51" t="n"/>
      <c r="E733">
        <f>IF(OR(A733="",B733=""),"",B733-A733)</f>
        <v/>
      </c>
      <c r="F733" s="51" t="n"/>
    </row>
    <row r="734">
      <c r="A734" s="50" t="n"/>
      <c r="B734" s="50" t="n"/>
      <c r="C734" s="51" t="n"/>
      <c r="D734" s="51" t="n"/>
      <c r="E734">
        <f>IF(OR(A734="",B734=""),"",B734-A734)</f>
        <v/>
      </c>
      <c r="F734" s="51" t="n"/>
    </row>
    <row r="735">
      <c r="A735" s="50" t="n"/>
      <c r="B735" s="50" t="n"/>
      <c r="C735" s="51" t="n"/>
      <c r="D735" s="51" t="n"/>
      <c r="E735">
        <f>IF(OR(A735="",B735=""),"",B735-A735)</f>
        <v/>
      </c>
      <c r="F735" s="51" t="n"/>
    </row>
    <row r="736">
      <c r="A736" s="50" t="n"/>
      <c r="B736" s="50" t="n"/>
      <c r="C736" s="51" t="n"/>
      <c r="D736" s="51" t="n"/>
      <c r="E736">
        <f>IF(OR(A736="",B736=""),"",B736-A736)</f>
        <v/>
      </c>
      <c r="F736" s="51" t="n"/>
    </row>
    <row r="737">
      <c r="A737" s="50" t="n"/>
      <c r="B737" s="50" t="n"/>
      <c r="C737" s="51" t="n"/>
      <c r="D737" s="51" t="n"/>
      <c r="E737">
        <f>IF(OR(A737="",B737=""),"",B737-A737)</f>
        <v/>
      </c>
      <c r="F737" s="51" t="n"/>
    </row>
    <row r="738">
      <c r="A738" s="50" t="n"/>
      <c r="B738" s="50" t="n"/>
      <c r="C738" s="51" t="n"/>
      <c r="D738" s="51" t="n"/>
      <c r="E738">
        <f>IF(OR(A738="",B738=""),"",B738-A738)</f>
        <v/>
      </c>
      <c r="F738" s="51" t="n"/>
    </row>
    <row r="739">
      <c r="A739" s="50" t="n"/>
      <c r="B739" s="50" t="n"/>
      <c r="C739" s="51" t="n"/>
      <c r="D739" s="51" t="n"/>
      <c r="E739">
        <f>IF(OR(A739="",B739=""),"",B739-A739)</f>
        <v/>
      </c>
      <c r="F739" s="51" t="n"/>
    </row>
    <row r="740">
      <c r="A740" s="50" t="n"/>
      <c r="B740" s="50" t="n"/>
      <c r="C740" s="51" t="n"/>
      <c r="D740" s="51" t="n"/>
      <c r="E740">
        <f>IF(OR(A740="",B740=""),"",B740-A740)</f>
        <v/>
      </c>
      <c r="F740" s="51" t="n"/>
    </row>
    <row r="741">
      <c r="A741" s="50" t="n"/>
      <c r="B741" s="50" t="n"/>
      <c r="C741" s="51" t="n"/>
      <c r="D741" s="51" t="n"/>
      <c r="E741">
        <f>IF(OR(A741="",B741=""),"",B741-A741)</f>
        <v/>
      </c>
      <c r="F741" s="51" t="n"/>
    </row>
    <row r="742">
      <c r="A742" s="50" t="n"/>
      <c r="B742" s="50" t="n"/>
      <c r="C742" s="51" t="n"/>
      <c r="D742" s="51" t="n"/>
      <c r="E742">
        <f>IF(OR(A742="",B742=""),"",B742-A742)</f>
        <v/>
      </c>
      <c r="F742" s="51" t="n"/>
    </row>
    <row r="743">
      <c r="A743" s="50" t="n"/>
      <c r="B743" s="50" t="n"/>
      <c r="C743" s="51" t="n"/>
      <c r="D743" s="51" t="n"/>
      <c r="E743">
        <f>IF(OR(A743="",B743=""),"",B743-A743)</f>
        <v/>
      </c>
      <c r="F743" s="51" t="n"/>
    </row>
    <row r="744">
      <c r="A744" s="50" t="n"/>
      <c r="B744" s="50" t="n"/>
      <c r="C744" s="51" t="n"/>
      <c r="D744" s="51" t="n"/>
      <c r="E744">
        <f>IF(OR(A744="",B744=""),"",B744-A744)</f>
        <v/>
      </c>
      <c r="F744" s="51" t="n"/>
    </row>
    <row r="745">
      <c r="A745" s="50" t="n"/>
      <c r="B745" s="50" t="n"/>
      <c r="C745" s="51" t="n"/>
      <c r="D745" s="51" t="n"/>
      <c r="E745">
        <f>IF(OR(A745="",B745=""),"",B745-A745)</f>
        <v/>
      </c>
      <c r="F745" s="51" t="n"/>
    </row>
    <row r="746">
      <c r="A746" s="50" t="n"/>
      <c r="B746" s="50" t="n"/>
      <c r="C746" s="51" t="n"/>
      <c r="D746" s="51" t="n"/>
      <c r="E746">
        <f>IF(OR(A746="",B746=""),"",B746-A746)</f>
        <v/>
      </c>
      <c r="F746" s="51" t="n"/>
    </row>
    <row r="747">
      <c r="A747" s="50" t="n"/>
      <c r="B747" s="50" t="n"/>
      <c r="C747" s="51" t="n"/>
      <c r="D747" s="51" t="n"/>
      <c r="E747">
        <f>IF(OR(A747="",B747=""),"",B747-A747)</f>
        <v/>
      </c>
      <c r="F747" s="51" t="n"/>
    </row>
    <row r="748">
      <c r="A748" s="50" t="n"/>
      <c r="B748" s="50" t="n"/>
      <c r="C748" s="51" t="n"/>
      <c r="D748" s="51" t="n"/>
      <c r="E748">
        <f>IF(OR(A748="",B748=""),"",B748-A748)</f>
        <v/>
      </c>
      <c r="F748" s="51" t="n"/>
    </row>
    <row r="749">
      <c r="A749" s="50" t="n"/>
      <c r="B749" s="50" t="n"/>
      <c r="C749" s="51" t="n"/>
      <c r="D749" s="51" t="n"/>
      <c r="E749">
        <f>IF(OR(A749="",B749=""),"",B749-A749)</f>
        <v/>
      </c>
      <c r="F749" s="51" t="n"/>
    </row>
    <row r="750">
      <c r="A750" s="50" t="n"/>
      <c r="B750" s="50" t="n"/>
      <c r="C750" s="51" t="n"/>
      <c r="D750" s="51" t="n"/>
      <c r="E750">
        <f>IF(OR(A750="",B750=""),"",B750-A750)</f>
        <v/>
      </c>
      <c r="F750" s="51" t="n"/>
    </row>
    <row r="751">
      <c r="A751" s="50" t="n"/>
      <c r="B751" s="50" t="n"/>
      <c r="C751" s="51" t="n"/>
      <c r="D751" s="51" t="n"/>
      <c r="E751">
        <f>IF(OR(A751="",B751=""),"",B751-A751)</f>
        <v/>
      </c>
      <c r="F751" s="51" t="n"/>
    </row>
    <row r="752">
      <c r="A752" s="50" t="n"/>
      <c r="B752" s="50" t="n"/>
      <c r="C752" s="51" t="n"/>
      <c r="D752" s="51" t="n"/>
      <c r="E752">
        <f>IF(OR(A752="",B752=""),"",B752-A752)</f>
        <v/>
      </c>
      <c r="F752" s="51" t="n"/>
    </row>
    <row r="753">
      <c r="A753" s="50" t="n"/>
      <c r="B753" s="50" t="n"/>
      <c r="C753" s="51" t="n"/>
      <c r="D753" s="51" t="n"/>
      <c r="E753">
        <f>IF(OR(A753="",B753=""),"",B753-A753)</f>
        <v/>
      </c>
      <c r="F753" s="51" t="n"/>
    </row>
    <row r="754">
      <c r="A754" s="50" t="n"/>
      <c r="B754" s="50" t="n"/>
      <c r="C754" s="51" t="n"/>
      <c r="D754" s="51" t="n"/>
      <c r="E754">
        <f>IF(OR(A754="",B754=""),"",B754-A754)</f>
        <v/>
      </c>
      <c r="F754" s="51" t="n"/>
    </row>
    <row r="755">
      <c r="A755" s="50" t="n"/>
      <c r="B755" s="50" t="n"/>
      <c r="C755" s="51" t="n"/>
      <c r="D755" s="51" t="n"/>
      <c r="E755">
        <f>IF(OR(A755="",B755=""),"",B755-A755)</f>
        <v/>
      </c>
      <c r="F755" s="51" t="n"/>
    </row>
    <row r="756">
      <c r="A756" s="50" t="n"/>
      <c r="B756" s="50" t="n"/>
      <c r="C756" s="51" t="n"/>
      <c r="D756" s="51" t="n"/>
      <c r="E756">
        <f>IF(OR(A756="",B756=""),"",B756-A756)</f>
        <v/>
      </c>
      <c r="F756" s="51" t="n"/>
    </row>
    <row r="757">
      <c r="A757" s="50" t="n"/>
      <c r="B757" s="50" t="n"/>
      <c r="C757" s="51" t="n"/>
      <c r="D757" s="51" t="n"/>
      <c r="E757">
        <f>IF(OR(A757="",B757=""),"",B757-A757)</f>
        <v/>
      </c>
      <c r="F757" s="51" t="n"/>
    </row>
    <row r="758">
      <c r="A758" s="50" t="n"/>
      <c r="B758" s="50" t="n"/>
      <c r="C758" s="51" t="n"/>
      <c r="D758" s="51" t="n"/>
      <c r="E758">
        <f>IF(OR(A758="",B758=""),"",B758-A758)</f>
        <v/>
      </c>
      <c r="F758" s="51" t="n"/>
    </row>
    <row r="759">
      <c r="A759" s="50" t="n"/>
      <c r="B759" s="50" t="n"/>
      <c r="C759" s="51" t="n"/>
      <c r="D759" s="51" t="n"/>
      <c r="E759">
        <f>IF(OR(A759="",B759=""),"",B759-A759)</f>
        <v/>
      </c>
      <c r="F759" s="51" t="n"/>
    </row>
    <row r="760">
      <c r="A760" s="50" t="n"/>
      <c r="B760" s="50" t="n"/>
      <c r="C760" s="51" t="n"/>
      <c r="D760" s="51" t="n"/>
      <c r="E760">
        <f>IF(OR(A760="",B760=""),"",B760-A760)</f>
        <v/>
      </c>
      <c r="F760" s="51" t="n"/>
    </row>
    <row r="761">
      <c r="A761" s="50" t="n"/>
      <c r="B761" s="50" t="n"/>
      <c r="C761" s="51" t="n"/>
      <c r="D761" s="51" t="n"/>
      <c r="E761">
        <f>IF(OR(A761="",B761=""),"",B761-A761)</f>
        <v/>
      </c>
      <c r="F761" s="51" t="n"/>
    </row>
    <row r="762">
      <c r="A762" s="50" t="n"/>
      <c r="B762" s="50" t="n"/>
      <c r="C762" s="51" t="n"/>
      <c r="D762" s="51" t="n"/>
      <c r="E762">
        <f>IF(OR(A762="",B762=""),"",B762-A762)</f>
        <v/>
      </c>
      <c r="F762" s="51" t="n"/>
    </row>
    <row r="763">
      <c r="A763" s="50" t="n"/>
      <c r="B763" s="50" t="n"/>
      <c r="C763" s="51" t="n"/>
      <c r="D763" s="51" t="n"/>
      <c r="E763">
        <f>IF(OR(A763="",B763=""),"",B763-A763)</f>
        <v/>
      </c>
      <c r="F763" s="51" t="n"/>
    </row>
    <row r="764">
      <c r="A764" s="50" t="n"/>
      <c r="B764" s="50" t="n"/>
      <c r="C764" s="51" t="n"/>
      <c r="D764" s="51" t="n"/>
      <c r="E764">
        <f>IF(OR(A764="",B764=""),"",B764-A764)</f>
        <v/>
      </c>
      <c r="F764" s="51" t="n"/>
    </row>
    <row r="765">
      <c r="A765" s="50" t="n"/>
      <c r="B765" s="50" t="n"/>
      <c r="C765" s="51" t="n"/>
      <c r="D765" s="51" t="n"/>
      <c r="E765">
        <f>IF(OR(A765="",B765=""),"",B765-A765)</f>
        <v/>
      </c>
      <c r="F765" s="51" t="n"/>
    </row>
    <row r="766">
      <c r="A766" s="50" t="n"/>
      <c r="B766" s="50" t="n"/>
      <c r="C766" s="51" t="n"/>
      <c r="D766" s="51" t="n"/>
      <c r="E766">
        <f>IF(OR(A766="",B766=""),"",B766-A766)</f>
        <v/>
      </c>
      <c r="F766" s="51" t="n"/>
    </row>
    <row r="767">
      <c r="A767" s="50" t="n"/>
      <c r="B767" s="50" t="n"/>
      <c r="C767" s="51" t="n"/>
      <c r="D767" s="51" t="n"/>
      <c r="E767">
        <f>IF(OR(A767="",B767=""),"",B767-A767)</f>
        <v/>
      </c>
      <c r="F767" s="51" t="n"/>
    </row>
    <row r="768">
      <c r="A768" s="50" t="n"/>
      <c r="B768" s="50" t="n"/>
      <c r="C768" s="51" t="n"/>
      <c r="D768" s="51" t="n"/>
      <c r="E768">
        <f>IF(OR(A768="",B768=""),"",B768-A768)</f>
        <v/>
      </c>
      <c r="F768" s="51" t="n"/>
    </row>
    <row r="769">
      <c r="A769" s="50" t="n"/>
      <c r="B769" s="50" t="n"/>
      <c r="C769" s="51" t="n"/>
      <c r="D769" s="51" t="n"/>
      <c r="E769">
        <f>IF(OR(A769="",B769=""),"",B769-A769)</f>
        <v/>
      </c>
      <c r="F769" s="51" t="n"/>
    </row>
    <row r="770">
      <c r="A770" s="50" t="n"/>
      <c r="B770" s="50" t="n"/>
      <c r="C770" s="51" t="n"/>
      <c r="D770" s="51" t="n"/>
      <c r="E770">
        <f>IF(OR(A770="",B770=""),"",B770-A770)</f>
        <v/>
      </c>
      <c r="F770" s="51" t="n"/>
    </row>
    <row r="771">
      <c r="A771" s="50" t="n"/>
      <c r="B771" s="50" t="n"/>
      <c r="C771" s="51" t="n"/>
      <c r="D771" s="51" t="n"/>
      <c r="E771">
        <f>IF(OR(A771="",B771=""),"",B771-A771)</f>
        <v/>
      </c>
      <c r="F771" s="51" t="n"/>
    </row>
    <row r="772">
      <c r="A772" s="50" t="n"/>
      <c r="B772" s="50" t="n"/>
      <c r="C772" s="51" t="n"/>
      <c r="D772" s="51" t="n"/>
      <c r="E772">
        <f>IF(OR(A772="",B772=""),"",B772-A772)</f>
        <v/>
      </c>
      <c r="F772" s="51" t="n"/>
    </row>
    <row r="773">
      <c r="A773" s="50" t="n"/>
      <c r="B773" s="50" t="n"/>
      <c r="C773" s="51" t="n"/>
      <c r="D773" s="51" t="n"/>
      <c r="E773">
        <f>IF(OR(A773="",B773=""),"",B773-A773)</f>
        <v/>
      </c>
      <c r="F773" s="51" t="n"/>
    </row>
    <row r="774">
      <c r="A774" s="50" t="n"/>
      <c r="B774" s="50" t="n"/>
      <c r="C774" s="51" t="n"/>
      <c r="D774" s="51" t="n"/>
      <c r="E774">
        <f>IF(OR(A774="",B774=""),"",B774-A774)</f>
        <v/>
      </c>
      <c r="F774" s="51" t="n"/>
    </row>
    <row r="775">
      <c r="A775" s="50" t="n"/>
      <c r="B775" s="50" t="n"/>
      <c r="C775" s="51" t="n"/>
      <c r="D775" s="51" t="n"/>
      <c r="E775">
        <f>IF(OR(A775="",B775=""),"",B775-A775)</f>
        <v/>
      </c>
      <c r="F775" s="51" t="n"/>
    </row>
    <row r="776">
      <c r="A776" s="50" t="n"/>
      <c r="B776" s="50" t="n"/>
      <c r="C776" s="51" t="n"/>
      <c r="D776" s="51" t="n"/>
      <c r="E776">
        <f>IF(OR(A776="",B776=""),"",B776-A776)</f>
        <v/>
      </c>
      <c r="F776" s="51" t="n"/>
    </row>
    <row r="777">
      <c r="A777" s="50" t="n"/>
      <c r="B777" s="50" t="n"/>
      <c r="C777" s="51" t="n"/>
      <c r="D777" s="51" t="n"/>
      <c r="E777">
        <f>IF(OR(A777="",B777=""),"",B777-A777)</f>
        <v/>
      </c>
      <c r="F777" s="51" t="n"/>
    </row>
    <row r="778">
      <c r="A778" s="50" t="n"/>
      <c r="B778" s="50" t="n"/>
      <c r="C778" s="51" t="n"/>
      <c r="D778" s="51" t="n"/>
      <c r="E778">
        <f>IF(OR(A778="",B778=""),"",B778-A778)</f>
        <v/>
      </c>
      <c r="F778" s="51" t="n"/>
    </row>
    <row r="779">
      <c r="A779" s="50" t="n"/>
      <c r="B779" s="50" t="n"/>
      <c r="C779" s="51" t="n"/>
      <c r="D779" s="51" t="n"/>
      <c r="E779">
        <f>IF(OR(A779="",B779=""),"",B779-A779)</f>
        <v/>
      </c>
      <c r="F779" s="51" t="n"/>
    </row>
    <row r="780">
      <c r="A780" s="50" t="n"/>
      <c r="B780" s="50" t="n"/>
      <c r="C780" s="51" t="n"/>
      <c r="D780" s="51" t="n"/>
      <c r="E780">
        <f>IF(OR(A780="",B780=""),"",B780-A780)</f>
        <v/>
      </c>
      <c r="F780" s="51" t="n"/>
    </row>
    <row r="781">
      <c r="A781" s="50" t="n"/>
      <c r="B781" s="50" t="n"/>
      <c r="C781" s="51" t="n"/>
      <c r="D781" s="51" t="n"/>
      <c r="E781">
        <f>IF(OR(A781="",B781=""),"",B781-A781)</f>
        <v/>
      </c>
      <c r="F781" s="51" t="n"/>
    </row>
    <row r="782">
      <c r="A782" s="50" t="n"/>
      <c r="B782" s="50" t="n"/>
      <c r="C782" s="51" t="n"/>
      <c r="D782" s="51" t="n"/>
      <c r="E782">
        <f>IF(OR(A782="",B782=""),"",B782-A782)</f>
        <v/>
      </c>
      <c r="F782" s="51" t="n"/>
    </row>
    <row r="783">
      <c r="A783" s="50" t="n"/>
      <c r="B783" s="50" t="n"/>
      <c r="C783" s="51" t="n"/>
      <c r="D783" s="51" t="n"/>
      <c r="E783">
        <f>IF(OR(A783="",B783=""),"",B783-A783)</f>
        <v/>
      </c>
      <c r="F783" s="51" t="n"/>
    </row>
    <row r="784">
      <c r="A784" s="50" t="n"/>
      <c r="B784" s="50" t="n"/>
      <c r="C784" s="51" t="n"/>
      <c r="D784" s="51" t="n"/>
      <c r="E784">
        <f>IF(OR(A784="",B784=""),"",B784-A784)</f>
        <v/>
      </c>
      <c r="F784" s="51" t="n"/>
    </row>
    <row r="785">
      <c r="A785" s="50" t="n"/>
      <c r="B785" s="50" t="n"/>
      <c r="C785" s="51" t="n"/>
      <c r="D785" s="51" t="n"/>
      <c r="E785">
        <f>IF(OR(A785="",B785=""),"",B785-A785)</f>
        <v/>
      </c>
      <c r="F785" s="51" t="n"/>
    </row>
    <row r="786">
      <c r="A786" s="50" t="n"/>
      <c r="B786" s="50" t="n"/>
      <c r="C786" s="51" t="n"/>
      <c r="D786" s="51" t="n"/>
      <c r="E786">
        <f>IF(OR(A786="",B786=""),"",B786-A786)</f>
        <v/>
      </c>
      <c r="F786" s="51" t="n"/>
    </row>
    <row r="787">
      <c r="A787" s="50" t="n"/>
      <c r="B787" s="50" t="n"/>
      <c r="C787" s="51" t="n"/>
      <c r="D787" s="51" t="n"/>
      <c r="E787">
        <f>IF(OR(A787="",B787=""),"",B787-A787)</f>
        <v/>
      </c>
      <c r="F787" s="51" t="n"/>
    </row>
    <row r="788">
      <c r="A788" s="50" t="n"/>
      <c r="B788" s="50" t="n"/>
      <c r="C788" s="51" t="n"/>
      <c r="D788" s="51" t="n"/>
      <c r="E788">
        <f>IF(OR(A788="",B788=""),"",B788-A788)</f>
        <v/>
      </c>
      <c r="F788" s="51" t="n"/>
    </row>
    <row r="789">
      <c r="A789" s="50" t="n"/>
      <c r="B789" s="50" t="n"/>
      <c r="C789" s="51" t="n"/>
      <c r="D789" s="51" t="n"/>
      <c r="E789">
        <f>IF(OR(A789="",B789=""),"",B789-A789)</f>
        <v/>
      </c>
      <c r="F789" s="51" t="n"/>
    </row>
    <row r="790">
      <c r="A790" s="50" t="n"/>
      <c r="B790" s="50" t="n"/>
      <c r="C790" s="51" t="n"/>
      <c r="D790" s="51" t="n"/>
      <c r="E790">
        <f>IF(OR(A790="",B790=""),"",B790-A790)</f>
        <v/>
      </c>
      <c r="F790" s="51" t="n"/>
    </row>
    <row r="791">
      <c r="A791" s="50" t="n"/>
      <c r="B791" s="50" t="n"/>
      <c r="C791" s="51" t="n"/>
      <c r="D791" s="51" t="n"/>
      <c r="E791">
        <f>IF(OR(A791="",B791=""),"",B791-A791)</f>
        <v/>
      </c>
      <c r="F791" s="51" t="n"/>
    </row>
    <row r="792">
      <c r="A792" s="50" t="n"/>
      <c r="B792" s="50" t="n"/>
      <c r="C792" s="51" t="n"/>
      <c r="D792" s="51" t="n"/>
      <c r="E792">
        <f>IF(OR(A792="",B792=""),"",B792-A792)</f>
        <v/>
      </c>
      <c r="F792" s="51" t="n"/>
    </row>
    <row r="793">
      <c r="A793" s="50" t="n"/>
      <c r="B793" s="50" t="n"/>
      <c r="C793" s="51" t="n"/>
      <c r="D793" s="51" t="n"/>
      <c r="E793">
        <f>IF(OR(A793="",B793=""),"",B793-A793)</f>
        <v/>
      </c>
      <c r="F793" s="51" t="n"/>
    </row>
    <row r="794">
      <c r="A794" s="50" t="n"/>
      <c r="B794" s="50" t="n"/>
      <c r="C794" s="51" t="n"/>
      <c r="D794" s="51" t="n"/>
      <c r="E794">
        <f>IF(OR(A794="",B794=""),"",B794-A794)</f>
        <v/>
      </c>
      <c r="F794" s="51" t="n"/>
    </row>
    <row r="795">
      <c r="A795" s="50" t="n"/>
      <c r="B795" s="50" t="n"/>
      <c r="C795" s="51" t="n"/>
      <c r="D795" s="51" t="n"/>
      <c r="E795">
        <f>IF(OR(A795="",B795=""),"",B795-A795)</f>
        <v/>
      </c>
      <c r="F795" s="51" t="n"/>
    </row>
    <row r="796">
      <c r="A796" s="50" t="n"/>
      <c r="B796" s="50" t="n"/>
      <c r="C796" s="51" t="n"/>
      <c r="D796" s="51" t="n"/>
      <c r="E796">
        <f>IF(OR(A796="",B796=""),"",B796-A796)</f>
        <v/>
      </c>
      <c r="F796" s="51" t="n"/>
    </row>
    <row r="797">
      <c r="A797" s="50" t="n"/>
      <c r="B797" s="50" t="n"/>
      <c r="C797" s="51" t="n"/>
      <c r="D797" s="51" t="n"/>
      <c r="E797">
        <f>IF(OR(A797="",B797=""),"",B797-A797)</f>
        <v/>
      </c>
      <c r="F797" s="51" t="n"/>
    </row>
    <row r="798">
      <c r="A798" s="50" t="n"/>
      <c r="B798" s="50" t="n"/>
      <c r="C798" s="51" t="n"/>
      <c r="D798" s="51" t="n"/>
      <c r="E798">
        <f>IF(OR(A798="",B798=""),"",B798-A798)</f>
        <v/>
      </c>
      <c r="F798" s="51" t="n"/>
    </row>
    <row r="799">
      <c r="A799" s="50" t="n"/>
      <c r="B799" s="50" t="n"/>
      <c r="C799" s="51" t="n"/>
      <c r="D799" s="51" t="n"/>
      <c r="E799">
        <f>IF(OR(A799="",B799=""),"",B799-A799)</f>
        <v/>
      </c>
      <c r="F799" s="51" t="n"/>
    </row>
    <row r="800">
      <c r="A800" s="50" t="n"/>
      <c r="B800" s="50" t="n"/>
      <c r="C800" s="51" t="n"/>
      <c r="D800" s="51" t="n"/>
      <c r="E800">
        <f>IF(OR(A800="",B800=""),"",B800-A800)</f>
        <v/>
      </c>
      <c r="F800" s="51" t="n"/>
    </row>
    <row r="801">
      <c r="A801" s="50" t="n"/>
      <c r="B801" s="50" t="n"/>
      <c r="C801" s="51" t="n"/>
      <c r="D801" s="51" t="n"/>
      <c r="E801">
        <f>IF(OR(A801="",B801=""),"",B801-A801)</f>
        <v/>
      </c>
      <c r="F801" s="51" t="n"/>
    </row>
    <row r="802">
      <c r="A802" s="50" t="n"/>
      <c r="B802" s="50" t="n"/>
      <c r="C802" s="51" t="n"/>
      <c r="D802" s="51" t="n"/>
      <c r="E802">
        <f>IF(OR(A802="",B802=""),"",B802-A802)</f>
        <v/>
      </c>
      <c r="F802" s="51" t="n"/>
    </row>
    <row r="803">
      <c r="A803" s="50" t="n"/>
      <c r="B803" s="50" t="n"/>
      <c r="C803" s="51" t="n"/>
      <c r="D803" s="51" t="n"/>
      <c r="E803">
        <f>IF(OR(A803="",B803=""),"",B803-A803)</f>
        <v/>
      </c>
      <c r="F803" s="51" t="n"/>
    </row>
    <row r="804">
      <c r="A804" s="50" t="n"/>
      <c r="B804" s="50" t="n"/>
      <c r="C804" s="51" t="n"/>
      <c r="D804" s="51" t="n"/>
      <c r="E804">
        <f>IF(OR(A804="",B804=""),"",B804-A804)</f>
        <v/>
      </c>
      <c r="F804" s="51" t="n"/>
    </row>
    <row r="805">
      <c r="A805" s="50" t="n"/>
      <c r="B805" s="50" t="n"/>
      <c r="C805" s="51" t="n"/>
      <c r="D805" s="51" t="n"/>
      <c r="E805">
        <f>IF(OR(A805="",B805=""),"",B805-A805)</f>
        <v/>
      </c>
      <c r="F805" s="51" t="n"/>
    </row>
    <row r="806">
      <c r="A806" s="50" t="n"/>
      <c r="B806" s="50" t="n"/>
      <c r="C806" s="51" t="n"/>
      <c r="D806" s="51" t="n"/>
      <c r="E806">
        <f>IF(OR(A806="",B806=""),"",B806-A806)</f>
        <v/>
      </c>
      <c r="F806" s="51" t="n"/>
    </row>
    <row r="807">
      <c r="A807" s="50" t="n"/>
      <c r="B807" s="50" t="n"/>
      <c r="C807" s="51" t="n"/>
      <c r="D807" s="51" t="n"/>
      <c r="E807">
        <f>IF(OR(A807="",B807=""),"",B807-A807)</f>
        <v/>
      </c>
      <c r="F807" s="51" t="n"/>
    </row>
    <row r="808">
      <c r="A808" s="50" t="n"/>
      <c r="B808" s="50" t="n"/>
      <c r="C808" s="51" t="n"/>
      <c r="D808" s="51" t="n"/>
      <c r="E808">
        <f>IF(OR(A808="",B808=""),"",B808-A808)</f>
        <v/>
      </c>
      <c r="F808" s="51" t="n"/>
    </row>
    <row r="809">
      <c r="A809" s="50" t="n"/>
      <c r="B809" s="50" t="n"/>
      <c r="C809" s="51" t="n"/>
      <c r="D809" s="51" t="n"/>
      <c r="E809">
        <f>IF(OR(A809="",B809=""),"",B809-A809)</f>
        <v/>
      </c>
      <c r="F809" s="51" t="n"/>
    </row>
    <row r="810">
      <c r="A810" s="50" t="n"/>
      <c r="B810" s="50" t="n"/>
      <c r="C810" s="51" t="n"/>
      <c r="D810" s="51" t="n"/>
      <c r="E810">
        <f>IF(OR(A810="",B810=""),"",B810-A810)</f>
        <v/>
      </c>
      <c r="F810" s="51" t="n"/>
    </row>
    <row r="811">
      <c r="A811" s="50" t="n"/>
      <c r="B811" s="50" t="n"/>
      <c r="C811" s="51" t="n"/>
      <c r="D811" s="51" t="n"/>
      <c r="E811">
        <f>IF(OR(A811="",B811=""),"",B811-A811)</f>
        <v/>
      </c>
      <c r="F811" s="51" t="n"/>
    </row>
    <row r="812">
      <c r="A812" s="50" t="n"/>
      <c r="B812" s="50" t="n"/>
      <c r="C812" s="51" t="n"/>
      <c r="D812" s="51" t="n"/>
      <c r="E812">
        <f>IF(OR(A812="",B812=""),"",B812-A812)</f>
        <v/>
      </c>
      <c r="F812" s="51" t="n"/>
    </row>
    <row r="813">
      <c r="A813" s="50" t="n"/>
      <c r="B813" s="50" t="n"/>
      <c r="C813" s="51" t="n"/>
      <c r="D813" s="51" t="n"/>
      <c r="E813">
        <f>IF(OR(A813="",B813=""),"",B813-A813)</f>
        <v/>
      </c>
      <c r="F813" s="51" t="n"/>
    </row>
    <row r="814">
      <c r="A814" s="50" t="n"/>
      <c r="B814" s="50" t="n"/>
      <c r="C814" s="51" t="n"/>
      <c r="D814" s="51" t="n"/>
      <c r="E814">
        <f>IF(OR(A814="",B814=""),"",B814-A814)</f>
        <v/>
      </c>
      <c r="F814" s="51" t="n"/>
    </row>
    <row r="815">
      <c r="A815" s="50" t="n"/>
      <c r="B815" s="50" t="n"/>
      <c r="C815" s="51" t="n"/>
      <c r="D815" s="51" t="n"/>
      <c r="E815">
        <f>IF(OR(A815="",B815=""),"",B815-A815)</f>
        <v/>
      </c>
      <c r="F815" s="51" t="n"/>
    </row>
    <row r="816">
      <c r="A816" s="50" t="n"/>
      <c r="B816" s="50" t="n"/>
      <c r="C816" s="51" t="n"/>
      <c r="D816" s="51" t="n"/>
      <c r="E816">
        <f>IF(OR(A816="",B816=""),"",B816-A816)</f>
        <v/>
      </c>
      <c r="F816" s="51" t="n"/>
    </row>
    <row r="817">
      <c r="A817" s="50" t="n"/>
      <c r="B817" s="50" t="n"/>
      <c r="C817" s="51" t="n"/>
      <c r="D817" s="51" t="n"/>
      <c r="E817">
        <f>IF(OR(A817="",B817=""),"",B817-A817)</f>
        <v/>
      </c>
      <c r="F817" s="51" t="n"/>
    </row>
    <row r="818">
      <c r="A818" s="50" t="n"/>
      <c r="B818" s="50" t="n"/>
      <c r="C818" s="51" t="n"/>
      <c r="D818" s="51" t="n"/>
      <c r="E818">
        <f>IF(OR(A818="",B818=""),"",B818-A818)</f>
        <v/>
      </c>
      <c r="F818" s="51" t="n"/>
    </row>
    <row r="819">
      <c r="A819" s="50" t="n"/>
      <c r="B819" s="50" t="n"/>
      <c r="C819" s="51" t="n"/>
      <c r="D819" s="51" t="n"/>
      <c r="E819">
        <f>IF(OR(A819="",B819=""),"",B819-A819)</f>
        <v/>
      </c>
      <c r="F819" s="51" t="n"/>
    </row>
    <row r="820">
      <c r="A820" s="50" t="n"/>
      <c r="B820" s="50" t="n"/>
      <c r="C820" s="51" t="n"/>
      <c r="D820" s="51" t="n"/>
      <c r="E820">
        <f>IF(OR(A820="",B820=""),"",B820-A820)</f>
        <v/>
      </c>
      <c r="F820" s="51" t="n"/>
    </row>
    <row r="821">
      <c r="A821" s="50" t="n"/>
      <c r="B821" s="50" t="n"/>
      <c r="C821" s="51" t="n"/>
      <c r="D821" s="51" t="n"/>
      <c r="E821">
        <f>IF(OR(A821="",B821=""),"",B821-A821)</f>
        <v/>
      </c>
      <c r="F821" s="51" t="n"/>
    </row>
    <row r="822">
      <c r="A822" s="50" t="n"/>
      <c r="B822" s="50" t="n"/>
      <c r="C822" s="51" t="n"/>
      <c r="D822" s="51" t="n"/>
      <c r="E822">
        <f>IF(OR(A822="",B822=""),"",B822-A822)</f>
        <v/>
      </c>
      <c r="F822" s="51" t="n"/>
    </row>
    <row r="823">
      <c r="A823" s="50" t="n"/>
      <c r="B823" s="50" t="n"/>
      <c r="C823" s="51" t="n"/>
      <c r="D823" s="51" t="n"/>
      <c r="E823">
        <f>IF(OR(A823="",B823=""),"",B823-A823)</f>
        <v/>
      </c>
      <c r="F823" s="51" t="n"/>
    </row>
    <row r="824">
      <c r="A824" s="50" t="n"/>
      <c r="B824" s="50" t="n"/>
      <c r="C824" s="51" t="n"/>
      <c r="D824" s="51" t="n"/>
      <c r="E824">
        <f>IF(OR(A824="",B824=""),"",B824-A824)</f>
        <v/>
      </c>
      <c r="F824" s="51" t="n"/>
    </row>
    <row r="825">
      <c r="A825" s="50" t="n"/>
      <c r="B825" s="50" t="n"/>
      <c r="C825" s="51" t="n"/>
      <c r="D825" s="51" t="n"/>
      <c r="E825">
        <f>IF(OR(A825="",B825=""),"",B825-A825)</f>
        <v/>
      </c>
      <c r="F825" s="51" t="n"/>
    </row>
    <row r="826">
      <c r="A826" s="50" t="n"/>
      <c r="B826" s="50" t="n"/>
      <c r="C826" s="51" t="n"/>
      <c r="D826" s="51" t="n"/>
      <c r="E826">
        <f>IF(OR(A826="",B826=""),"",B826-A826)</f>
        <v/>
      </c>
      <c r="F826" s="51" t="n"/>
    </row>
    <row r="827">
      <c r="A827" s="50" t="n"/>
      <c r="B827" s="50" t="n"/>
      <c r="C827" s="51" t="n"/>
      <c r="D827" s="51" t="n"/>
      <c r="E827">
        <f>IF(OR(A827="",B827=""),"",B827-A827)</f>
        <v/>
      </c>
      <c r="F827" s="51" t="n"/>
    </row>
    <row r="828">
      <c r="A828" s="50" t="n"/>
      <c r="B828" s="50" t="n"/>
      <c r="C828" s="51" t="n"/>
      <c r="D828" s="51" t="n"/>
      <c r="E828">
        <f>IF(OR(A828="",B828=""),"",B828-A828)</f>
        <v/>
      </c>
      <c r="F828" s="51" t="n"/>
    </row>
    <row r="829">
      <c r="A829" s="50" t="n"/>
      <c r="B829" s="50" t="n"/>
      <c r="C829" s="51" t="n"/>
      <c r="D829" s="51" t="n"/>
      <c r="E829">
        <f>IF(OR(A829="",B829=""),"",B829-A829)</f>
        <v/>
      </c>
      <c r="F829" s="51" t="n"/>
    </row>
    <row r="830">
      <c r="A830" s="50" t="n"/>
      <c r="B830" s="50" t="n"/>
      <c r="C830" s="51" t="n"/>
      <c r="D830" s="51" t="n"/>
      <c r="E830">
        <f>IF(OR(A830="",B830=""),"",B830-A830)</f>
        <v/>
      </c>
      <c r="F830" s="51" t="n"/>
    </row>
    <row r="831">
      <c r="A831" s="50" t="n"/>
      <c r="B831" s="50" t="n"/>
      <c r="C831" s="51" t="n"/>
      <c r="D831" s="51" t="n"/>
      <c r="E831">
        <f>IF(OR(A831="",B831=""),"",B831-A831)</f>
        <v/>
      </c>
      <c r="F831" s="51" t="n"/>
    </row>
    <row r="832">
      <c r="A832" s="50" t="n"/>
      <c r="B832" s="50" t="n"/>
      <c r="C832" s="51" t="n"/>
      <c r="D832" s="51" t="n"/>
      <c r="E832">
        <f>IF(OR(A832="",B832=""),"",B832-A832)</f>
        <v/>
      </c>
      <c r="F832" s="51" t="n"/>
    </row>
    <row r="833">
      <c r="A833" s="50" t="n"/>
      <c r="B833" s="50" t="n"/>
      <c r="C833" s="51" t="n"/>
      <c r="D833" s="51" t="n"/>
      <c r="E833">
        <f>IF(OR(A833="",B833=""),"",B833-A833)</f>
        <v/>
      </c>
      <c r="F833" s="51" t="n"/>
    </row>
    <row r="834">
      <c r="A834" s="50" t="n"/>
      <c r="B834" s="50" t="n"/>
      <c r="C834" s="51" t="n"/>
      <c r="D834" s="51" t="n"/>
      <c r="E834">
        <f>IF(OR(A834="",B834=""),"",B834-A834)</f>
        <v/>
      </c>
      <c r="F834" s="51" t="n"/>
    </row>
    <row r="835">
      <c r="A835" s="50" t="n"/>
      <c r="B835" s="50" t="n"/>
      <c r="C835" s="51" t="n"/>
      <c r="D835" s="51" t="n"/>
      <c r="E835">
        <f>IF(OR(A835="",B835=""),"",B835-A835)</f>
        <v/>
      </c>
      <c r="F835" s="51" t="n"/>
    </row>
    <row r="836">
      <c r="A836" s="50" t="n"/>
      <c r="B836" s="50" t="n"/>
      <c r="C836" s="51" t="n"/>
      <c r="D836" s="51" t="n"/>
      <c r="E836">
        <f>IF(OR(A836="",B836=""),"",B836-A836)</f>
        <v/>
      </c>
      <c r="F836" s="51" t="n"/>
    </row>
    <row r="837">
      <c r="A837" s="50" t="n"/>
      <c r="B837" s="50" t="n"/>
      <c r="C837" s="51" t="n"/>
      <c r="D837" s="51" t="n"/>
      <c r="E837">
        <f>IF(OR(A837="",B837=""),"",B837-A837)</f>
        <v/>
      </c>
      <c r="F837" s="51" t="n"/>
    </row>
    <row r="838">
      <c r="A838" s="50" t="n"/>
      <c r="B838" s="50" t="n"/>
      <c r="C838" s="51" t="n"/>
      <c r="D838" s="51" t="n"/>
      <c r="E838">
        <f>IF(OR(A838="",B838=""),"",B838-A838)</f>
        <v/>
      </c>
      <c r="F838" s="51" t="n"/>
    </row>
    <row r="839">
      <c r="A839" s="50" t="n"/>
      <c r="B839" s="50" t="n"/>
      <c r="C839" s="51" t="n"/>
      <c r="D839" s="51" t="n"/>
      <c r="E839">
        <f>IF(OR(A839="",B839=""),"",B839-A839)</f>
        <v/>
      </c>
      <c r="F839" s="51" t="n"/>
    </row>
    <row r="840">
      <c r="A840" s="50" t="n"/>
      <c r="B840" s="50" t="n"/>
      <c r="C840" s="51" t="n"/>
      <c r="D840" s="51" t="n"/>
      <c r="E840">
        <f>IF(OR(A840="",B840=""),"",B840-A840)</f>
        <v/>
      </c>
      <c r="F840" s="51" t="n"/>
    </row>
    <row r="841">
      <c r="A841" s="50" t="n"/>
      <c r="B841" s="50" t="n"/>
      <c r="C841" s="51" t="n"/>
      <c r="D841" s="51" t="n"/>
      <c r="E841">
        <f>IF(OR(A841="",B841=""),"",B841-A841)</f>
        <v/>
      </c>
      <c r="F841" s="51" t="n"/>
    </row>
    <row r="842">
      <c r="A842" s="50" t="n"/>
      <c r="B842" s="50" t="n"/>
      <c r="C842" s="51" t="n"/>
      <c r="D842" s="51" t="n"/>
      <c r="E842">
        <f>IF(OR(A842="",B842=""),"",B842-A842)</f>
        <v/>
      </c>
      <c r="F842" s="51" t="n"/>
    </row>
    <row r="843">
      <c r="A843" s="50" t="n"/>
      <c r="B843" s="50" t="n"/>
      <c r="C843" s="51" t="n"/>
      <c r="D843" s="51" t="n"/>
      <c r="E843">
        <f>IF(OR(A843="",B843=""),"",B843-A843)</f>
        <v/>
      </c>
      <c r="F843" s="51" t="n"/>
    </row>
    <row r="844">
      <c r="A844" s="50" t="n"/>
      <c r="B844" s="50" t="n"/>
      <c r="C844" s="51" t="n"/>
      <c r="D844" s="51" t="n"/>
      <c r="E844">
        <f>IF(OR(A844="",B844=""),"",B844-A844)</f>
        <v/>
      </c>
      <c r="F844" s="51" t="n"/>
    </row>
    <row r="845">
      <c r="A845" s="50" t="n"/>
      <c r="B845" s="50" t="n"/>
      <c r="C845" s="51" t="n"/>
      <c r="D845" s="51" t="n"/>
      <c r="E845">
        <f>IF(OR(A845="",B845=""),"",B845-A845)</f>
        <v/>
      </c>
      <c r="F845" s="51" t="n"/>
    </row>
    <row r="846">
      <c r="A846" s="50" t="n"/>
      <c r="B846" s="50" t="n"/>
      <c r="C846" s="51" t="n"/>
      <c r="D846" s="51" t="n"/>
      <c r="E846">
        <f>IF(OR(A846="",B846=""),"",B846-A846)</f>
        <v/>
      </c>
      <c r="F846" s="51" t="n"/>
    </row>
    <row r="847">
      <c r="A847" s="50" t="n"/>
      <c r="B847" s="50" t="n"/>
      <c r="C847" s="51" t="n"/>
      <c r="D847" s="51" t="n"/>
      <c r="E847">
        <f>IF(OR(A847="",B847=""),"",B847-A847)</f>
        <v/>
      </c>
      <c r="F847" s="51" t="n"/>
    </row>
    <row r="848">
      <c r="A848" s="50" t="n"/>
      <c r="B848" s="50" t="n"/>
      <c r="C848" s="51" t="n"/>
      <c r="D848" s="51" t="n"/>
      <c r="E848">
        <f>IF(OR(A848="",B848=""),"",B848-A848)</f>
        <v/>
      </c>
      <c r="F848" s="51" t="n"/>
    </row>
    <row r="849">
      <c r="A849" s="50" t="n"/>
      <c r="B849" s="50" t="n"/>
      <c r="C849" s="51" t="n"/>
      <c r="D849" s="51" t="n"/>
      <c r="E849">
        <f>IF(OR(A849="",B849=""),"",B849-A849)</f>
        <v/>
      </c>
      <c r="F849" s="51" t="n"/>
    </row>
    <row r="850">
      <c r="A850" s="50" t="n"/>
      <c r="B850" s="50" t="n"/>
      <c r="C850" s="51" t="n"/>
      <c r="D850" s="51" t="n"/>
      <c r="E850">
        <f>IF(OR(A850="",B850=""),"",B850-A850)</f>
        <v/>
      </c>
      <c r="F850" s="51" t="n"/>
    </row>
    <row r="851">
      <c r="A851" s="50" t="n"/>
      <c r="B851" s="50" t="n"/>
      <c r="C851" s="51" t="n"/>
      <c r="D851" s="51" t="n"/>
      <c r="E851">
        <f>IF(OR(A851="",B851=""),"",B851-A851)</f>
        <v/>
      </c>
      <c r="F851" s="51" t="n"/>
    </row>
    <row r="852">
      <c r="A852" s="50" t="n"/>
      <c r="B852" s="50" t="n"/>
      <c r="C852" s="51" t="n"/>
      <c r="D852" s="51" t="n"/>
      <c r="E852">
        <f>IF(OR(A852="",B852=""),"",B852-A852)</f>
        <v/>
      </c>
      <c r="F852" s="51" t="n"/>
    </row>
    <row r="853">
      <c r="A853" s="50" t="n"/>
      <c r="B853" s="50" t="n"/>
      <c r="C853" s="51" t="n"/>
      <c r="D853" s="51" t="n"/>
      <c r="E853">
        <f>IF(OR(A853="",B853=""),"",B853-A853)</f>
        <v/>
      </c>
      <c r="F853" s="51" t="n"/>
    </row>
    <row r="854">
      <c r="A854" s="50" t="n"/>
      <c r="B854" s="50" t="n"/>
      <c r="C854" s="51" t="n"/>
      <c r="D854" s="51" t="n"/>
      <c r="E854">
        <f>IF(OR(A854="",B854=""),"",B854-A854)</f>
        <v/>
      </c>
      <c r="F854" s="51" t="n"/>
    </row>
    <row r="855">
      <c r="A855" s="50" t="n"/>
      <c r="B855" s="50" t="n"/>
      <c r="C855" s="51" t="n"/>
      <c r="D855" s="51" t="n"/>
      <c r="E855">
        <f>IF(OR(A855="",B855=""),"",B855-A855)</f>
        <v/>
      </c>
      <c r="F855" s="51" t="n"/>
    </row>
    <row r="856">
      <c r="A856" s="50" t="n"/>
      <c r="B856" s="50" t="n"/>
      <c r="C856" s="51" t="n"/>
      <c r="D856" s="51" t="n"/>
      <c r="E856">
        <f>IF(OR(A856="",B856=""),"",B856-A856)</f>
        <v/>
      </c>
      <c r="F856" s="51" t="n"/>
    </row>
    <row r="857">
      <c r="A857" s="50" t="n"/>
      <c r="B857" s="50" t="n"/>
      <c r="C857" s="51" t="n"/>
      <c r="D857" s="51" t="n"/>
      <c r="E857">
        <f>IF(OR(A857="",B857=""),"",B857-A857)</f>
        <v/>
      </c>
      <c r="F857" s="51" t="n"/>
    </row>
    <row r="858">
      <c r="A858" s="50" t="n"/>
      <c r="B858" s="50" t="n"/>
      <c r="C858" s="51" t="n"/>
      <c r="D858" s="51" t="n"/>
      <c r="E858">
        <f>IF(OR(A858="",B858=""),"",B858-A858)</f>
        <v/>
      </c>
      <c r="F858" s="51" t="n"/>
    </row>
    <row r="859">
      <c r="A859" s="50" t="n"/>
      <c r="B859" s="50" t="n"/>
      <c r="C859" s="51" t="n"/>
      <c r="D859" s="51" t="n"/>
      <c r="E859">
        <f>IF(OR(A859="",B859=""),"",B859-A859)</f>
        <v/>
      </c>
      <c r="F859" s="51" t="n"/>
    </row>
    <row r="860">
      <c r="A860" s="50" t="n"/>
      <c r="B860" s="50" t="n"/>
      <c r="C860" s="51" t="n"/>
      <c r="D860" s="51" t="n"/>
      <c r="E860">
        <f>IF(OR(A860="",B860=""),"",B860-A860)</f>
        <v/>
      </c>
      <c r="F860" s="51" t="n"/>
    </row>
    <row r="861">
      <c r="A861" s="50" t="n"/>
      <c r="B861" s="50" t="n"/>
      <c r="C861" s="51" t="n"/>
      <c r="D861" s="51" t="n"/>
      <c r="E861">
        <f>IF(OR(A861="",B861=""),"",B861-A861)</f>
        <v/>
      </c>
      <c r="F861" s="51" t="n"/>
    </row>
    <row r="862">
      <c r="A862" s="50" t="n"/>
      <c r="B862" s="50" t="n"/>
      <c r="C862" s="51" t="n"/>
      <c r="D862" s="51" t="n"/>
      <c r="E862">
        <f>IF(OR(A862="",B862=""),"",B862-A862)</f>
        <v/>
      </c>
      <c r="F862" s="51" t="n"/>
    </row>
    <row r="863">
      <c r="A863" s="50" t="n"/>
      <c r="B863" s="50" t="n"/>
      <c r="C863" s="51" t="n"/>
      <c r="D863" s="51" t="n"/>
      <c r="E863">
        <f>IF(OR(A863="",B863=""),"",B863-A863)</f>
        <v/>
      </c>
      <c r="F863" s="51" t="n"/>
    </row>
    <row r="864">
      <c r="A864" s="50" t="n"/>
      <c r="B864" s="50" t="n"/>
      <c r="C864" s="51" t="n"/>
      <c r="D864" s="51" t="n"/>
      <c r="E864">
        <f>IF(OR(A864="",B864=""),"",B864-A864)</f>
        <v/>
      </c>
      <c r="F864" s="51" t="n"/>
    </row>
    <row r="865">
      <c r="A865" s="50" t="n"/>
      <c r="B865" s="50" t="n"/>
      <c r="C865" s="51" t="n"/>
      <c r="D865" s="51" t="n"/>
      <c r="E865">
        <f>IF(OR(A865="",B865=""),"",B865-A865)</f>
        <v/>
      </c>
      <c r="F865" s="51" t="n"/>
    </row>
    <row r="866">
      <c r="A866" s="50" t="n"/>
      <c r="B866" s="50" t="n"/>
      <c r="C866" s="51" t="n"/>
      <c r="D866" s="51" t="n"/>
      <c r="E866">
        <f>IF(OR(A866="",B866=""),"",B866-A866)</f>
        <v/>
      </c>
      <c r="F866" s="51" t="n"/>
    </row>
    <row r="867">
      <c r="A867" s="50" t="n"/>
      <c r="B867" s="50" t="n"/>
      <c r="C867" s="51" t="n"/>
      <c r="D867" s="51" t="n"/>
      <c r="E867">
        <f>IF(OR(A867="",B867=""),"",B867-A867)</f>
        <v/>
      </c>
      <c r="F867" s="51" t="n"/>
    </row>
    <row r="868">
      <c r="A868" s="50" t="n"/>
      <c r="B868" s="50" t="n"/>
      <c r="C868" s="51" t="n"/>
      <c r="D868" s="51" t="n"/>
      <c r="E868">
        <f>IF(OR(A868="",B868=""),"",B868-A868)</f>
        <v/>
      </c>
      <c r="F868" s="51" t="n"/>
    </row>
    <row r="869">
      <c r="A869" s="50" t="n"/>
      <c r="B869" s="50" t="n"/>
      <c r="C869" s="51" t="n"/>
      <c r="D869" s="51" t="n"/>
      <c r="E869">
        <f>IF(OR(A869="",B869=""),"",B869-A869)</f>
        <v/>
      </c>
      <c r="F869" s="51" t="n"/>
    </row>
    <row r="870">
      <c r="A870" s="50" t="n"/>
      <c r="B870" s="50" t="n"/>
      <c r="C870" s="51" t="n"/>
      <c r="D870" s="51" t="n"/>
      <c r="E870">
        <f>IF(OR(A870="",B870=""),"",B870-A870)</f>
        <v/>
      </c>
      <c r="F870" s="51" t="n"/>
    </row>
    <row r="871">
      <c r="A871" s="50" t="n"/>
      <c r="B871" s="50" t="n"/>
      <c r="C871" s="51" t="n"/>
      <c r="D871" s="51" t="n"/>
      <c r="E871">
        <f>IF(OR(A871="",B871=""),"",B871-A871)</f>
        <v/>
      </c>
      <c r="F871" s="51" t="n"/>
    </row>
    <row r="872">
      <c r="A872" s="50" t="n"/>
      <c r="B872" s="50" t="n"/>
      <c r="C872" s="51" t="n"/>
      <c r="D872" s="51" t="n"/>
      <c r="E872">
        <f>IF(OR(A872="",B872=""),"",B872-A872)</f>
        <v/>
      </c>
      <c r="F872" s="51" t="n"/>
    </row>
    <row r="873">
      <c r="A873" s="50" t="n"/>
      <c r="B873" s="50" t="n"/>
      <c r="C873" s="51" t="n"/>
      <c r="D873" s="51" t="n"/>
      <c r="E873">
        <f>IF(OR(A873="",B873=""),"",B873-A873)</f>
        <v/>
      </c>
      <c r="F873" s="51" t="n"/>
    </row>
    <row r="874">
      <c r="A874" s="50" t="n"/>
      <c r="B874" s="50" t="n"/>
      <c r="C874" s="51" t="n"/>
      <c r="D874" s="51" t="n"/>
      <c r="E874">
        <f>IF(OR(A874="",B874=""),"",B874-A874)</f>
        <v/>
      </c>
      <c r="F874" s="51" t="n"/>
    </row>
    <row r="875">
      <c r="A875" s="50" t="n"/>
      <c r="B875" s="50" t="n"/>
      <c r="C875" s="51" t="n"/>
      <c r="D875" s="51" t="n"/>
      <c r="E875">
        <f>IF(OR(A875="",B875=""),"",B875-A875)</f>
        <v/>
      </c>
      <c r="F875" s="51" t="n"/>
    </row>
    <row r="876">
      <c r="A876" s="50" t="n"/>
      <c r="B876" s="50" t="n"/>
      <c r="C876" s="51" t="n"/>
      <c r="D876" s="51" t="n"/>
      <c r="E876">
        <f>IF(OR(A876="",B876=""),"",B876-A876)</f>
        <v/>
      </c>
      <c r="F876" s="51" t="n"/>
    </row>
    <row r="877">
      <c r="A877" s="50" t="n"/>
      <c r="B877" s="50" t="n"/>
      <c r="C877" s="51" t="n"/>
      <c r="D877" s="51" t="n"/>
      <c r="E877">
        <f>IF(OR(A877="",B877=""),"",B877-A877)</f>
        <v/>
      </c>
      <c r="F877" s="51" t="n"/>
    </row>
    <row r="878">
      <c r="A878" s="50" t="n"/>
      <c r="B878" s="50" t="n"/>
      <c r="C878" s="51" t="n"/>
      <c r="D878" s="51" t="n"/>
      <c r="E878">
        <f>IF(OR(A878="",B878=""),"",B878-A878)</f>
        <v/>
      </c>
      <c r="F878" s="51" t="n"/>
    </row>
    <row r="879">
      <c r="A879" s="50" t="n"/>
      <c r="B879" s="50" t="n"/>
      <c r="C879" s="51" t="n"/>
      <c r="D879" s="51" t="n"/>
      <c r="E879">
        <f>IF(OR(A879="",B879=""),"",B879-A879)</f>
        <v/>
      </c>
      <c r="F879" s="51" t="n"/>
    </row>
    <row r="880">
      <c r="A880" s="50" t="n"/>
      <c r="B880" s="50" t="n"/>
      <c r="C880" s="51" t="n"/>
      <c r="D880" s="51" t="n"/>
      <c r="E880">
        <f>IF(OR(A880="",B880=""),"",B880-A880)</f>
        <v/>
      </c>
      <c r="F880" s="51" t="n"/>
    </row>
    <row r="881">
      <c r="A881" s="50" t="n"/>
      <c r="B881" s="50" t="n"/>
      <c r="C881" s="51" t="n"/>
      <c r="D881" s="51" t="n"/>
      <c r="E881">
        <f>IF(OR(A881="",B881=""),"",B881-A881)</f>
        <v/>
      </c>
      <c r="F881" s="51" t="n"/>
    </row>
    <row r="882">
      <c r="A882" s="50" t="n"/>
      <c r="B882" s="50" t="n"/>
      <c r="C882" s="51" t="n"/>
      <c r="D882" s="51" t="n"/>
      <c r="E882">
        <f>IF(OR(A882="",B882=""),"",B882-A882)</f>
        <v/>
      </c>
      <c r="F882" s="51" t="n"/>
    </row>
    <row r="883">
      <c r="A883" s="50" t="n"/>
      <c r="B883" s="50" t="n"/>
      <c r="C883" s="51" t="n"/>
      <c r="D883" s="51" t="n"/>
      <c r="E883">
        <f>IF(OR(A883="",B883=""),"",B883-A883)</f>
        <v/>
      </c>
      <c r="F883" s="51" t="n"/>
    </row>
    <row r="884">
      <c r="A884" s="50" t="n"/>
      <c r="B884" s="50" t="n"/>
      <c r="C884" s="51" t="n"/>
      <c r="D884" s="51" t="n"/>
      <c r="E884">
        <f>IF(OR(A884="",B884=""),"",B884-A884)</f>
        <v/>
      </c>
      <c r="F884" s="51" t="n"/>
    </row>
    <row r="885">
      <c r="A885" s="50" t="n"/>
      <c r="B885" s="50" t="n"/>
      <c r="C885" s="51" t="n"/>
      <c r="D885" s="51" t="n"/>
      <c r="E885">
        <f>IF(OR(A885="",B885=""),"",B885-A885)</f>
        <v/>
      </c>
      <c r="F885" s="51" t="n"/>
    </row>
    <row r="886">
      <c r="A886" s="50" t="n"/>
      <c r="B886" s="50" t="n"/>
      <c r="C886" s="51" t="n"/>
      <c r="D886" s="51" t="n"/>
      <c r="E886">
        <f>IF(OR(A886="",B886=""),"",B886-A886)</f>
        <v/>
      </c>
      <c r="F886" s="51" t="n"/>
    </row>
    <row r="887">
      <c r="A887" s="50" t="n"/>
      <c r="B887" s="50" t="n"/>
      <c r="C887" s="51" t="n"/>
      <c r="D887" s="51" t="n"/>
      <c r="E887">
        <f>IF(OR(A887="",B887=""),"",B887-A887)</f>
        <v/>
      </c>
      <c r="F887" s="51" t="n"/>
    </row>
    <row r="888">
      <c r="A888" s="50" t="n"/>
      <c r="B888" s="50" t="n"/>
      <c r="C888" s="51" t="n"/>
      <c r="D888" s="51" t="n"/>
      <c r="E888">
        <f>IF(OR(A888="",B888=""),"",B888-A888)</f>
        <v/>
      </c>
      <c r="F888" s="51" t="n"/>
    </row>
    <row r="889">
      <c r="A889" s="50" t="n"/>
      <c r="B889" s="50" t="n"/>
      <c r="C889" s="51" t="n"/>
      <c r="D889" s="51" t="n"/>
      <c r="E889">
        <f>IF(OR(A889="",B889=""),"",B889-A889)</f>
        <v/>
      </c>
      <c r="F889" s="51" t="n"/>
    </row>
    <row r="890">
      <c r="A890" s="50" t="n"/>
      <c r="B890" s="50" t="n"/>
      <c r="C890" s="51" t="n"/>
      <c r="D890" s="51" t="n"/>
      <c r="E890">
        <f>IF(OR(A890="",B890=""),"",B890-A890)</f>
        <v/>
      </c>
      <c r="F890" s="51" t="n"/>
    </row>
    <row r="891">
      <c r="A891" s="50" t="n"/>
      <c r="B891" s="50" t="n"/>
      <c r="C891" s="51" t="n"/>
      <c r="D891" s="51" t="n"/>
      <c r="E891">
        <f>IF(OR(A891="",B891=""),"",B891-A891)</f>
        <v/>
      </c>
      <c r="F891" s="51" t="n"/>
    </row>
    <row r="892">
      <c r="A892" s="50" t="n"/>
      <c r="B892" s="50" t="n"/>
      <c r="C892" s="51" t="n"/>
      <c r="D892" s="51" t="n"/>
      <c r="E892">
        <f>IF(OR(A892="",B892=""),"",B892-A892)</f>
        <v/>
      </c>
      <c r="F892" s="51" t="n"/>
    </row>
    <row r="893">
      <c r="A893" s="50" t="n"/>
      <c r="B893" s="50" t="n"/>
      <c r="C893" s="51" t="n"/>
      <c r="D893" s="51" t="n"/>
      <c r="E893">
        <f>IF(OR(A893="",B893=""),"",B893-A893)</f>
        <v/>
      </c>
      <c r="F893" s="51" t="n"/>
    </row>
    <row r="894">
      <c r="A894" s="50" t="n"/>
      <c r="B894" s="50" t="n"/>
      <c r="C894" s="51" t="n"/>
      <c r="D894" s="51" t="n"/>
      <c r="E894">
        <f>IF(OR(A894="",B894=""),"",B894-A894)</f>
        <v/>
      </c>
      <c r="F894" s="51" t="n"/>
    </row>
    <row r="895">
      <c r="A895" s="50" t="n"/>
      <c r="B895" s="50" t="n"/>
      <c r="C895" s="51" t="n"/>
      <c r="D895" s="51" t="n"/>
      <c r="E895">
        <f>IF(OR(A895="",B895=""),"",B895-A895)</f>
        <v/>
      </c>
      <c r="F895" s="51" t="n"/>
    </row>
    <row r="896">
      <c r="A896" s="50" t="n"/>
      <c r="B896" s="50" t="n"/>
      <c r="C896" s="51" t="n"/>
      <c r="D896" s="51" t="n"/>
      <c r="E896">
        <f>IF(OR(A896="",B896=""),"",B896-A896)</f>
        <v/>
      </c>
      <c r="F896" s="51" t="n"/>
    </row>
    <row r="897">
      <c r="A897" s="50" t="n"/>
      <c r="B897" s="50" t="n"/>
      <c r="C897" s="51" t="n"/>
      <c r="D897" s="51" t="n"/>
      <c r="E897">
        <f>IF(OR(A897="",B897=""),"",B897-A897)</f>
        <v/>
      </c>
      <c r="F897" s="51" t="n"/>
    </row>
    <row r="898">
      <c r="A898" s="50" t="n"/>
      <c r="B898" s="50" t="n"/>
      <c r="C898" s="51" t="n"/>
      <c r="D898" s="51" t="n"/>
      <c r="E898">
        <f>IF(OR(A898="",B898=""),"",B898-A898)</f>
        <v/>
      </c>
      <c r="F898" s="51" t="n"/>
    </row>
    <row r="899">
      <c r="A899" s="50" t="n"/>
      <c r="B899" s="50" t="n"/>
      <c r="C899" s="51" t="n"/>
      <c r="D899" s="51" t="n"/>
      <c r="E899">
        <f>IF(OR(A899="",B899=""),"",B899-A899)</f>
        <v/>
      </c>
      <c r="F899" s="51" t="n"/>
    </row>
    <row r="900">
      <c r="A900" s="50" t="n"/>
      <c r="B900" s="50" t="n"/>
      <c r="C900" s="51" t="n"/>
      <c r="D900" s="51" t="n"/>
      <c r="E900">
        <f>IF(OR(A900="",B900=""),"",B900-A900)</f>
        <v/>
      </c>
      <c r="F900" s="51" t="n"/>
    </row>
    <row r="901">
      <c r="A901" s="50" t="n"/>
      <c r="B901" s="50" t="n"/>
      <c r="C901" s="51" t="n"/>
      <c r="D901" s="51" t="n"/>
      <c r="E901">
        <f>IF(OR(A901="",B901=""),"",B901-A901)</f>
        <v/>
      </c>
      <c r="F901" s="51" t="n"/>
    </row>
    <row r="902">
      <c r="A902" s="50" t="n"/>
      <c r="B902" s="50" t="n"/>
      <c r="C902" s="51" t="n"/>
      <c r="D902" s="51" t="n"/>
      <c r="E902">
        <f>IF(OR(A902="",B902=""),"",B902-A902)</f>
        <v/>
      </c>
      <c r="F902" s="51" t="n"/>
    </row>
    <row r="903">
      <c r="A903" s="50" t="n"/>
      <c r="B903" s="50" t="n"/>
      <c r="C903" s="51" t="n"/>
      <c r="D903" s="51" t="n"/>
      <c r="E903">
        <f>IF(OR(A903="",B903=""),"",B903-A903)</f>
        <v/>
      </c>
      <c r="F903" s="51" t="n"/>
    </row>
    <row r="904">
      <c r="A904" s="50" t="n"/>
      <c r="B904" s="50" t="n"/>
      <c r="C904" s="51" t="n"/>
      <c r="D904" s="51" t="n"/>
      <c r="E904">
        <f>IF(OR(A904="",B904=""),"",B904-A904)</f>
        <v/>
      </c>
      <c r="F904" s="51" t="n"/>
    </row>
    <row r="905">
      <c r="A905" s="50" t="n"/>
      <c r="B905" s="50" t="n"/>
      <c r="C905" s="51" t="n"/>
      <c r="D905" s="51" t="n"/>
      <c r="E905">
        <f>IF(OR(A905="",B905=""),"",B905-A905)</f>
        <v/>
      </c>
      <c r="F905" s="51" t="n"/>
    </row>
    <row r="906">
      <c r="A906" s="50" t="n"/>
      <c r="B906" s="50" t="n"/>
      <c r="C906" s="51" t="n"/>
      <c r="D906" s="51" t="n"/>
      <c r="E906">
        <f>IF(OR(A906="",B906=""),"",B906-A906)</f>
        <v/>
      </c>
      <c r="F906" s="51" t="n"/>
    </row>
    <row r="907">
      <c r="A907" s="50" t="n"/>
      <c r="B907" s="50" t="n"/>
      <c r="C907" s="51" t="n"/>
      <c r="D907" s="51" t="n"/>
      <c r="E907">
        <f>IF(OR(A907="",B907=""),"",B907-A907)</f>
        <v/>
      </c>
      <c r="F907" s="51" t="n"/>
    </row>
    <row r="908">
      <c r="A908" s="50" t="n"/>
      <c r="B908" s="50" t="n"/>
      <c r="C908" s="51" t="n"/>
      <c r="D908" s="51" t="n"/>
      <c r="E908">
        <f>IF(OR(A908="",B908=""),"",B908-A908)</f>
        <v/>
      </c>
      <c r="F908" s="51" t="n"/>
    </row>
    <row r="909">
      <c r="A909" s="50" t="n"/>
      <c r="B909" s="50" t="n"/>
      <c r="C909" s="51" t="n"/>
      <c r="D909" s="51" t="n"/>
      <c r="E909">
        <f>IF(OR(A909="",B909=""),"",B909-A909)</f>
        <v/>
      </c>
      <c r="F909" s="51" t="n"/>
    </row>
    <row r="910">
      <c r="A910" s="50" t="n"/>
      <c r="B910" s="50" t="n"/>
      <c r="C910" s="51" t="n"/>
      <c r="D910" s="51" t="n"/>
      <c r="E910">
        <f>IF(OR(A910="",B910=""),"",B910-A910)</f>
        <v/>
      </c>
      <c r="F910" s="51" t="n"/>
    </row>
    <row r="911">
      <c r="A911" s="50" t="n"/>
      <c r="B911" s="50" t="n"/>
      <c r="C911" s="51" t="n"/>
      <c r="D911" s="51" t="n"/>
      <c r="E911">
        <f>IF(OR(A911="",B911=""),"",B911-A911)</f>
        <v/>
      </c>
      <c r="F911" s="51" t="n"/>
    </row>
    <row r="912">
      <c r="A912" s="50" t="n"/>
      <c r="B912" s="50" t="n"/>
      <c r="C912" s="51" t="n"/>
      <c r="D912" s="51" t="n"/>
      <c r="E912">
        <f>IF(OR(A912="",B912=""),"",B912-A912)</f>
        <v/>
      </c>
      <c r="F912" s="51" t="n"/>
    </row>
    <row r="913">
      <c r="A913" s="50" t="n"/>
      <c r="B913" s="50" t="n"/>
      <c r="C913" s="51" t="n"/>
      <c r="D913" s="51" t="n"/>
      <c r="E913">
        <f>IF(OR(A913="",B913=""),"",B913-A913)</f>
        <v/>
      </c>
      <c r="F913" s="51" t="n"/>
    </row>
    <row r="914">
      <c r="A914" s="50" t="n"/>
      <c r="B914" s="50" t="n"/>
      <c r="C914" s="51" t="n"/>
      <c r="D914" s="51" t="n"/>
      <c r="E914">
        <f>IF(OR(A914="",B914=""),"",B914-A914)</f>
        <v/>
      </c>
      <c r="F914" s="51" t="n"/>
    </row>
    <row r="915">
      <c r="A915" s="50" t="n"/>
      <c r="B915" s="50" t="n"/>
      <c r="C915" s="51" t="n"/>
      <c r="D915" s="51" t="n"/>
      <c r="E915">
        <f>IF(OR(A915="",B915=""),"",B915-A915)</f>
        <v/>
      </c>
      <c r="F915" s="51" t="n"/>
    </row>
    <row r="916">
      <c r="A916" s="50" t="n"/>
      <c r="B916" s="50" t="n"/>
      <c r="C916" s="51" t="n"/>
      <c r="D916" s="51" t="n"/>
      <c r="E916">
        <f>IF(OR(A916="",B916=""),"",B916-A916)</f>
        <v/>
      </c>
      <c r="F916" s="51" t="n"/>
    </row>
    <row r="917">
      <c r="A917" s="50" t="n"/>
      <c r="B917" s="50" t="n"/>
      <c r="C917" s="51" t="n"/>
      <c r="D917" s="51" t="n"/>
      <c r="E917">
        <f>IF(OR(A917="",B917=""),"",B917-A917)</f>
        <v/>
      </c>
      <c r="F917" s="51" t="n"/>
    </row>
    <row r="918">
      <c r="A918" s="50" t="n"/>
      <c r="B918" s="50" t="n"/>
      <c r="C918" s="51" t="n"/>
      <c r="D918" s="51" t="n"/>
      <c r="E918">
        <f>IF(OR(A918="",B918=""),"",B918-A918)</f>
        <v/>
      </c>
      <c r="F918" s="51" t="n"/>
    </row>
    <row r="919">
      <c r="A919" s="50" t="n"/>
      <c r="B919" s="50" t="n"/>
      <c r="C919" s="51" t="n"/>
      <c r="D919" s="51" t="n"/>
      <c r="E919">
        <f>IF(OR(A919="",B919=""),"",B919-A919)</f>
        <v/>
      </c>
      <c r="F919" s="51" t="n"/>
    </row>
    <row r="920">
      <c r="A920" s="50" t="n"/>
      <c r="B920" s="50" t="n"/>
      <c r="C920" s="51" t="n"/>
      <c r="D920" s="51" t="n"/>
      <c r="E920">
        <f>IF(OR(A920="",B920=""),"",B920-A920)</f>
        <v/>
      </c>
      <c r="F920" s="51" t="n"/>
    </row>
    <row r="921">
      <c r="A921" s="50" t="n"/>
      <c r="B921" s="50" t="n"/>
      <c r="C921" s="51" t="n"/>
      <c r="D921" s="51" t="n"/>
      <c r="E921">
        <f>IF(OR(A921="",B921=""),"",B921-A921)</f>
        <v/>
      </c>
      <c r="F921" s="51" t="n"/>
    </row>
    <row r="922">
      <c r="A922" s="50" t="n"/>
      <c r="B922" s="50" t="n"/>
      <c r="C922" s="51" t="n"/>
      <c r="D922" s="51" t="n"/>
      <c r="E922">
        <f>IF(OR(A922="",B922=""),"",B922-A922)</f>
        <v/>
      </c>
      <c r="F922" s="51" t="n"/>
    </row>
    <row r="923">
      <c r="A923" s="50" t="n"/>
      <c r="B923" s="50" t="n"/>
      <c r="C923" s="51" t="n"/>
      <c r="D923" s="51" t="n"/>
      <c r="E923">
        <f>IF(OR(A923="",B923=""),"",B923-A923)</f>
        <v/>
      </c>
      <c r="F923" s="51" t="n"/>
    </row>
    <row r="924">
      <c r="A924" s="50" t="n"/>
      <c r="B924" s="50" t="n"/>
      <c r="C924" s="51" t="n"/>
      <c r="D924" s="51" t="n"/>
      <c r="E924">
        <f>IF(OR(A924="",B924=""),"",B924-A924)</f>
        <v/>
      </c>
      <c r="F924" s="51" t="n"/>
    </row>
    <row r="925">
      <c r="A925" s="50" t="n"/>
      <c r="B925" s="50" t="n"/>
      <c r="C925" s="51" t="n"/>
      <c r="D925" s="51" t="n"/>
      <c r="E925">
        <f>IF(OR(A925="",B925=""),"",B925-A925)</f>
        <v/>
      </c>
      <c r="F925" s="51" t="n"/>
    </row>
    <row r="926">
      <c r="A926" s="50" t="n"/>
      <c r="B926" s="50" t="n"/>
      <c r="C926" s="51" t="n"/>
      <c r="D926" s="51" t="n"/>
      <c r="E926">
        <f>IF(OR(A926="",B926=""),"",B926-A926)</f>
        <v/>
      </c>
      <c r="F926" s="51" t="n"/>
    </row>
    <row r="927">
      <c r="A927" s="50" t="n"/>
      <c r="B927" s="50" t="n"/>
      <c r="C927" s="51" t="n"/>
      <c r="D927" s="51" t="n"/>
      <c r="E927">
        <f>IF(OR(A927="",B927=""),"",B927-A927)</f>
        <v/>
      </c>
      <c r="F927" s="51" t="n"/>
    </row>
    <row r="928">
      <c r="A928" s="50" t="n"/>
      <c r="B928" s="50" t="n"/>
      <c r="C928" s="51" t="n"/>
      <c r="D928" s="51" t="n"/>
      <c r="E928">
        <f>IF(OR(A928="",B928=""),"",B928-A928)</f>
        <v/>
      </c>
      <c r="F928" s="51" t="n"/>
    </row>
    <row r="929">
      <c r="A929" s="50" t="n"/>
      <c r="B929" s="50" t="n"/>
      <c r="C929" s="51" t="n"/>
      <c r="D929" s="51" t="n"/>
      <c r="E929">
        <f>IF(OR(A929="",B929=""),"",B929-A929)</f>
        <v/>
      </c>
      <c r="F929" s="51" t="n"/>
    </row>
    <row r="930">
      <c r="A930" s="50" t="n"/>
      <c r="B930" s="50" t="n"/>
      <c r="C930" s="51" t="n"/>
      <c r="D930" s="51" t="n"/>
      <c r="E930">
        <f>IF(OR(A930="",B930=""),"",B930-A930)</f>
        <v/>
      </c>
      <c r="F930" s="51" t="n"/>
    </row>
    <row r="931">
      <c r="A931" s="50" t="n"/>
      <c r="B931" s="50" t="n"/>
      <c r="C931" s="51" t="n"/>
      <c r="D931" s="51" t="n"/>
      <c r="E931">
        <f>IF(OR(A931="",B931=""),"",B931-A931)</f>
        <v/>
      </c>
      <c r="F931" s="51" t="n"/>
    </row>
    <row r="932">
      <c r="A932" s="50" t="n"/>
      <c r="B932" s="50" t="n"/>
      <c r="C932" s="51" t="n"/>
      <c r="D932" s="51" t="n"/>
      <c r="E932">
        <f>IF(OR(A932="",B932=""),"",B932-A932)</f>
        <v/>
      </c>
      <c r="F932" s="51" t="n"/>
    </row>
    <row r="933">
      <c r="A933" s="50" t="n"/>
      <c r="B933" s="50" t="n"/>
      <c r="C933" s="51" t="n"/>
      <c r="D933" s="51" t="n"/>
      <c r="E933">
        <f>IF(OR(A933="",B933=""),"",B933-A933)</f>
        <v/>
      </c>
      <c r="F933" s="51" t="n"/>
    </row>
    <row r="934">
      <c r="A934" s="50" t="n"/>
      <c r="B934" s="50" t="n"/>
      <c r="C934" s="51" t="n"/>
      <c r="D934" s="51" t="n"/>
      <c r="E934">
        <f>IF(OR(A934="",B934=""),"",B934-A934)</f>
        <v/>
      </c>
      <c r="F934" s="51" t="n"/>
    </row>
    <row r="935">
      <c r="A935" s="50" t="n"/>
      <c r="B935" s="50" t="n"/>
      <c r="C935" s="51" t="n"/>
      <c r="D935" s="51" t="n"/>
      <c r="E935">
        <f>IF(OR(A935="",B935=""),"",B935-A935)</f>
        <v/>
      </c>
      <c r="F935" s="51" t="n"/>
    </row>
    <row r="936">
      <c r="A936" s="50" t="n"/>
      <c r="B936" s="50" t="n"/>
      <c r="C936" s="51" t="n"/>
      <c r="D936" s="51" t="n"/>
      <c r="E936">
        <f>IF(OR(A936="",B936=""),"",B936-A936)</f>
        <v/>
      </c>
      <c r="F936" s="51" t="n"/>
    </row>
    <row r="937">
      <c r="A937" s="50" t="n"/>
      <c r="B937" s="50" t="n"/>
      <c r="C937" s="51" t="n"/>
      <c r="D937" s="51" t="n"/>
      <c r="E937">
        <f>IF(OR(A937="",B937=""),"",B937-A937)</f>
        <v/>
      </c>
      <c r="F937" s="51" t="n"/>
    </row>
    <row r="938">
      <c r="A938" s="50" t="n"/>
      <c r="B938" s="50" t="n"/>
      <c r="C938" s="51" t="n"/>
      <c r="D938" s="51" t="n"/>
      <c r="E938">
        <f>IF(OR(A938="",B938=""),"",B938-A938)</f>
        <v/>
      </c>
      <c r="F938" s="51" t="n"/>
    </row>
    <row r="939">
      <c r="A939" s="50" t="n"/>
      <c r="B939" s="50" t="n"/>
      <c r="C939" s="51" t="n"/>
      <c r="D939" s="51" t="n"/>
      <c r="E939">
        <f>IF(OR(A939="",B939=""),"",B939-A939)</f>
        <v/>
      </c>
      <c r="F939" s="51" t="n"/>
    </row>
    <row r="940">
      <c r="A940" s="50" t="n"/>
      <c r="B940" s="50" t="n"/>
      <c r="C940" s="51" t="n"/>
      <c r="D940" s="51" t="n"/>
      <c r="E940">
        <f>IF(OR(A940="",B940=""),"",B940-A940)</f>
        <v/>
      </c>
      <c r="F940" s="51" t="n"/>
    </row>
    <row r="941">
      <c r="A941" s="50" t="n"/>
      <c r="B941" s="50" t="n"/>
      <c r="C941" s="51" t="n"/>
      <c r="D941" s="51" t="n"/>
      <c r="E941">
        <f>IF(OR(A941="",B941=""),"",B941-A941)</f>
        <v/>
      </c>
      <c r="F941" s="51" t="n"/>
    </row>
    <row r="942">
      <c r="A942" s="50" t="n"/>
      <c r="B942" s="50" t="n"/>
      <c r="C942" s="51" t="n"/>
      <c r="D942" s="51" t="n"/>
      <c r="E942">
        <f>IF(OR(A942="",B942=""),"",B942-A942)</f>
        <v/>
      </c>
      <c r="F942" s="51" t="n"/>
    </row>
    <row r="943">
      <c r="A943" s="50" t="n"/>
      <c r="B943" s="50" t="n"/>
      <c r="C943" s="51" t="n"/>
      <c r="D943" s="51" t="n"/>
      <c r="E943">
        <f>IF(OR(A943="",B943=""),"",B943-A943)</f>
        <v/>
      </c>
      <c r="F943" s="51" t="n"/>
    </row>
    <row r="944">
      <c r="A944" s="50" t="n"/>
      <c r="B944" s="50" t="n"/>
      <c r="C944" s="51" t="n"/>
      <c r="D944" s="51" t="n"/>
      <c r="E944">
        <f>IF(OR(A944="",B944=""),"",B944-A944)</f>
        <v/>
      </c>
      <c r="F944" s="51" t="n"/>
    </row>
    <row r="945">
      <c r="A945" s="50" t="n"/>
      <c r="B945" s="50" t="n"/>
      <c r="C945" s="51" t="n"/>
      <c r="D945" s="51" t="n"/>
      <c r="E945">
        <f>IF(OR(A945="",B945=""),"",B945-A945)</f>
        <v/>
      </c>
      <c r="F945" s="51" t="n"/>
    </row>
    <row r="946">
      <c r="A946" s="50" t="n"/>
      <c r="B946" s="50" t="n"/>
      <c r="C946" s="51" t="n"/>
      <c r="D946" s="51" t="n"/>
      <c r="E946">
        <f>IF(OR(A946="",B946=""),"",B946-A946)</f>
        <v/>
      </c>
      <c r="F946" s="51" t="n"/>
    </row>
    <row r="947">
      <c r="A947" s="50" t="n"/>
      <c r="B947" s="50" t="n"/>
      <c r="C947" s="51" t="n"/>
      <c r="D947" s="51" t="n"/>
      <c r="E947">
        <f>IF(OR(A947="",B947=""),"",B947-A947)</f>
        <v/>
      </c>
      <c r="F947" s="51" t="n"/>
    </row>
    <row r="948">
      <c r="A948" s="50" t="n"/>
      <c r="B948" s="50" t="n"/>
      <c r="C948" s="51" t="n"/>
      <c r="D948" s="51" t="n"/>
      <c r="E948">
        <f>IF(OR(A948="",B948=""),"",B948-A948)</f>
        <v/>
      </c>
      <c r="F948" s="51" t="n"/>
    </row>
    <row r="949">
      <c r="A949" s="50" t="n"/>
      <c r="B949" s="50" t="n"/>
      <c r="C949" s="51" t="n"/>
      <c r="D949" s="51" t="n"/>
      <c r="E949">
        <f>IF(OR(A949="",B949=""),"",B949-A949)</f>
        <v/>
      </c>
      <c r="F949" s="51" t="n"/>
    </row>
    <row r="950">
      <c r="A950" s="50" t="n"/>
      <c r="B950" s="50" t="n"/>
      <c r="C950" s="51" t="n"/>
      <c r="D950" s="51" t="n"/>
      <c r="E950">
        <f>IF(OR(A950="",B950=""),"",B950-A950)</f>
        <v/>
      </c>
      <c r="F950" s="51" t="n"/>
    </row>
    <row r="951">
      <c r="A951" s="50" t="n"/>
      <c r="B951" s="50" t="n"/>
      <c r="C951" s="51" t="n"/>
      <c r="D951" s="51" t="n"/>
      <c r="E951">
        <f>IF(OR(A951="",B951=""),"",B951-A951)</f>
        <v/>
      </c>
      <c r="F951" s="51" t="n"/>
    </row>
    <row r="952">
      <c r="A952" s="50" t="n"/>
      <c r="B952" s="50" t="n"/>
      <c r="C952" s="51" t="n"/>
      <c r="D952" s="51" t="n"/>
      <c r="E952">
        <f>IF(OR(A952="",B952=""),"",B952-A952)</f>
        <v/>
      </c>
      <c r="F952" s="51" t="n"/>
    </row>
    <row r="953">
      <c r="A953" s="50" t="n"/>
      <c r="B953" s="50" t="n"/>
      <c r="C953" s="51" t="n"/>
      <c r="D953" s="51" t="n"/>
      <c r="E953">
        <f>IF(OR(A953="",B953=""),"",B953-A953)</f>
        <v/>
      </c>
      <c r="F953" s="51" t="n"/>
    </row>
    <row r="954">
      <c r="A954" s="50" t="n"/>
      <c r="B954" s="50" t="n"/>
      <c r="C954" s="51" t="n"/>
      <c r="D954" s="51" t="n"/>
      <c r="E954">
        <f>IF(OR(A954="",B954=""),"",B954-A954)</f>
        <v/>
      </c>
      <c r="F954" s="51" t="n"/>
    </row>
    <row r="955">
      <c r="A955" s="50" t="n"/>
      <c r="B955" s="50" t="n"/>
      <c r="C955" s="51" t="n"/>
      <c r="D955" s="51" t="n"/>
      <c r="E955">
        <f>IF(OR(A955="",B955=""),"",B955-A955)</f>
        <v/>
      </c>
      <c r="F955" s="51" t="n"/>
    </row>
    <row r="956">
      <c r="A956" s="50" t="n"/>
      <c r="B956" s="50" t="n"/>
      <c r="C956" s="51" t="n"/>
      <c r="D956" s="51" t="n"/>
      <c r="E956">
        <f>IF(OR(A956="",B956=""),"",B956-A956)</f>
        <v/>
      </c>
      <c r="F956" s="51" t="n"/>
    </row>
    <row r="957">
      <c r="A957" s="50" t="n"/>
      <c r="B957" s="50" t="n"/>
      <c r="C957" s="51" t="n"/>
      <c r="D957" s="51" t="n"/>
      <c r="E957">
        <f>IF(OR(A957="",B957=""),"",B957-A957)</f>
        <v/>
      </c>
      <c r="F957" s="51" t="n"/>
    </row>
    <row r="958">
      <c r="A958" s="50" t="n"/>
      <c r="B958" s="50" t="n"/>
      <c r="C958" s="51" t="n"/>
      <c r="D958" s="51" t="n"/>
      <c r="E958">
        <f>IF(OR(A958="",B958=""),"",B958-A958)</f>
        <v/>
      </c>
      <c r="F958" s="51" t="n"/>
    </row>
    <row r="959">
      <c r="A959" s="50" t="n"/>
      <c r="B959" s="50" t="n"/>
      <c r="C959" s="51" t="n"/>
      <c r="D959" s="51" t="n"/>
      <c r="E959">
        <f>IF(OR(A959="",B959=""),"",B959-A959)</f>
        <v/>
      </c>
      <c r="F959" s="51" t="n"/>
    </row>
    <row r="960">
      <c r="A960" s="50" t="n"/>
      <c r="B960" s="50" t="n"/>
      <c r="C960" s="51" t="n"/>
      <c r="D960" s="51" t="n"/>
      <c r="E960">
        <f>IF(OR(A960="",B960=""),"",B960-A960)</f>
        <v/>
      </c>
      <c r="F960" s="51" t="n"/>
    </row>
    <row r="961">
      <c r="A961" s="50" t="n"/>
      <c r="B961" s="50" t="n"/>
      <c r="C961" s="51" t="n"/>
      <c r="D961" s="51" t="n"/>
      <c r="E961">
        <f>IF(OR(A961="",B961=""),"",B961-A961)</f>
        <v/>
      </c>
      <c r="F961" s="51" t="n"/>
    </row>
    <row r="962">
      <c r="A962" s="50" t="n"/>
      <c r="B962" s="50" t="n"/>
      <c r="C962" s="51" t="n"/>
      <c r="D962" s="51" t="n"/>
      <c r="E962">
        <f>IF(OR(A962="",B962=""),"",B962-A962)</f>
        <v/>
      </c>
      <c r="F962" s="51" t="n"/>
    </row>
    <row r="963">
      <c r="A963" s="50" t="n"/>
      <c r="B963" s="50" t="n"/>
      <c r="C963" s="51" t="n"/>
      <c r="D963" s="51" t="n"/>
      <c r="E963">
        <f>IF(OR(A963="",B963=""),"",B963-A963)</f>
        <v/>
      </c>
      <c r="F963" s="51" t="n"/>
    </row>
    <row r="964">
      <c r="A964" s="50" t="n"/>
      <c r="B964" s="50" t="n"/>
      <c r="C964" s="51" t="n"/>
      <c r="D964" s="51" t="n"/>
      <c r="E964">
        <f>IF(OR(A964="",B964=""),"",B964-A964)</f>
        <v/>
      </c>
      <c r="F964" s="51" t="n"/>
    </row>
    <row r="965">
      <c r="A965" s="50" t="n"/>
      <c r="B965" s="50" t="n"/>
      <c r="C965" s="51" t="n"/>
      <c r="D965" s="51" t="n"/>
      <c r="E965">
        <f>IF(OR(A965="",B965=""),"",B965-A965)</f>
        <v/>
      </c>
      <c r="F965" s="51" t="n"/>
    </row>
    <row r="966">
      <c r="A966" s="50" t="n"/>
      <c r="B966" s="50" t="n"/>
      <c r="C966" s="51" t="n"/>
      <c r="D966" s="51" t="n"/>
      <c r="E966">
        <f>IF(OR(A966="",B966=""),"",B966-A966)</f>
        <v/>
      </c>
      <c r="F966" s="51" t="n"/>
    </row>
    <row r="967">
      <c r="A967" s="50" t="n"/>
      <c r="B967" s="50" t="n"/>
      <c r="C967" s="51" t="n"/>
      <c r="D967" s="51" t="n"/>
      <c r="E967">
        <f>IF(OR(A967="",B967=""),"",B967-A967)</f>
        <v/>
      </c>
      <c r="F967" s="51" t="n"/>
    </row>
    <row r="968">
      <c r="A968" s="50" t="n"/>
      <c r="B968" s="50" t="n"/>
      <c r="C968" s="51" t="n"/>
      <c r="D968" s="51" t="n"/>
      <c r="E968">
        <f>IF(OR(A968="",B968=""),"",B968-A968)</f>
        <v/>
      </c>
      <c r="F968" s="51" t="n"/>
    </row>
    <row r="969">
      <c r="A969" s="50" t="n"/>
      <c r="B969" s="50" t="n"/>
      <c r="C969" s="51" t="n"/>
      <c r="D969" s="51" t="n"/>
      <c r="E969">
        <f>IF(OR(A969="",B969=""),"",B969-A969)</f>
        <v/>
      </c>
      <c r="F969" s="51" t="n"/>
    </row>
    <row r="970">
      <c r="A970" s="50" t="n"/>
      <c r="B970" s="50" t="n"/>
      <c r="C970" s="51" t="n"/>
      <c r="D970" s="51" t="n"/>
      <c r="E970">
        <f>IF(OR(A970="",B970=""),"",B970-A970)</f>
        <v/>
      </c>
      <c r="F970" s="51" t="n"/>
    </row>
    <row r="971">
      <c r="A971" s="50" t="n"/>
      <c r="B971" s="50" t="n"/>
      <c r="C971" s="51" t="n"/>
      <c r="D971" s="51" t="n"/>
      <c r="E971">
        <f>IF(OR(A971="",B971=""),"",B971-A971)</f>
        <v/>
      </c>
      <c r="F971" s="51" t="n"/>
    </row>
    <row r="972">
      <c r="A972" s="50" t="n"/>
      <c r="B972" s="50" t="n"/>
      <c r="C972" s="51" t="n"/>
      <c r="D972" s="51" t="n"/>
      <c r="E972">
        <f>IF(OR(A972="",B972=""),"",B972-A972)</f>
        <v/>
      </c>
      <c r="F972" s="51" t="n"/>
    </row>
    <row r="973">
      <c r="A973" s="50" t="n"/>
      <c r="B973" s="50" t="n"/>
      <c r="C973" s="51" t="n"/>
      <c r="D973" s="51" t="n"/>
      <c r="E973">
        <f>IF(OR(A973="",B973=""),"",B973-A973)</f>
        <v/>
      </c>
      <c r="F973" s="51" t="n"/>
    </row>
    <row r="974">
      <c r="A974" s="50" t="n"/>
      <c r="B974" s="50" t="n"/>
      <c r="C974" s="51" t="n"/>
      <c r="D974" s="51" t="n"/>
      <c r="E974">
        <f>IF(OR(A974="",B974=""),"",B974-A974)</f>
        <v/>
      </c>
      <c r="F974" s="51" t="n"/>
    </row>
    <row r="975">
      <c r="A975" s="50" t="n"/>
      <c r="B975" s="50" t="n"/>
      <c r="C975" s="51" t="n"/>
      <c r="D975" s="51" t="n"/>
      <c r="E975">
        <f>IF(OR(A975="",B975=""),"",B975-A975)</f>
        <v/>
      </c>
      <c r="F975" s="51" t="n"/>
    </row>
    <row r="976">
      <c r="A976" s="50" t="n"/>
      <c r="B976" s="50" t="n"/>
      <c r="C976" s="51" t="n"/>
      <c r="D976" s="51" t="n"/>
      <c r="E976">
        <f>IF(OR(A976="",B976=""),"",B976-A976)</f>
        <v/>
      </c>
      <c r="F976" s="51" t="n"/>
    </row>
    <row r="977">
      <c r="A977" s="50" t="n"/>
      <c r="B977" s="50" t="n"/>
      <c r="C977" s="51" t="n"/>
      <c r="D977" s="51" t="n"/>
      <c r="E977">
        <f>IF(OR(A977="",B977=""),"",B977-A977)</f>
        <v/>
      </c>
      <c r="F977" s="51" t="n"/>
    </row>
    <row r="978">
      <c r="A978" s="50" t="n"/>
      <c r="B978" s="50" t="n"/>
      <c r="C978" s="51" t="n"/>
      <c r="D978" s="51" t="n"/>
      <c r="E978">
        <f>IF(OR(A978="",B978=""),"",B978-A978)</f>
        <v/>
      </c>
      <c r="F978" s="51" t="n"/>
    </row>
    <row r="979">
      <c r="A979" s="50" t="n"/>
      <c r="B979" s="50" t="n"/>
      <c r="C979" s="51" t="n"/>
      <c r="D979" s="51" t="n"/>
      <c r="E979">
        <f>IF(OR(A979="",B979=""),"",B979-A979)</f>
        <v/>
      </c>
      <c r="F979" s="51" t="n"/>
    </row>
    <row r="980">
      <c r="A980" s="50" t="n"/>
      <c r="B980" s="50" t="n"/>
      <c r="C980" s="51" t="n"/>
      <c r="D980" s="51" t="n"/>
      <c r="E980">
        <f>IF(OR(A980="",B980=""),"",B980-A980)</f>
        <v/>
      </c>
      <c r="F980" s="51" t="n"/>
    </row>
    <row r="981">
      <c r="A981" s="50" t="n"/>
      <c r="B981" s="50" t="n"/>
      <c r="C981" s="51" t="n"/>
      <c r="D981" s="51" t="n"/>
      <c r="E981">
        <f>IF(OR(A981="",B981=""),"",B981-A981)</f>
        <v/>
      </c>
      <c r="F981" s="51" t="n"/>
    </row>
    <row r="982">
      <c r="A982" s="50" t="n"/>
      <c r="B982" s="50" t="n"/>
      <c r="C982" s="51" t="n"/>
      <c r="D982" s="51" t="n"/>
      <c r="E982">
        <f>IF(OR(A982="",B982=""),"",B982-A982)</f>
        <v/>
      </c>
      <c r="F982" s="51" t="n"/>
    </row>
    <row r="983">
      <c r="A983" s="50" t="n"/>
      <c r="B983" s="50" t="n"/>
      <c r="C983" s="51" t="n"/>
      <c r="D983" s="51" t="n"/>
      <c r="E983">
        <f>IF(OR(A983="",B983=""),"",B983-A983)</f>
        <v/>
      </c>
      <c r="F983" s="51" t="n"/>
    </row>
    <row r="984">
      <c r="A984" s="50" t="n"/>
      <c r="B984" s="50" t="n"/>
      <c r="C984" s="51" t="n"/>
      <c r="D984" s="51" t="n"/>
      <c r="E984">
        <f>IF(OR(A984="",B984=""),"",B984-A984)</f>
        <v/>
      </c>
      <c r="F984" s="51" t="n"/>
    </row>
    <row r="985">
      <c r="A985" s="50" t="n"/>
      <c r="B985" s="50" t="n"/>
      <c r="C985" s="51" t="n"/>
      <c r="D985" s="51" t="n"/>
      <c r="E985">
        <f>IF(OR(A985="",B985=""),"",B985-A985)</f>
        <v/>
      </c>
      <c r="F985" s="51" t="n"/>
    </row>
    <row r="986">
      <c r="A986" s="50" t="n"/>
      <c r="B986" s="50" t="n"/>
      <c r="C986" s="51" t="n"/>
      <c r="D986" s="51" t="n"/>
      <c r="E986">
        <f>IF(OR(A986="",B986=""),"",B986-A986)</f>
        <v/>
      </c>
      <c r="F986" s="51" t="n"/>
    </row>
    <row r="987">
      <c r="A987" s="50" t="n"/>
      <c r="B987" s="50" t="n"/>
      <c r="C987" s="51" t="n"/>
      <c r="D987" s="51" t="n"/>
      <c r="E987">
        <f>IF(OR(A987="",B987=""),"",B987-A987)</f>
        <v/>
      </c>
      <c r="F987" s="51" t="n"/>
    </row>
    <row r="988">
      <c r="A988" s="50" t="n"/>
      <c r="B988" s="50" t="n"/>
      <c r="C988" s="51" t="n"/>
      <c r="D988" s="51" t="n"/>
      <c r="E988">
        <f>IF(OR(A988="",B988=""),"",B988-A988)</f>
        <v/>
      </c>
      <c r="F988" s="51" t="n"/>
    </row>
    <row r="989">
      <c r="A989" s="50" t="n"/>
      <c r="B989" s="50" t="n"/>
      <c r="C989" s="51" t="n"/>
      <c r="D989" s="51" t="n"/>
      <c r="E989">
        <f>IF(OR(A989="",B989=""),"",B989-A989)</f>
        <v/>
      </c>
      <c r="F989" s="51" t="n"/>
    </row>
    <row r="990">
      <c r="A990" s="50" t="n"/>
      <c r="B990" s="50" t="n"/>
      <c r="C990" s="51" t="n"/>
      <c r="D990" s="51" t="n"/>
      <c r="E990">
        <f>IF(OR(A990="",B990=""),"",B990-A990)</f>
        <v/>
      </c>
      <c r="F990" s="51" t="n"/>
    </row>
    <row r="991">
      <c r="A991" s="50" t="n"/>
      <c r="B991" s="50" t="n"/>
      <c r="C991" s="51" t="n"/>
      <c r="D991" s="51" t="n"/>
      <c r="E991">
        <f>IF(OR(A991="",B991=""),"",B991-A991)</f>
        <v/>
      </c>
      <c r="F991" s="51" t="n"/>
    </row>
    <row r="992">
      <c r="A992" s="50" t="n"/>
      <c r="B992" s="50" t="n"/>
      <c r="C992" s="51" t="n"/>
      <c r="D992" s="51" t="n"/>
      <c r="E992">
        <f>IF(OR(A992="",B992=""),"",B992-A992)</f>
        <v/>
      </c>
      <c r="F992" s="51" t="n"/>
    </row>
    <row r="993">
      <c r="A993" s="50" t="n"/>
      <c r="B993" s="50" t="n"/>
      <c r="C993" s="51" t="n"/>
      <c r="D993" s="51" t="n"/>
      <c r="E993">
        <f>IF(OR(A993="",B993=""),"",B993-A993)</f>
        <v/>
      </c>
      <c r="F993" s="51" t="n"/>
    </row>
    <row r="994">
      <c r="A994" s="50" t="n"/>
      <c r="B994" s="50" t="n"/>
      <c r="C994" s="51" t="n"/>
      <c r="D994" s="51" t="n"/>
      <c r="E994">
        <f>IF(OR(A994="",B994=""),"",B994-A994)</f>
        <v/>
      </c>
      <c r="F994" s="51" t="n"/>
    </row>
    <row r="995">
      <c r="A995" s="50" t="n"/>
      <c r="B995" s="50" t="n"/>
      <c r="C995" s="51" t="n"/>
      <c r="D995" s="51" t="n"/>
      <c r="E995">
        <f>IF(OR(A995="",B995=""),"",B995-A995)</f>
        <v/>
      </c>
      <c r="F995" s="51" t="n"/>
    </row>
    <row r="996">
      <c r="A996" s="50" t="n"/>
      <c r="B996" s="50" t="n"/>
      <c r="C996" s="51" t="n"/>
      <c r="D996" s="51" t="n"/>
      <c r="E996">
        <f>IF(OR(A996="",B996=""),"",B996-A996)</f>
        <v/>
      </c>
      <c r="F996" s="51" t="n"/>
    </row>
    <row r="997">
      <c r="A997" s="50" t="n"/>
      <c r="B997" s="50" t="n"/>
      <c r="C997" s="51" t="n"/>
      <c r="D997" s="51" t="n"/>
      <c r="E997">
        <f>IF(OR(A997="",B997=""),"",B997-A997)</f>
        <v/>
      </c>
      <c r="F997" s="51" t="n"/>
    </row>
    <row r="998">
      <c r="A998" s="50" t="n"/>
      <c r="B998" s="50" t="n"/>
      <c r="C998" s="51" t="n"/>
      <c r="D998" s="51" t="n"/>
      <c r="E998">
        <f>IF(OR(A998="",B998=""),"",B998-A998)</f>
        <v/>
      </c>
      <c r="F998" s="51" t="n"/>
    </row>
    <row r="999">
      <c r="A999" s="50" t="n"/>
      <c r="B999" s="50" t="n"/>
      <c r="C999" s="51" t="n"/>
      <c r="D999" s="51" t="n"/>
      <c r="E999">
        <f>IF(OR(A999="",B999=""),"",B999-A999)</f>
        <v/>
      </c>
      <c r="F999" s="51" t="n"/>
    </row>
    <row r="1000">
      <c r="A1000" s="50" t="n"/>
      <c r="B1000" s="50" t="n"/>
      <c r="C1000" s="51" t="n"/>
      <c r="D1000" s="51" t="n"/>
      <c r="E1000">
        <f>IF(OR(A1000="",B1000=""),"",B1000-A1000)</f>
        <v/>
      </c>
      <c r="F1000" s="51" t="n"/>
    </row>
  </sheetData>
  <autoFilter ref="A1:F5000"/>
  <dataValidations count="2">
    <dataValidation sqref="C2:C1000" showDropDown="0" showInputMessage="0" showErrorMessage="0" allowBlank="1" type="list">
      <formula1>"C,D,E,F,G,H"</formula1>
    </dataValidation>
    <dataValidation sqref="A2:B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5" customWidth="1" min="6" max="6"/>
  </cols>
  <sheetData>
    <row r="1" ht="30" customHeight="1">
      <c r="A1" s="53" t="inlineStr">
        <is>
          <t>Data</t>
        </is>
      </c>
      <c r="B1" s="53" t="inlineStr">
        <is>
          <t>Veio</t>
        </is>
      </c>
      <c r="C1" s="53" t="inlineStr">
        <is>
          <t>Molde nº</t>
        </is>
      </c>
      <c r="D1" s="53" t="inlineStr">
        <is>
          <t>Meta (vida progr.)</t>
        </is>
      </c>
      <c r="E1" s="53" t="inlineStr">
        <is>
          <t>Acumulado (corridas)</t>
        </is>
      </c>
      <c r="F1" s="53" t="inlineStr">
        <is>
          <t>Observação</t>
        </is>
      </c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F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0" customHeight="1">
      <c r="A1" s="53" t="inlineStr">
        <is>
          <t>Data</t>
        </is>
      </c>
      <c r="B1" s="53" t="inlineStr">
        <is>
          <t>MCC4 real (t)</t>
        </is>
      </c>
      <c r="C1" s="53" t="inlineStr">
        <is>
          <t>MCC4 prog (t)</t>
        </is>
      </c>
      <c r="D1" s="53" t="inlineStr">
        <is>
          <t>MCC2 real (t)</t>
        </is>
      </c>
      <c r="E1" s="53" t="inlineStr">
        <is>
          <t>MCC3 real (t)</t>
        </is>
      </c>
      <c r="F1" s="53" t="inlineStr">
        <is>
          <t>Arquivo</t>
        </is>
      </c>
    </row>
    <row r="2">
      <c r="B2" s="54" t="n"/>
      <c r="C2" s="54" t="n"/>
      <c r="D2" s="54" t="n"/>
      <c r="E2" s="54" t="n"/>
    </row>
    <row r="3">
      <c r="B3" s="54" t="n"/>
      <c r="C3" s="54" t="n"/>
      <c r="D3" s="54" t="n"/>
      <c r="E3" s="54" t="n"/>
    </row>
    <row r="4">
      <c r="B4" s="54" t="n"/>
      <c r="C4" s="54" t="n"/>
      <c r="D4" s="54" t="n"/>
      <c r="E4" s="54" t="n"/>
    </row>
    <row r="5">
      <c r="B5" s="54" t="n"/>
      <c r="C5" s="54" t="n"/>
      <c r="D5" s="54" t="n"/>
      <c r="E5" s="54" t="n"/>
    </row>
    <row r="6">
      <c r="B6" s="54" t="n"/>
      <c r="C6" s="54" t="n"/>
      <c r="D6" s="54" t="n"/>
      <c r="E6" s="54" t="n"/>
    </row>
    <row r="7">
      <c r="B7" s="54" t="n"/>
      <c r="C7" s="54" t="n"/>
      <c r="D7" s="54" t="n"/>
      <c r="E7" s="54" t="n"/>
    </row>
    <row r="8">
      <c r="B8" s="54" t="n"/>
      <c r="C8" s="54" t="n"/>
      <c r="D8" s="54" t="n"/>
      <c r="E8" s="54" t="n"/>
    </row>
    <row r="9">
      <c r="B9" s="54" t="n"/>
      <c r="C9" s="54" t="n"/>
      <c r="D9" s="54" t="n"/>
      <c r="E9" s="54" t="n"/>
    </row>
    <row r="10">
      <c r="B10" s="54" t="n"/>
      <c r="C10" s="54" t="n"/>
      <c r="D10" s="54" t="n"/>
      <c r="E10" s="54" t="n"/>
    </row>
    <row r="11">
      <c r="B11" s="54" t="n"/>
      <c r="C11" s="54" t="n"/>
      <c r="D11" s="54" t="n"/>
      <c r="E11" s="54" t="n"/>
    </row>
    <row r="12">
      <c r="B12" s="54" t="n"/>
      <c r="C12" s="54" t="n"/>
      <c r="D12" s="54" t="n"/>
      <c r="E12" s="54" t="n"/>
    </row>
    <row r="13">
      <c r="B13" s="54" t="n"/>
      <c r="C13" s="54" t="n"/>
      <c r="D13" s="54" t="n"/>
      <c r="E13" s="54" t="n"/>
    </row>
    <row r="14">
      <c r="B14" s="54" t="n"/>
      <c r="C14" s="54" t="n"/>
      <c r="D14" s="54" t="n"/>
      <c r="E14" s="54" t="n"/>
    </row>
    <row r="15">
      <c r="B15" s="54" t="n"/>
      <c r="C15" s="54" t="n"/>
      <c r="D15" s="54" t="n"/>
      <c r="E15" s="54" t="n"/>
    </row>
    <row r="16">
      <c r="B16" s="54" t="n"/>
      <c r="C16" s="54" t="n"/>
      <c r="D16" s="54" t="n"/>
      <c r="E16" s="54" t="n"/>
    </row>
    <row r="17">
      <c r="B17" s="54" t="n"/>
      <c r="C17" s="54" t="n"/>
      <c r="D17" s="54" t="n"/>
      <c r="E17" s="54" t="n"/>
    </row>
    <row r="18">
      <c r="B18" s="54" t="n"/>
      <c r="C18" s="54" t="n"/>
      <c r="D18" s="54" t="n"/>
      <c r="E18" s="54" t="n"/>
    </row>
    <row r="19">
      <c r="B19" s="54" t="n"/>
      <c r="C19" s="54" t="n"/>
      <c r="D19" s="54" t="n"/>
      <c r="E19" s="54" t="n"/>
    </row>
    <row r="20">
      <c r="B20" s="54" t="n"/>
      <c r="C20" s="54" t="n"/>
      <c r="D20" s="54" t="n"/>
      <c r="E20" s="54" t="n"/>
    </row>
    <row r="21">
      <c r="B21" s="54" t="n"/>
      <c r="C21" s="54" t="n"/>
      <c r="D21" s="54" t="n"/>
      <c r="E21" s="54" t="n"/>
    </row>
    <row r="22">
      <c r="B22" s="54" t="n"/>
      <c r="C22" s="54" t="n"/>
      <c r="D22" s="54" t="n"/>
      <c r="E22" s="54" t="n"/>
    </row>
    <row r="23">
      <c r="B23" s="54" t="n"/>
      <c r="C23" s="54" t="n"/>
      <c r="D23" s="54" t="n"/>
      <c r="E23" s="54" t="n"/>
    </row>
    <row r="24">
      <c r="B24" s="54" t="n"/>
      <c r="C24" s="54" t="n"/>
      <c r="D24" s="54" t="n"/>
      <c r="E24" s="54" t="n"/>
    </row>
    <row r="25">
      <c r="B25" s="54" t="n"/>
      <c r="C25" s="54" t="n"/>
      <c r="D25" s="54" t="n"/>
      <c r="E25" s="54" t="n"/>
    </row>
    <row r="26">
      <c r="B26" s="54" t="n"/>
      <c r="C26" s="54" t="n"/>
      <c r="D26" s="54" t="n"/>
      <c r="E26" s="54" t="n"/>
    </row>
    <row r="27">
      <c r="B27" s="54" t="n"/>
      <c r="C27" s="54" t="n"/>
      <c r="D27" s="54" t="n"/>
      <c r="E27" s="54" t="n"/>
    </row>
    <row r="28">
      <c r="B28" s="54" t="n"/>
      <c r="C28" s="54" t="n"/>
      <c r="D28" s="54" t="n"/>
      <c r="E28" s="54" t="n"/>
    </row>
    <row r="29">
      <c r="B29" s="54" t="n"/>
      <c r="C29" s="54" t="n"/>
      <c r="D29" s="54" t="n"/>
      <c r="E29" s="54" t="n"/>
    </row>
    <row r="30">
      <c r="B30" s="54" t="n"/>
      <c r="C30" s="54" t="n"/>
      <c r="D30" s="54" t="n"/>
      <c r="E30" s="54" t="n"/>
    </row>
    <row r="31">
      <c r="B31" s="54" t="n"/>
      <c r="C31" s="54" t="n"/>
      <c r="D31" s="54" t="n"/>
      <c r="E31" s="54" t="n"/>
    </row>
    <row r="32">
      <c r="B32" s="54" t="n"/>
      <c r="C32" s="54" t="n"/>
      <c r="D32" s="54" t="n"/>
      <c r="E32" s="54" t="n"/>
    </row>
    <row r="33">
      <c r="B33" s="54" t="n"/>
      <c r="C33" s="54" t="n"/>
      <c r="D33" s="54" t="n"/>
      <c r="E33" s="54" t="n"/>
    </row>
    <row r="34">
      <c r="B34" s="54" t="n"/>
      <c r="C34" s="54" t="n"/>
      <c r="D34" s="54" t="n"/>
      <c r="E34" s="54" t="n"/>
    </row>
    <row r="35">
      <c r="B35" s="54" t="n"/>
      <c r="C35" s="54" t="n"/>
      <c r="D35" s="54" t="n"/>
      <c r="E35" s="54" t="n"/>
    </row>
    <row r="36">
      <c r="B36" s="54" t="n"/>
      <c r="C36" s="54" t="n"/>
      <c r="D36" s="54" t="n"/>
      <c r="E36" s="54" t="n"/>
    </row>
    <row r="37">
      <c r="B37" s="54" t="n"/>
      <c r="C37" s="54" t="n"/>
      <c r="D37" s="54" t="n"/>
      <c r="E37" s="54" t="n"/>
    </row>
    <row r="38">
      <c r="B38" s="54" t="n"/>
      <c r="C38" s="54" t="n"/>
      <c r="D38" s="54" t="n"/>
      <c r="E38" s="54" t="n"/>
    </row>
    <row r="39">
      <c r="B39" s="54" t="n"/>
      <c r="C39" s="54" t="n"/>
      <c r="D39" s="54" t="n"/>
      <c r="E39" s="54" t="n"/>
    </row>
    <row r="40">
      <c r="B40" s="54" t="n"/>
      <c r="C40" s="54" t="n"/>
      <c r="D40" s="54" t="n"/>
      <c r="E40" s="54" t="n"/>
    </row>
    <row r="41">
      <c r="B41" s="54" t="n"/>
      <c r="C41" s="54" t="n"/>
      <c r="D41" s="54" t="n"/>
      <c r="E41" s="54" t="n"/>
    </row>
    <row r="42">
      <c r="B42" s="54" t="n"/>
      <c r="C42" s="54" t="n"/>
      <c r="D42" s="54" t="n"/>
      <c r="E42" s="54" t="n"/>
    </row>
    <row r="43">
      <c r="B43" s="54" t="n"/>
      <c r="C43" s="54" t="n"/>
      <c r="D43" s="54" t="n"/>
      <c r="E43" s="54" t="n"/>
    </row>
    <row r="44">
      <c r="B44" s="54" t="n"/>
      <c r="C44" s="54" t="n"/>
      <c r="D44" s="54" t="n"/>
      <c r="E44" s="54" t="n"/>
    </row>
    <row r="45">
      <c r="B45" s="54" t="n"/>
      <c r="C45" s="54" t="n"/>
      <c r="D45" s="54" t="n"/>
      <c r="E45" s="54" t="n"/>
    </row>
    <row r="46">
      <c r="B46" s="54" t="n"/>
      <c r="C46" s="54" t="n"/>
      <c r="D46" s="54" t="n"/>
      <c r="E46" s="54" t="n"/>
    </row>
    <row r="47">
      <c r="B47" s="54" t="n"/>
      <c r="C47" s="54" t="n"/>
      <c r="D47" s="54" t="n"/>
      <c r="E47" s="54" t="n"/>
    </row>
    <row r="48">
      <c r="B48" s="54" t="n"/>
      <c r="C48" s="54" t="n"/>
      <c r="D48" s="54" t="n"/>
      <c r="E48" s="54" t="n"/>
    </row>
    <row r="49">
      <c r="B49" s="54" t="n"/>
      <c r="C49" s="54" t="n"/>
      <c r="D49" s="54" t="n"/>
      <c r="E49" s="54" t="n"/>
    </row>
    <row r="50">
      <c r="B50" s="54" t="n"/>
      <c r="C50" s="54" t="n"/>
      <c r="D50" s="54" t="n"/>
      <c r="E50" s="54" t="n"/>
    </row>
    <row r="51">
      <c r="B51" s="54" t="n"/>
      <c r="C51" s="54" t="n"/>
      <c r="D51" s="54" t="n"/>
      <c r="E51" s="54" t="n"/>
    </row>
    <row r="52">
      <c r="B52" s="54" t="n"/>
      <c r="C52" s="54" t="n"/>
      <c r="D52" s="54" t="n"/>
      <c r="E52" s="54" t="n"/>
    </row>
    <row r="53">
      <c r="B53" s="54" t="n"/>
      <c r="C53" s="54" t="n"/>
      <c r="D53" s="54" t="n"/>
      <c r="E53" s="54" t="n"/>
    </row>
    <row r="54">
      <c r="B54" s="54" t="n"/>
      <c r="C54" s="54" t="n"/>
      <c r="D54" s="54" t="n"/>
      <c r="E54" s="54" t="n"/>
    </row>
    <row r="55">
      <c r="B55" s="54" t="n"/>
      <c r="C55" s="54" t="n"/>
      <c r="D55" s="54" t="n"/>
      <c r="E55" s="54" t="n"/>
    </row>
    <row r="56">
      <c r="B56" s="54" t="n"/>
      <c r="C56" s="54" t="n"/>
      <c r="D56" s="54" t="n"/>
      <c r="E56" s="54" t="n"/>
    </row>
    <row r="57">
      <c r="B57" s="54" t="n"/>
      <c r="C57" s="54" t="n"/>
      <c r="D57" s="54" t="n"/>
      <c r="E57" s="54" t="n"/>
    </row>
    <row r="58">
      <c r="B58" s="54" t="n"/>
      <c r="C58" s="54" t="n"/>
      <c r="D58" s="54" t="n"/>
      <c r="E58" s="54" t="n"/>
    </row>
    <row r="59">
      <c r="B59" s="54" t="n"/>
      <c r="C59" s="54" t="n"/>
      <c r="D59" s="54" t="n"/>
      <c r="E59" s="54" t="n"/>
    </row>
    <row r="60">
      <c r="B60" s="54" t="n"/>
      <c r="C60" s="54" t="n"/>
      <c r="D60" s="54" t="n"/>
      <c r="E60" s="54" t="n"/>
    </row>
    <row r="61">
      <c r="B61" s="54" t="n"/>
      <c r="C61" s="54" t="n"/>
      <c r="D61" s="54" t="n"/>
      <c r="E61" s="54" t="n"/>
    </row>
    <row r="62">
      <c r="B62" s="54" t="n"/>
      <c r="C62" s="54" t="n"/>
      <c r="D62" s="54" t="n"/>
      <c r="E62" s="54" t="n"/>
    </row>
    <row r="63">
      <c r="B63" s="54" t="n"/>
      <c r="C63" s="54" t="n"/>
      <c r="D63" s="54" t="n"/>
      <c r="E63" s="54" t="n"/>
    </row>
    <row r="64">
      <c r="B64" s="54" t="n"/>
      <c r="C64" s="54" t="n"/>
      <c r="D64" s="54" t="n"/>
      <c r="E64" s="54" t="n"/>
    </row>
    <row r="65">
      <c r="B65" s="54" t="n"/>
      <c r="C65" s="54" t="n"/>
      <c r="D65" s="54" t="n"/>
      <c r="E65" s="54" t="n"/>
    </row>
    <row r="66">
      <c r="B66" s="54" t="n"/>
      <c r="C66" s="54" t="n"/>
      <c r="D66" s="54" t="n"/>
      <c r="E66" s="54" t="n"/>
    </row>
    <row r="67">
      <c r="B67" s="54" t="n"/>
      <c r="C67" s="54" t="n"/>
      <c r="D67" s="54" t="n"/>
      <c r="E67" s="54" t="n"/>
    </row>
    <row r="68">
      <c r="B68" s="54" t="n"/>
      <c r="C68" s="54" t="n"/>
      <c r="D68" s="54" t="n"/>
      <c r="E68" s="54" t="n"/>
    </row>
    <row r="69">
      <c r="B69" s="54" t="n"/>
      <c r="C69" s="54" t="n"/>
      <c r="D69" s="54" t="n"/>
      <c r="E69" s="54" t="n"/>
    </row>
    <row r="70">
      <c r="B70" s="54" t="n"/>
      <c r="C70" s="54" t="n"/>
      <c r="D70" s="54" t="n"/>
      <c r="E70" s="54" t="n"/>
    </row>
    <row r="71">
      <c r="B71" s="54" t="n"/>
      <c r="C71" s="54" t="n"/>
      <c r="D71" s="54" t="n"/>
      <c r="E71" s="54" t="n"/>
    </row>
    <row r="72">
      <c r="B72" s="54" t="n"/>
      <c r="C72" s="54" t="n"/>
      <c r="D72" s="54" t="n"/>
      <c r="E72" s="54" t="n"/>
    </row>
    <row r="73">
      <c r="B73" s="54" t="n"/>
      <c r="C73" s="54" t="n"/>
      <c r="D73" s="54" t="n"/>
      <c r="E73" s="54" t="n"/>
    </row>
    <row r="74">
      <c r="B74" s="54" t="n"/>
      <c r="C74" s="54" t="n"/>
      <c r="D74" s="54" t="n"/>
      <c r="E74" s="54" t="n"/>
    </row>
    <row r="75">
      <c r="B75" s="54" t="n"/>
      <c r="C75" s="54" t="n"/>
      <c r="D75" s="54" t="n"/>
      <c r="E75" s="54" t="n"/>
    </row>
    <row r="76">
      <c r="B76" s="54" t="n"/>
      <c r="C76" s="54" t="n"/>
      <c r="D76" s="54" t="n"/>
      <c r="E76" s="54" t="n"/>
    </row>
    <row r="77">
      <c r="B77" s="54" t="n"/>
      <c r="C77" s="54" t="n"/>
      <c r="D77" s="54" t="n"/>
      <c r="E77" s="54" t="n"/>
    </row>
    <row r="78">
      <c r="B78" s="54" t="n"/>
      <c r="C78" s="54" t="n"/>
      <c r="D78" s="54" t="n"/>
      <c r="E78" s="54" t="n"/>
    </row>
    <row r="79">
      <c r="B79" s="54" t="n"/>
      <c r="C79" s="54" t="n"/>
      <c r="D79" s="54" t="n"/>
      <c r="E79" s="54" t="n"/>
    </row>
    <row r="80">
      <c r="B80" s="54" t="n"/>
      <c r="C80" s="54" t="n"/>
      <c r="D80" s="54" t="n"/>
      <c r="E80" s="54" t="n"/>
    </row>
    <row r="81">
      <c r="B81" s="54" t="n"/>
      <c r="C81" s="54" t="n"/>
      <c r="D81" s="54" t="n"/>
      <c r="E81" s="54" t="n"/>
    </row>
    <row r="82">
      <c r="B82" s="54" t="n"/>
      <c r="C82" s="54" t="n"/>
      <c r="D82" s="54" t="n"/>
      <c r="E82" s="54" t="n"/>
    </row>
    <row r="83">
      <c r="B83" s="54" t="n"/>
      <c r="C83" s="54" t="n"/>
      <c r="D83" s="54" t="n"/>
      <c r="E83" s="54" t="n"/>
    </row>
    <row r="84">
      <c r="B84" s="54" t="n"/>
      <c r="C84" s="54" t="n"/>
      <c r="D84" s="54" t="n"/>
      <c r="E84" s="54" t="n"/>
    </row>
    <row r="85">
      <c r="B85" s="54" t="n"/>
      <c r="C85" s="54" t="n"/>
      <c r="D85" s="54" t="n"/>
      <c r="E85" s="54" t="n"/>
    </row>
    <row r="86">
      <c r="B86" s="54" t="n"/>
      <c r="C86" s="54" t="n"/>
      <c r="D86" s="54" t="n"/>
      <c r="E86" s="54" t="n"/>
    </row>
    <row r="87">
      <c r="B87" s="54" t="n"/>
      <c r="C87" s="54" t="n"/>
      <c r="D87" s="54" t="n"/>
      <c r="E87" s="54" t="n"/>
    </row>
    <row r="88">
      <c r="B88" s="54" t="n"/>
      <c r="C88" s="54" t="n"/>
      <c r="D88" s="54" t="n"/>
      <c r="E88" s="54" t="n"/>
    </row>
    <row r="89">
      <c r="B89" s="54" t="n"/>
      <c r="C89" s="54" t="n"/>
      <c r="D89" s="54" t="n"/>
      <c r="E89" s="54" t="n"/>
    </row>
    <row r="90">
      <c r="B90" s="54" t="n"/>
      <c r="C90" s="54" t="n"/>
      <c r="D90" s="54" t="n"/>
      <c r="E90" s="54" t="n"/>
    </row>
    <row r="91">
      <c r="B91" s="54" t="n"/>
      <c r="C91" s="54" t="n"/>
      <c r="D91" s="54" t="n"/>
      <c r="E91" s="54" t="n"/>
    </row>
    <row r="92">
      <c r="B92" s="54" t="n"/>
      <c r="C92" s="54" t="n"/>
      <c r="D92" s="54" t="n"/>
      <c r="E92" s="54" t="n"/>
    </row>
    <row r="93">
      <c r="B93" s="54" t="n"/>
      <c r="C93" s="54" t="n"/>
      <c r="D93" s="54" t="n"/>
      <c r="E93" s="54" t="n"/>
    </row>
    <row r="94">
      <c r="B94" s="54" t="n"/>
      <c r="C94" s="54" t="n"/>
      <c r="D94" s="54" t="n"/>
      <c r="E94" s="54" t="n"/>
    </row>
    <row r="95">
      <c r="B95" s="54" t="n"/>
      <c r="C95" s="54" t="n"/>
      <c r="D95" s="54" t="n"/>
      <c r="E95" s="54" t="n"/>
    </row>
    <row r="96">
      <c r="B96" s="54" t="n"/>
      <c r="C96" s="54" t="n"/>
      <c r="D96" s="54" t="n"/>
      <c r="E96" s="54" t="n"/>
    </row>
    <row r="97">
      <c r="B97" s="54" t="n"/>
      <c r="C97" s="54" t="n"/>
      <c r="D97" s="54" t="n"/>
      <c r="E97" s="54" t="n"/>
    </row>
    <row r="98">
      <c r="B98" s="54" t="n"/>
      <c r="C98" s="54" t="n"/>
      <c r="D98" s="54" t="n"/>
      <c r="E98" s="54" t="n"/>
    </row>
    <row r="99">
      <c r="B99" s="54" t="n"/>
      <c r="C99" s="54" t="n"/>
      <c r="D99" s="54" t="n"/>
      <c r="E99" s="54" t="n"/>
    </row>
    <row r="100">
      <c r="B100" s="54" t="n"/>
      <c r="C100" s="54" t="n"/>
      <c r="D100" s="54" t="n"/>
      <c r="E100" s="54" t="n"/>
    </row>
    <row r="101">
      <c r="B101" s="54" t="n"/>
      <c r="C101" s="54" t="n"/>
      <c r="D101" s="54" t="n"/>
      <c r="E101" s="54" t="n"/>
    </row>
    <row r="102">
      <c r="B102" s="54" t="n"/>
      <c r="C102" s="54" t="n"/>
      <c r="D102" s="54" t="n"/>
      <c r="E102" s="54" t="n"/>
    </row>
    <row r="103">
      <c r="B103" s="54" t="n"/>
      <c r="C103" s="54" t="n"/>
      <c r="D103" s="54" t="n"/>
      <c r="E103" s="54" t="n"/>
    </row>
    <row r="104">
      <c r="B104" s="54" t="n"/>
      <c r="C104" s="54" t="n"/>
      <c r="D104" s="54" t="n"/>
      <c r="E104" s="54" t="n"/>
    </row>
    <row r="105">
      <c r="B105" s="54" t="n"/>
      <c r="C105" s="54" t="n"/>
      <c r="D105" s="54" t="n"/>
      <c r="E105" s="54" t="n"/>
    </row>
    <row r="106">
      <c r="B106" s="54" t="n"/>
      <c r="C106" s="54" t="n"/>
      <c r="D106" s="54" t="n"/>
      <c r="E106" s="54" t="n"/>
    </row>
    <row r="107">
      <c r="B107" s="54" t="n"/>
      <c r="C107" s="54" t="n"/>
      <c r="D107" s="54" t="n"/>
      <c r="E107" s="54" t="n"/>
    </row>
    <row r="108">
      <c r="B108" s="54" t="n"/>
      <c r="C108" s="54" t="n"/>
      <c r="D108" s="54" t="n"/>
      <c r="E108" s="54" t="n"/>
    </row>
    <row r="109">
      <c r="B109" s="54" t="n"/>
      <c r="C109" s="54" t="n"/>
      <c r="D109" s="54" t="n"/>
      <c r="E109" s="54" t="n"/>
    </row>
    <row r="110">
      <c r="B110" s="54" t="n"/>
      <c r="C110" s="54" t="n"/>
      <c r="D110" s="54" t="n"/>
      <c r="E110" s="54" t="n"/>
    </row>
    <row r="111">
      <c r="B111" s="54" t="n"/>
      <c r="C111" s="54" t="n"/>
      <c r="D111" s="54" t="n"/>
      <c r="E111" s="54" t="n"/>
    </row>
    <row r="112">
      <c r="B112" s="54" t="n"/>
      <c r="C112" s="54" t="n"/>
      <c r="D112" s="54" t="n"/>
      <c r="E112" s="54" t="n"/>
    </row>
    <row r="113">
      <c r="B113" s="54" t="n"/>
      <c r="C113" s="54" t="n"/>
      <c r="D113" s="54" t="n"/>
      <c r="E113" s="54" t="n"/>
    </row>
    <row r="114">
      <c r="B114" s="54" t="n"/>
      <c r="C114" s="54" t="n"/>
      <c r="D114" s="54" t="n"/>
      <c r="E114" s="54" t="n"/>
    </row>
    <row r="115">
      <c r="B115" s="54" t="n"/>
      <c r="C115" s="54" t="n"/>
      <c r="D115" s="54" t="n"/>
      <c r="E115" s="54" t="n"/>
    </row>
    <row r="116">
      <c r="B116" s="54" t="n"/>
      <c r="C116" s="54" t="n"/>
      <c r="D116" s="54" t="n"/>
      <c r="E116" s="54" t="n"/>
    </row>
    <row r="117">
      <c r="B117" s="54" t="n"/>
      <c r="C117" s="54" t="n"/>
      <c r="D117" s="54" t="n"/>
      <c r="E117" s="54" t="n"/>
    </row>
    <row r="118">
      <c r="B118" s="54" t="n"/>
      <c r="C118" s="54" t="n"/>
      <c r="D118" s="54" t="n"/>
      <c r="E118" s="54" t="n"/>
    </row>
    <row r="119">
      <c r="B119" s="54" t="n"/>
      <c r="C119" s="54" t="n"/>
      <c r="D119" s="54" t="n"/>
      <c r="E119" s="54" t="n"/>
    </row>
    <row r="120">
      <c r="B120" s="54" t="n"/>
      <c r="C120" s="54" t="n"/>
      <c r="D120" s="54" t="n"/>
      <c r="E120" s="54" t="n"/>
    </row>
    <row r="121">
      <c r="B121" s="54" t="n"/>
      <c r="C121" s="54" t="n"/>
      <c r="D121" s="54" t="n"/>
      <c r="E121" s="54" t="n"/>
    </row>
    <row r="122">
      <c r="B122" s="54" t="n"/>
      <c r="C122" s="54" t="n"/>
      <c r="D122" s="54" t="n"/>
      <c r="E122" s="54" t="n"/>
    </row>
    <row r="123">
      <c r="B123" s="54" t="n"/>
      <c r="C123" s="54" t="n"/>
      <c r="D123" s="54" t="n"/>
      <c r="E123" s="54" t="n"/>
    </row>
    <row r="124">
      <c r="B124" s="54" t="n"/>
      <c r="C124" s="54" t="n"/>
      <c r="D124" s="54" t="n"/>
      <c r="E124" s="54" t="n"/>
    </row>
    <row r="125">
      <c r="B125" s="54" t="n"/>
      <c r="C125" s="54" t="n"/>
      <c r="D125" s="54" t="n"/>
      <c r="E125" s="54" t="n"/>
    </row>
    <row r="126">
      <c r="B126" s="54" t="n"/>
      <c r="C126" s="54" t="n"/>
      <c r="D126" s="54" t="n"/>
      <c r="E126" s="54" t="n"/>
    </row>
    <row r="127">
      <c r="B127" s="54" t="n"/>
      <c r="C127" s="54" t="n"/>
      <c r="D127" s="54" t="n"/>
      <c r="E127" s="54" t="n"/>
    </row>
    <row r="128">
      <c r="B128" s="54" t="n"/>
      <c r="C128" s="54" t="n"/>
      <c r="D128" s="54" t="n"/>
      <c r="E128" s="54" t="n"/>
    </row>
    <row r="129">
      <c r="B129" s="54" t="n"/>
      <c r="C129" s="54" t="n"/>
      <c r="D129" s="54" t="n"/>
      <c r="E129" s="54" t="n"/>
    </row>
    <row r="130">
      <c r="B130" s="54" t="n"/>
      <c r="C130" s="54" t="n"/>
      <c r="D130" s="54" t="n"/>
      <c r="E130" s="54" t="n"/>
    </row>
    <row r="131">
      <c r="B131" s="54" t="n"/>
      <c r="C131" s="54" t="n"/>
      <c r="D131" s="54" t="n"/>
      <c r="E131" s="54" t="n"/>
    </row>
    <row r="132">
      <c r="B132" s="54" t="n"/>
      <c r="C132" s="54" t="n"/>
      <c r="D132" s="54" t="n"/>
      <c r="E132" s="54" t="n"/>
    </row>
    <row r="133">
      <c r="B133" s="54" t="n"/>
      <c r="C133" s="54" t="n"/>
      <c r="D133" s="54" t="n"/>
      <c r="E133" s="54" t="n"/>
    </row>
    <row r="134">
      <c r="B134" s="54" t="n"/>
      <c r="C134" s="54" t="n"/>
      <c r="D134" s="54" t="n"/>
      <c r="E134" s="54" t="n"/>
    </row>
    <row r="135">
      <c r="B135" s="54" t="n"/>
      <c r="C135" s="54" t="n"/>
      <c r="D135" s="54" t="n"/>
      <c r="E135" s="54" t="n"/>
    </row>
    <row r="136">
      <c r="B136" s="54" t="n"/>
      <c r="C136" s="54" t="n"/>
      <c r="D136" s="54" t="n"/>
      <c r="E136" s="54" t="n"/>
    </row>
    <row r="137">
      <c r="B137" s="54" t="n"/>
      <c r="C137" s="54" t="n"/>
      <c r="D137" s="54" t="n"/>
      <c r="E137" s="54" t="n"/>
    </row>
    <row r="138">
      <c r="B138" s="54" t="n"/>
      <c r="C138" s="54" t="n"/>
      <c r="D138" s="54" t="n"/>
      <c r="E138" s="54" t="n"/>
    </row>
    <row r="139">
      <c r="B139" s="54" t="n"/>
      <c r="C139" s="54" t="n"/>
      <c r="D139" s="54" t="n"/>
      <c r="E139" s="54" t="n"/>
    </row>
    <row r="140">
      <c r="B140" s="54" t="n"/>
      <c r="C140" s="54" t="n"/>
      <c r="D140" s="54" t="n"/>
      <c r="E140" s="54" t="n"/>
    </row>
    <row r="141">
      <c r="B141" s="54" t="n"/>
      <c r="C141" s="54" t="n"/>
      <c r="D141" s="54" t="n"/>
      <c r="E141" s="54" t="n"/>
    </row>
    <row r="142">
      <c r="B142" s="54" t="n"/>
      <c r="C142" s="54" t="n"/>
      <c r="D142" s="54" t="n"/>
      <c r="E142" s="54" t="n"/>
    </row>
    <row r="143">
      <c r="B143" s="54" t="n"/>
      <c r="C143" s="54" t="n"/>
      <c r="D143" s="54" t="n"/>
      <c r="E143" s="54" t="n"/>
    </row>
    <row r="144">
      <c r="B144" s="54" t="n"/>
      <c r="C144" s="54" t="n"/>
      <c r="D144" s="54" t="n"/>
      <c r="E144" s="54" t="n"/>
    </row>
    <row r="145">
      <c r="B145" s="54" t="n"/>
      <c r="C145" s="54" t="n"/>
      <c r="D145" s="54" t="n"/>
      <c r="E145" s="54" t="n"/>
    </row>
    <row r="146">
      <c r="B146" s="54" t="n"/>
      <c r="C146" s="54" t="n"/>
      <c r="D146" s="54" t="n"/>
      <c r="E146" s="54" t="n"/>
    </row>
    <row r="147">
      <c r="B147" s="54" t="n"/>
      <c r="C147" s="54" t="n"/>
      <c r="D147" s="54" t="n"/>
      <c r="E147" s="54" t="n"/>
    </row>
    <row r="148">
      <c r="B148" s="54" t="n"/>
      <c r="C148" s="54" t="n"/>
      <c r="D148" s="54" t="n"/>
      <c r="E148" s="54" t="n"/>
    </row>
    <row r="149">
      <c r="B149" s="54" t="n"/>
      <c r="C149" s="54" t="n"/>
      <c r="D149" s="54" t="n"/>
      <c r="E149" s="54" t="n"/>
    </row>
    <row r="150">
      <c r="B150" s="54" t="n"/>
      <c r="C150" s="54" t="n"/>
      <c r="D150" s="54" t="n"/>
      <c r="E150" s="54" t="n"/>
    </row>
    <row r="151">
      <c r="B151" s="54" t="n"/>
      <c r="C151" s="54" t="n"/>
      <c r="D151" s="54" t="n"/>
      <c r="E151" s="54" t="n"/>
    </row>
    <row r="152">
      <c r="B152" s="54" t="n"/>
      <c r="C152" s="54" t="n"/>
      <c r="D152" s="54" t="n"/>
      <c r="E152" s="54" t="n"/>
    </row>
    <row r="153">
      <c r="B153" s="54" t="n"/>
      <c r="C153" s="54" t="n"/>
      <c r="D153" s="54" t="n"/>
      <c r="E153" s="54" t="n"/>
    </row>
    <row r="154">
      <c r="B154" s="54" t="n"/>
      <c r="C154" s="54" t="n"/>
      <c r="D154" s="54" t="n"/>
      <c r="E154" s="54" t="n"/>
    </row>
    <row r="155">
      <c r="B155" s="54" t="n"/>
      <c r="C155" s="54" t="n"/>
      <c r="D155" s="54" t="n"/>
      <c r="E155" s="54" t="n"/>
    </row>
    <row r="156">
      <c r="B156" s="54" t="n"/>
      <c r="C156" s="54" t="n"/>
      <c r="D156" s="54" t="n"/>
      <c r="E156" s="54" t="n"/>
    </row>
    <row r="157">
      <c r="B157" s="54" t="n"/>
      <c r="C157" s="54" t="n"/>
      <c r="D157" s="54" t="n"/>
      <c r="E157" s="54" t="n"/>
    </row>
    <row r="158">
      <c r="B158" s="54" t="n"/>
      <c r="C158" s="54" t="n"/>
      <c r="D158" s="54" t="n"/>
      <c r="E158" s="54" t="n"/>
    </row>
    <row r="159">
      <c r="B159" s="54" t="n"/>
      <c r="C159" s="54" t="n"/>
      <c r="D159" s="54" t="n"/>
      <c r="E159" s="54" t="n"/>
    </row>
    <row r="160">
      <c r="B160" s="54" t="n"/>
      <c r="C160" s="54" t="n"/>
      <c r="D160" s="54" t="n"/>
      <c r="E160" s="54" t="n"/>
    </row>
    <row r="161">
      <c r="B161" s="54" t="n"/>
      <c r="C161" s="54" t="n"/>
      <c r="D161" s="54" t="n"/>
      <c r="E161" s="54" t="n"/>
    </row>
    <row r="162">
      <c r="B162" s="54" t="n"/>
      <c r="C162" s="54" t="n"/>
      <c r="D162" s="54" t="n"/>
      <c r="E162" s="54" t="n"/>
    </row>
    <row r="163">
      <c r="B163" s="54" t="n"/>
      <c r="C163" s="54" t="n"/>
      <c r="D163" s="54" t="n"/>
      <c r="E163" s="54" t="n"/>
    </row>
    <row r="164">
      <c r="B164" s="54" t="n"/>
      <c r="C164" s="54" t="n"/>
      <c r="D164" s="54" t="n"/>
      <c r="E164" s="54" t="n"/>
    </row>
    <row r="165">
      <c r="B165" s="54" t="n"/>
      <c r="C165" s="54" t="n"/>
      <c r="D165" s="54" t="n"/>
      <c r="E165" s="54" t="n"/>
    </row>
    <row r="166">
      <c r="B166" s="54" t="n"/>
      <c r="C166" s="54" t="n"/>
      <c r="D166" s="54" t="n"/>
      <c r="E166" s="54" t="n"/>
    </row>
    <row r="167">
      <c r="B167" s="54" t="n"/>
      <c r="C167" s="54" t="n"/>
      <c r="D167" s="54" t="n"/>
      <c r="E167" s="54" t="n"/>
    </row>
    <row r="168">
      <c r="B168" s="54" t="n"/>
      <c r="C168" s="54" t="n"/>
      <c r="D168" s="54" t="n"/>
      <c r="E168" s="54" t="n"/>
    </row>
    <row r="169">
      <c r="B169" s="54" t="n"/>
      <c r="C169" s="54" t="n"/>
      <c r="D169" s="54" t="n"/>
      <c r="E169" s="54" t="n"/>
    </row>
    <row r="170">
      <c r="B170" s="54" t="n"/>
      <c r="C170" s="54" t="n"/>
      <c r="D170" s="54" t="n"/>
      <c r="E170" s="54" t="n"/>
    </row>
    <row r="171">
      <c r="B171" s="54" t="n"/>
      <c r="C171" s="54" t="n"/>
      <c r="D171" s="54" t="n"/>
      <c r="E171" s="54" t="n"/>
    </row>
    <row r="172">
      <c r="B172" s="54" t="n"/>
      <c r="C172" s="54" t="n"/>
      <c r="D172" s="54" t="n"/>
      <c r="E172" s="54" t="n"/>
    </row>
    <row r="173">
      <c r="B173" s="54" t="n"/>
      <c r="C173" s="54" t="n"/>
      <c r="D173" s="54" t="n"/>
      <c r="E173" s="54" t="n"/>
    </row>
    <row r="174">
      <c r="B174" s="54" t="n"/>
      <c r="C174" s="54" t="n"/>
      <c r="D174" s="54" t="n"/>
      <c r="E174" s="54" t="n"/>
    </row>
    <row r="175">
      <c r="B175" s="54" t="n"/>
      <c r="C175" s="54" t="n"/>
      <c r="D175" s="54" t="n"/>
      <c r="E175" s="54" t="n"/>
    </row>
    <row r="176">
      <c r="B176" s="54" t="n"/>
      <c r="C176" s="54" t="n"/>
      <c r="D176" s="54" t="n"/>
      <c r="E176" s="54" t="n"/>
    </row>
    <row r="177">
      <c r="B177" s="54" t="n"/>
      <c r="C177" s="54" t="n"/>
      <c r="D177" s="54" t="n"/>
      <c r="E177" s="54" t="n"/>
    </row>
    <row r="178">
      <c r="B178" s="54" t="n"/>
      <c r="C178" s="54" t="n"/>
      <c r="D178" s="54" t="n"/>
      <c r="E178" s="54" t="n"/>
    </row>
    <row r="179">
      <c r="B179" s="54" t="n"/>
      <c r="C179" s="54" t="n"/>
      <c r="D179" s="54" t="n"/>
      <c r="E179" s="54" t="n"/>
    </row>
    <row r="180">
      <c r="B180" s="54" t="n"/>
      <c r="C180" s="54" t="n"/>
      <c r="D180" s="54" t="n"/>
      <c r="E180" s="54" t="n"/>
    </row>
    <row r="181">
      <c r="B181" s="54" t="n"/>
      <c r="C181" s="54" t="n"/>
      <c r="D181" s="54" t="n"/>
      <c r="E181" s="54" t="n"/>
    </row>
    <row r="182">
      <c r="B182" s="54" t="n"/>
      <c r="C182" s="54" t="n"/>
      <c r="D182" s="54" t="n"/>
      <c r="E182" s="54" t="n"/>
    </row>
    <row r="183">
      <c r="B183" s="54" t="n"/>
      <c r="C183" s="54" t="n"/>
      <c r="D183" s="54" t="n"/>
      <c r="E183" s="54" t="n"/>
    </row>
    <row r="184">
      <c r="B184" s="54" t="n"/>
      <c r="C184" s="54" t="n"/>
      <c r="D184" s="54" t="n"/>
      <c r="E184" s="54" t="n"/>
    </row>
    <row r="185">
      <c r="B185" s="54" t="n"/>
      <c r="C185" s="54" t="n"/>
      <c r="D185" s="54" t="n"/>
      <c r="E185" s="54" t="n"/>
    </row>
    <row r="186">
      <c r="B186" s="54" t="n"/>
      <c r="C186" s="54" t="n"/>
      <c r="D186" s="54" t="n"/>
      <c r="E186" s="54" t="n"/>
    </row>
    <row r="187">
      <c r="B187" s="54" t="n"/>
      <c r="C187" s="54" t="n"/>
      <c r="D187" s="54" t="n"/>
      <c r="E187" s="54" t="n"/>
    </row>
    <row r="188">
      <c r="B188" s="54" t="n"/>
      <c r="C188" s="54" t="n"/>
      <c r="D188" s="54" t="n"/>
      <c r="E188" s="54" t="n"/>
    </row>
    <row r="189">
      <c r="B189" s="54" t="n"/>
      <c r="C189" s="54" t="n"/>
      <c r="D189" s="54" t="n"/>
      <c r="E189" s="54" t="n"/>
    </row>
    <row r="190">
      <c r="B190" s="54" t="n"/>
      <c r="C190" s="54" t="n"/>
      <c r="D190" s="54" t="n"/>
      <c r="E190" s="54" t="n"/>
    </row>
    <row r="191">
      <c r="B191" s="54" t="n"/>
      <c r="C191" s="54" t="n"/>
      <c r="D191" s="54" t="n"/>
      <c r="E191" s="54" t="n"/>
    </row>
    <row r="192">
      <c r="B192" s="54" t="n"/>
      <c r="C192" s="54" t="n"/>
      <c r="D192" s="54" t="n"/>
      <c r="E192" s="54" t="n"/>
    </row>
    <row r="193">
      <c r="B193" s="54" t="n"/>
      <c r="C193" s="54" t="n"/>
      <c r="D193" s="54" t="n"/>
      <c r="E193" s="54" t="n"/>
    </row>
    <row r="194">
      <c r="B194" s="54" t="n"/>
      <c r="C194" s="54" t="n"/>
      <c r="D194" s="54" t="n"/>
      <c r="E194" s="54" t="n"/>
    </row>
    <row r="195">
      <c r="B195" s="54" t="n"/>
      <c r="C195" s="54" t="n"/>
      <c r="D195" s="54" t="n"/>
      <c r="E195" s="54" t="n"/>
    </row>
    <row r="196">
      <c r="B196" s="54" t="n"/>
      <c r="C196" s="54" t="n"/>
      <c r="D196" s="54" t="n"/>
      <c r="E196" s="54" t="n"/>
    </row>
    <row r="197">
      <c r="B197" s="54" t="n"/>
      <c r="C197" s="54" t="n"/>
      <c r="D197" s="54" t="n"/>
      <c r="E197" s="54" t="n"/>
    </row>
    <row r="198">
      <c r="B198" s="54" t="n"/>
      <c r="C198" s="54" t="n"/>
      <c r="D198" s="54" t="n"/>
      <c r="E198" s="54" t="n"/>
    </row>
    <row r="199">
      <c r="B199" s="54" t="n"/>
      <c r="C199" s="54" t="n"/>
      <c r="D199" s="54" t="n"/>
      <c r="E199" s="54" t="n"/>
    </row>
    <row r="200">
      <c r="B200" s="54" t="n"/>
      <c r="C200" s="54" t="n"/>
      <c r="D200" s="54" t="n"/>
      <c r="E200" s="54" t="n"/>
    </row>
    <row r="201">
      <c r="B201" s="54" t="n"/>
      <c r="C201" s="54" t="n"/>
      <c r="D201" s="54" t="n"/>
      <c r="E201" s="54" t="n"/>
    </row>
    <row r="202">
      <c r="B202" s="54" t="n"/>
      <c r="C202" s="54" t="n"/>
      <c r="D202" s="54" t="n"/>
      <c r="E202" s="54" t="n"/>
    </row>
    <row r="203">
      <c r="B203" s="54" t="n"/>
      <c r="C203" s="54" t="n"/>
      <c r="D203" s="54" t="n"/>
      <c r="E203" s="54" t="n"/>
    </row>
    <row r="204">
      <c r="B204" s="54" t="n"/>
      <c r="C204" s="54" t="n"/>
      <c r="D204" s="54" t="n"/>
      <c r="E204" s="54" t="n"/>
    </row>
    <row r="205">
      <c r="B205" s="54" t="n"/>
      <c r="C205" s="54" t="n"/>
      <c r="D205" s="54" t="n"/>
      <c r="E205" s="54" t="n"/>
    </row>
    <row r="206">
      <c r="B206" s="54" t="n"/>
      <c r="C206" s="54" t="n"/>
      <c r="D206" s="54" t="n"/>
      <c r="E206" s="54" t="n"/>
    </row>
    <row r="207">
      <c r="B207" s="54" t="n"/>
      <c r="C207" s="54" t="n"/>
      <c r="D207" s="54" t="n"/>
      <c r="E207" s="54" t="n"/>
    </row>
    <row r="208">
      <c r="B208" s="54" t="n"/>
      <c r="C208" s="54" t="n"/>
      <c r="D208" s="54" t="n"/>
      <c r="E208" s="54" t="n"/>
    </row>
    <row r="209">
      <c r="B209" s="54" t="n"/>
      <c r="C209" s="54" t="n"/>
      <c r="D209" s="54" t="n"/>
      <c r="E209" s="54" t="n"/>
    </row>
    <row r="210">
      <c r="B210" s="54" t="n"/>
      <c r="C210" s="54" t="n"/>
      <c r="D210" s="54" t="n"/>
      <c r="E210" s="54" t="n"/>
    </row>
    <row r="211">
      <c r="B211" s="54" t="n"/>
      <c r="C211" s="54" t="n"/>
      <c r="D211" s="54" t="n"/>
      <c r="E211" s="54" t="n"/>
    </row>
    <row r="212">
      <c r="B212" s="54" t="n"/>
      <c r="C212" s="54" t="n"/>
      <c r="D212" s="54" t="n"/>
      <c r="E212" s="54" t="n"/>
    </row>
    <row r="213">
      <c r="B213" s="54" t="n"/>
      <c r="C213" s="54" t="n"/>
      <c r="D213" s="54" t="n"/>
      <c r="E213" s="54" t="n"/>
    </row>
    <row r="214">
      <c r="B214" s="54" t="n"/>
      <c r="C214" s="54" t="n"/>
      <c r="D214" s="54" t="n"/>
      <c r="E214" s="54" t="n"/>
    </row>
    <row r="215">
      <c r="B215" s="54" t="n"/>
      <c r="C215" s="54" t="n"/>
      <c r="D215" s="54" t="n"/>
      <c r="E215" s="54" t="n"/>
    </row>
    <row r="216">
      <c r="B216" s="54" t="n"/>
      <c r="C216" s="54" t="n"/>
      <c r="D216" s="54" t="n"/>
      <c r="E216" s="54" t="n"/>
    </row>
    <row r="217">
      <c r="B217" s="54" t="n"/>
      <c r="C217" s="54" t="n"/>
      <c r="D217" s="54" t="n"/>
      <c r="E217" s="54" t="n"/>
    </row>
    <row r="218">
      <c r="B218" s="54" t="n"/>
      <c r="C218" s="54" t="n"/>
      <c r="D218" s="54" t="n"/>
      <c r="E218" s="54" t="n"/>
    </row>
    <row r="219">
      <c r="B219" s="54" t="n"/>
      <c r="C219" s="54" t="n"/>
      <c r="D219" s="54" t="n"/>
      <c r="E219" s="54" t="n"/>
    </row>
    <row r="220">
      <c r="B220" s="54" t="n"/>
      <c r="C220" s="54" t="n"/>
      <c r="D220" s="54" t="n"/>
      <c r="E220" s="54" t="n"/>
    </row>
    <row r="221">
      <c r="B221" s="54" t="n"/>
      <c r="C221" s="54" t="n"/>
      <c r="D221" s="54" t="n"/>
      <c r="E221" s="54" t="n"/>
    </row>
    <row r="222">
      <c r="B222" s="54" t="n"/>
      <c r="C222" s="54" t="n"/>
      <c r="D222" s="54" t="n"/>
      <c r="E222" s="54" t="n"/>
    </row>
    <row r="223">
      <c r="B223" s="54" t="n"/>
      <c r="C223" s="54" t="n"/>
      <c r="D223" s="54" t="n"/>
      <c r="E223" s="54" t="n"/>
    </row>
    <row r="224">
      <c r="B224" s="54" t="n"/>
      <c r="C224" s="54" t="n"/>
      <c r="D224" s="54" t="n"/>
      <c r="E224" s="54" t="n"/>
    </row>
    <row r="225">
      <c r="B225" s="54" t="n"/>
      <c r="C225" s="54" t="n"/>
      <c r="D225" s="54" t="n"/>
      <c r="E225" s="54" t="n"/>
    </row>
    <row r="226">
      <c r="B226" s="54" t="n"/>
      <c r="C226" s="54" t="n"/>
      <c r="D226" s="54" t="n"/>
      <c r="E226" s="54" t="n"/>
    </row>
    <row r="227">
      <c r="B227" s="54" t="n"/>
      <c r="C227" s="54" t="n"/>
      <c r="D227" s="54" t="n"/>
      <c r="E227" s="54" t="n"/>
    </row>
    <row r="228">
      <c r="B228" s="54" t="n"/>
      <c r="C228" s="54" t="n"/>
      <c r="D228" s="54" t="n"/>
      <c r="E228" s="54" t="n"/>
    </row>
    <row r="229">
      <c r="B229" s="54" t="n"/>
      <c r="C229" s="54" t="n"/>
      <c r="D229" s="54" t="n"/>
      <c r="E229" s="54" t="n"/>
    </row>
    <row r="230">
      <c r="B230" s="54" t="n"/>
      <c r="C230" s="54" t="n"/>
      <c r="D230" s="54" t="n"/>
      <c r="E230" s="54" t="n"/>
    </row>
    <row r="231">
      <c r="B231" s="54" t="n"/>
      <c r="C231" s="54" t="n"/>
      <c r="D231" s="54" t="n"/>
      <c r="E231" s="54" t="n"/>
    </row>
    <row r="232">
      <c r="B232" s="54" t="n"/>
      <c r="C232" s="54" t="n"/>
      <c r="D232" s="54" t="n"/>
      <c r="E232" s="54" t="n"/>
    </row>
    <row r="233">
      <c r="B233" s="54" t="n"/>
      <c r="C233" s="54" t="n"/>
      <c r="D233" s="54" t="n"/>
      <c r="E233" s="54" t="n"/>
    </row>
    <row r="234">
      <c r="B234" s="54" t="n"/>
      <c r="C234" s="54" t="n"/>
      <c r="D234" s="54" t="n"/>
      <c r="E234" s="54" t="n"/>
    </row>
    <row r="235">
      <c r="B235" s="54" t="n"/>
      <c r="C235" s="54" t="n"/>
      <c r="D235" s="54" t="n"/>
      <c r="E235" s="54" t="n"/>
    </row>
    <row r="236">
      <c r="B236" s="54" t="n"/>
      <c r="C236" s="54" t="n"/>
      <c r="D236" s="54" t="n"/>
      <c r="E236" s="54" t="n"/>
    </row>
    <row r="237">
      <c r="B237" s="54" t="n"/>
      <c r="C237" s="54" t="n"/>
      <c r="D237" s="54" t="n"/>
      <c r="E237" s="54" t="n"/>
    </row>
    <row r="238">
      <c r="B238" s="54" t="n"/>
      <c r="C238" s="54" t="n"/>
      <c r="D238" s="54" t="n"/>
      <c r="E238" s="54" t="n"/>
    </row>
    <row r="239">
      <c r="B239" s="54" t="n"/>
      <c r="C239" s="54" t="n"/>
      <c r="D239" s="54" t="n"/>
      <c r="E239" s="54" t="n"/>
    </row>
    <row r="240">
      <c r="B240" s="54" t="n"/>
      <c r="C240" s="54" t="n"/>
      <c r="D240" s="54" t="n"/>
      <c r="E240" s="54" t="n"/>
    </row>
    <row r="241">
      <c r="B241" s="54" t="n"/>
      <c r="C241" s="54" t="n"/>
      <c r="D241" s="54" t="n"/>
      <c r="E241" s="54" t="n"/>
    </row>
    <row r="242">
      <c r="B242" s="54" t="n"/>
      <c r="C242" s="54" t="n"/>
      <c r="D242" s="54" t="n"/>
      <c r="E242" s="54" t="n"/>
    </row>
    <row r="243">
      <c r="B243" s="54" t="n"/>
      <c r="C243" s="54" t="n"/>
      <c r="D243" s="54" t="n"/>
      <c r="E243" s="54" t="n"/>
    </row>
    <row r="244">
      <c r="B244" s="54" t="n"/>
      <c r="C244" s="54" t="n"/>
      <c r="D244" s="54" t="n"/>
      <c r="E244" s="54" t="n"/>
    </row>
    <row r="245">
      <c r="B245" s="54" t="n"/>
      <c r="C245" s="54" t="n"/>
      <c r="D245" s="54" t="n"/>
      <c r="E245" s="54" t="n"/>
    </row>
    <row r="246">
      <c r="B246" s="54" t="n"/>
      <c r="C246" s="54" t="n"/>
      <c r="D246" s="54" t="n"/>
      <c r="E246" s="54" t="n"/>
    </row>
    <row r="247">
      <c r="B247" s="54" t="n"/>
      <c r="C247" s="54" t="n"/>
      <c r="D247" s="54" t="n"/>
      <c r="E247" s="54" t="n"/>
    </row>
    <row r="248">
      <c r="B248" s="54" t="n"/>
      <c r="C248" s="54" t="n"/>
      <c r="D248" s="54" t="n"/>
      <c r="E248" s="54" t="n"/>
    </row>
    <row r="249">
      <c r="B249" s="54" t="n"/>
      <c r="C249" s="54" t="n"/>
      <c r="D249" s="54" t="n"/>
      <c r="E249" s="54" t="n"/>
    </row>
    <row r="250">
      <c r="B250" s="54" t="n"/>
      <c r="C250" s="54" t="n"/>
      <c r="D250" s="54" t="n"/>
      <c r="E250" s="54" t="n"/>
    </row>
    <row r="251">
      <c r="B251" s="54" t="n"/>
      <c r="C251" s="54" t="n"/>
      <c r="D251" s="54" t="n"/>
      <c r="E251" s="54" t="n"/>
    </row>
    <row r="252">
      <c r="B252" s="54" t="n"/>
      <c r="C252" s="54" t="n"/>
      <c r="D252" s="54" t="n"/>
      <c r="E252" s="54" t="n"/>
    </row>
    <row r="253">
      <c r="B253" s="54" t="n"/>
      <c r="C253" s="54" t="n"/>
      <c r="D253" s="54" t="n"/>
      <c r="E253" s="54" t="n"/>
    </row>
    <row r="254">
      <c r="B254" s="54" t="n"/>
      <c r="C254" s="54" t="n"/>
      <c r="D254" s="54" t="n"/>
      <c r="E254" s="54" t="n"/>
    </row>
    <row r="255">
      <c r="B255" s="54" t="n"/>
      <c r="C255" s="54" t="n"/>
      <c r="D255" s="54" t="n"/>
      <c r="E255" s="54" t="n"/>
    </row>
    <row r="256">
      <c r="B256" s="54" t="n"/>
      <c r="C256" s="54" t="n"/>
      <c r="D256" s="54" t="n"/>
      <c r="E256" s="54" t="n"/>
    </row>
    <row r="257">
      <c r="B257" s="54" t="n"/>
      <c r="C257" s="54" t="n"/>
      <c r="D257" s="54" t="n"/>
      <c r="E257" s="54" t="n"/>
    </row>
    <row r="258">
      <c r="B258" s="54" t="n"/>
      <c r="C258" s="54" t="n"/>
      <c r="D258" s="54" t="n"/>
      <c r="E258" s="54" t="n"/>
    </row>
    <row r="259">
      <c r="B259" s="54" t="n"/>
      <c r="C259" s="54" t="n"/>
      <c r="D259" s="54" t="n"/>
      <c r="E259" s="54" t="n"/>
    </row>
    <row r="260">
      <c r="B260" s="54" t="n"/>
      <c r="C260" s="54" t="n"/>
      <c r="D260" s="54" t="n"/>
      <c r="E260" s="54" t="n"/>
    </row>
    <row r="261">
      <c r="B261" s="54" t="n"/>
      <c r="C261" s="54" t="n"/>
      <c r="D261" s="54" t="n"/>
      <c r="E261" s="54" t="n"/>
    </row>
    <row r="262">
      <c r="B262" s="54" t="n"/>
      <c r="C262" s="54" t="n"/>
      <c r="D262" s="54" t="n"/>
      <c r="E262" s="54" t="n"/>
    </row>
    <row r="263">
      <c r="B263" s="54" t="n"/>
      <c r="C263" s="54" t="n"/>
      <c r="D263" s="54" t="n"/>
      <c r="E263" s="54" t="n"/>
    </row>
    <row r="264">
      <c r="B264" s="54" t="n"/>
      <c r="C264" s="54" t="n"/>
      <c r="D264" s="54" t="n"/>
      <c r="E264" s="54" t="n"/>
    </row>
    <row r="265">
      <c r="B265" s="54" t="n"/>
      <c r="C265" s="54" t="n"/>
      <c r="D265" s="54" t="n"/>
      <c r="E265" s="54" t="n"/>
    </row>
    <row r="266">
      <c r="B266" s="54" t="n"/>
      <c r="C266" s="54" t="n"/>
      <c r="D266" s="54" t="n"/>
      <c r="E266" s="54" t="n"/>
    </row>
    <row r="267">
      <c r="B267" s="54" t="n"/>
      <c r="C267" s="54" t="n"/>
      <c r="D267" s="54" t="n"/>
      <c r="E267" s="54" t="n"/>
    </row>
    <row r="268">
      <c r="B268" s="54" t="n"/>
      <c r="C268" s="54" t="n"/>
      <c r="D268" s="54" t="n"/>
      <c r="E268" s="54" t="n"/>
    </row>
    <row r="269">
      <c r="B269" s="54" t="n"/>
      <c r="C269" s="54" t="n"/>
      <c r="D269" s="54" t="n"/>
      <c r="E269" s="54" t="n"/>
    </row>
    <row r="270">
      <c r="B270" s="54" t="n"/>
      <c r="C270" s="54" t="n"/>
      <c r="D270" s="54" t="n"/>
      <c r="E270" s="54" t="n"/>
    </row>
    <row r="271">
      <c r="B271" s="54" t="n"/>
      <c r="C271" s="54" t="n"/>
      <c r="D271" s="54" t="n"/>
      <c r="E271" s="54" t="n"/>
    </row>
    <row r="272">
      <c r="B272" s="54" t="n"/>
      <c r="C272" s="54" t="n"/>
      <c r="D272" s="54" t="n"/>
      <c r="E272" s="54" t="n"/>
    </row>
    <row r="273">
      <c r="B273" s="54" t="n"/>
      <c r="C273" s="54" t="n"/>
      <c r="D273" s="54" t="n"/>
      <c r="E273" s="54" t="n"/>
    </row>
    <row r="274">
      <c r="B274" s="54" t="n"/>
      <c r="C274" s="54" t="n"/>
      <c r="D274" s="54" t="n"/>
      <c r="E274" s="54" t="n"/>
    </row>
    <row r="275">
      <c r="B275" s="54" t="n"/>
      <c r="C275" s="54" t="n"/>
      <c r="D275" s="54" t="n"/>
      <c r="E275" s="54" t="n"/>
    </row>
    <row r="276">
      <c r="B276" s="54" t="n"/>
      <c r="C276" s="54" t="n"/>
      <c r="D276" s="54" t="n"/>
      <c r="E276" s="54" t="n"/>
    </row>
    <row r="277">
      <c r="B277" s="54" t="n"/>
      <c r="C277" s="54" t="n"/>
      <c r="D277" s="54" t="n"/>
      <c r="E277" s="54" t="n"/>
    </row>
    <row r="278">
      <c r="B278" s="54" t="n"/>
      <c r="C278" s="54" t="n"/>
      <c r="D278" s="54" t="n"/>
      <c r="E278" s="54" t="n"/>
    </row>
    <row r="279">
      <c r="B279" s="54" t="n"/>
      <c r="C279" s="54" t="n"/>
      <c r="D279" s="54" t="n"/>
      <c r="E279" s="54" t="n"/>
    </row>
    <row r="280">
      <c r="B280" s="54" t="n"/>
      <c r="C280" s="54" t="n"/>
      <c r="D280" s="54" t="n"/>
      <c r="E280" s="54" t="n"/>
    </row>
    <row r="281">
      <c r="B281" s="54" t="n"/>
      <c r="C281" s="54" t="n"/>
      <c r="D281" s="54" t="n"/>
      <c r="E281" s="54" t="n"/>
    </row>
    <row r="282">
      <c r="B282" s="54" t="n"/>
      <c r="C282" s="54" t="n"/>
      <c r="D282" s="54" t="n"/>
      <c r="E282" s="54" t="n"/>
    </row>
    <row r="283">
      <c r="B283" s="54" t="n"/>
      <c r="C283" s="54" t="n"/>
      <c r="D283" s="54" t="n"/>
      <c r="E283" s="54" t="n"/>
    </row>
    <row r="284">
      <c r="B284" s="54" t="n"/>
      <c r="C284" s="54" t="n"/>
      <c r="D284" s="54" t="n"/>
      <c r="E284" s="54" t="n"/>
    </row>
    <row r="285">
      <c r="B285" s="54" t="n"/>
      <c r="C285" s="54" t="n"/>
      <c r="D285" s="54" t="n"/>
      <c r="E285" s="54" t="n"/>
    </row>
    <row r="286">
      <c r="B286" s="54" t="n"/>
      <c r="C286" s="54" t="n"/>
      <c r="D286" s="54" t="n"/>
      <c r="E286" s="54" t="n"/>
    </row>
    <row r="287">
      <c r="B287" s="54" t="n"/>
      <c r="C287" s="54" t="n"/>
      <c r="D287" s="54" t="n"/>
      <c r="E287" s="54" t="n"/>
    </row>
    <row r="288">
      <c r="B288" s="54" t="n"/>
      <c r="C288" s="54" t="n"/>
      <c r="D288" s="54" t="n"/>
      <c r="E288" s="54" t="n"/>
    </row>
    <row r="289">
      <c r="B289" s="54" t="n"/>
      <c r="C289" s="54" t="n"/>
      <c r="D289" s="54" t="n"/>
      <c r="E289" s="54" t="n"/>
    </row>
    <row r="290">
      <c r="B290" s="54" t="n"/>
      <c r="C290" s="54" t="n"/>
      <c r="D290" s="54" t="n"/>
      <c r="E290" s="54" t="n"/>
    </row>
    <row r="291">
      <c r="B291" s="54" t="n"/>
      <c r="C291" s="54" t="n"/>
      <c r="D291" s="54" t="n"/>
      <c r="E291" s="54" t="n"/>
    </row>
    <row r="292">
      <c r="B292" s="54" t="n"/>
      <c r="C292" s="54" t="n"/>
      <c r="D292" s="54" t="n"/>
      <c r="E292" s="54" t="n"/>
    </row>
    <row r="293">
      <c r="B293" s="54" t="n"/>
      <c r="C293" s="54" t="n"/>
      <c r="D293" s="54" t="n"/>
      <c r="E293" s="54" t="n"/>
    </row>
    <row r="294">
      <c r="B294" s="54" t="n"/>
      <c r="C294" s="54" t="n"/>
      <c r="D294" s="54" t="n"/>
      <c r="E294" s="54" t="n"/>
    </row>
    <row r="295">
      <c r="B295" s="54" t="n"/>
      <c r="C295" s="54" t="n"/>
      <c r="D295" s="54" t="n"/>
      <c r="E295" s="54" t="n"/>
    </row>
    <row r="296">
      <c r="B296" s="54" t="n"/>
      <c r="C296" s="54" t="n"/>
      <c r="D296" s="54" t="n"/>
      <c r="E296" s="54" t="n"/>
    </row>
    <row r="297">
      <c r="B297" s="54" t="n"/>
      <c r="C297" s="54" t="n"/>
      <c r="D297" s="54" t="n"/>
      <c r="E297" s="54" t="n"/>
    </row>
    <row r="298">
      <c r="B298" s="54" t="n"/>
      <c r="C298" s="54" t="n"/>
      <c r="D298" s="54" t="n"/>
      <c r="E298" s="54" t="n"/>
    </row>
    <row r="299">
      <c r="B299" s="54" t="n"/>
      <c r="C299" s="54" t="n"/>
      <c r="D299" s="54" t="n"/>
      <c r="E299" s="54" t="n"/>
    </row>
    <row r="300">
      <c r="B300" s="54" t="n"/>
      <c r="C300" s="54" t="n"/>
      <c r="D300" s="54" t="n"/>
      <c r="E300" s="54" t="n"/>
    </row>
    <row r="301">
      <c r="B301" s="54" t="n"/>
      <c r="C301" s="54" t="n"/>
      <c r="D301" s="54" t="n"/>
      <c r="E301" s="54" t="n"/>
    </row>
    <row r="302">
      <c r="B302" s="54" t="n"/>
      <c r="C302" s="54" t="n"/>
      <c r="D302" s="54" t="n"/>
      <c r="E302" s="54" t="n"/>
    </row>
    <row r="303">
      <c r="B303" s="54" t="n"/>
      <c r="C303" s="54" t="n"/>
      <c r="D303" s="54" t="n"/>
      <c r="E303" s="54" t="n"/>
    </row>
    <row r="304">
      <c r="B304" s="54" t="n"/>
      <c r="C304" s="54" t="n"/>
      <c r="D304" s="54" t="n"/>
      <c r="E304" s="54" t="n"/>
    </row>
    <row r="305">
      <c r="B305" s="54" t="n"/>
      <c r="C305" s="54" t="n"/>
      <c r="D305" s="54" t="n"/>
      <c r="E305" s="54" t="n"/>
    </row>
    <row r="306">
      <c r="B306" s="54" t="n"/>
      <c r="C306" s="54" t="n"/>
      <c r="D306" s="54" t="n"/>
      <c r="E306" s="54" t="n"/>
    </row>
    <row r="307">
      <c r="B307" s="54" t="n"/>
      <c r="C307" s="54" t="n"/>
      <c r="D307" s="54" t="n"/>
      <c r="E307" s="54" t="n"/>
    </row>
    <row r="308">
      <c r="B308" s="54" t="n"/>
      <c r="C308" s="54" t="n"/>
      <c r="D308" s="54" t="n"/>
      <c r="E308" s="54" t="n"/>
    </row>
    <row r="309">
      <c r="B309" s="54" t="n"/>
      <c r="C309" s="54" t="n"/>
      <c r="D309" s="54" t="n"/>
      <c r="E309" s="54" t="n"/>
    </row>
    <row r="310">
      <c r="B310" s="54" t="n"/>
      <c r="C310" s="54" t="n"/>
      <c r="D310" s="54" t="n"/>
      <c r="E310" s="54" t="n"/>
    </row>
    <row r="311">
      <c r="B311" s="54" t="n"/>
      <c r="C311" s="54" t="n"/>
      <c r="D311" s="54" t="n"/>
      <c r="E311" s="54" t="n"/>
    </row>
    <row r="312">
      <c r="B312" s="54" t="n"/>
      <c r="C312" s="54" t="n"/>
      <c r="D312" s="54" t="n"/>
      <c r="E312" s="54" t="n"/>
    </row>
    <row r="313">
      <c r="B313" s="54" t="n"/>
      <c r="C313" s="54" t="n"/>
      <c r="D313" s="54" t="n"/>
      <c r="E313" s="54" t="n"/>
    </row>
    <row r="314">
      <c r="B314" s="54" t="n"/>
      <c r="C314" s="54" t="n"/>
      <c r="D314" s="54" t="n"/>
      <c r="E314" s="54" t="n"/>
    </row>
    <row r="315">
      <c r="B315" s="54" t="n"/>
      <c r="C315" s="54" t="n"/>
      <c r="D315" s="54" t="n"/>
      <c r="E315" s="54" t="n"/>
    </row>
    <row r="316">
      <c r="B316" s="54" t="n"/>
      <c r="C316" s="54" t="n"/>
      <c r="D316" s="54" t="n"/>
      <c r="E316" s="54" t="n"/>
    </row>
    <row r="317">
      <c r="B317" s="54" t="n"/>
      <c r="C317" s="54" t="n"/>
      <c r="D317" s="54" t="n"/>
      <c r="E317" s="54" t="n"/>
    </row>
    <row r="318">
      <c r="B318" s="54" t="n"/>
      <c r="C318" s="54" t="n"/>
      <c r="D318" s="54" t="n"/>
      <c r="E318" s="54" t="n"/>
    </row>
    <row r="319">
      <c r="B319" s="54" t="n"/>
      <c r="C319" s="54" t="n"/>
      <c r="D319" s="54" t="n"/>
      <c r="E319" s="54" t="n"/>
    </row>
    <row r="320">
      <c r="B320" s="54" t="n"/>
      <c r="C320" s="54" t="n"/>
      <c r="D320" s="54" t="n"/>
      <c r="E320" s="54" t="n"/>
    </row>
    <row r="321">
      <c r="B321" s="54" t="n"/>
      <c r="C321" s="54" t="n"/>
      <c r="D321" s="54" t="n"/>
      <c r="E321" s="54" t="n"/>
    </row>
    <row r="322">
      <c r="B322" s="54" t="n"/>
      <c r="C322" s="54" t="n"/>
      <c r="D322" s="54" t="n"/>
      <c r="E322" s="54" t="n"/>
    </row>
    <row r="323">
      <c r="B323" s="54" t="n"/>
      <c r="C323" s="54" t="n"/>
      <c r="D323" s="54" t="n"/>
      <c r="E323" s="54" t="n"/>
    </row>
    <row r="324">
      <c r="B324" s="54" t="n"/>
      <c r="C324" s="54" t="n"/>
      <c r="D324" s="54" t="n"/>
      <c r="E324" s="54" t="n"/>
    </row>
    <row r="325">
      <c r="B325" s="54" t="n"/>
      <c r="C325" s="54" t="n"/>
      <c r="D325" s="54" t="n"/>
      <c r="E325" s="54" t="n"/>
    </row>
    <row r="326">
      <c r="B326" s="54" t="n"/>
      <c r="C326" s="54" t="n"/>
      <c r="D326" s="54" t="n"/>
      <c r="E326" s="54" t="n"/>
    </row>
    <row r="327">
      <c r="B327" s="54" t="n"/>
      <c r="C327" s="54" t="n"/>
      <c r="D327" s="54" t="n"/>
      <c r="E327" s="54" t="n"/>
    </row>
    <row r="328">
      <c r="B328" s="54" t="n"/>
      <c r="C328" s="54" t="n"/>
      <c r="D328" s="54" t="n"/>
      <c r="E328" s="54" t="n"/>
    </row>
    <row r="329">
      <c r="B329" s="54" t="n"/>
      <c r="C329" s="54" t="n"/>
      <c r="D329" s="54" t="n"/>
      <c r="E329" s="54" t="n"/>
    </row>
    <row r="330">
      <c r="B330" s="54" t="n"/>
      <c r="C330" s="54" t="n"/>
      <c r="D330" s="54" t="n"/>
      <c r="E330" s="54" t="n"/>
    </row>
    <row r="331">
      <c r="B331" s="54" t="n"/>
      <c r="C331" s="54" t="n"/>
      <c r="D331" s="54" t="n"/>
      <c r="E331" s="54" t="n"/>
    </row>
    <row r="332">
      <c r="B332" s="54" t="n"/>
      <c r="C332" s="54" t="n"/>
      <c r="D332" s="54" t="n"/>
      <c r="E332" s="54" t="n"/>
    </row>
    <row r="333">
      <c r="B333" s="54" t="n"/>
      <c r="C333" s="54" t="n"/>
      <c r="D333" s="54" t="n"/>
      <c r="E333" s="54" t="n"/>
    </row>
    <row r="334">
      <c r="B334" s="54" t="n"/>
      <c r="C334" s="54" t="n"/>
      <c r="D334" s="54" t="n"/>
      <c r="E334" s="54" t="n"/>
    </row>
    <row r="335">
      <c r="B335" s="54" t="n"/>
      <c r="C335" s="54" t="n"/>
      <c r="D335" s="54" t="n"/>
      <c r="E335" s="54" t="n"/>
    </row>
    <row r="336">
      <c r="B336" s="54" t="n"/>
      <c r="C336" s="54" t="n"/>
      <c r="D336" s="54" t="n"/>
      <c r="E336" s="54" t="n"/>
    </row>
    <row r="337">
      <c r="B337" s="54" t="n"/>
      <c r="C337" s="54" t="n"/>
      <c r="D337" s="54" t="n"/>
      <c r="E337" s="54" t="n"/>
    </row>
    <row r="338">
      <c r="B338" s="54" t="n"/>
      <c r="C338" s="54" t="n"/>
      <c r="D338" s="54" t="n"/>
      <c r="E338" s="54" t="n"/>
    </row>
    <row r="339">
      <c r="B339" s="54" t="n"/>
      <c r="C339" s="54" t="n"/>
      <c r="D339" s="54" t="n"/>
      <c r="E339" s="54" t="n"/>
    </row>
    <row r="340">
      <c r="B340" s="54" t="n"/>
      <c r="C340" s="54" t="n"/>
      <c r="D340" s="54" t="n"/>
      <c r="E340" s="54" t="n"/>
    </row>
    <row r="341">
      <c r="B341" s="54" t="n"/>
      <c r="C341" s="54" t="n"/>
      <c r="D341" s="54" t="n"/>
      <c r="E341" s="54" t="n"/>
    </row>
    <row r="342">
      <c r="B342" s="54" t="n"/>
      <c r="C342" s="54" t="n"/>
      <c r="D342" s="54" t="n"/>
      <c r="E342" s="54" t="n"/>
    </row>
    <row r="343">
      <c r="B343" s="54" t="n"/>
      <c r="C343" s="54" t="n"/>
      <c r="D343" s="54" t="n"/>
      <c r="E343" s="54" t="n"/>
    </row>
    <row r="344">
      <c r="B344" s="54" t="n"/>
      <c r="C344" s="54" t="n"/>
      <c r="D344" s="54" t="n"/>
      <c r="E344" s="54" t="n"/>
    </row>
    <row r="345">
      <c r="B345" s="54" t="n"/>
      <c r="C345" s="54" t="n"/>
      <c r="D345" s="54" t="n"/>
      <c r="E345" s="54" t="n"/>
    </row>
    <row r="346">
      <c r="B346" s="54" t="n"/>
      <c r="C346" s="54" t="n"/>
      <c r="D346" s="54" t="n"/>
      <c r="E346" s="54" t="n"/>
    </row>
    <row r="347">
      <c r="B347" s="54" t="n"/>
      <c r="C347" s="54" t="n"/>
      <c r="D347" s="54" t="n"/>
      <c r="E347" s="54" t="n"/>
    </row>
    <row r="348">
      <c r="B348" s="54" t="n"/>
      <c r="C348" s="54" t="n"/>
      <c r="D348" s="54" t="n"/>
      <c r="E348" s="54" t="n"/>
    </row>
    <row r="349">
      <c r="B349" s="54" t="n"/>
      <c r="C349" s="54" t="n"/>
      <c r="D349" s="54" t="n"/>
      <c r="E349" s="54" t="n"/>
    </row>
    <row r="350">
      <c r="B350" s="54" t="n"/>
      <c r="C350" s="54" t="n"/>
      <c r="D350" s="54" t="n"/>
      <c r="E350" s="54" t="n"/>
    </row>
    <row r="351">
      <c r="B351" s="54" t="n"/>
      <c r="C351" s="54" t="n"/>
      <c r="D351" s="54" t="n"/>
      <c r="E351" s="54" t="n"/>
    </row>
    <row r="352">
      <c r="B352" s="54" t="n"/>
      <c r="C352" s="54" t="n"/>
      <c r="D352" s="54" t="n"/>
      <c r="E352" s="54" t="n"/>
    </row>
    <row r="353">
      <c r="B353" s="54" t="n"/>
      <c r="C353" s="54" t="n"/>
      <c r="D353" s="54" t="n"/>
      <c r="E353" s="54" t="n"/>
    </row>
    <row r="354">
      <c r="B354" s="54" t="n"/>
      <c r="C354" s="54" t="n"/>
      <c r="D354" s="54" t="n"/>
      <c r="E354" s="54" t="n"/>
    </row>
    <row r="355">
      <c r="B355" s="54" t="n"/>
      <c r="C355" s="54" t="n"/>
      <c r="D355" s="54" t="n"/>
      <c r="E355" s="54" t="n"/>
    </row>
    <row r="356">
      <c r="B356" s="54" t="n"/>
      <c r="C356" s="54" t="n"/>
      <c r="D356" s="54" t="n"/>
      <c r="E356" s="54" t="n"/>
    </row>
    <row r="357">
      <c r="B357" s="54" t="n"/>
      <c r="C357" s="54" t="n"/>
      <c r="D357" s="54" t="n"/>
      <c r="E357" s="54" t="n"/>
    </row>
    <row r="358">
      <c r="B358" s="54" t="n"/>
      <c r="C358" s="54" t="n"/>
      <c r="D358" s="54" t="n"/>
      <c r="E358" s="54" t="n"/>
    </row>
    <row r="359">
      <c r="B359" s="54" t="n"/>
      <c r="C359" s="54" t="n"/>
      <c r="D359" s="54" t="n"/>
      <c r="E359" s="54" t="n"/>
    </row>
    <row r="360">
      <c r="B360" s="54" t="n"/>
      <c r="C360" s="54" t="n"/>
      <c r="D360" s="54" t="n"/>
      <c r="E360" s="54" t="n"/>
    </row>
    <row r="361">
      <c r="B361" s="54" t="n"/>
      <c r="C361" s="54" t="n"/>
      <c r="D361" s="54" t="n"/>
      <c r="E361" s="54" t="n"/>
    </row>
    <row r="362">
      <c r="B362" s="54" t="n"/>
      <c r="C362" s="54" t="n"/>
      <c r="D362" s="54" t="n"/>
      <c r="E362" s="54" t="n"/>
    </row>
    <row r="363">
      <c r="B363" s="54" t="n"/>
      <c r="C363" s="54" t="n"/>
      <c r="D363" s="54" t="n"/>
      <c r="E363" s="54" t="n"/>
    </row>
    <row r="364">
      <c r="B364" s="54" t="n"/>
      <c r="C364" s="54" t="n"/>
      <c r="D364" s="54" t="n"/>
      <c r="E364" s="54" t="n"/>
    </row>
    <row r="365">
      <c r="B365" s="54" t="n"/>
      <c r="C365" s="54" t="n"/>
      <c r="D365" s="54" t="n"/>
      <c r="E365" s="54" t="n"/>
    </row>
    <row r="366">
      <c r="B366" s="54" t="n"/>
      <c r="C366" s="54" t="n"/>
      <c r="D366" s="54" t="n"/>
      <c r="E366" s="54" t="n"/>
    </row>
    <row r="367">
      <c r="B367" s="54" t="n"/>
      <c r="C367" s="54" t="n"/>
      <c r="D367" s="54" t="n"/>
      <c r="E367" s="54" t="n"/>
    </row>
    <row r="368">
      <c r="B368" s="54" t="n"/>
      <c r="C368" s="54" t="n"/>
      <c r="D368" s="54" t="n"/>
      <c r="E368" s="54" t="n"/>
    </row>
    <row r="369">
      <c r="B369" s="54" t="n"/>
      <c r="C369" s="54" t="n"/>
      <c r="D369" s="54" t="n"/>
      <c r="E369" s="54" t="n"/>
    </row>
    <row r="370">
      <c r="B370" s="54" t="n"/>
      <c r="C370" s="54" t="n"/>
      <c r="D370" s="54" t="n"/>
      <c r="E370" s="54" t="n"/>
    </row>
    <row r="371">
      <c r="B371" s="54" t="n"/>
      <c r="C371" s="54" t="n"/>
      <c r="D371" s="54" t="n"/>
      <c r="E371" s="54" t="n"/>
    </row>
    <row r="372">
      <c r="B372" s="54" t="n"/>
      <c r="C372" s="54" t="n"/>
      <c r="D372" s="54" t="n"/>
      <c r="E372" s="54" t="n"/>
    </row>
    <row r="373">
      <c r="B373" s="54" t="n"/>
      <c r="C373" s="54" t="n"/>
      <c r="D373" s="54" t="n"/>
      <c r="E373" s="54" t="n"/>
    </row>
    <row r="374">
      <c r="B374" s="54" t="n"/>
      <c r="C374" s="54" t="n"/>
      <c r="D374" s="54" t="n"/>
      <c r="E374" s="54" t="n"/>
    </row>
    <row r="375">
      <c r="B375" s="54" t="n"/>
      <c r="C375" s="54" t="n"/>
      <c r="D375" s="54" t="n"/>
      <c r="E375" s="54" t="n"/>
    </row>
    <row r="376">
      <c r="B376" s="54" t="n"/>
      <c r="C376" s="54" t="n"/>
      <c r="D376" s="54" t="n"/>
      <c r="E376" s="54" t="n"/>
    </row>
    <row r="377">
      <c r="B377" s="54" t="n"/>
      <c r="C377" s="54" t="n"/>
      <c r="D377" s="54" t="n"/>
      <c r="E377" s="54" t="n"/>
    </row>
    <row r="378">
      <c r="B378" s="54" t="n"/>
      <c r="C378" s="54" t="n"/>
      <c r="D378" s="54" t="n"/>
      <c r="E378" s="54" t="n"/>
    </row>
    <row r="379">
      <c r="B379" s="54" t="n"/>
      <c r="C379" s="54" t="n"/>
      <c r="D379" s="54" t="n"/>
      <c r="E379" s="54" t="n"/>
    </row>
    <row r="380">
      <c r="B380" s="54" t="n"/>
      <c r="C380" s="54" t="n"/>
      <c r="D380" s="54" t="n"/>
      <c r="E380" s="54" t="n"/>
    </row>
    <row r="381">
      <c r="B381" s="54" t="n"/>
      <c r="C381" s="54" t="n"/>
      <c r="D381" s="54" t="n"/>
      <c r="E381" s="54" t="n"/>
    </row>
    <row r="382">
      <c r="B382" s="54" t="n"/>
      <c r="C382" s="54" t="n"/>
      <c r="D382" s="54" t="n"/>
      <c r="E382" s="54" t="n"/>
    </row>
    <row r="383">
      <c r="B383" s="54" t="n"/>
      <c r="C383" s="54" t="n"/>
      <c r="D383" s="54" t="n"/>
      <c r="E383" s="54" t="n"/>
    </row>
    <row r="384">
      <c r="B384" s="54" t="n"/>
      <c r="C384" s="54" t="n"/>
      <c r="D384" s="54" t="n"/>
      <c r="E384" s="54" t="n"/>
    </row>
    <row r="385">
      <c r="B385" s="54" t="n"/>
      <c r="C385" s="54" t="n"/>
      <c r="D385" s="54" t="n"/>
      <c r="E385" s="54" t="n"/>
    </row>
    <row r="386">
      <c r="B386" s="54" t="n"/>
      <c r="C386" s="54" t="n"/>
      <c r="D386" s="54" t="n"/>
      <c r="E386" s="54" t="n"/>
    </row>
    <row r="387">
      <c r="B387" s="54" t="n"/>
      <c r="C387" s="54" t="n"/>
      <c r="D387" s="54" t="n"/>
      <c r="E387" s="54" t="n"/>
    </row>
    <row r="388">
      <c r="B388" s="54" t="n"/>
      <c r="C388" s="54" t="n"/>
      <c r="D388" s="54" t="n"/>
      <c r="E388" s="54" t="n"/>
    </row>
    <row r="389">
      <c r="B389" s="54" t="n"/>
      <c r="C389" s="54" t="n"/>
      <c r="D389" s="54" t="n"/>
      <c r="E389" s="54" t="n"/>
    </row>
    <row r="390">
      <c r="B390" s="54" t="n"/>
      <c r="C390" s="54" t="n"/>
      <c r="D390" s="54" t="n"/>
      <c r="E390" s="54" t="n"/>
    </row>
    <row r="391">
      <c r="B391" s="54" t="n"/>
      <c r="C391" s="54" t="n"/>
      <c r="D391" s="54" t="n"/>
      <c r="E391" s="54" t="n"/>
    </row>
    <row r="392">
      <c r="B392" s="54" t="n"/>
      <c r="C392" s="54" t="n"/>
      <c r="D392" s="54" t="n"/>
      <c r="E392" s="54" t="n"/>
    </row>
    <row r="393">
      <c r="B393" s="54" t="n"/>
      <c r="C393" s="54" t="n"/>
      <c r="D393" s="54" t="n"/>
      <c r="E393" s="54" t="n"/>
    </row>
    <row r="394">
      <c r="B394" s="54" t="n"/>
      <c r="C394" s="54" t="n"/>
      <c r="D394" s="54" t="n"/>
      <c r="E394" s="54" t="n"/>
    </row>
    <row r="395">
      <c r="B395" s="54" t="n"/>
      <c r="C395" s="54" t="n"/>
      <c r="D395" s="54" t="n"/>
      <c r="E395" s="54" t="n"/>
    </row>
    <row r="396">
      <c r="B396" s="54" t="n"/>
      <c r="C396" s="54" t="n"/>
      <c r="D396" s="54" t="n"/>
      <c r="E396" s="54" t="n"/>
    </row>
    <row r="397">
      <c r="B397" s="54" t="n"/>
      <c r="C397" s="54" t="n"/>
      <c r="D397" s="54" t="n"/>
      <c r="E397" s="54" t="n"/>
    </row>
    <row r="398">
      <c r="B398" s="54" t="n"/>
      <c r="C398" s="54" t="n"/>
      <c r="D398" s="54" t="n"/>
      <c r="E398" s="54" t="n"/>
    </row>
    <row r="399">
      <c r="B399" s="54" t="n"/>
      <c r="C399" s="54" t="n"/>
      <c r="D399" s="54" t="n"/>
      <c r="E399" s="54" t="n"/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0" customHeight="1">
      <c r="A1" s="53" t="inlineStr">
        <is>
          <t>Data</t>
        </is>
      </c>
      <c r="B1" s="53" t="inlineStr">
        <is>
          <t>Veio</t>
        </is>
      </c>
      <c r="C1" s="53" t="inlineStr">
        <is>
          <t>Molde que saiu</t>
        </is>
      </c>
      <c r="D1" s="53" t="inlineStr">
        <is>
          <t>Vida programada</t>
        </is>
      </c>
      <c r="E1" s="53" t="inlineStr">
        <is>
          <t>Corridas na saída</t>
        </is>
      </c>
      <c r="F1" s="53" t="inlineStr">
        <is>
          <t>Molde que entrou</t>
        </is>
      </c>
      <c r="G1" s="53" t="inlineStr">
        <is>
          <t>Motivo</t>
        </is>
      </c>
      <c r="H1" s="53" t="inlineStr">
        <is>
          <t>Conferir</t>
        </is>
      </c>
      <c r="I1" s="53" t="inlineStr">
        <is>
          <t>Origem</t>
        </is>
      </c>
    </row>
  </sheetData>
  <autoFilter ref="A1:I5000"/>
  <conditionalFormatting sqref="H2:H5000">
    <cfRule type="expression" priority="1" dxfId="4">
      <formula>LEN($H2)&gt;0</formula>
    </cfRule>
  </conditionalFormatting>
  <conditionalFormatting sqref="A2:G5000">
    <cfRule type="expression" priority="2" dxfId="3">
      <formula>AND($A2&lt;&gt;"",MOD(ROW(),2)=0)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5" customWidth="1" min="4" max="4"/>
    <col width="11" customWidth="1" min="5" max="5"/>
  </cols>
  <sheetData>
    <row r="1" ht="30" customHeight="1">
      <c r="A1" s="55" t="inlineStr">
        <is>
          <t>Data/hora</t>
        </is>
      </c>
      <c r="B1" s="55" t="inlineStr">
        <is>
          <t>Tipo</t>
        </is>
      </c>
      <c r="C1" s="55" t="inlineStr">
        <is>
          <t>Item</t>
        </is>
      </c>
      <c r="D1" s="55" t="inlineStr">
        <is>
          <t>Detalhe</t>
        </is>
      </c>
      <c r="E1" s="55" t="inlineStr">
        <is>
          <t>Resolvido</t>
        </is>
      </c>
    </row>
  </sheetData>
  <autoFilter ref="A1:E5000"/>
  <conditionalFormatting sqref="A2:E5000">
    <cfRule type="expression" priority="1" dxfId="5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50" customWidth="1" min="1" max="1"/>
    <col width="12" customWidth="1" min="2" max="2"/>
  </cols>
  <sheetData>
    <row r="1">
      <c r="A1" s="31" t="inlineStr">
        <is>
          <t>Parâmetro</t>
        </is>
      </c>
      <c r="B1" s="31" t="inlineStr">
        <is>
          <t>Valor</t>
        </is>
      </c>
    </row>
    <row r="3">
      <c r="A3" t="inlineStr">
        <is>
          <t>Limiar de atenção (% da vida)</t>
        </is>
      </c>
      <c r="B3" s="56" t="n">
        <v>0.8</v>
      </c>
    </row>
    <row r="5">
      <c r="A5" s="57" t="inlineStr">
        <is>
          <t>Como a planilha calcula</t>
        </is>
      </c>
    </row>
    <row r="6">
      <c r="A6" t="inlineStr">
        <is>
          <t>•  Molde (corridas): acumulado do último dia em Historico, pelo veio. Um registro por data e veio; reenvio do mesmo dia substitui, não soma.</t>
        </is>
      </c>
    </row>
    <row r="7">
      <c r="A7" t="inlineStr">
        <is>
          <t>•  Troca de molde: quando o nº do molde do veio muda, o robô registra em Trocas (molde que saiu, corridas na saída pela observação do relatório, molde que entrou).</t>
        </is>
      </c>
    </row>
    <row r="8">
      <c r="A8" t="inlineStr">
        <is>
          <t>•  Oscilador (dias): dias corridos desde 'Desde' + Acumulado inicial.</t>
        </is>
      </c>
    </row>
    <row r="9">
      <c r="A9" t="inlineStr">
        <is>
          <t>•  Componentes (t): toneladas reais da MCC escolhida (aba Producao) desde 'Desde' + Acumulado inicial.</t>
        </is>
      </c>
    </row>
    <row r="10">
      <c r="A10" t="inlineStr">
        <is>
          <t>•  Falta = meta − acumulado.   % = acumulado ÷ meta.   Acima de 100% = além da meta.   Sem previsão de data de troca.</t>
        </is>
      </c>
    </row>
    <row r="11">
      <c r="A11" t="inlineStr">
        <is>
          <t>•  Alertas: acumulado diminuiu sem troca; veio não andou enquanto a MCC produziu; layout dos anexos mudou; troca para conferir.</t>
        </is>
      </c>
    </row>
    <row r="12">
      <c r="A12" t="inlineStr">
        <is>
          <t>•  Cores das abas: azul = painel e cadastros; dourado = você digita; cinza = o robô preenche; vermelho = alertas.</t>
        </is>
      </c>
    </row>
    <row r="13">
      <c r="A13" t="inlineStr">
        <is>
          <t>•  As abas Historico, Producao, Trocas e Alertas são escritas pelo robô: não renomeie nem mude a ordem das colunas.</t>
        </is>
      </c>
    </row>
    <row r="16">
      <c r="A16" s="44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  <c r="F1" t="inlineStr">
        <is>
          <t>Top (linha)</t>
        </is>
      </c>
    </row>
    <row r="2">
      <c r="A2" s="58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  <c r="F2">
        <f>IFERROR(IF(LARGE(Equipamentos!$M$2:$M$61,1)&lt;0,0,MATCH(LARGE(Equipamentos!$M$2:$M$61,1),Equipamentos!$M$2:$M$61,0)),0)</f>
        <v/>
      </c>
    </row>
    <row r="3">
      <c r="A3" s="58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  <c r="F3">
        <f>IFERROR(IF(LARGE(Equipamentos!$M$2:$M$61,2)&lt;0,0,MATCH(LARGE(Equipamentos!$M$2:$M$61,2),Equipamentos!$M$2:$M$61,0)),0)</f>
        <v/>
      </c>
    </row>
    <row r="4">
      <c r="A4" s="58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  <c r="F4">
        <f>IFERROR(IF(LARGE(Equipamentos!$M$2:$M$61,3)&lt;0,0,MATCH(LARGE(Equipamentos!$M$2:$M$61,3),Equipamentos!$M$2:$M$61,0)),0)</f>
        <v/>
      </c>
    </row>
    <row r="5">
      <c r="A5" s="58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  <c r="F5">
        <f>IFERROR(IF(LARGE(Equipamentos!$M$2:$M$61,4)&lt;0,0,MATCH(LARGE(Equipamentos!$M$2:$M$61,4),Equipamentos!$M$2:$M$61,0)),0)</f>
        <v/>
      </c>
    </row>
    <row r="6">
      <c r="A6" s="58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  <c r="F6">
        <f>IFERROR(IF(LARGE(Equipamentos!$M$2:$M$61,5)&lt;0,0,MATCH(LARGE(Equipamentos!$M$2:$M$61,5),Equipamentos!$M$2:$M$61,0)),0)</f>
        <v/>
      </c>
    </row>
    <row r="7">
      <c r="A7" s="58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  <c r="F7">
        <f>IFERROR(IF(LARGE(Equipamentos!$M$2:$M$61,6)&lt;0,0,MATCH(LARGE(Equipamentos!$M$2:$M$61,6),Equipamentos!$M$2:$M$61,0)),0)</f>
        <v/>
      </c>
    </row>
    <row r="8">
      <c r="A8" s="58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</row>
    <row r="9">
      <c r="A9" s="58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</row>
    <row r="10">
      <c r="A10" s="58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</row>
    <row r="11">
      <c r="A11" s="58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</row>
    <row r="12">
      <c r="A12" s="58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</row>
    <row r="13">
      <c r="A13" s="58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</row>
    <row r="14">
      <c r="A14" s="58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</row>
    <row r="15">
      <c r="A15" s="58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</row>
    <row r="16">
      <c r="A16" s="58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</row>
    <row r="17">
      <c r="A17" s="58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</row>
    <row r="18">
      <c r="A18" s="58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</row>
    <row r="19">
      <c r="A19" s="58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</row>
    <row r="20">
      <c r="A20" s="58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</row>
    <row r="21">
      <c r="A21" s="58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</row>
    <row r="22">
      <c r="A22" s="58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</row>
    <row r="23">
      <c r="A23" s="58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</row>
    <row r="24">
      <c r="A24" s="58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</row>
    <row r="25">
      <c r="A25" s="58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</row>
    <row r="26">
      <c r="A26" s="58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</row>
    <row r="27">
      <c r="A27" s="58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</row>
    <row r="28">
      <c r="A28" s="58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</row>
    <row r="29">
      <c r="A29" s="58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58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58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2026-10-20T11:49:28Z</dcterms:created>
  <dcterms:modified xmlns:dcterms="http://purl.org/dc/terms/" xmlns:xsi="http://www.w3.org/2001/XMLSchema-instance" xsi:type="dcterms:W3CDTF">2026-10-20T11:49:29Z</dcterms:modified>
</cp:coreProperties>
</file>