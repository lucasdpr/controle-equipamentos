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Moldes" sheetId="3" state="visible" r:id="rId3"/>
    <sheet xmlns:r="http://schemas.openxmlformats.org/officeDocument/2006/relationships" name="Movimentos" sheetId="4" state="visible" r:id="rId4"/>
    <sheet xmlns:r="http://schemas.openxmlformats.org/officeDocument/2006/relationships" name="Paradas" sheetId="5" state="visible" r:id="rId5"/>
    <sheet xmlns:r="http://schemas.openxmlformats.org/officeDocument/2006/relationships" name="Historico" sheetId="6" state="visible" r:id="rId6"/>
    <sheet xmlns:r="http://schemas.openxmlformats.org/officeDocument/2006/relationships" name="Producao" sheetId="7" state="visible" r:id="rId7"/>
    <sheet xmlns:r="http://schemas.openxmlformats.org/officeDocument/2006/relationships" name="Trocas" sheetId="8" state="visible" r:id="rId8"/>
    <sheet xmlns:r="http://schemas.openxmlformats.org/officeDocument/2006/relationships" name="Alertas" sheetId="9" state="visible" r:id="rId9"/>
    <sheet xmlns:r="http://schemas.openxmlformats.org/officeDocument/2006/relationships" name="Regras" sheetId="10" state="visible" r:id="rId10"/>
    <sheet xmlns:r="http://schemas.openxmlformats.org/officeDocument/2006/relationships" name="Auxiliar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%"/>
    <numFmt numFmtId="166" formatCode="dd/mm/yyyy;;&quot;-&quot;"/>
    <numFmt numFmtId="167" formatCode="dd/mm/yyyy"/>
    <numFmt numFmtId="168" formatCode="dd/mm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  <sz val="12"/>
    </font>
    <font>
      <b val="1"/>
      <color rgb="00FFFFFF"/>
      <sz val="18"/>
    </font>
    <font>
      <i val="1"/>
      <color rgb="00808080"/>
      <sz val="8"/>
    </font>
    <font>
      <b val="1"/>
      <color rgb="009C0006"/>
    </font>
    <font>
      <b val="1"/>
      <color rgb="009C0006"/>
      <sz val="26"/>
    </font>
    <font>
      <b val="1"/>
      <color rgb="009C5700"/>
    </font>
    <font>
      <b val="1"/>
      <color rgb="009C5700"/>
      <sz val="26"/>
    </font>
    <font>
      <b val="1"/>
      <color rgb="00006100"/>
    </font>
    <font>
      <b val="1"/>
      <color rgb="00006100"/>
      <sz val="26"/>
    </font>
    <font>
      <b val="1"/>
      <color rgb="001F4E78"/>
    </font>
    <font>
      <b val="1"/>
      <color rgb="001F4E78"/>
      <sz val="26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5" fillId="0" borderId="0" applyAlignment="1" pivotButton="0" quotePrefix="0" xfId="0">
      <alignment indent="1"/>
    </xf>
    <xf numFmtId="0" fontId="6" fillId="7" borderId="0" applyAlignment="1" pivotButton="0" quotePrefix="0" xfId="0">
      <alignment horizontal="center"/>
    </xf>
    <xf numFmtId="0" fontId="0" fillId="7" borderId="0" pivotButton="0" quotePrefix="0" xfId="0"/>
    <xf numFmtId="0" fontId="8" fillId="8" borderId="0" applyAlignment="1" pivotButton="0" quotePrefix="0" xfId="0">
      <alignment horizontal="center"/>
    </xf>
    <xf numFmtId="0" fontId="0" fillId="8" borderId="0" pivotButton="0" quotePrefix="0" xfId="0"/>
    <xf numFmtId="0" fontId="10" fillId="9" borderId="0" applyAlignment="1" pivotButton="0" quotePrefix="0" xfId="0">
      <alignment horizontal="center"/>
    </xf>
    <xf numFmtId="0" fontId="0" fillId="9" borderId="0" pivotButton="0" quotePrefix="0" xfId="0"/>
    <xf numFmtId="0" fontId="12" fillId="10" borderId="0" applyAlignment="1" pivotButton="0" quotePrefix="0" xfId="0">
      <alignment horizontal="center"/>
    </xf>
    <xf numFmtId="0" fontId="0" fillId="10" borderId="0" pivotButton="0" quotePrefix="0" xfId="0"/>
    <xf numFmtId="0" fontId="7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2" fillId="0" borderId="0" pivotButton="0" quotePrefix="0" xfId="0"/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167" fontId="0" fillId="3" borderId="0" pivotButton="0" quotePrefix="0" xfId="0"/>
    <xf numFmtId="3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2" borderId="0" pivotButton="0" quotePrefix="0" xfId="0"/>
    <xf numFmtId="9" fontId="0" fillId="3" borderId="0" pivotButton="0" quotePrefix="0" xfId="0"/>
    <xf numFmtId="0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da vida consumida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'Painel'!$A$8:$A$15</f>
            </numRef>
          </cat>
          <val>
            <numRef>
              <f>'Painel'!$F$8:$F$15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Corridas dos moldes G e H (30 dias)</a:t>
            </a:r>
          </a:p>
        </rich>
      </tx>
    </title>
    <plotArea>
      <lineChart>
        <grouping val="standard"/>
        <ser>
          <idx val="0"/>
          <order val="0"/>
          <tx>
            <strRef>
              <f>'Auxiliar'!B1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'Auxiliar'!$A$2:$A$31</f>
            </numRef>
          </cat>
          <val>
            <numRef>
              <f>'Auxiliar'!$B$2:$B$31</f>
            </numRef>
          </val>
        </ser>
        <ser>
          <idx val="1"/>
          <order val="1"/>
          <tx>
            <strRef>
              <f>'Auxiliar'!C1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'Auxiliar'!$A$2:$A$31</f>
            </numRef>
          </cat>
          <val>
            <numRef>
              <f>'Auxiliar'!$C$2:$C$31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Toneladas reais do MCC4 por dia (30 dias)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'Auxiliar'!D1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'Auxiliar'!$A$2:$A$31</f>
            </numRef>
          </cat>
          <val>
            <numRef>
              <f>'Auxiliar'!$D$2:$D$31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86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</cols>
  <sheetData>
    <row r="1" ht="34" customHeight="1">
      <c r="A1" s="1" t="inlineStr">
        <is>
          <t>Controle de Vida dos Equipamentos  |  MCC4</t>
        </is>
      </c>
    </row>
    <row r="2">
      <c r="A2" s="2">
        <f>"Dados do robô até: "&amp;IF(MAX(Historico!$A$2:$A$5000)=0,"nenhum e-mail processado ainda",TEXT(MAX(Historico!$A$2:$A$5000),"dd/mm/yyyy"))&amp;"   |   Hoje: "&amp;TEXT(TODAY(),"dd/mm/yyyy")</f>
        <v/>
      </c>
    </row>
    <row r="3">
      <c r="A3" s="3" t="inlineStr">
        <is>
          <t>Lucas Gabriel de Paula Rafael  |  Matrícula cbk3574  |  github.com/lucasdpr/controle-equipamentos</t>
        </is>
      </c>
    </row>
    <row r="4">
      <c r="A4" s="4" t="inlineStr">
        <is>
          <t>Além da meta</t>
        </is>
      </c>
      <c r="B4" s="5" t="n"/>
      <c r="C4" s="6" t="inlineStr">
        <is>
          <t>Atenção</t>
        </is>
      </c>
      <c r="D4" s="7" t="n"/>
      <c r="E4" s="8" t="inlineStr">
        <is>
          <t>OK</t>
        </is>
      </c>
      <c r="F4" s="9" t="n"/>
      <c r="G4" s="10" t="inlineStr">
        <is>
          <t>Alertas abertos</t>
        </is>
      </c>
      <c r="H4" s="11" t="n"/>
    </row>
    <row r="5" ht="42" customHeight="1">
      <c r="A5" s="12">
        <f>COUNTIF(Resumo!$I$2:$I$9,"Além da meta")</f>
        <v/>
      </c>
      <c r="B5" s="5" t="n"/>
      <c r="C5" s="13">
        <f>COUNTIF(Resumo!$I$2:$I$9,"Atenção")</f>
        <v/>
      </c>
      <c r="D5" s="7" t="n"/>
      <c r="E5" s="14">
        <f>COUNTIF(Resumo!$I$2:$I$9,"OK")</f>
        <v/>
      </c>
      <c r="F5" s="9" t="n"/>
      <c r="G5" s="15">
        <f>COUNTA(Alertas!$A$2:$A$5000)-COUNTIFS(Alertas!$E$2:$E$5000,"Sim")</f>
        <v/>
      </c>
      <c r="H5" s="11" t="n"/>
    </row>
    <row r="7">
      <c r="A7" s="16" t="inlineStr">
        <is>
          <t>Item</t>
        </is>
      </c>
      <c r="B7" s="16" t="inlineStr">
        <is>
          <t>Unidade</t>
        </is>
      </c>
      <c r="C7" s="16" t="inlineStr">
        <is>
          <t>Meta</t>
        </is>
      </c>
      <c r="D7" s="16" t="inlineStr">
        <is>
          <t>Acumulado</t>
        </is>
      </c>
      <c r="E7" s="16" t="inlineStr">
        <is>
          <t>Falta</t>
        </is>
      </c>
      <c r="F7" s="16" t="inlineStr">
        <is>
          <t>%</t>
        </is>
      </c>
      <c r="G7" s="16" t="inlineStr">
        <is>
          <t>Situação</t>
        </is>
      </c>
      <c r="H7" s="16" t="inlineStr">
        <is>
          <t>Em máquina</t>
        </is>
      </c>
    </row>
    <row r="8">
      <c r="A8" s="17">
        <f>Resumo!A2</f>
        <v/>
      </c>
      <c r="B8" s="18">
        <f>Resumo!C2</f>
        <v/>
      </c>
      <c r="C8" s="19">
        <f>Resumo!D2</f>
        <v/>
      </c>
      <c r="D8" s="19">
        <f>Resumo!F2</f>
        <v/>
      </c>
      <c r="E8" s="19">
        <f>Resumo!G2</f>
        <v/>
      </c>
      <c r="F8" s="20">
        <f>Resumo!H2</f>
        <v/>
      </c>
      <c r="G8" s="18">
        <f>Resumo!I2</f>
        <v/>
      </c>
      <c r="H8" s="18">
        <f>Resumo!J2</f>
        <v/>
      </c>
    </row>
    <row r="9">
      <c r="A9" s="17">
        <f>Resumo!A3</f>
        <v/>
      </c>
      <c r="B9" s="18">
        <f>Resumo!C3</f>
        <v/>
      </c>
      <c r="C9" s="19">
        <f>Resumo!D3</f>
        <v/>
      </c>
      <c r="D9" s="19">
        <f>Resumo!F3</f>
        <v/>
      </c>
      <c r="E9" s="19">
        <f>Resumo!G3</f>
        <v/>
      </c>
      <c r="F9" s="20">
        <f>Resumo!H3</f>
        <v/>
      </c>
      <c r="G9" s="18">
        <f>Resumo!I3</f>
        <v/>
      </c>
      <c r="H9" s="18">
        <f>Resumo!J3</f>
        <v/>
      </c>
    </row>
    <row r="10">
      <c r="A10" s="17">
        <f>Resumo!A4</f>
        <v/>
      </c>
      <c r="B10" s="18">
        <f>Resumo!C4</f>
        <v/>
      </c>
      <c r="C10" s="19">
        <f>Resumo!D4</f>
        <v/>
      </c>
      <c r="D10" s="19">
        <f>Resumo!F4</f>
        <v/>
      </c>
      <c r="E10" s="19">
        <f>Resumo!G4</f>
        <v/>
      </c>
      <c r="F10" s="20">
        <f>Resumo!H4</f>
        <v/>
      </c>
      <c r="G10" s="18">
        <f>Resumo!I4</f>
        <v/>
      </c>
      <c r="H10" s="18">
        <f>Resumo!J4</f>
        <v/>
      </c>
    </row>
    <row r="11">
      <c r="A11" s="17">
        <f>Resumo!A5</f>
        <v/>
      </c>
      <c r="B11" s="18">
        <f>Resumo!C5</f>
        <v/>
      </c>
      <c r="C11" s="19">
        <f>Resumo!D5</f>
        <v/>
      </c>
      <c r="D11" s="19">
        <f>Resumo!F5</f>
        <v/>
      </c>
      <c r="E11" s="19">
        <f>Resumo!G5</f>
        <v/>
      </c>
      <c r="F11" s="20">
        <f>Resumo!H5</f>
        <v/>
      </c>
      <c r="G11" s="18">
        <f>Resumo!I5</f>
        <v/>
      </c>
      <c r="H11" s="18">
        <f>Resumo!J5</f>
        <v/>
      </c>
    </row>
    <row r="12">
      <c r="A12" s="17">
        <f>Resumo!A6</f>
        <v/>
      </c>
      <c r="B12" s="18">
        <f>Resumo!C6</f>
        <v/>
      </c>
      <c r="C12" s="19">
        <f>Resumo!D6</f>
        <v/>
      </c>
      <c r="D12" s="19">
        <f>Resumo!F6</f>
        <v/>
      </c>
      <c r="E12" s="19">
        <f>Resumo!G6</f>
        <v/>
      </c>
      <c r="F12" s="20">
        <f>Resumo!H6</f>
        <v/>
      </c>
      <c r="G12" s="18">
        <f>Resumo!I6</f>
        <v/>
      </c>
      <c r="H12" s="18">
        <f>Resumo!J6</f>
        <v/>
      </c>
    </row>
    <row r="13">
      <c r="A13" s="17">
        <f>Resumo!A7</f>
        <v/>
      </c>
      <c r="B13" s="18">
        <f>Resumo!C7</f>
        <v/>
      </c>
      <c r="C13" s="19">
        <f>Resumo!D7</f>
        <v/>
      </c>
      <c r="D13" s="19">
        <f>Resumo!F7</f>
        <v/>
      </c>
      <c r="E13" s="19">
        <f>Resumo!G7</f>
        <v/>
      </c>
      <c r="F13" s="20">
        <f>Resumo!H7</f>
        <v/>
      </c>
      <c r="G13" s="18">
        <f>Resumo!I7</f>
        <v/>
      </c>
      <c r="H13" s="18">
        <f>Resumo!J7</f>
        <v/>
      </c>
    </row>
    <row r="14">
      <c r="A14" s="17">
        <f>Resumo!A8</f>
        <v/>
      </c>
      <c r="B14" s="18">
        <f>Resumo!C8</f>
        <v/>
      </c>
      <c r="C14" s="19">
        <f>Resumo!D8</f>
        <v/>
      </c>
      <c r="D14" s="19">
        <f>Resumo!F8</f>
        <v/>
      </c>
      <c r="E14" s="19">
        <f>Resumo!G8</f>
        <v/>
      </c>
      <c r="F14" s="20">
        <f>Resumo!H8</f>
        <v/>
      </c>
      <c r="G14" s="18">
        <f>Resumo!I8</f>
        <v/>
      </c>
      <c r="H14" s="18">
        <f>Resumo!J8</f>
        <v/>
      </c>
    </row>
    <row r="15">
      <c r="A15" s="17">
        <f>Resumo!A9</f>
        <v/>
      </c>
      <c r="B15" s="18">
        <f>Resumo!C9</f>
        <v/>
      </c>
      <c r="C15" s="19">
        <f>Resumo!D9</f>
        <v/>
      </c>
      <c r="D15" s="19">
        <f>Resumo!F9</f>
        <v/>
      </c>
      <c r="E15" s="19">
        <f>Resumo!G9</f>
        <v/>
      </c>
      <c r="F15" s="20">
        <f>Resumo!H9</f>
        <v/>
      </c>
      <c r="G15" s="18">
        <f>Resumo!I9</f>
        <v/>
      </c>
      <c r="H15" s="18">
        <f>Resumo!J9</f>
        <v/>
      </c>
    </row>
  </sheetData>
  <mergeCells count="11">
    <mergeCell ref="A4:B4"/>
    <mergeCell ref="G4:H4"/>
    <mergeCell ref="E4:F4"/>
    <mergeCell ref="A3:H3"/>
    <mergeCell ref="A2:H2"/>
    <mergeCell ref="C5:D5"/>
    <mergeCell ref="A5:B5"/>
    <mergeCell ref="G5:H5"/>
    <mergeCell ref="E5:F5"/>
    <mergeCell ref="A1:H1"/>
    <mergeCell ref="C4:D4"/>
  </mergeCells>
  <conditionalFormatting sqref="F8:F15">
    <cfRule type="dataBar" priority="1">
      <dataBar showValue="1">
        <cfvo type="num" val="0"/>
        <cfvo type="num" val="1"/>
        <color rgb="005B9BD5"/>
      </dataBar>
    </cfRule>
  </conditionalFormatting>
  <conditionalFormatting sqref="G8:G15">
    <cfRule type="cellIs" priority="2" operator="equal" dxfId="0">
      <formula>"Além da meta"</formula>
    </cfRule>
    <cfRule type="cellIs" priority="3" operator="equal" dxfId="1">
      <formula>"Atenção"</formula>
    </cfRule>
    <cfRule type="cellIs" priority="4" operator="equal" dxfId="2">
      <formula>"OK"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7" customWidth="1" min="11" max="11"/>
  </cols>
  <sheetData>
    <row r="1" ht="32" customHeight="1">
      <c r="A1" s="21" t="inlineStr">
        <is>
          <t>Item</t>
        </is>
      </c>
      <c r="B1" s="21" t="inlineStr">
        <is>
          <t>Tipo</t>
        </is>
      </c>
      <c r="C1" s="21" t="inlineStr">
        <is>
          <t>Unidade</t>
        </is>
      </c>
      <c r="D1" s="21" t="inlineStr">
        <is>
          <t>Meta</t>
        </is>
      </c>
      <c r="E1" s="21" t="inlineStr">
        <is>
          <t>Acumulado inicial</t>
        </is>
      </c>
      <c r="F1" s="21" t="inlineStr">
        <is>
          <t>Acumulado</t>
        </is>
      </c>
      <c r="G1" s="21" t="inlineStr">
        <is>
          <t>Falta</t>
        </is>
      </c>
      <c r="H1" s="21" t="inlineStr">
        <is>
          <t>%</t>
        </is>
      </c>
      <c r="I1" s="21" t="inlineStr">
        <is>
          <t>Situação</t>
        </is>
      </c>
      <c r="J1" s="21" t="inlineStr">
        <is>
          <t>Em máquina agora</t>
        </is>
      </c>
      <c r="K1" s="21" t="inlineStr">
        <is>
          <t>Veio</t>
        </is>
      </c>
    </row>
    <row r="2">
      <c r="A2" s="17" t="inlineStr">
        <is>
          <t>Molde G</t>
        </is>
      </c>
      <c r="B2" s="18" t="inlineStr">
        <is>
          <t>Molde</t>
        </is>
      </c>
      <c r="C2" s="18" t="inlineStr">
        <is>
          <t>corridas</t>
        </is>
      </c>
      <c r="D2" s="22" t="n">
        <v>1100</v>
      </c>
      <c r="E2" s="23" t="n"/>
      <c r="F2" s="22">
        <f>IF(C2="corridas",SUMIFS(Historico!$E:$E,Historico!$B:$B,K2,Historico!$A:$A,SUMPRODUCT(MAX((Historico!$B$2:$B$5000=K2)*Historico!$A$2:$A$5000))),N(E2)+IF(C2="dias",SUMIFS(Movimentos!$D:$D,Movimentos!$A:$A,A2),SUMIFS(Movimentos!$F:$F,Movimentos!$A:$A,A2)))</f>
        <v/>
      </c>
      <c r="G2" s="22">
        <f>IF(D2="","",D2-F2)</f>
        <v/>
      </c>
      <c r="H2" s="20">
        <f>IF(N(D2)&gt;0,F2/D2,"")</f>
        <v/>
      </c>
      <c r="I2" s="18">
        <f>IF(G2="","",IF(G2&lt;0,"Além da meta",IF(H2&gt;=Regras!$B$3,"Atenção","OK")))</f>
        <v/>
      </c>
      <c r="J2" s="18">
        <f>IF(C2="corridas","-",IF(COUNTIFS(Movimentos!$A:$A,A2,Movimentos!$C:$C,"")&gt;0,"Sim","Não"))</f>
        <v/>
      </c>
      <c r="K2" s="18" t="inlineStr">
        <is>
          <t>G</t>
        </is>
      </c>
    </row>
    <row r="3">
      <c r="A3" s="17" t="inlineStr">
        <is>
          <t>Molde H</t>
        </is>
      </c>
      <c r="B3" s="18" t="inlineStr">
        <is>
          <t>Molde</t>
        </is>
      </c>
      <c r="C3" s="18" t="inlineStr">
        <is>
          <t>corridas</t>
        </is>
      </c>
      <c r="D3" s="22" t="n">
        <v>1100</v>
      </c>
      <c r="E3" s="23" t="n"/>
      <c r="F3" s="22">
        <f>IF(C3="corridas",SUMIFS(Historico!$E:$E,Historico!$B:$B,K3,Historico!$A:$A,SUMPRODUCT(MAX((Historico!$B$2:$B$5000=K3)*Historico!$A$2:$A$5000))),N(E3)+IF(C3="dias",SUMIFS(Movimentos!$D:$D,Movimentos!$A:$A,A3),SUMIFS(Movimentos!$F:$F,Movimentos!$A:$A,A3)))</f>
        <v/>
      </c>
      <c r="G3" s="22">
        <f>IF(D3="","",D3-F3)</f>
        <v/>
      </c>
      <c r="H3" s="20">
        <f>IF(N(D3)&gt;0,F3/D3,"")</f>
        <v/>
      </c>
      <c r="I3" s="18">
        <f>IF(G3="","",IF(G3&lt;0,"Além da meta",IF(H3&gt;=Regras!$B$3,"Atenção","OK")))</f>
        <v/>
      </c>
      <c r="J3" s="18">
        <f>IF(C3="corridas","-",IF(COUNTIFS(Movimentos!$A:$A,A3,Movimentos!$C:$C,"")&gt;0,"Sim","Não"))</f>
        <v/>
      </c>
      <c r="K3" s="18" t="inlineStr">
        <is>
          <t>H</t>
        </is>
      </c>
    </row>
    <row r="4">
      <c r="A4" s="17" t="inlineStr">
        <is>
          <t>Oscilador</t>
        </is>
      </c>
      <c r="B4" s="18" t="inlineStr">
        <is>
          <t>Oscilador</t>
        </is>
      </c>
      <c r="C4" s="18" t="inlineStr">
        <is>
          <t>dias</t>
        </is>
      </c>
      <c r="D4" s="22" t="n">
        <v>730</v>
      </c>
      <c r="E4" s="23" t="n"/>
      <c r="F4" s="22">
        <f>IF(C4="corridas",SUMIFS(Historico!$E:$E,Historico!$B:$B,K4,Historico!$A:$A,SUMPRODUCT(MAX((Historico!$B$2:$B$5000=K4)*Historico!$A$2:$A$5000))),N(E4)+IF(C4="dias",SUMIFS(Movimentos!$D:$D,Movimentos!$A:$A,A4),SUMIFS(Movimentos!$F:$F,Movimentos!$A:$A,A4)))</f>
        <v/>
      </c>
      <c r="G4" s="22">
        <f>IF(D4="","",D4-F4)</f>
        <v/>
      </c>
      <c r="H4" s="20">
        <f>IF(N(D4)&gt;0,F4/D4,"")</f>
        <v/>
      </c>
      <c r="I4" s="18">
        <f>IF(G4="","",IF(G4&lt;0,"Além da meta",IF(H4&gt;=Regras!$B$3,"Atenção","OK")))</f>
        <v/>
      </c>
      <c r="J4" s="18">
        <f>IF(C4="corridas","-",IF(COUNTIFS(Movimentos!$A:$A,A4,Movimentos!$C:$C,"")&gt;0,"Sim","Não"))</f>
        <v/>
      </c>
      <c r="K4" s="18" t="n"/>
    </row>
    <row r="5">
      <c r="A5" s="17" t="inlineStr">
        <is>
          <t>Bender</t>
        </is>
      </c>
      <c r="B5" s="18" t="inlineStr">
        <is>
          <t>Componente</t>
        </is>
      </c>
      <c r="C5" s="18" t="inlineStr">
        <is>
          <t>t</t>
        </is>
      </c>
      <c r="D5" s="22" t="n">
        <v>1100000</v>
      </c>
      <c r="E5" s="23" t="n"/>
      <c r="F5" s="22">
        <f>IF(C5="corridas",SUMIFS(Historico!$E:$E,Historico!$B:$B,K5,Historico!$A:$A,SUMPRODUCT(MAX((Historico!$B$2:$B$5000=K5)*Historico!$A$2:$A$5000))),N(E5)+IF(C5="dias",SUMIFS(Movimentos!$D:$D,Movimentos!$A:$A,A5),SUMIFS(Movimentos!$F:$F,Movimentos!$A:$A,A5)))</f>
        <v/>
      </c>
      <c r="G5" s="22">
        <f>IF(D5="","",D5-F5)</f>
        <v/>
      </c>
      <c r="H5" s="20">
        <f>IF(N(D5)&gt;0,F5/D5,"")</f>
        <v/>
      </c>
      <c r="I5" s="18">
        <f>IF(G5="","",IF(G5&lt;0,"Além da meta",IF(H5&gt;=Regras!$B$3,"Atenção","OK")))</f>
        <v/>
      </c>
      <c r="J5" s="18">
        <f>IF(C5="corridas","-",IF(COUNTIFS(Movimentos!$A:$A,A5,Movimentos!$C:$C,"")&gt;0,"Sim","Não"))</f>
        <v/>
      </c>
      <c r="K5" s="18" t="n"/>
    </row>
    <row r="6">
      <c r="A6" s="17" t="inlineStr">
        <is>
          <t>Bow</t>
        </is>
      </c>
      <c r="B6" s="18" t="inlineStr">
        <is>
          <t>Componente</t>
        </is>
      </c>
      <c r="C6" s="18" t="inlineStr">
        <is>
          <t>t</t>
        </is>
      </c>
      <c r="D6" s="22" t="n">
        <v>1900000</v>
      </c>
      <c r="E6" s="23" t="n"/>
      <c r="F6" s="22">
        <f>IF(C6="corridas",SUMIFS(Historico!$E:$E,Historico!$B:$B,K6,Historico!$A:$A,SUMPRODUCT(MAX((Historico!$B$2:$B$5000=K6)*Historico!$A$2:$A$5000))),N(E6)+IF(C6="dias",SUMIFS(Movimentos!$D:$D,Movimentos!$A:$A,A6),SUMIFS(Movimentos!$F:$F,Movimentos!$A:$A,A6)))</f>
        <v/>
      </c>
      <c r="G6" s="22">
        <f>IF(D6="","",D6-F6)</f>
        <v/>
      </c>
      <c r="H6" s="20">
        <f>IF(N(D6)&gt;0,F6/D6,"")</f>
        <v/>
      </c>
      <c r="I6" s="18">
        <f>IF(G6="","",IF(G6&lt;0,"Além da meta",IF(H6&gt;=Regras!$B$3,"Atenção","OK")))</f>
        <v/>
      </c>
      <c r="J6" s="18">
        <f>IF(C6="corridas","-",IF(COUNTIFS(Movimentos!$A:$A,A6,Movimentos!$C:$C,"")&gt;0,"Sim","Não"))</f>
        <v/>
      </c>
      <c r="K6" s="18" t="n"/>
    </row>
    <row r="7">
      <c r="A7" s="17" t="inlineStr">
        <is>
          <t>Straightener R1</t>
        </is>
      </c>
      <c r="B7" s="18" t="inlineStr">
        <is>
          <t>Componente</t>
        </is>
      </c>
      <c r="C7" s="18" t="inlineStr">
        <is>
          <t>t</t>
        </is>
      </c>
      <c r="D7" s="22" t="n">
        <v>1700000</v>
      </c>
      <c r="E7" s="23" t="n"/>
      <c r="F7" s="22">
        <f>IF(C7="corridas",SUMIFS(Historico!$E:$E,Historico!$B:$B,K7,Historico!$A:$A,SUMPRODUCT(MAX((Historico!$B$2:$B$5000=K7)*Historico!$A$2:$A$5000))),N(E7)+IF(C7="dias",SUMIFS(Movimentos!$D:$D,Movimentos!$A:$A,A7),SUMIFS(Movimentos!$F:$F,Movimentos!$A:$A,A7)))</f>
        <v/>
      </c>
      <c r="G7" s="22">
        <f>IF(D7="","",D7-F7)</f>
        <v/>
      </c>
      <c r="H7" s="20">
        <f>IF(N(D7)&gt;0,F7/D7,"")</f>
        <v/>
      </c>
      <c r="I7" s="18">
        <f>IF(G7="","",IF(G7&lt;0,"Além da meta",IF(H7&gt;=Regras!$B$3,"Atenção","OK")))</f>
        <v/>
      </c>
      <c r="J7" s="18">
        <f>IF(C7="corridas","-",IF(COUNTIFS(Movimentos!$A:$A,A7,Movimentos!$C:$C,"")&gt;0,"Sim","Não"))</f>
        <v/>
      </c>
      <c r="K7" s="18" t="n"/>
    </row>
    <row r="8">
      <c r="A8" s="17" t="inlineStr">
        <is>
          <t>Straightener R2</t>
        </is>
      </c>
      <c r="B8" s="18" t="inlineStr">
        <is>
          <t>Componente</t>
        </is>
      </c>
      <c r="C8" s="18" t="inlineStr">
        <is>
          <t>t</t>
        </is>
      </c>
      <c r="D8" s="22" t="n">
        <v>1700000</v>
      </c>
      <c r="E8" s="23" t="n"/>
      <c r="F8" s="22">
        <f>IF(C8="corridas",SUMIFS(Historico!$E:$E,Historico!$B:$B,K8,Historico!$A:$A,SUMPRODUCT(MAX((Historico!$B$2:$B$5000=K8)*Historico!$A$2:$A$5000))),N(E8)+IF(C8="dias",SUMIFS(Movimentos!$D:$D,Movimentos!$A:$A,A8),SUMIFS(Movimentos!$F:$F,Movimentos!$A:$A,A8)))</f>
        <v/>
      </c>
      <c r="G8" s="22">
        <f>IF(D8="","",D8-F8)</f>
        <v/>
      </c>
      <c r="H8" s="20">
        <f>IF(N(D8)&gt;0,F8/D8,"")</f>
        <v/>
      </c>
      <c r="I8" s="18">
        <f>IF(G8="","",IF(G8&lt;0,"Além da meta",IF(H8&gt;=Regras!$B$3,"Atenção","OK")))</f>
        <v/>
      </c>
      <c r="J8" s="18">
        <f>IF(C8="corridas","-",IF(COUNTIFS(Movimentos!$A:$A,A8,Movimentos!$C:$C,"")&gt;0,"Sim","Não"))</f>
        <v/>
      </c>
      <c r="K8" s="18" t="n"/>
    </row>
    <row r="9">
      <c r="A9" s="17" t="inlineStr">
        <is>
          <t>Horizontal</t>
        </is>
      </c>
      <c r="B9" s="18" t="inlineStr">
        <is>
          <t>Componente</t>
        </is>
      </c>
      <c r="C9" s="18" t="inlineStr">
        <is>
          <t>t</t>
        </is>
      </c>
      <c r="D9" s="22" t="n">
        <v>3300000</v>
      </c>
      <c r="E9" s="23" t="n"/>
      <c r="F9" s="22">
        <f>IF(C9="corridas",SUMIFS(Historico!$E:$E,Historico!$B:$B,K9,Historico!$A:$A,SUMPRODUCT(MAX((Historico!$B$2:$B$5000=K9)*Historico!$A$2:$A$5000))),N(E9)+IF(C9="dias",SUMIFS(Movimentos!$D:$D,Movimentos!$A:$A,A9),SUMIFS(Movimentos!$F:$F,Movimentos!$A:$A,A9)))</f>
        <v/>
      </c>
      <c r="G9" s="22">
        <f>IF(D9="","",D9-F9)</f>
        <v/>
      </c>
      <c r="H9" s="20">
        <f>IF(N(D9)&gt;0,F9/D9,"")</f>
        <v/>
      </c>
      <c r="I9" s="18">
        <f>IF(G9="","",IF(G9&lt;0,"Além da meta",IF(H9&gt;=Regras!$B$3,"Atenção","OK")))</f>
        <v/>
      </c>
      <c r="J9" s="18">
        <f>IF(C9="corridas","-",IF(COUNTIFS(Movimentos!$A:$A,A9,Movimentos!$C:$C,"")&gt;0,"Sim","Não"))</f>
        <v/>
      </c>
      <c r="K9" s="18" t="n"/>
    </row>
    <row r="12">
      <c r="A12" s="24" t="inlineStr">
        <is>
          <t>Amarelo = pode digitar. Meta e acumulado inicial são seus; o resto é calculado.</t>
        </is>
      </c>
    </row>
  </sheetData>
  <conditionalFormatting sqref="H2:H9">
    <cfRule type="dataBar" priority="1">
      <dataBar showValue="1">
        <cfvo type="num" val="0"/>
        <cfvo type="num" val="1"/>
        <color rgb="005B9BD5"/>
      </dataBar>
    </cfRule>
  </conditionalFormatting>
  <conditionalFormatting sqref="I2:I9">
    <cfRule type="cellIs" priority="2" operator="equal" dxfId="0">
      <formula>"Além da meta"</formula>
    </cfRule>
    <cfRule type="cellIs" priority="3" operator="equal" dxfId="1">
      <formula>"Atenção"</formula>
    </cfRule>
    <cfRule type="cellIs" priority="4" operator="equal" dxfId="2">
      <formula>"OK"</formula>
    </cfRule>
  </conditionalFormatting>
  <dataValidations count="1">
    <dataValidation sqref="C2:C200" showDropDown="0" showInputMessage="0" showErrorMessage="0" allowBlank="1" type="list">
      <formula1>"t,corridas,dias"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0" customWidth="1" min="4" max="4"/>
    <col width="12" customWidth="1" min="5" max="5"/>
    <col width="10" customWidth="1" min="6" max="6"/>
    <col width="16" customWidth="1" min="7" max="7"/>
    <col width="14" customWidth="1" min="8" max="8"/>
    <col width="12" customWidth="1" min="9" max="9"/>
    <col width="18" customWidth="1" min="10" max="10"/>
    <col width="14" customWidth="1" min="11" max="11"/>
    <col width="12" customWidth="1" min="12" max="12"/>
    <col width="13" customWidth="1" min="13" max="13"/>
  </cols>
  <sheetData>
    <row r="1" ht="40" customHeight="1">
      <c r="A1" s="21" t="inlineStr">
        <is>
          <t>Veio</t>
        </is>
      </c>
      <c r="B1" s="21" t="inlineStr">
        <is>
          <t>MCC</t>
        </is>
      </c>
      <c r="C1" s="21" t="inlineStr">
        <is>
          <t>Molde atual</t>
        </is>
      </c>
      <c r="D1" s="21" t="inlineStr">
        <is>
          <t>Meta</t>
        </is>
      </c>
      <c r="E1" s="21" t="inlineStr">
        <is>
          <t>Acumulado</t>
        </is>
      </c>
      <c r="F1" s="21" t="inlineStr">
        <is>
          <t>Falta</t>
        </is>
      </c>
      <c r="G1" s="21" t="inlineStr">
        <is>
          <t>%</t>
        </is>
      </c>
      <c r="H1" s="21" t="inlineStr">
        <is>
          <t>Situação</t>
        </is>
      </c>
      <c r="I1" s="21" t="inlineStr">
        <is>
          <t>Trocas (qtd)</t>
        </is>
      </c>
      <c r="J1" s="21" t="inlineStr">
        <is>
          <t>Corridas médias na saída</t>
        </is>
      </c>
      <c r="K1" s="21" t="inlineStr">
        <is>
          <t>Última troca</t>
        </is>
      </c>
      <c r="L1" s="21" t="inlineStr">
        <is>
          <t>Dias parado</t>
        </is>
      </c>
      <c r="M1" s="21" t="inlineStr">
        <is>
          <t>Dados de</t>
        </is>
      </c>
    </row>
    <row r="2">
      <c r="A2" s="18" t="inlineStr">
        <is>
          <t>C</t>
        </is>
      </c>
      <c r="B2" s="18" t="inlineStr">
        <is>
          <t>MCC2</t>
        </is>
      </c>
      <c r="C2" s="18">
        <f>IF(M2=0,"",SUMIFS(Historico!$C:$C,Historico!$B:$B,A2,Historico!$A:$A,M2))</f>
        <v/>
      </c>
      <c r="D2" s="25">
        <f>IF(M2=0,"",SUMIFS(Historico!$D:$D,Historico!$B:$B,A2,Historico!$A:$A,M2))</f>
        <v/>
      </c>
      <c r="E2" s="25">
        <f>IF(M2=0,"",SUMIFS(Historico!$E:$E,Historico!$B:$B,A2,Historico!$A:$A,M2))</f>
        <v/>
      </c>
      <c r="F2" s="25">
        <f>IF(M2=0,"",D2-E2)</f>
        <v/>
      </c>
      <c r="G2" s="26">
        <f>IF(M2=0,"",IF(N(D2)&gt;0,E2/D2,""))</f>
        <v/>
      </c>
      <c r="H2" s="18">
        <f>IF(M2=0,"",IF(F2&lt;0,"Além da meta",IF(G2&gt;=Regras!$B$3,"Atenção","OK")))</f>
        <v/>
      </c>
      <c r="I2" s="18">
        <f>COUNTIFS(Trocas!$B:$B,A2)</f>
        <v/>
      </c>
      <c r="J2" s="25">
        <f>IFERROR(AVERAGEIFS(Trocas!$E:$E,Trocas!$B:$B,A2),"-")</f>
        <v/>
      </c>
      <c r="K2" s="27">
        <f>IF(I2=0,"-",SUMPRODUCT(MAX((Trocas!$B$2:$B$5000=A2)*Trocas!$A$2:$A$5000)))</f>
        <v/>
      </c>
      <c r="L2" s="18">
        <f>SUMIFS(Paradas!$E:$E,Paradas!$C:$C,A2)</f>
        <v/>
      </c>
      <c r="M2" s="28">
        <f>SUMPRODUCT(MAX((Historico!$B$2:$B$5000=A2)*Historico!$A$2:$A$5000))</f>
        <v/>
      </c>
    </row>
    <row r="3">
      <c r="A3" s="18" t="inlineStr">
        <is>
          <t>D</t>
        </is>
      </c>
      <c r="B3" s="18" t="inlineStr">
        <is>
          <t>MCC2</t>
        </is>
      </c>
      <c r="C3" s="18">
        <f>IF(M3=0,"",SUMIFS(Historico!$C:$C,Historico!$B:$B,A3,Historico!$A:$A,M3))</f>
        <v/>
      </c>
      <c r="D3" s="25">
        <f>IF(M3=0,"",SUMIFS(Historico!$D:$D,Historico!$B:$B,A3,Historico!$A:$A,M3))</f>
        <v/>
      </c>
      <c r="E3" s="25">
        <f>IF(M3=0,"",SUMIFS(Historico!$E:$E,Historico!$B:$B,A3,Historico!$A:$A,M3))</f>
        <v/>
      </c>
      <c r="F3" s="25">
        <f>IF(M3=0,"",D3-E3)</f>
        <v/>
      </c>
      <c r="G3" s="26">
        <f>IF(M3=0,"",IF(N(D3)&gt;0,E3/D3,""))</f>
        <v/>
      </c>
      <c r="H3" s="18">
        <f>IF(M3=0,"",IF(F3&lt;0,"Além da meta",IF(G3&gt;=Regras!$B$3,"Atenção","OK")))</f>
        <v/>
      </c>
      <c r="I3" s="18">
        <f>COUNTIFS(Trocas!$B:$B,A3)</f>
        <v/>
      </c>
      <c r="J3" s="25">
        <f>IFERROR(AVERAGEIFS(Trocas!$E:$E,Trocas!$B:$B,A3),"-")</f>
        <v/>
      </c>
      <c r="K3" s="27">
        <f>IF(I3=0,"-",SUMPRODUCT(MAX((Trocas!$B$2:$B$5000=A3)*Trocas!$A$2:$A$5000)))</f>
        <v/>
      </c>
      <c r="L3" s="18">
        <f>SUMIFS(Paradas!$E:$E,Paradas!$C:$C,A3)</f>
        <v/>
      </c>
      <c r="M3" s="28">
        <f>SUMPRODUCT(MAX((Historico!$B$2:$B$5000=A3)*Historico!$A$2:$A$5000))</f>
        <v/>
      </c>
    </row>
    <row r="4">
      <c r="A4" s="18" t="inlineStr">
        <is>
          <t>E</t>
        </is>
      </c>
      <c r="B4" s="18" t="inlineStr">
        <is>
          <t>MCC3</t>
        </is>
      </c>
      <c r="C4" s="18">
        <f>IF(M4=0,"",SUMIFS(Historico!$C:$C,Historico!$B:$B,A4,Historico!$A:$A,M4))</f>
        <v/>
      </c>
      <c r="D4" s="25">
        <f>IF(M4=0,"",SUMIFS(Historico!$D:$D,Historico!$B:$B,A4,Historico!$A:$A,M4))</f>
        <v/>
      </c>
      <c r="E4" s="25">
        <f>IF(M4=0,"",SUMIFS(Historico!$E:$E,Historico!$B:$B,A4,Historico!$A:$A,M4))</f>
        <v/>
      </c>
      <c r="F4" s="25">
        <f>IF(M4=0,"",D4-E4)</f>
        <v/>
      </c>
      <c r="G4" s="26">
        <f>IF(M4=0,"",IF(N(D4)&gt;0,E4/D4,""))</f>
        <v/>
      </c>
      <c r="H4" s="18">
        <f>IF(M4=0,"",IF(F4&lt;0,"Além da meta",IF(G4&gt;=Regras!$B$3,"Atenção","OK")))</f>
        <v/>
      </c>
      <c r="I4" s="18">
        <f>COUNTIFS(Trocas!$B:$B,A4)</f>
        <v/>
      </c>
      <c r="J4" s="25">
        <f>IFERROR(AVERAGEIFS(Trocas!$E:$E,Trocas!$B:$B,A4),"-")</f>
        <v/>
      </c>
      <c r="K4" s="27">
        <f>IF(I4=0,"-",SUMPRODUCT(MAX((Trocas!$B$2:$B$5000=A4)*Trocas!$A$2:$A$5000)))</f>
        <v/>
      </c>
      <c r="L4" s="18">
        <f>SUMIFS(Paradas!$E:$E,Paradas!$C:$C,A4)</f>
        <v/>
      </c>
      <c r="M4" s="28">
        <f>SUMPRODUCT(MAX((Historico!$B$2:$B$5000=A4)*Historico!$A$2:$A$5000))</f>
        <v/>
      </c>
    </row>
    <row r="5">
      <c r="A5" s="18" t="inlineStr">
        <is>
          <t>F</t>
        </is>
      </c>
      <c r="B5" s="18" t="inlineStr">
        <is>
          <t>MCC3</t>
        </is>
      </c>
      <c r="C5" s="18">
        <f>IF(M5=0,"",SUMIFS(Historico!$C:$C,Historico!$B:$B,A5,Historico!$A:$A,M5))</f>
        <v/>
      </c>
      <c r="D5" s="25">
        <f>IF(M5=0,"",SUMIFS(Historico!$D:$D,Historico!$B:$B,A5,Historico!$A:$A,M5))</f>
        <v/>
      </c>
      <c r="E5" s="25">
        <f>IF(M5=0,"",SUMIFS(Historico!$E:$E,Historico!$B:$B,A5,Historico!$A:$A,M5))</f>
        <v/>
      </c>
      <c r="F5" s="25">
        <f>IF(M5=0,"",D5-E5)</f>
        <v/>
      </c>
      <c r="G5" s="26">
        <f>IF(M5=0,"",IF(N(D5)&gt;0,E5/D5,""))</f>
        <v/>
      </c>
      <c r="H5" s="18">
        <f>IF(M5=0,"",IF(F5&lt;0,"Além da meta",IF(G5&gt;=Regras!$B$3,"Atenção","OK")))</f>
        <v/>
      </c>
      <c r="I5" s="18">
        <f>COUNTIFS(Trocas!$B:$B,A5)</f>
        <v/>
      </c>
      <c r="J5" s="25">
        <f>IFERROR(AVERAGEIFS(Trocas!$E:$E,Trocas!$B:$B,A5),"-")</f>
        <v/>
      </c>
      <c r="K5" s="27">
        <f>IF(I5=0,"-",SUMPRODUCT(MAX((Trocas!$B$2:$B$5000=A5)*Trocas!$A$2:$A$5000)))</f>
        <v/>
      </c>
      <c r="L5" s="18">
        <f>SUMIFS(Paradas!$E:$E,Paradas!$C:$C,A5)</f>
        <v/>
      </c>
      <c r="M5" s="28">
        <f>SUMPRODUCT(MAX((Historico!$B$2:$B$5000=A5)*Historico!$A$2:$A$5000))</f>
        <v/>
      </c>
    </row>
    <row r="6">
      <c r="A6" s="18" t="inlineStr">
        <is>
          <t>G</t>
        </is>
      </c>
      <c r="B6" s="18" t="inlineStr">
        <is>
          <t>MCC4</t>
        </is>
      </c>
      <c r="C6" s="18">
        <f>IF(M6=0,"",SUMIFS(Historico!$C:$C,Historico!$B:$B,A6,Historico!$A:$A,M6))</f>
        <v/>
      </c>
      <c r="D6" s="25">
        <f>IF(M6=0,"",SUMIFS(Historico!$D:$D,Historico!$B:$B,A6,Historico!$A:$A,M6))</f>
        <v/>
      </c>
      <c r="E6" s="25">
        <f>IF(M6=0,"",SUMIFS(Historico!$E:$E,Historico!$B:$B,A6,Historico!$A:$A,M6))</f>
        <v/>
      </c>
      <c r="F6" s="25">
        <f>IF(M6=0,"",D6-E6)</f>
        <v/>
      </c>
      <c r="G6" s="26">
        <f>IF(M6=0,"",IF(N(D6)&gt;0,E6/D6,""))</f>
        <v/>
      </c>
      <c r="H6" s="18">
        <f>IF(M6=0,"",IF(F6&lt;0,"Além da meta",IF(G6&gt;=Regras!$B$3,"Atenção","OK")))</f>
        <v/>
      </c>
      <c r="I6" s="18">
        <f>COUNTIFS(Trocas!$B:$B,A6)</f>
        <v/>
      </c>
      <c r="J6" s="25">
        <f>IFERROR(AVERAGEIFS(Trocas!$E:$E,Trocas!$B:$B,A6),"-")</f>
        <v/>
      </c>
      <c r="K6" s="27">
        <f>IF(I6=0,"-",SUMPRODUCT(MAX((Trocas!$B$2:$B$5000=A6)*Trocas!$A$2:$A$5000)))</f>
        <v/>
      </c>
      <c r="L6" s="18">
        <f>SUMIFS(Paradas!$E:$E,Paradas!$C:$C,A6)</f>
        <v/>
      </c>
      <c r="M6" s="28">
        <f>SUMPRODUCT(MAX((Historico!$B$2:$B$5000=A6)*Historico!$A$2:$A$5000))</f>
        <v/>
      </c>
    </row>
    <row r="7">
      <c r="A7" s="18" t="inlineStr">
        <is>
          <t>H</t>
        </is>
      </c>
      <c r="B7" s="18" t="inlineStr">
        <is>
          <t>MCC4</t>
        </is>
      </c>
      <c r="C7" s="18">
        <f>IF(M7=0,"",SUMIFS(Historico!$C:$C,Historico!$B:$B,A7,Historico!$A:$A,M7))</f>
        <v/>
      </c>
      <c r="D7" s="25">
        <f>IF(M7=0,"",SUMIFS(Historico!$D:$D,Historico!$B:$B,A7,Historico!$A:$A,M7))</f>
        <v/>
      </c>
      <c r="E7" s="25">
        <f>IF(M7=0,"",SUMIFS(Historico!$E:$E,Historico!$B:$B,A7,Historico!$A:$A,M7))</f>
        <v/>
      </c>
      <c r="F7" s="25">
        <f>IF(M7=0,"",D7-E7)</f>
        <v/>
      </c>
      <c r="G7" s="26">
        <f>IF(M7=0,"",IF(N(D7)&gt;0,E7/D7,""))</f>
        <v/>
      </c>
      <c r="H7" s="18">
        <f>IF(M7=0,"",IF(F7&lt;0,"Além da meta",IF(G7&gt;=Regras!$B$3,"Atenção","OK")))</f>
        <v/>
      </c>
      <c r="I7" s="18">
        <f>COUNTIFS(Trocas!$B:$B,A7)</f>
        <v/>
      </c>
      <c r="J7" s="25">
        <f>IFERROR(AVERAGEIFS(Trocas!$E:$E,Trocas!$B:$B,A7),"-")</f>
        <v/>
      </c>
      <c r="K7" s="27">
        <f>IF(I7=0,"-",SUMPRODUCT(MAX((Trocas!$B$2:$B$5000=A7)*Trocas!$A$2:$A$5000)))</f>
        <v/>
      </c>
      <c r="L7" s="18">
        <f>SUMIFS(Paradas!$E:$E,Paradas!$C:$C,A7)</f>
        <v/>
      </c>
      <c r="M7" s="28">
        <f>SUMPRODUCT(MAX((Historico!$B$2:$B$5000=A7)*Historico!$A$2:$A$5000))</f>
        <v/>
      </c>
    </row>
    <row r="9">
      <c r="A9" s="24" t="inlineStr">
        <is>
          <t>Mostra todos os veios (C a H) com o último dado importado pelo robô. Corridas médias na saída = média das trocas já registradas.</t>
        </is>
      </c>
    </row>
  </sheetData>
  <conditionalFormatting sqref="G2:G7">
    <cfRule type="dataBar" priority="1">
      <dataBar showValue="1">
        <cfvo type="num" val="0"/>
        <cfvo type="num" val="1"/>
        <color rgb="005B9BD5"/>
      </dataBar>
    </cfRule>
  </conditionalFormatting>
  <conditionalFormatting sqref="H2:H7">
    <cfRule type="cellIs" priority="2" operator="equal" dxfId="0">
      <formula>"Além da meta"</formula>
    </cfRule>
    <cfRule type="cellIs" priority="3" operator="equal" dxfId="1">
      <formula>"Atenção"</formula>
    </cfRule>
    <cfRule type="cellIs" priority="4" operator="equal" dxfId="2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4" customWidth="1" min="4" max="4"/>
    <col width="32" customWidth="1" min="5" max="5"/>
    <col width="20" customWidth="1" min="6" max="6"/>
  </cols>
  <sheetData>
    <row r="1" ht="32" customHeight="1">
      <c r="A1" s="29" t="inlineStr">
        <is>
          <t>Equipamento</t>
        </is>
      </c>
      <c r="B1" s="29" t="inlineStr">
        <is>
          <t>Entrada</t>
        </is>
      </c>
      <c r="C1" s="29" t="inlineStr">
        <is>
          <t>Saída</t>
        </is>
      </c>
      <c r="D1" s="29" t="inlineStr">
        <is>
          <t>Dias rodados</t>
        </is>
      </c>
      <c r="E1" s="29" t="inlineStr">
        <is>
          <t>Alerta</t>
        </is>
      </c>
      <c r="F1" s="29" t="inlineStr">
        <is>
          <t>Toneladas do período</t>
        </is>
      </c>
    </row>
    <row r="2">
      <c r="A2" s="30" t="n"/>
      <c r="B2" s="31" t="n"/>
      <c r="C2" s="31" t="n"/>
      <c r="D2">
        <f>IF(B2="","",IF(C2="",TODAY(),C2)-B2)</f>
        <v/>
      </c>
      <c r="E2">
        <f>IF(A2="","",IF(COUNTIFS($A:$A,A2,$C:$C,"")&gt;1,"Mais de uma entrada em aberto",IF(AND(C2&lt;&gt;"",C2&lt;B2),"Saída antes da entrada","")))</f>
        <v/>
      </c>
      <c r="F2" s="32">
        <f>IF(OR(A2="",B2=""),"",SUMIFS(Producao!$B:$B,Producao!$A:$A,"&gt;="&amp;B2,Producao!$A:$A,"&lt;"&amp;IF(C2="",TODAY()+1,C2)))</f>
        <v/>
      </c>
    </row>
    <row r="3">
      <c r="A3" s="30" t="n"/>
      <c r="B3" s="31" t="n"/>
      <c r="C3" s="31" t="n"/>
      <c r="D3">
        <f>IF(B3="","",IF(C3="",TODAY(),C3)-B3)</f>
        <v/>
      </c>
      <c r="E3">
        <f>IF(A3="","",IF(COUNTIFS($A:$A,A3,$C:$C,"")&gt;1,"Mais de uma entrada em aberto",IF(AND(C3&lt;&gt;"",C3&lt;B3),"Saída antes da entrada","")))</f>
        <v/>
      </c>
      <c r="F3" s="32">
        <f>IF(OR(A3="",B3=""),"",SUMIFS(Producao!$B:$B,Producao!$A:$A,"&gt;="&amp;B3,Producao!$A:$A,"&lt;"&amp;IF(C3="",TODAY()+1,C3)))</f>
        <v/>
      </c>
    </row>
    <row r="4">
      <c r="A4" s="30" t="n"/>
      <c r="B4" s="31" t="n"/>
      <c r="C4" s="31" t="n"/>
      <c r="D4">
        <f>IF(B4="","",IF(C4="",TODAY(),C4)-B4)</f>
        <v/>
      </c>
      <c r="E4">
        <f>IF(A4="","",IF(COUNTIFS($A:$A,A4,$C:$C,"")&gt;1,"Mais de uma entrada em aberto",IF(AND(C4&lt;&gt;"",C4&lt;B4),"Saída antes da entrada","")))</f>
        <v/>
      </c>
      <c r="F4" s="32">
        <f>IF(OR(A4="",B4=""),"",SUMIFS(Producao!$B:$B,Producao!$A:$A,"&gt;="&amp;B4,Producao!$A:$A,"&lt;"&amp;IF(C4="",TODAY()+1,C4)))</f>
        <v/>
      </c>
    </row>
    <row r="5">
      <c r="A5" s="30" t="n"/>
      <c r="B5" s="31" t="n"/>
      <c r="C5" s="31" t="n"/>
      <c r="D5">
        <f>IF(B5="","",IF(C5="",TODAY(),C5)-B5)</f>
        <v/>
      </c>
      <c r="E5">
        <f>IF(A5="","",IF(COUNTIFS($A:$A,A5,$C:$C,"")&gt;1,"Mais de uma entrada em aberto",IF(AND(C5&lt;&gt;"",C5&lt;B5),"Saída antes da entrada","")))</f>
        <v/>
      </c>
      <c r="F5" s="32">
        <f>IF(OR(A5="",B5=""),"",SUMIFS(Producao!$B:$B,Producao!$A:$A,"&gt;="&amp;B5,Producao!$A:$A,"&lt;"&amp;IF(C5="",TODAY()+1,C5)))</f>
        <v/>
      </c>
    </row>
    <row r="6">
      <c r="A6" s="30" t="n"/>
      <c r="B6" s="31" t="n"/>
      <c r="C6" s="31" t="n"/>
      <c r="D6">
        <f>IF(B6="","",IF(C6="",TODAY(),C6)-B6)</f>
        <v/>
      </c>
      <c r="E6">
        <f>IF(A6="","",IF(COUNTIFS($A:$A,A6,$C:$C,"")&gt;1,"Mais de uma entrada em aberto",IF(AND(C6&lt;&gt;"",C6&lt;B6),"Saída antes da entrada","")))</f>
        <v/>
      </c>
      <c r="F6" s="32">
        <f>IF(OR(A6="",B6=""),"",SUMIFS(Producao!$B:$B,Producao!$A:$A,"&gt;="&amp;B6,Producao!$A:$A,"&lt;"&amp;IF(C6="",TODAY()+1,C6)))</f>
        <v/>
      </c>
    </row>
    <row r="7">
      <c r="A7" s="30" t="n"/>
      <c r="B7" s="31" t="n"/>
      <c r="C7" s="31" t="n"/>
      <c r="D7">
        <f>IF(B7="","",IF(C7="",TODAY(),C7)-B7)</f>
        <v/>
      </c>
      <c r="E7">
        <f>IF(A7="","",IF(COUNTIFS($A:$A,A7,$C:$C,"")&gt;1,"Mais de uma entrada em aberto",IF(AND(C7&lt;&gt;"",C7&lt;B7),"Saída antes da entrada","")))</f>
        <v/>
      </c>
      <c r="F7" s="32">
        <f>IF(OR(A7="",B7=""),"",SUMIFS(Producao!$B:$B,Producao!$A:$A,"&gt;="&amp;B7,Producao!$A:$A,"&lt;"&amp;IF(C7="",TODAY()+1,C7)))</f>
        <v/>
      </c>
    </row>
    <row r="8">
      <c r="A8" s="30" t="n"/>
      <c r="B8" s="31" t="n"/>
      <c r="C8" s="31" t="n"/>
      <c r="D8">
        <f>IF(B8="","",IF(C8="",TODAY(),C8)-B8)</f>
        <v/>
      </c>
      <c r="E8">
        <f>IF(A8="","",IF(COUNTIFS($A:$A,A8,$C:$C,"")&gt;1,"Mais de uma entrada em aberto",IF(AND(C8&lt;&gt;"",C8&lt;B8),"Saída antes da entrada","")))</f>
        <v/>
      </c>
      <c r="F8" s="32">
        <f>IF(OR(A8="",B8=""),"",SUMIFS(Producao!$B:$B,Producao!$A:$A,"&gt;="&amp;B8,Producao!$A:$A,"&lt;"&amp;IF(C8="",TODAY()+1,C8)))</f>
        <v/>
      </c>
    </row>
    <row r="9">
      <c r="A9" s="30" t="n"/>
      <c r="B9" s="31" t="n"/>
      <c r="C9" s="31" t="n"/>
      <c r="D9">
        <f>IF(B9="","",IF(C9="",TODAY(),C9)-B9)</f>
        <v/>
      </c>
      <c r="E9">
        <f>IF(A9="","",IF(COUNTIFS($A:$A,A9,$C:$C,"")&gt;1,"Mais de uma entrada em aberto",IF(AND(C9&lt;&gt;"",C9&lt;B9),"Saída antes da entrada","")))</f>
        <v/>
      </c>
      <c r="F9" s="32">
        <f>IF(OR(A9="",B9=""),"",SUMIFS(Producao!$B:$B,Producao!$A:$A,"&gt;="&amp;B9,Producao!$A:$A,"&lt;"&amp;IF(C9="",TODAY()+1,C9)))</f>
        <v/>
      </c>
    </row>
    <row r="10">
      <c r="A10" s="30" t="n"/>
      <c r="B10" s="31" t="n"/>
      <c r="C10" s="31" t="n"/>
      <c r="D10">
        <f>IF(B10="","",IF(C10="",TODAY(),C10)-B10)</f>
        <v/>
      </c>
      <c r="E10">
        <f>IF(A10="","",IF(COUNTIFS($A:$A,A10,$C:$C,"")&gt;1,"Mais de uma entrada em aberto",IF(AND(C10&lt;&gt;"",C10&lt;B10),"Saída antes da entrada","")))</f>
        <v/>
      </c>
      <c r="F10" s="32">
        <f>IF(OR(A10="",B10=""),"",SUMIFS(Producao!$B:$B,Producao!$A:$A,"&gt;="&amp;B10,Producao!$A:$A,"&lt;"&amp;IF(C10="",TODAY()+1,C10)))</f>
        <v/>
      </c>
    </row>
    <row r="11">
      <c r="A11" s="30" t="n"/>
      <c r="B11" s="31" t="n"/>
      <c r="C11" s="31" t="n"/>
      <c r="D11">
        <f>IF(B11="","",IF(C11="",TODAY(),C11)-B11)</f>
        <v/>
      </c>
      <c r="E11">
        <f>IF(A11="","",IF(COUNTIFS($A:$A,A11,$C:$C,"")&gt;1,"Mais de uma entrada em aberto",IF(AND(C11&lt;&gt;"",C11&lt;B11),"Saída antes da entrada","")))</f>
        <v/>
      </c>
      <c r="F11" s="32">
        <f>IF(OR(A11="",B11=""),"",SUMIFS(Producao!$B:$B,Producao!$A:$A,"&gt;="&amp;B11,Producao!$A:$A,"&lt;"&amp;IF(C11="",TODAY()+1,C11)))</f>
        <v/>
      </c>
    </row>
    <row r="12">
      <c r="A12" s="30" t="n"/>
      <c r="B12" s="31" t="n"/>
      <c r="C12" s="31" t="n"/>
      <c r="D12">
        <f>IF(B12="","",IF(C12="",TODAY(),C12)-B12)</f>
        <v/>
      </c>
      <c r="E12">
        <f>IF(A12="","",IF(COUNTIFS($A:$A,A12,$C:$C,"")&gt;1,"Mais de uma entrada em aberto",IF(AND(C12&lt;&gt;"",C12&lt;B12),"Saída antes da entrada","")))</f>
        <v/>
      </c>
      <c r="F12" s="32">
        <f>IF(OR(A12="",B12=""),"",SUMIFS(Producao!$B:$B,Producao!$A:$A,"&gt;="&amp;B12,Producao!$A:$A,"&lt;"&amp;IF(C12="",TODAY()+1,C12)))</f>
        <v/>
      </c>
    </row>
    <row r="13">
      <c r="A13" s="30" t="n"/>
      <c r="B13" s="31" t="n"/>
      <c r="C13" s="31" t="n"/>
      <c r="D13">
        <f>IF(B13="","",IF(C13="",TODAY(),C13)-B13)</f>
        <v/>
      </c>
      <c r="E13">
        <f>IF(A13="","",IF(COUNTIFS($A:$A,A13,$C:$C,"")&gt;1,"Mais de uma entrada em aberto",IF(AND(C13&lt;&gt;"",C13&lt;B13),"Saída antes da entrada","")))</f>
        <v/>
      </c>
      <c r="F13" s="32">
        <f>IF(OR(A13="",B13=""),"",SUMIFS(Producao!$B:$B,Producao!$A:$A,"&gt;="&amp;B13,Producao!$A:$A,"&lt;"&amp;IF(C13="",TODAY()+1,C13)))</f>
        <v/>
      </c>
    </row>
    <row r="14">
      <c r="A14" s="30" t="n"/>
      <c r="B14" s="31" t="n"/>
      <c r="C14" s="31" t="n"/>
      <c r="D14">
        <f>IF(B14="","",IF(C14="",TODAY(),C14)-B14)</f>
        <v/>
      </c>
      <c r="E14">
        <f>IF(A14="","",IF(COUNTIFS($A:$A,A14,$C:$C,"")&gt;1,"Mais de uma entrada em aberto",IF(AND(C14&lt;&gt;"",C14&lt;B14),"Saída antes da entrada","")))</f>
        <v/>
      </c>
      <c r="F14" s="32">
        <f>IF(OR(A14="",B14=""),"",SUMIFS(Producao!$B:$B,Producao!$A:$A,"&gt;="&amp;B14,Producao!$A:$A,"&lt;"&amp;IF(C14="",TODAY()+1,C14)))</f>
        <v/>
      </c>
    </row>
    <row r="15">
      <c r="A15" s="30" t="n"/>
      <c r="B15" s="31" t="n"/>
      <c r="C15" s="31" t="n"/>
      <c r="D15">
        <f>IF(B15="","",IF(C15="",TODAY(),C15)-B15)</f>
        <v/>
      </c>
      <c r="E15">
        <f>IF(A15="","",IF(COUNTIFS($A:$A,A15,$C:$C,"")&gt;1,"Mais de uma entrada em aberto",IF(AND(C15&lt;&gt;"",C15&lt;B15),"Saída antes da entrada","")))</f>
        <v/>
      </c>
      <c r="F15" s="32">
        <f>IF(OR(A15="",B15=""),"",SUMIFS(Producao!$B:$B,Producao!$A:$A,"&gt;="&amp;B15,Producao!$A:$A,"&lt;"&amp;IF(C15="",TODAY()+1,C15)))</f>
        <v/>
      </c>
    </row>
    <row r="16">
      <c r="A16" s="30" t="n"/>
      <c r="B16" s="31" t="n"/>
      <c r="C16" s="31" t="n"/>
      <c r="D16">
        <f>IF(B16="","",IF(C16="",TODAY(),C16)-B16)</f>
        <v/>
      </c>
      <c r="E16">
        <f>IF(A16="","",IF(COUNTIFS($A:$A,A16,$C:$C,"")&gt;1,"Mais de uma entrada em aberto",IF(AND(C16&lt;&gt;"",C16&lt;B16),"Saída antes da entrada","")))</f>
        <v/>
      </c>
      <c r="F16" s="32">
        <f>IF(OR(A16="",B16=""),"",SUMIFS(Producao!$B:$B,Producao!$A:$A,"&gt;="&amp;B16,Producao!$A:$A,"&lt;"&amp;IF(C16="",TODAY()+1,C16)))</f>
        <v/>
      </c>
    </row>
    <row r="17">
      <c r="A17" s="30" t="n"/>
      <c r="B17" s="31" t="n"/>
      <c r="C17" s="31" t="n"/>
      <c r="D17">
        <f>IF(B17="","",IF(C17="",TODAY(),C17)-B17)</f>
        <v/>
      </c>
      <c r="E17">
        <f>IF(A17="","",IF(COUNTIFS($A:$A,A17,$C:$C,"")&gt;1,"Mais de uma entrada em aberto",IF(AND(C17&lt;&gt;"",C17&lt;B17),"Saída antes da entrada","")))</f>
        <v/>
      </c>
      <c r="F17" s="32">
        <f>IF(OR(A17="",B17=""),"",SUMIFS(Producao!$B:$B,Producao!$A:$A,"&gt;="&amp;B17,Producao!$A:$A,"&lt;"&amp;IF(C17="",TODAY()+1,C17)))</f>
        <v/>
      </c>
    </row>
    <row r="18">
      <c r="A18" s="30" t="n"/>
      <c r="B18" s="31" t="n"/>
      <c r="C18" s="31" t="n"/>
      <c r="D18">
        <f>IF(B18="","",IF(C18="",TODAY(),C18)-B18)</f>
        <v/>
      </c>
      <c r="E18">
        <f>IF(A18="","",IF(COUNTIFS($A:$A,A18,$C:$C,"")&gt;1,"Mais de uma entrada em aberto",IF(AND(C18&lt;&gt;"",C18&lt;B18),"Saída antes da entrada","")))</f>
        <v/>
      </c>
      <c r="F18" s="32">
        <f>IF(OR(A18="",B18=""),"",SUMIFS(Producao!$B:$B,Producao!$A:$A,"&gt;="&amp;B18,Producao!$A:$A,"&lt;"&amp;IF(C18="",TODAY()+1,C18)))</f>
        <v/>
      </c>
    </row>
    <row r="19">
      <c r="A19" s="30" t="n"/>
      <c r="B19" s="31" t="n"/>
      <c r="C19" s="31" t="n"/>
      <c r="D19">
        <f>IF(B19="","",IF(C19="",TODAY(),C19)-B19)</f>
        <v/>
      </c>
      <c r="E19">
        <f>IF(A19="","",IF(COUNTIFS($A:$A,A19,$C:$C,"")&gt;1,"Mais de uma entrada em aberto",IF(AND(C19&lt;&gt;"",C19&lt;B19),"Saída antes da entrada","")))</f>
        <v/>
      </c>
      <c r="F19" s="32">
        <f>IF(OR(A19="",B19=""),"",SUMIFS(Producao!$B:$B,Producao!$A:$A,"&gt;="&amp;B19,Producao!$A:$A,"&lt;"&amp;IF(C19="",TODAY()+1,C19)))</f>
        <v/>
      </c>
    </row>
    <row r="20">
      <c r="A20" s="30" t="n"/>
      <c r="B20" s="31" t="n"/>
      <c r="C20" s="31" t="n"/>
      <c r="D20">
        <f>IF(B20="","",IF(C20="",TODAY(),C20)-B20)</f>
        <v/>
      </c>
      <c r="E20">
        <f>IF(A20="","",IF(COUNTIFS($A:$A,A20,$C:$C,"")&gt;1,"Mais de uma entrada em aberto",IF(AND(C20&lt;&gt;"",C20&lt;B20),"Saída antes da entrada","")))</f>
        <v/>
      </c>
      <c r="F20" s="32">
        <f>IF(OR(A20="",B20=""),"",SUMIFS(Producao!$B:$B,Producao!$A:$A,"&gt;="&amp;B20,Producao!$A:$A,"&lt;"&amp;IF(C20="",TODAY()+1,C20)))</f>
        <v/>
      </c>
    </row>
    <row r="21">
      <c r="A21" s="30" t="n"/>
      <c r="B21" s="31" t="n"/>
      <c r="C21" s="31" t="n"/>
      <c r="D21">
        <f>IF(B21="","",IF(C21="",TODAY(),C21)-B21)</f>
        <v/>
      </c>
      <c r="E21">
        <f>IF(A21="","",IF(COUNTIFS($A:$A,A21,$C:$C,"")&gt;1,"Mais de uma entrada em aberto",IF(AND(C21&lt;&gt;"",C21&lt;B21),"Saída antes da entrada","")))</f>
        <v/>
      </c>
      <c r="F21" s="32">
        <f>IF(OR(A21="",B21=""),"",SUMIFS(Producao!$B:$B,Producao!$A:$A,"&gt;="&amp;B21,Producao!$A:$A,"&lt;"&amp;IF(C21="",TODAY()+1,C21)))</f>
        <v/>
      </c>
    </row>
    <row r="22">
      <c r="A22" s="30" t="n"/>
      <c r="B22" s="31" t="n"/>
      <c r="C22" s="31" t="n"/>
      <c r="D22">
        <f>IF(B22="","",IF(C22="",TODAY(),C22)-B22)</f>
        <v/>
      </c>
      <c r="E22">
        <f>IF(A22="","",IF(COUNTIFS($A:$A,A22,$C:$C,"")&gt;1,"Mais de uma entrada em aberto",IF(AND(C22&lt;&gt;"",C22&lt;B22),"Saída antes da entrada","")))</f>
        <v/>
      </c>
      <c r="F22" s="32">
        <f>IF(OR(A22="",B22=""),"",SUMIFS(Producao!$B:$B,Producao!$A:$A,"&gt;="&amp;B22,Producao!$A:$A,"&lt;"&amp;IF(C22="",TODAY()+1,C22)))</f>
        <v/>
      </c>
    </row>
    <row r="23">
      <c r="A23" s="30" t="n"/>
      <c r="B23" s="31" t="n"/>
      <c r="C23" s="31" t="n"/>
      <c r="D23">
        <f>IF(B23="","",IF(C23="",TODAY(),C23)-B23)</f>
        <v/>
      </c>
      <c r="E23">
        <f>IF(A23="","",IF(COUNTIFS($A:$A,A23,$C:$C,"")&gt;1,"Mais de uma entrada em aberto",IF(AND(C23&lt;&gt;"",C23&lt;B23),"Saída antes da entrada","")))</f>
        <v/>
      </c>
      <c r="F23" s="32">
        <f>IF(OR(A23="",B23=""),"",SUMIFS(Producao!$B:$B,Producao!$A:$A,"&gt;="&amp;B23,Producao!$A:$A,"&lt;"&amp;IF(C23="",TODAY()+1,C23)))</f>
        <v/>
      </c>
    </row>
    <row r="24">
      <c r="A24" s="30" t="n"/>
      <c r="B24" s="31" t="n"/>
      <c r="C24" s="31" t="n"/>
      <c r="D24">
        <f>IF(B24="","",IF(C24="",TODAY(),C24)-B24)</f>
        <v/>
      </c>
      <c r="E24">
        <f>IF(A24="","",IF(COUNTIFS($A:$A,A24,$C:$C,"")&gt;1,"Mais de uma entrada em aberto",IF(AND(C24&lt;&gt;"",C24&lt;B24),"Saída antes da entrada","")))</f>
        <v/>
      </c>
      <c r="F24" s="32">
        <f>IF(OR(A24="",B24=""),"",SUMIFS(Producao!$B:$B,Producao!$A:$A,"&gt;="&amp;B24,Producao!$A:$A,"&lt;"&amp;IF(C24="",TODAY()+1,C24)))</f>
        <v/>
      </c>
    </row>
    <row r="25">
      <c r="A25" s="30" t="n"/>
      <c r="B25" s="31" t="n"/>
      <c r="C25" s="31" t="n"/>
      <c r="D25">
        <f>IF(B25="","",IF(C25="",TODAY(),C25)-B25)</f>
        <v/>
      </c>
      <c r="E25">
        <f>IF(A25="","",IF(COUNTIFS($A:$A,A25,$C:$C,"")&gt;1,"Mais de uma entrada em aberto",IF(AND(C25&lt;&gt;"",C25&lt;B25),"Saída antes da entrada","")))</f>
        <v/>
      </c>
      <c r="F25" s="32">
        <f>IF(OR(A25="",B25=""),"",SUMIFS(Producao!$B:$B,Producao!$A:$A,"&gt;="&amp;B25,Producao!$A:$A,"&lt;"&amp;IF(C25="",TODAY()+1,C25)))</f>
        <v/>
      </c>
    </row>
    <row r="26">
      <c r="A26" s="30" t="n"/>
      <c r="B26" s="31" t="n"/>
      <c r="C26" s="31" t="n"/>
      <c r="D26">
        <f>IF(B26="","",IF(C26="",TODAY(),C26)-B26)</f>
        <v/>
      </c>
      <c r="E26">
        <f>IF(A26="","",IF(COUNTIFS($A:$A,A26,$C:$C,"")&gt;1,"Mais de uma entrada em aberto",IF(AND(C26&lt;&gt;"",C26&lt;B26),"Saída antes da entrada","")))</f>
        <v/>
      </c>
      <c r="F26" s="32">
        <f>IF(OR(A26="",B26=""),"",SUMIFS(Producao!$B:$B,Producao!$A:$A,"&gt;="&amp;B26,Producao!$A:$A,"&lt;"&amp;IF(C26="",TODAY()+1,C26)))</f>
        <v/>
      </c>
    </row>
    <row r="27">
      <c r="A27" s="30" t="n"/>
      <c r="B27" s="31" t="n"/>
      <c r="C27" s="31" t="n"/>
      <c r="D27">
        <f>IF(B27="","",IF(C27="",TODAY(),C27)-B27)</f>
        <v/>
      </c>
      <c r="E27">
        <f>IF(A27="","",IF(COUNTIFS($A:$A,A27,$C:$C,"")&gt;1,"Mais de uma entrada em aberto",IF(AND(C27&lt;&gt;"",C27&lt;B27),"Saída antes da entrada","")))</f>
        <v/>
      </c>
      <c r="F27" s="32">
        <f>IF(OR(A27="",B27=""),"",SUMIFS(Producao!$B:$B,Producao!$A:$A,"&gt;="&amp;B27,Producao!$A:$A,"&lt;"&amp;IF(C27="",TODAY()+1,C27)))</f>
        <v/>
      </c>
    </row>
    <row r="28">
      <c r="A28" s="30" t="n"/>
      <c r="B28" s="31" t="n"/>
      <c r="C28" s="31" t="n"/>
      <c r="D28">
        <f>IF(B28="","",IF(C28="",TODAY(),C28)-B28)</f>
        <v/>
      </c>
      <c r="E28">
        <f>IF(A28="","",IF(COUNTIFS($A:$A,A28,$C:$C,"")&gt;1,"Mais de uma entrada em aberto",IF(AND(C28&lt;&gt;"",C28&lt;B28),"Saída antes da entrada","")))</f>
        <v/>
      </c>
      <c r="F28" s="32">
        <f>IF(OR(A28="",B28=""),"",SUMIFS(Producao!$B:$B,Producao!$A:$A,"&gt;="&amp;B28,Producao!$A:$A,"&lt;"&amp;IF(C28="",TODAY()+1,C28)))</f>
        <v/>
      </c>
    </row>
    <row r="29">
      <c r="A29" s="30" t="n"/>
      <c r="B29" s="31" t="n"/>
      <c r="C29" s="31" t="n"/>
      <c r="D29">
        <f>IF(B29="","",IF(C29="",TODAY(),C29)-B29)</f>
        <v/>
      </c>
      <c r="E29">
        <f>IF(A29="","",IF(COUNTIFS($A:$A,A29,$C:$C,"")&gt;1,"Mais de uma entrada em aberto",IF(AND(C29&lt;&gt;"",C29&lt;B29),"Saída antes da entrada","")))</f>
        <v/>
      </c>
      <c r="F29" s="32">
        <f>IF(OR(A29="",B29=""),"",SUMIFS(Producao!$B:$B,Producao!$A:$A,"&gt;="&amp;B29,Producao!$A:$A,"&lt;"&amp;IF(C29="",TODAY()+1,C29)))</f>
        <v/>
      </c>
    </row>
    <row r="30">
      <c r="A30" s="30" t="n"/>
      <c r="B30" s="31" t="n"/>
      <c r="C30" s="31" t="n"/>
      <c r="D30">
        <f>IF(B30="","",IF(C30="",TODAY(),C30)-B30)</f>
        <v/>
      </c>
      <c r="E30">
        <f>IF(A30="","",IF(COUNTIFS($A:$A,A30,$C:$C,"")&gt;1,"Mais de uma entrada em aberto",IF(AND(C30&lt;&gt;"",C30&lt;B30),"Saída antes da entrada","")))</f>
        <v/>
      </c>
      <c r="F30" s="32">
        <f>IF(OR(A30="",B30=""),"",SUMIFS(Producao!$B:$B,Producao!$A:$A,"&gt;="&amp;B30,Producao!$A:$A,"&lt;"&amp;IF(C30="",TODAY()+1,C30)))</f>
        <v/>
      </c>
    </row>
    <row r="31">
      <c r="A31" s="30" t="n"/>
      <c r="B31" s="31" t="n"/>
      <c r="C31" s="31" t="n"/>
      <c r="D31">
        <f>IF(B31="","",IF(C31="",TODAY(),C31)-B31)</f>
        <v/>
      </c>
      <c r="E31">
        <f>IF(A31="","",IF(COUNTIFS($A:$A,A31,$C:$C,"")&gt;1,"Mais de uma entrada em aberto",IF(AND(C31&lt;&gt;"",C31&lt;B31),"Saída antes da entrada","")))</f>
        <v/>
      </c>
      <c r="F31" s="32">
        <f>IF(OR(A31="",B31=""),"",SUMIFS(Producao!$B:$B,Producao!$A:$A,"&gt;="&amp;B31,Producao!$A:$A,"&lt;"&amp;IF(C31="",TODAY()+1,C31)))</f>
        <v/>
      </c>
    </row>
    <row r="32">
      <c r="A32" s="30" t="n"/>
      <c r="B32" s="31" t="n"/>
      <c r="C32" s="31" t="n"/>
      <c r="D32">
        <f>IF(B32="","",IF(C32="",TODAY(),C32)-B32)</f>
        <v/>
      </c>
      <c r="E32">
        <f>IF(A32="","",IF(COUNTIFS($A:$A,A32,$C:$C,"")&gt;1,"Mais de uma entrada em aberto",IF(AND(C32&lt;&gt;"",C32&lt;B32),"Saída antes da entrada","")))</f>
        <v/>
      </c>
      <c r="F32" s="32">
        <f>IF(OR(A32="",B32=""),"",SUMIFS(Producao!$B:$B,Producao!$A:$A,"&gt;="&amp;B32,Producao!$A:$A,"&lt;"&amp;IF(C32="",TODAY()+1,C32)))</f>
        <v/>
      </c>
    </row>
    <row r="33">
      <c r="A33" s="30" t="n"/>
      <c r="B33" s="31" t="n"/>
      <c r="C33" s="31" t="n"/>
      <c r="D33">
        <f>IF(B33="","",IF(C33="",TODAY(),C33)-B33)</f>
        <v/>
      </c>
      <c r="E33">
        <f>IF(A33="","",IF(COUNTIFS($A:$A,A33,$C:$C,"")&gt;1,"Mais de uma entrada em aberto",IF(AND(C33&lt;&gt;"",C33&lt;B33),"Saída antes da entrada","")))</f>
        <v/>
      </c>
      <c r="F33" s="32">
        <f>IF(OR(A33="",B33=""),"",SUMIFS(Producao!$B:$B,Producao!$A:$A,"&gt;="&amp;B33,Producao!$A:$A,"&lt;"&amp;IF(C33="",TODAY()+1,C33)))</f>
        <v/>
      </c>
    </row>
    <row r="34">
      <c r="A34" s="30" t="n"/>
      <c r="B34" s="31" t="n"/>
      <c r="C34" s="31" t="n"/>
      <c r="D34">
        <f>IF(B34="","",IF(C34="",TODAY(),C34)-B34)</f>
        <v/>
      </c>
      <c r="E34">
        <f>IF(A34="","",IF(COUNTIFS($A:$A,A34,$C:$C,"")&gt;1,"Mais de uma entrada em aberto",IF(AND(C34&lt;&gt;"",C34&lt;B34),"Saída antes da entrada","")))</f>
        <v/>
      </c>
      <c r="F34" s="32">
        <f>IF(OR(A34="",B34=""),"",SUMIFS(Producao!$B:$B,Producao!$A:$A,"&gt;="&amp;B34,Producao!$A:$A,"&lt;"&amp;IF(C34="",TODAY()+1,C34)))</f>
        <v/>
      </c>
    </row>
    <row r="35">
      <c r="A35" s="30" t="n"/>
      <c r="B35" s="31" t="n"/>
      <c r="C35" s="31" t="n"/>
      <c r="D35">
        <f>IF(B35="","",IF(C35="",TODAY(),C35)-B35)</f>
        <v/>
      </c>
      <c r="E35">
        <f>IF(A35="","",IF(COUNTIFS($A:$A,A35,$C:$C,"")&gt;1,"Mais de uma entrada em aberto",IF(AND(C35&lt;&gt;"",C35&lt;B35),"Saída antes da entrada","")))</f>
        <v/>
      </c>
      <c r="F35" s="32">
        <f>IF(OR(A35="",B35=""),"",SUMIFS(Producao!$B:$B,Producao!$A:$A,"&gt;="&amp;B35,Producao!$A:$A,"&lt;"&amp;IF(C35="",TODAY()+1,C35)))</f>
        <v/>
      </c>
    </row>
    <row r="36">
      <c r="A36" s="30" t="n"/>
      <c r="B36" s="31" t="n"/>
      <c r="C36" s="31" t="n"/>
      <c r="D36">
        <f>IF(B36="","",IF(C36="",TODAY(),C36)-B36)</f>
        <v/>
      </c>
      <c r="E36">
        <f>IF(A36="","",IF(COUNTIFS($A:$A,A36,$C:$C,"")&gt;1,"Mais de uma entrada em aberto",IF(AND(C36&lt;&gt;"",C36&lt;B36),"Saída antes da entrada","")))</f>
        <v/>
      </c>
      <c r="F36" s="32">
        <f>IF(OR(A36="",B36=""),"",SUMIFS(Producao!$B:$B,Producao!$A:$A,"&gt;="&amp;B36,Producao!$A:$A,"&lt;"&amp;IF(C36="",TODAY()+1,C36)))</f>
        <v/>
      </c>
    </row>
    <row r="37">
      <c r="A37" s="30" t="n"/>
      <c r="B37" s="31" t="n"/>
      <c r="C37" s="31" t="n"/>
      <c r="D37">
        <f>IF(B37="","",IF(C37="",TODAY(),C37)-B37)</f>
        <v/>
      </c>
      <c r="E37">
        <f>IF(A37="","",IF(COUNTIFS($A:$A,A37,$C:$C,"")&gt;1,"Mais de uma entrada em aberto",IF(AND(C37&lt;&gt;"",C37&lt;B37),"Saída antes da entrada","")))</f>
        <v/>
      </c>
      <c r="F37" s="32">
        <f>IF(OR(A37="",B37=""),"",SUMIFS(Producao!$B:$B,Producao!$A:$A,"&gt;="&amp;B37,Producao!$A:$A,"&lt;"&amp;IF(C37="",TODAY()+1,C37)))</f>
        <v/>
      </c>
    </row>
    <row r="38">
      <c r="A38" s="30" t="n"/>
      <c r="B38" s="31" t="n"/>
      <c r="C38" s="31" t="n"/>
      <c r="D38">
        <f>IF(B38="","",IF(C38="",TODAY(),C38)-B38)</f>
        <v/>
      </c>
      <c r="E38">
        <f>IF(A38="","",IF(COUNTIFS($A:$A,A38,$C:$C,"")&gt;1,"Mais de uma entrada em aberto",IF(AND(C38&lt;&gt;"",C38&lt;B38),"Saída antes da entrada","")))</f>
        <v/>
      </c>
      <c r="F38" s="32">
        <f>IF(OR(A38="",B38=""),"",SUMIFS(Producao!$B:$B,Producao!$A:$A,"&gt;="&amp;B38,Producao!$A:$A,"&lt;"&amp;IF(C38="",TODAY()+1,C38)))</f>
        <v/>
      </c>
    </row>
    <row r="39">
      <c r="A39" s="30" t="n"/>
      <c r="B39" s="31" t="n"/>
      <c r="C39" s="31" t="n"/>
      <c r="D39">
        <f>IF(B39="","",IF(C39="",TODAY(),C39)-B39)</f>
        <v/>
      </c>
      <c r="E39">
        <f>IF(A39="","",IF(COUNTIFS($A:$A,A39,$C:$C,"")&gt;1,"Mais de uma entrada em aberto",IF(AND(C39&lt;&gt;"",C39&lt;B39),"Saída antes da entrada","")))</f>
        <v/>
      </c>
      <c r="F39" s="32">
        <f>IF(OR(A39="",B39=""),"",SUMIFS(Producao!$B:$B,Producao!$A:$A,"&gt;="&amp;B39,Producao!$A:$A,"&lt;"&amp;IF(C39="",TODAY()+1,C39)))</f>
        <v/>
      </c>
    </row>
    <row r="40">
      <c r="A40" s="30" t="n"/>
      <c r="B40" s="31" t="n"/>
      <c r="C40" s="31" t="n"/>
      <c r="D40">
        <f>IF(B40="","",IF(C40="",TODAY(),C40)-B40)</f>
        <v/>
      </c>
      <c r="E40">
        <f>IF(A40="","",IF(COUNTIFS($A:$A,A40,$C:$C,"")&gt;1,"Mais de uma entrada em aberto",IF(AND(C40&lt;&gt;"",C40&lt;B40),"Saída antes da entrada","")))</f>
        <v/>
      </c>
      <c r="F40" s="32">
        <f>IF(OR(A40="",B40=""),"",SUMIFS(Producao!$B:$B,Producao!$A:$A,"&gt;="&amp;B40,Producao!$A:$A,"&lt;"&amp;IF(C40="",TODAY()+1,C40)))</f>
        <v/>
      </c>
    </row>
    <row r="41">
      <c r="A41" s="30" t="n"/>
      <c r="B41" s="31" t="n"/>
      <c r="C41" s="31" t="n"/>
      <c r="D41">
        <f>IF(B41="","",IF(C41="",TODAY(),C41)-B41)</f>
        <v/>
      </c>
      <c r="E41">
        <f>IF(A41="","",IF(COUNTIFS($A:$A,A41,$C:$C,"")&gt;1,"Mais de uma entrada em aberto",IF(AND(C41&lt;&gt;"",C41&lt;B41),"Saída antes da entrada","")))</f>
        <v/>
      </c>
      <c r="F41" s="32">
        <f>IF(OR(A41="",B41=""),"",SUMIFS(Producao!$B:$B,Producao!$A:$A,"&gt;="&amp;B41,Producao!$A:$A,"&lt;"&amp;IF(C41="",TODAY()+1,C41)))</f>
        <v/>
      </c>
    </row>
    <row r="42">
      <c r="A42" s="30" t="n"/>
      <c r="B42" s="31" t="n"/>
      <c r="C42" s="31" t="n"/>
      <c r="D42">
        <f>IF(B42="","",IF(C42="",TODAY(),C42)-B42)</f>
        <v/>
      </c>
      <c r="E42">
        <f>IF(A42="","",IF(COUNTIFS($A:$A,A42,$C:$C,"")&gt;1,"Mais de uma entrada em aberto",IF(AND(C42&lt;&gt;"",C42&lt;B42),"Saída antes da entrada","")))</f>
        <v/>
      </c>
      <c r="F42" s="32">
        <f>IF(OR(A42="",B42=""),"",SUMIFS(Producao!$B:$B,Producao!$A:$A,"&gt;="&amp;B42,Producao!$A:$A,"&lt;"&amp;IF(C42="",TODAY()+1,C42)))</f>
        <v/>
      </c>
    </row>
    <row r="43">
      <c r="A43" s="30" t="n"/>
      <c r="B43" s="31" t="n"/>
      <c r="C43" s="31" t="n"/>
      <c r="D43">
        <f>IF(B43="","",IF(C43="",TODAY(),C43)-B43)</f>
        <v/>
      </c>
      <c r="E43">
        <f>IF(A43="","",IF(COUNTIFS($A:$A,A43,$C:$C,"")&gt;1,"Mais de uma entrada em aberto",IF(AND(C43&lt;&gt;"",C43&lt;B43),"Saída antes da entrada","")))</f>
        <v/>
      </c>
      <c r="F43" s="32">
        <f>IF(OR(A43="",B43=""),"",SUMIFS(Producao!$B:$B,Producao!$A:$A,"&gt;="&amp;B43,Producao!$A:$A,"&lt;"&amp;IF(C43="",TODAY()+1,C43)))</f>
        <v/>
      </c>
    </row>
    <row r="44">
      <c r="A44" s="30" t="n"/>
      <c r="B44" s="31" t="n"/>
      <c r="C44" s="31" t="n"/>
      <c r="D44">
        <f>IF(B44="","",IF(C44="",TODAY(),C44)-B44)</f>
        <v/>
      </c>
      <c r="E44">
        <f>IF(A44="","",IF(COUNTIFS($A:$A,A44,$C:$C,"")&gt;1,"Mais de uma entrada em aberto",IF(AND(C44&lt;&gt;"",C44&lt;B44),"Saída antes da entrada","")))</f>
        <v/>
      </c>
      <c r="F44" s="32">
        <f>IF(OR(A44="",B44=""),"",SUMIFS(Producao!$B:$B,Producao!$A:$A,"&gt;="&amp;B44,Producao!$A:$A,"&lt;"&amp;IF(C44="",TODAY()+1,C44)))</f>
        <v/>
      </c>
    </row>
    <row r="45">
      <c r="A45" s="30" t="n"/>
      <c r="B45" s="31" t="n"/>
      <c r="C45" s="31" t="n"/>
      <c r="D45">
        <f>IF(B45="","",IF(C45="",TODAY(),C45)-B45)</f>
        <v/>
      </c>
      <c r="E45">
        <f>IF(A45="","",IF(COUNTIFS($A:$A,A45,$C:$C,"")&gt;1,"Mais de uma entrada em aberto",IF(AND(C45&lt;&gt;"",C45&lt;B45),"Saída antes da entrada","")))</f>
        <v/>
      </c>
      <c r="F45" s="32">
        <f>IF(OR(A45="",B45=""),"",SUMIFS(Producao!$B:$B,Producao!$A:$A,"&gt;="&amp;B45,Producao!$A:$A,"&lt;"&amp;IF(C45="",TODAY()+1,C45)))</f>
        <v/>
      </c>
    </row>
    <row r="46">
      <c r="A46" s="30" t="n"/>
      <c r="B46" s="31" t="n"/>
      <c r="C46" s="31" t="n"/>
      <c r="D46">
        <f>IF(B46="","",IF(C46="",TODAY(),C46)-B46)</f>
        <v/>
      </c>
      <c r="E46">
        <f>IF(A46="","",IF(COUNTIFS($A:$A,A46,$C:$C,"")&gt;1,"Mais de uma entrada em aberto",IF(AND(C46&lt;&gt;"",C46&lt;B46),"Saída antes da entrada","")))</f>
        <v/>
      </c>
      <c r="F46" s="32">
        <f>IF(OR(A46="",B46=""),"",SUMIFS(Producao!$B:$B,Producao!$A:$A,"&gt;="&amp;B46,Producao!$A:$A,"&lt;"&amp;IF(C46="",TODAY()+1,C46)))</f>
        <v/>
      </c>
    </row>
    <row r="47">
      <c r="A47" s="30" t="n"/>
      <c r="B47" s="31" t="n"/>
      <c r="C47" s="31" t="n"/>
      <c r="D47">
        <f>IF(B47="","",IF(C47="",TODAY(),C47)-B47)</f>
        <v/>
      </c>
      <c r="E47">
        <f>IF(A47="","",IF(COUNTIFS($A:$A,A47,$C:$C,"")&gt;1,"Mais de uma entrada em aberto",IF(AND(C47&lt;&gt;"",C47&lt;B47),"Saída antes da entrada","")))</f>
        <v/>
      </c>
      <c r="F47" s="32">
        <f>IF(OR(A47="",B47=""),"",SUMIFS(Producao!$B:$B,Producao!$A:$A,"&gt;="&amp;B47,Producao!$A:$A,"&lt;"&amp;IF(C47="",TODAY()+1,C47)))</f>
        <v/>
      </c>
    </row>
    <row r="48">
      <c r="A48" s="30" t="n"/>
      <c r="B48" s="31" t="n"/>
      <c r="C48" s="31" t="n"/>
      <c r="D48">
        <f>IF(B48="","",IF(C48="",TODAY(),C48)-B48)</f>
        <v/>
      </c>
      <c r="E48">
        <f>IF(A48="","",IF(COUNTIFS($A:$A,A48,$C:$C,"")&gt;1,"Mais de uma entrada em aberto",IF(AND(C48&lt;&gt;"",C48&lt;B48),"Saída antes da entrada","")))</f>
        <v/>
      </c>
      <c r="F48" s="32">
        <f>IF(OR(A48="",B48=""),"",SUMIFS(Producao!$B:$B,Producao!$A:$A,"&gt;="&amp;B48,Producao!$A:$A,"&lt;"&amp;IF(C48="",TODAY()+1,C48)))</f>
        <v/>
      </c>
    </row>
    <row r="49">
      <c r="A49" s="30" t="n"/>
      <c r="B49" s="31" t="n"/>
      <c r="C49" s="31" t="n"/>
      <c r="D49">
        <f>IF(B49="","",IF(C49="",TODAY(),C49)-B49)</f>
        <v/>
      </c>
      <c r="E49">
        <f>IF(A49="","",IF(COUNTIFS($A:$A,A49,$C:$C,"")&gt;1,"Mais de uma entrada em aberto",IF(AND(C49&lt;&gt;"",C49&lt;B49),"Saída antes da entrada","")))</f>
        <v/>
      </c>
      <c r="F49" s="32">
        <f>IF(OR(A49="",B49=""),"",SUMIFS(Producao!$B:$B,Producao!$A:$A,"&gt;="&amp;B49,Producao!$A:$A,"&lt;"&amp;IF(C49="",TODAY()+1,C49)))</f>
        <v/>
      </c>
    </row>
    <row r="50">
      <c r="A50" s="30" t="n"/>
      <c r="B50" s="31" t="n"/>
      <c r="C50" s="31" t="n"/>
      <c r="D50">
        <f>IF(B50="","",IF(C50="",TODAY(),C50)-B50)</f>
        <v/>
      </c>
      <c r="E50">
        <f>IF(A50="","",IF(COUNTIFS($A:$A,A50,$C:$C,"")&gt;1,"Mais de uma entrada em aberto",IF(AND(C50&lt;&gt;"",C50&lt;B50),"Saída antes da entrada","")))</f>
        <v/>
      </c>
      <c r="F50" s="32">
        <f>IF(OR(A50="",B50=""),"",SUMIFS(Producao!$B:$B,Producao!$A:$A,"&gt;="&amp;B50,Producao!$A:$A,"&lt;"&amp;IF(C50="",TODAY()+1,C50)))</f>
        <v/>
      </c>
    </row>
    <row r="51">
      <c r="A51" s="30" t="n"/>
      <c r="B51" s="31" t="n"/>
      <c r="C51" s="31" t="n"/>
      <c r="D51">
        <f>IF(B51="","",IF(C51="",TODAY(),C51)-B51)</f>
        <v/>
      </c>
      <c r="E51">
        <f>IF(A51="","",IF(COUNTIFS($A:$A,A51,$C:$C,"")&gt;1,"Mais de uma entrada em aberto",IF(AND(C51&lt;&gt;"",C51&lt;B51),"Saída antes da entrada","")))</f>
        <v/>
      </c>
      <c r="F51" s="32">
        <f>IF(OR(A51="",B51=""),"",SUMIFS(Producao!$B:$B,Producao!$A:$A,"&gt;="&amp;B51,Producao!$A:$A,"&lt;"&amp;IF(C51="",TODAY()+1,C51)))</f>
        <v/>
      </c>
    </row>
    <row r="52">
      <c r="A52" s="30" t="n"/>
      <c r="B52" s="31" t="n"/>
      <c r="C52" s="31" t="n"/>
      <c r="D52">
        <f>IF(B52="","",IF(C52="",TODAY(),C52)-B52)</f>
        <v/>
      </c>
      <c r="E52">
        <f>IF(A52="","",IF(COUNTIFS($A:$A,A52,$C:$C,"")&gt;1,"Mais de uma entrada em aberto",IF(AND(C52&lt;&gt;"",C52&lt;B52),"Saída antes da entrada","")))</f>
        <v/>
      </c>
      <c r="F52" s="32">
        <f>IF(OR(A52="",B52=""),"",SUMIFS(Producao!$B:$B,Producao!$A:$A,"&gt;="&amp;B52,Producao!$A:$A,"&lt;"&amp;IF(C52="",TODAY()+1,C52)))</f>
        <v/>
      </c>
    </row>
    <row r="53">
      <c r="A53" s="30" t="n"/>
      <c r="B53" s="31" t="n"/>
      <c r="C53" s="31" t="n"/>
      <c r="D53">
        <f>IF(B53="","",IF(C53="",TODAY(),C53)-B53)</f>
        <v/>
      </c>
      <c r="E53">
        <f>IF(A53="","",IF(COUNTIFS($A:$A,A53,$C:$C,"")&gt;1,"Mais de uma entrada em aberto",IF(AND(C53&lt;&gt;"",C53&lt;B53),"Saída antes da entrada","")))</f>
        <v/>
      </c>
      <c r="F53" s="32">
        <f>IF(OR(A53="",B53=""),"",SUMIFS(Producao!$B:$B,Producao!$A:$A,"&gt;="&amp;B53,Producao!$A:$A,"&lt;"&amp;IF(C53="",TODAY()+1,C53)))</f>
        <v/>
      </c>
    </row>
    <row r="54">
      <c r="A54" s="30" t="n"/>
      <c r="B54" s="31" t="n"/>
      <c r="C54" s="31" t="n"/>
      <c r="D54">
        <f>IF(B54="","",IF(C54="",TODAY(),C54)-B54)</f>
        <v/>
      </c>
      <c r="E54">
        <f>IF(A54="","",IF(COUNTIFS($A:$A,A54,$C:$C,"")&gt;1,"Mais de uma entrada em aberto",IF(AND(C54&lt;&gt;"",C54&lt;B54),"Saída antes da entrada","")))</f>
        <v/>
      </c>
      <c r="F54" s="32">
        <f>IF(OR(A54="",B54=""),"",SUMIFS(Producao!$B:$B,Producao!$A:$A,"&gt;="&amp;B54,Producao!$A:$A,"&lt;"&amp;IF(C54="",TODAY()+1,C54)))</f>
        <v/>
      </c>
    </row>
    <row r="55">
      <c r="A55" s="30" t="n"/>
      <c r="B55" s="31" t="n"/>
      <c r="C55" s="31" t="n"/>
      <c r="D55">
        <f>IF(B55="","",IF(C55="",TODAY(),C55)-B55)</f>
        <v/>
      </c>
      <c r="E55">
        <f>IF(A55="","",IF(COUNTIFS($A:$A,A55,$C:$C,"")&gt;1,"Mais de uma entrada em aberto",IF(AND(C55&lt;&gt;"",C55&lt;B55),"Saída antes da entrada","")))</f>
        <v/>
      </c>
      <c r="F55" s="32">
        <f>IF(OR(A55="",B55=""),"",SUMIFS(Producao!$B:$B,Producao!$A:$A,"&gt;="&amp;B55,Producao!$A:$A,"&lt;"&amp;IF(C55="",TODAY()+1,C55)))</f>
        <v/>
      </c>
    </row>
    <row r="56">
      <c r="A56" s="30" t="n"/>
      <c r="B56" s="31" t="n"/>
      <c r="C56" s="31" t="n"/>
      <c r="D56">
        <f>IF(B56="","",IF(C56="",TODAY(),C56)-B56)</f>
        <v/>
      </c>
      <c r="E56">
        <f>IF(A56="","",IF(COUNTIFS($A:$A,A56,$C:$C,"")&gt;1,"Mais de uma entrada em aberto",IF(AND(C56&lt;&gt;"",C56&lt;B56),"Saída antes da entrada","")))</f>
        <v/>
      </c>
      <c r="F56" s="32">
        <f>IF(OR(A56="",B56=""),"",SUMIFS(Producao!$B:$B,Producao!$A:$A,"&gt;="&amp;B56,Producao!$A:$A,"&lt;"&amp;IF(C56="",TODAY()+1,C56)))</f>
        <v/>
      </c>
    </row>
    <row r="57">
      <c r="A57" s="30" t="n"/>
      <c r="B57" s="31" t="n"/>
      <c r="C57" s="31" t="n"/>
      <c r="D57">
        <f>IF(B57="","",IF(C57="",TODAY(),C57)-B57)</f>
        <v/>
      </c>
      <c r="E57">
        <f>IF(A57="","",IF(COUNTIFS($A:$A,A57,$C:$C,"")&gt;1,"Mais de uma entrada em aberto",IF(AND(C57&lt;&gt;"",C57&lt;B57),"Saída antes da entrada","")))</f>
        <v/>
      </c>
      <c r="F57" s="32">
        <f>IF(OR(A57="",B57=""),"",SUMIFS(Producao!$B:$B,Producao!$A:$A,"&gt;="&amp;B57,Producao!$A:$A,"&lt;"&amp;IF(C57="",TODAY()+1,C57)))</f>
        <v/>
      </c>
    </row>
    <row r="58">
      <c r="A58" s="30" t="n"/>
      <c r="B58" s="31" t="n"/>
      <c r="C58" s="31" t="n"/>
      <c r="D58">
        <f>IF(B58="","",IF(C58="",TODAY(),C58)-B58)</f>
        <v/>
      </c>
      <c r="E58">
        <f>IF(A58="","",IF(COUNTIFS($A:$A,A58,$C:$C,"")&gt;1,"Mais de uma entrada em aberto",IF(AND(C58&lt;&gt;"",C58&lt;B58),"Saída antes da entrada","")))</f>
        <v/>
      </c>
      <c r="F58" s="32">
        <f>IF(OR(A58="",B58=""),"",SUMIFS(Producao!$B:$B,Producao!$A:$A,"&gt;="&amp;B58,Producao!$A:$A,"&lt;"&amp;IF(C58="",TODAY()+1,C58)))</f>
        <v/>
      </c>
    </row>
    <row r="59">
      <c r="A59" s="30" t="n"/>
      <c r="B59" s="31" t="n"/>
      <c r="C59" s="31" t="n"/>
      <c r="D59">
        <f>IF(B59="","",IF(C59="",TODAY(),C59)-B59)</f>
        <v/>
      </c>
      <c r="E59">
        <f>IF(A59="","",IF(COUNTIFS($A:$A,A59,$C:$C,"")&gt;1,"Mais de uma entrada em aberto",IF(AND(C59&lt;&gt;"",C59&lt;B59),"Saída antes da entrada","")))</f>
        <v/>
      </c>
      <c r="F59" s="32">
        <f>IF(OR(A59="",B59=""),"",SUMIFS(Producao!$B:$B,Producao!$A:$A,"&gt;="&amp;B59,Producao!$A:$A,"&lt;"&amp;IF(C59="",TODAY()+1,C59)))</f>
        <v/>
      </c>
    </row>
    <row r="60">
      <c r="A60" s="30" t="n"/>
      <c r="B60" s="31" t="n"/>
      <c r="C60" s="31" t="n"/>
      <c r="D60">
        <f>IF(B60="","",IF(C60="",TODAY(),C60)-B60)</f>
        <v/>
      </c>
      <c r="E60">
        <f>IF(A60="","",IF(COUNTIFS($A:$A,A60,$C:$C,"")&gt;1,"Mais de uma entrada em aberto",IF(AND(C60&lt;&gt;"",C60&lt;B60),"Saída antes da entrada","")))</f>
        <v/>
      </c>
      <c r="F60" s="32">
        <f>IF(OR(A60="",B60=""),"",SUMIFS(Producao!$B:$B,Producao!$A:$A,"&gt;="&amp;B60,Producao!$A:$A,"&lt;"&amp;IF(C60="",TODAY()+1,C60)))</f>
        <v/>
      </c>
    </row>
    <row r="61">
      <c r="A61" s="30" t="n"/>
      <c r="B61" s="31" t="n"/>
      <c r="C61" s="31" t="n"/>
      <c r="D61">
        <f>IF(B61="","",IF(C61="",TODAY(),C61)-B61)</f>
        <v/>
      </c>
      <c r="E61">
        <f>IF(A61="","",IF(COUNTIFS($A:$A,A61,$C:$C,"")&gt;1,"Mais de uma entrada em aberto",IF(AND(C61&lt;&gt;"",C61&lt;B61),"Saída antes da entrada","")))</f>
        <v/>
      </c>
      <c r="F61" s="32">
        <f>IF(OR(A61="",B61=""),"",SUMIFS(Producao!$B:$B,Producao!$A:$A,"&gt;="&amp;B61,Producao!$A:$A,"&lt;"&amp;IF(C61="",TODAY()+1,C61)))</f>
        <v/>
      </c>
    </row>
    <row r="62">
      <c r="A62" s="30" t="n"/>
      <c r="B62" s="31" t="n"/>
      <c r="C62" s="31" t="n"/>
      <c r="D62">
        <f>IF(B62="","",IF(C62="",TODAY(),C62)-B62)</f>
        <v/>
      </c>
      <c r="E62">
        <f>IF(A62="","",IF(COUNTIFS($A:$A,A62,$C:$C,"")&gt;1,"Mais de uma entrada em aberto",IF(AND(C62&lt;&gt;"",C62&lt;B62),"Saída antes da entrada","")))</f>
        <v/>
      </c>
      <c r="F62" s="32">
        <f>IF(OR(A62="",B62=""),"",SUMIFS(Producao!$B:$B,Producao!$A:$A,"&gt;="&amp;B62,Producao!$A:$A,"&lt;"&amp;IF(C62="",TODAY()+1,C62)))</f>
        <v/>
      </c>
    </row>
    <row r="63">
      <c r="A63" s="30" t="n"/>
      <c r="B63" s="31" t="n"/>
      <c r="C63" s="31" t="n"/>
      <c r="D63">
        <f>IF(B63="","",IF(C63="",TODAY(),C63)-B63)</f>
        <v/>
      </c>
      <c r="E63">
        <f>IF(A63="","",IF(COUNTIFS($A:$A,A63,$C:$C,"")&gt;1,"Mais de uma entrada em aberto",IF(AND(C63&lt;&gt;"",C63&lt;B63),"Saída antes da entrada","")))</f>
        <v/>
      </c>
      <c r="F63" s="32">
        <f>IF(OR(A63="",B63=""),"",SUMIFS(Producao!$B:$B,Producao!$A:$A,"&gt;="&amp;B63,Producao!$A:$A,"&lt;"&amp;IF(C63="",TODAY()+1,C63)))</f>
        <v/>
      </c>
    </row>
    <row r="64">
      <c r="A64" s="30" t="n"/>
      <c r="B64" s="31" t="n"/>
      <c r="C64" s="31" t="n"/>
      <c r="D64">
        <f>IF(B64="","",IF(C64="",TODAY(),C64)-B64)</f>
        <v/>
      </c>
      <c r="E64">
        <f>IF(A64="","",IF(COUNTIFS($A:$A,A64,$C:$C,"")&gt;1,"Mais de uma entrada em aberto",IF(AND(C64&lt;&gt;"",C64&lt;B64),"Saída antes da entrada","")))</f>
        <v/>
      </c>
      <c r="F64" s="32">
        <f>IF(OR(A64="",B64=""),"",SUMIFS(Producao!$B:$B,Producao!$A:$A,"&gt;="&amp;B64,Producao!$A:$A,"&lt;"&amp;IF(C64="",TODAY()+1,C64)))</f>
        <v/>
      </c>
    </row>
    <row r="65">
      <c r="A65" s="30" t="n"/>
      <c r="B65" s="31" t="n"/>
      <c r="C65" s="31" t="n"/>
      <c r="D65">
        <f>IF(B65="","",IF(C65="",TODAY(),C65)-B65)</f>
        <v/>
      </c>
      <c r="E65">
        <f>IF(A65="","",IF(COUNTIFS($A:$A,A65,$C:$C,"")&gt;1,"Mais de uma entrada em aberto",IF(AND(C65&lt;&gt;"",C65&lt;B65),"Saída antes da entrada","")))</f>
        <v/>
      </c>
      <c r="F65" s="32">
        <f>IF(OR(A65="",B65=""),"",SUMIFS(Producao!$B:$B,Producao!$A:$A,"&gt;="&amp;B65,Producao!$A:$A,"&lt;"&amp;IF(C65="",TODAY()+1,C65)))</f>
        <v/>
      </c>
    </row>
    <row r="66">
      <c r="A66" s="30" t="n"/>
      <c r="B66" s="31" t="n"/>
      <c r="C66" s="31" t="n"/>
      <c r="D66">
        <f>IF(B66="","",IF(C66="",TODAY(),C66)-B66)</f>
        <v/>
      </c>
      <c r="E66">
        <f>IF(A66="","",IF(COUNTIFS($A:$A,A66,$C:$C,"")&gt;1,"Mais de uma entrada em aberto",IF(AND(C66&lt;&gt;"",C66&lt;B66),"Saída antes da entrada","")))</f>
        <v/>
      </c>
      <c r="F66" s="32">
        <f>IF(OR(A66="",B66=""),"",SUMIFS(Producao!$B:$B,Producao!$A:$A,"&gt;="&amp;B66,Producao!$A:$A,"&lt;"&amp;IF(C66="",TODAY()+1,C66)))</f>
        <v/>
      </c>
    </row>
    <row r="67">
      <c r="A67" s="30" t="n"/>
      <c r="B67" s="31" t="n"/>
      <c r="C67" s="31" t="n"/>
      <c r="D67">
        <f>IF(B67="","",IF(C67="",TODAY(),C67)-B67)</f>
        <v/>
      </c>
      <c r="E67">
        <f>IF(A67="","",IF(COUNTIFS($A:$A,A67,$C:$C,"")&gt;1,"Mais de uma entrada em aberto",IF(AND(C67&lt;&gt;"",C67&lt;B67),"Saída antes da entrada","")))</f>
        <v/>
      </c>
      <c r="F67" s="32">
        <f>IF(OR(A67="",B67=""),"",SUMIFS(Producao!$B:$B,Producao!$A:$A,"&gt;="&amp;B67,Producao!$A:$A,"&lt;"&amp;IF(C67="",TODAY()+1,C67)))</f>
        <v/>
      </c>
    </row>
    <row r="68">
      <c r="A68" s="30" t="n"/>
      <c r="B68" s="31" t="n"/>
      <c r="C68" s="31" t="n"/>
      <c r="D68">
        <f>IF(B68="","",IF(C68="",TODAY(),C68)-B68)</f>
        <v/>
      </c>
      <c r="E68">
        <f>IF(A68="","",IF(COUNTIFS($A:$A,A68,$C:$C,"")&gt;1,"Mais de uma entrada em aberto",IF(AND(C68&lt;&gt;"",C68&lt;B68),"Saída antes da entrada","")))</f>
        <v/>
      </c>
      <c r="F68" s="32">
        <f>IF(OR(A68="",B68=""),"",SUMIFS(Producao!$B:$B,Producao!$A:$A,"&gt;="&amp;B68,Producao!$A:$A,"&lt;"&amp;IF(C68="",TODAY()+1,C68)))</f>
        <v/>
      </c>
    </row>
    <row r="69">
      <c r="A69" s="30" t="n"/>
      <c r="B69" s="31" t="n"/>
      <c r="C69" s="31" t="n"/>
      <c r="D69">
        <f>IF(B69="","",IF(C69="",TODAY(),C69)-B69)</f>
        <v/>
      </c>
      <c r="E69">
        <f>IF(A69="","",IF(COUNTIFS($A:$A,A69,$C:$C,"")&gt;1,"Mais de uma entrada em aberto",IF(AND(C69&lt;&gt;"",C69&lt;B69),"Saída antes da entrada","")))</f>
        <v/>
      </c>
      <c r="F69" s="32">
        <f>IF(OR(A69="",B69=""),"",SUMIFS(Producao!$B:$B,Producao!$A:$A,"&gt;="&amp;B69,Producao!$A:$A,"&lt;"&amp;IF(C69="",TODAY()+1,C69)))</f>
        <v/>
      </c>
    </row>
    <row r="70">
      <c r="A70" s="30" t="n"/>
      <c r="B70" s="31" t="n"/>
      <c r="C70" s="31" t="n"/>
      <c r="D70">
        <f>IF(B70="","",IF(C70="",TODAY(),C70)-B70)</f>
        <v/>
      </c>
      <c r="E70">
        <f>IF(A70="","",IF(COUNTIFS($A:$A,A70,$C:$C,"")&gt;1,"Mais de uma entrada em aberto",IF(AND(C70&lt;&gt;"",C70&lt;B70),"Saída antes da entrada","")))</f>
        <v/>
      </c>
      <c r="F70" s="32">
        <f>IF(OR(A70="",B70=""),"",SUMIFS(Producao!$B:$B,Producao!$A:$A,"&gt;="&amp;B70,Producao!$A:$A,"&lt;"&amp;IF(C70="",TODAY()+1,C70)))</f>
        <v/>
      </c>
    </row>
    <row r="71">
      <c r="A71" s="30" t="n"/>
      <c r="B71" s="31" t="n"/>
      <c r="C71" s="31" t="n"/>
      <c r="D71">
        <f>IF(B71="","",IF(C71="",TODAY(),C71)-B71)</f>
        <v/>
      </c>
      <c r="E71">
        <f>IF(A71="","",IF(COUNTIFS($A:$A,A71,$C:$C,"")&gt;1,"Mais de uma entrada em aberto",IF(AND(C71&lt;&gt;"",C71&lt;B71),"Saída antes da entrada","")))</f>
        <v/>
      </c>
      <c r="F71" s="32">
        <f>IF(OR(A71="",B71=""),"",SUMIFS(Producao!$B:$B,Producao!$A:$A,"&gt;="&amp;B71,Producao!$A:$A,"&lt;"&amp;IF(C71="",TODAY()+1,C71)))</f>
        <v/>
      </c>
    </row>
    <row r="72">
      <c r="A72" s="30" t="n"/>
      <c r="B72" s="31" t="n"/>
      <c r="C72" s="31" t="n"/>
      <c r="D72">
        <f>IF(B72="","",IF(C72="",TODAY(),C72)-B72)</f>
        <v/>
      </c>
      <c r="E72">
        <f>IF(A72="","",IF(COUNTIFS($A:$A,A72,$C:$C,"")&gt;1,"Mais de uma entrada em aberto",IF(AND(C72&lt;&gt;"",C72&lt;B72),"Saída antes da entrada","")))</f>
        <v/>
      </c>
      <c r="F72" s="32">
        <f>IF(OR(A72="",B72=""),"",SUMIFS(Producao!$B:$B,Producao!$A:$A,"&gt;="&amp;B72,Producao!$A:$A,"&lt;"&amp;IF(C72="",TODAY()+1,C72)))</f>
        <v/>
      </c>
    </row>
    <row r="73">
      <c r="A73" s="30" t="n"/>
      <c r="B73" s="31" t="n"/>
      <c r="C73" s="31" t="n"/>
      <c r="D73">
        <f>IF(B73="","",IF(C73="",TODAY(),C73)-B73)</f>
        <v/>
      </c>
      <c r="E73">
        <f>IF(A73="","",IF(COUNTIFS($A:$A,A73,$C:$C,"")&gt;1,"Mais de uma entrada em aberto",IF(AND(C73&lt;&gt;"",C73&lt;B73),"Saída antes da entrada","")))</f>
        <v/>
      </c>
      <c r="F73" s="32">
        <f>IF(OR(A73="",B73=""),"",SUMIFS(Producao!$B:$B,Producao!$A:$A,"&gt;="&amp;B73,Producao!$A:$A,"&lt;"&amp;IF(C73="",TODAY()+1,C73)))</f>
        <v/>
      </c>
    </row>
    <row r="74">
      <c r="A74" s="30" t="n"/>
      <c r="B74" s="31" t="n"/>
      <c r="C74" s="31" t="n"/>
      <c r="D74">
        <f>IF(B74="","",IF(C74="",TODAY(),C74)-B74)</f>
        <v/>
      </c>
      <c r="E74">
        <f>IF(A74="","",IF(COUNTIFS($A:$A,A74,$C:$C,"")&gt;1,"Mais de uma entrada em aberto",IF(AND(C74&lt;&gt;"",C74&lt;B74),"Saída antes da entrada","")))</f>
        <v/>
      </c>
      <c r="F74" s="32">
        <f>IF(OR(A74="",B74=""),"",SUMIFS(Producao!$B:$B,Producao!$A:$A,"&gt;="&amp;B74,Producao!$A:$A,"&lt;"&amp;IF(C74="",TODAY()+1,C74)))</f>
        <v/>
      </c>
    </row>
    <row r="75">
      <c r="A75" s="30" t="n"/>
      <c r="B75" s="31" t="n"/>
      <c r="C75" s="31" t="n"/>
      <c r="D75">
        <f>IF(B75="","",IF(C75="",TODAY(),C75)-B75)</f>
        <v/>
      </c>
      <c r="E75">
        <f>IF(A75="","",IF(COUNTIFS($A:$A,A75,$C:$C,"")&gt;1,"Mais de uma entrada em aberto",IF(AND(C75&lt;&gt;"",C75&lt;B75),"Saída antes da entrada","")))</f>
        <v/>
      </c>
      <c r="F75" s="32">
        <f>IF(OR(A75="",B75=""),"",SUMIFS(Producao!$B:$B,Producao!$A:$A,"&gt;="&amp;B75,Producao!$A:$A,"&lt;"&amp;IF(C75="",TODAY()+1,C75)))</f>
        <v/>
      </c>
    </row>
    <row r="76">
      <c r="A76" s="30" t="n"/>
      <c r="B76" s="31" t="n"/>
      <c r="C76" s="31" t="n"/>
      <c r="D76">
        <f>IF(B76="","",IF(C76="",TODAY(),C76)-B76)</f>
        <v/>
      </c>
      <c r="E76">
        <f>IF(A76="","",IF(COUNTIFS($A:$A,A76,$C:$C,"")&gt;1,"Mais de uma entrada em aberto",IF(AND(C76&lt;&gt;"",C76&lt;B76),"Saída antes da entrada","")))</f>
        <v/>
      </c>
      <c r="F76" s="32">
        <f>IF(OR(A76="",B76=""),"",SUMIFS(Producao!$B:$B,Producao!$A:$A,"&gt;="&amp;B76,Producao!$A:$A,"&lt;"&amp;IF(C76="",TODAY()+1,C76)))</f>
        <v/>
      </c>
    </row>
    <row r="77">
      <c r="A77" s="30" t="n"/>
      <c r="B77" s="31" t="n"/>
      <c r="C77" s="31" t="n"/>
      <c r="D77">
        <f>IF(B77="","",IF(C77="",TODAY(),C77)-B77)</f>
        <v/>
      </c>
      <c r="E77">
        <f>IF(A77="","",IF(COUNTIFS($A:$A,A77,$C:$C,"")&gt;1,"Mais de uma entrada em aberto",IF(AND(C77&lt;&gt;"",C77&lt;B77),"Saída antes da entrada","")))</f>
        <v/>
      </c>
      <c r="F77" s="32">
        <f>IF(OR(A77="",B77=""),"",SUMIFS(Producao!$B:$B,Producao!$A:$A,"&gt;="&amp;B77,Producao!$A:$A,"&lt;"&amp;IF(C77="",TODAY()+1,C77)))</f>
        <v/>
      </c>
    </row>
    <row r="78">
      <c r="A78" s="30" t="n"/>
      <c r="B78" s="31" t="n"/>
      <c r="C78" s="31" t="n"/>
      <c r="D78">
        <f>IF(B78="","",IF(C78="",TODAY(),C78)-B78)</f>
        <v/>
      </c>
      <c r="E78">
        <f>IF(A78="","",IF(COUNTIFS($A:$A,A78,$C:$C,"")&gt;1,"Mais de uma entrada em aberto",IF(AND(C78&lt;&gt;"",C78&lt;B78),"Saída antes da entrada","")))</f>
        <v/>
      </c>
      <c r="F78" s="32">
        <f>IF(OR(A78="",B78=""),"",SUMIFS(Producao!$B:$B,Producao!$A:$A,"&gt;="&amp;B78,Producao!$A:$A,"&lt;"&amp;IF(C78="",TODAY()+1,C78)))</f>
        <v/>
      </c>
    </row>
    <row r="79">
      <c r="A79" s="30" t="n"/>
      <c r="B79" s="31" t="n"/>
      <c r="C79" s="31" t="n"/>
      <c r="D79">
        <f>IF(B79="","",IF(C79="",TODAY(),C79)-B79)</f>
        <v/>
      </c>
      <c r="E79">
        <f>IF(A79="","",IF(COUNTIFS($A:$A,A79,$C:$C,"")&gt;1,"Mais de uma entrada em aberto",IF(AND(C79&lt;&gt;"",C79&lt;B79),"Saída antes da entrada","")))</f>
        <v/>
      </c>
      <c r="F79" s="32">
        <f>IF(OR(A79="",B79=""),"",SUMIFS(Producao!$B:$B,Producao!$A:$A,"&gt;="&amp;B79,Producao!$A:$A,"&lt;"&amp;IF(C79="",TODAY()+1,C79)))</f>
        <v/>
      </c>
    </row>
    <row r="80">
      <c r="A80" s="30" t="n"/>
      <c r="B80" s="31" t="n"/>
      <c r="C80" s="31" t="n"/>
      <c r="D80">
        <f>IF(B80="","",IF(C80="",TODAY(),C80)-B80)</f>
        <v/>
      </c>
      <c r="E80">
        <f>IF(A80="","",IF(COUNTIFS($A:$A,A80,$C:$C,"")&gt;1,"Mais de uma entrada em aberto",IF(AND(C80&lt;&gt;"",C80&lt;B80),"Saída antes da entrada","")))</f>
        <v/>
      </c>
      <c r="F80" s="32">
        <f>IF(OR(A80="",B80=""),"",SUMIFS(Producao!$B:$B,Producao!$A:$A,"&gt;="&amp;B80,Producao!$A:$A,"&lt;"&amp;IF(C80="",TODAY()+1,C80)))</f>
        <v/>
      </c>
    </row>
    <row r="81">
      <c r="A81" s="30" t="n"/>
      <c r="B81" s="31" t="n"/>
      <c r="C81" s="31" t="n"/>
      <c r="D81">
        <f>IF(B81="","",IF(C81="",TODAY(),C81)-B81)</f>
        <v/>
      </c>
      <c r="E81">
        <f>IF(A81="","",IF(COUNTIFS($A:$A,A81,$C:$C,"")&gt;1,"Mais de uma entrada em aberto",IF(AND(C81&lt;&gt;"",C81&lt;B81),"Saída antes da entrada","")))</f>
        <v/>
      </c>
      <c r="F81" s="32">
        <f>IF(OR(A81="",B81=""),"",SUMIFS(Producao!$B:$B,Producao!$A:$A,"&gt;="&amp;B81,Producao!$A:$A,"&lt;"&amp;IF(C81="",TODAY()+1,C81)))</f>
        <v/>
      </c>
    </row>
    <row r="82">
      <c r="A82" s="30" t="n"/>
      <c r="B82" s="31" t="n"/>
      <c r="C82" s="31" t="n"/>
      <c r="D82">
        <f>IF(B82="","",IF(C82="",TODAY(),C82)-B82)</f>
        <v/>
      </c>
      <c r="E82">
        <f>IF(A82="","",IF(COUNTIFS($A:$A,A82,$C:$C,"")&gt;1,"Mais de uma entrada em aberto",IF(AND(C82&lt;&gt;"",C82&lt;B82),"Saída antes da entrada","")))</f>
        <v/>
      </c>
      <c r="F82" s="32">
        <f>IF(OR(A82="",B82=""),"",SUMIFS(Producao!$B:$B,Producao!$A:$A,"&gt;="&amp;B82,Producao!$A:$A,"&lt;"&amp;IF(C82="",TODAY()+1,C82)))</f>
        <v/>
      </c>
    </row>
    <row r="83">
      <c r="A83" s="30" t="n"/>
      <c r="B83" s="31" t="n"/>
      <c r="C83" s="31" t="n"/>
      <c r="D83">
        <f>IF(B83="","",IF(C83="",TODAY(),C83)-B83)</f>
        <v/>
      </c>
      <c r="E83">
        <f>IF(A83="","",IF(COUNTIFS($A:$A,A83,$C:$C,"")&gt;1,"Mais de uma entrada em aberto",IF(AND(C83&lt;&gt;"",C83&lt;B83),"Saída antes da entrada","")))</f>
        <v/>
      </c>
      <c r="F83" s="32">
        <f>IF(OR(A83="",B83=""),"",SUMIFS(Producao!$B:$B,Producao!$A:$A,"&gt;="&amp;B83,Producao!$A:$A,"&lt;"&amp;IF(C83="",TODAY()+1,C83)))</f>
        <v/>
      </c>
    </row>
    <row r="84">
      <c r="A84" s="30" t="n"/>
      <c r="B84" s="31" t="n"/>
      <c r="C84" s="31" t="n"/>
      <c r="D84">
        <f>IF(B84="","",IF(C84="",TODAY(),C84)-B84)</f>
        <v/>
      </c>
      <c r="E84">
        <f>IF(A84="","",IF(COUNTIFS($A:$A,A84,$C:$C,"")&gt;1,"Mais de uma entrada em aberto",IF(AND(C84&lt;&gt;"",C84&lt;B84),"Saída antes da entrada","")))</f>
        <v/>
      </c>
      <c r="F84" s="32">
        <f>IF(OR(A84="",B84=""),"",SUMIFS(Producao!$B:$B,Producao!$A:$A,"&gt;="&amp;B84,Producao!$A:$A,"&lt;"&amp;IF(C84="",TODAY()+1,C84)))</f>
        <v/>
      </c>
    </row>
    <row r="85">
      <c r="A85" s="30" t="n"/>
      <c r="B85" s="31" t="n"/>
      <c r="C85" s="31" t="n"/>
      <c r="D85">
        <f>IF(B85="","",IF(C85="",TODAY(),C85)-B85)</f>
        <v/>
      </c>
      <c r="E85">
        <f>IF(A85="","",IF(COUNTIFS($A:$A,A85,$C:$C,"")&gt;1,"Mais de uma entrada em aberto",IF(AND(C85&lt;&gt;"",C85&lt;B85),"Saída antes da entrada","")))</f>
        <v/>
      </c>
      <c r="F85" s="32">
        <f>IF(OR(A85="",B85=""),"",SUMIFS(Producao!$B:$B,Producao!$A:$A,"&gt;="&amp;B85,Producao!$A:$A,"&lt;"&amp;IF(C85="",TODAY()+1,C85)))</f>
        <v/>
      </c>
    </row>
    <row r="86">
      <c r="A86" s="30" t="n"/>
      <c r="B86" s="31" t="n"/>
      <c r="C86" s="31" t="n"/>
      <c r="D86">
        <f>IF(B86="","",IF(C86="",TODAY(),C86)-B86)</f>
        <v/>
      </c>
      <c r="E86">
        <f>IF(A86="","",IF(COUNTIFS($A:$A,A86,$C:$C,"")&gt;1,"Mais de uma entrada em aberto",IF(AND(C86&lt;&gt;"",C86&lt;B86),"Saída antes da entrada","")))</f>
        <v/>
      </c>
      <c r="F86" s="32">
        <f>IF(OR(A86="",B86=""),"",SUMIFS(Producao!$B:$B,Producao!$A:$A,"&gt;="&amp;B86,Producao!$A:$A,"&lt;"&amp;IF(C86="",TODAY()+1,C86)))</f>
        <v/>
      </c>
    </row>
    <row r="87">
      <c r="A87" s="30" t="n"/>
      <c r="B87" s="31" t="n"/>
      <c r="C87" s="31" t="n"/>
      <c r="D87">
        <f>IF(B87="","",IF(C87="",TODAY(),C87)-B87)</f>
        <v/>
      </c>
      <c r="E87">
        <f>IF(A87="","",IF(COUNTIFS($A:$A,A87,$C:$C,"")&gt;1,"Mais de uma entrada em aberto",IF(AND(C87&lt;&gt;"",C87&lt;B87),"Saída antes da entrada","")))</f>
        <v/>
      </c>
      <c r="F87" s="32">
        <f>IF(OR(A87="",B87=""),"",SUMIFS(Producao!$B:$B,Producao!$A:$A,"&gt;="&amp;B87,Producao!$A:$A,"&lt;"&amp;IF(C87="",TODAY()+1,C87)))</f>
        <v/>
      </c>
    </row>
    <row r="88">
      <c r="A88" s="30" t="n"/>
      <c r="B88" s="31" t="n"/>
      <c r="C88" s="31" t="n"/>
      <c r="D88">
        <f>IF(B88="","",IF(C88="",TODAY(),C88)-B88)</f>
        <v/>
      </c>
      <c r="E88">
        <f>IF(A88="","",IF(COUNTIFS($A:$A,A88,$C:$C,"")&gt;1,"Mais de uma entrada em aberto",IF(AND(C88&lt;&gt;"",C88&lt;B88),"Saída antes da entrada","")))</f>
        <v/>
      </c>
      <c r="F88" s="32">
        <f>IF(OR(A88="",B88=""),"",SUMIFS(Producao!$B:$B,Producao!$A:$A,"&gt;="&amp;B88,Producao!$A:$A,"&lt;"&amp;IF(C88="",TODAY()+1,C88)))</f>
        <v/>
      </c>
    </row>
    <row r="89">
      <c r="A89" s="30" t="n"/>
      <c r="B89" s="31" t="n"/>
      <c r="C89" s="31" t="n"/>
      <c r="D89">
        <f>IF(B89="","",IF(C89="",TODAY(),C89)-B89)</f>
        <v/>
      </c>
      <c r="E89">
        <f>IF(A89="","",IF(COUNTIFS($A:$A,A89,$C:$C,"")&gt;1,"Mais de uma entrada em aberto",IF(AND(C89&lt;&gt;"",C89&lt;B89),"Saída antes da entrada","")))</f>
        <v/>
      </c>
      <c r="F89" s="32">
        <f>IF(OR(A89="",B89=""),"",SUMIFS(Producao!$B:$B,Producao!$A:$A,"&gt;="&amp;B89,Producao!$A:$A,"&lt;"&amp;IF(C89="",TODAY()+1,C89)))</f>
        <v/>
      </c>
    </row>
    <row r="90">
      <c r="A90" s="30" t="n"/>
      <c r="B90" s="31" t="n"/>
      <c r="C90" s="31" t="n"/>
      <c r="D90">
        <f>IF(B90="","",IF(C90="",TODAY(),C90)-B90)</f>
        <v/>
      </c>
      <c r="E90">
        <f>IF(A90="","",IF(COUNTIFS($A:$A,A90,$C:$C,"")&gt;1,"Mais de uma entrada em aberto",IF(AND(C90&lt;&gt;"",C90&lt;B90),"Saída antes da entrada","")))</f>
        <v/>
      </c>
      <c r="F90" s="32">
        <f>IF(OR(A90="",B90=""),"",SUMIFS(Producao!$B:$B,Producao!$A:$A,"&gt;="&amp;B90,Producao!$A:$A,"&lt;"&amp;IF(C90="",TODAY()+1,C90)))</f>
        <v/>
      </c>
    </row>
    <row r="91">
      <c r="A91" s="30" t="n"/>
      <c r="B91" s="31" t="n"/>
      <c r="C91" s="31" t="n"/>
      <c r="D91">
        <f>IF(B91="","",IF(C91="",TODAY(),C91)-B91)</f>
        <v/>
      </c>
      <c r="E91">
        <f>IF(A91="","",IF(COUNTIFS($A:$A,A91,$C:$C,"")&gt;1,"Mais de uma entrada em aberto",IF(AND(C91&lt;&gt;"",C91&lt;B91),"Saída antes da entrada","")))</f>
        <v/>
      </c>
      <c r="F91" s="32">
        <f>IF(OR(A91="",B91=""),"",SUMIFS(Producao!$B:$B,Producao!$A:$A,"&gt;="&amp;B91,Producao!$A:$A,"&lt;"&amp;IF(C91="",TODAY()+1,C91)))</f>
        <v/>
      </c>
    </row>
    <row r="92">
      <c r="A92" s="30" t="n"/>
      <c r="B92" s="31" t="n"/>
      <c r="C92" s="31" t="n"/>
      <c r="D92">
        <f>IF(B92="","",IF(C92="",TODAY(),C92)-B92)</f>
        <v/>
      </c>
      <c r="E92">
        <f>IF(A92="","",IF(COUNTIFS($A:$A,A92,$C:$C,"")&gt;1,"Mais de uma entrada em aberto",IF(AND(C92&lt;&gt;"",C92&lt;B92),"Saída antes da entrada","")))</f>
        <v/>
      </c>
      <c r="F92" s="32">
        <f>IF(OR(A92="",B92=""),"",SUMIFS(Producao!$B:$B,Producao!$A:$A,"&gt;="&amp;B92,Producao!$A:$A,"&lt;"&amp;IF(C92="",TODAY()+1,C92)))</f>
        <v/>
      </c>
    </row>
    <row r="93">
      <c r="A93" s="30" t="n"/>
      <c r="B93" s="31" t="n"/>
      <c r="C93" s="31" t="n"/>
      <c r="D93">
        <f>IF(B93="","",IF(C93="",TODAY(),C93)-B93)</f>
        <v/>
      </c>
      <c r="E93">
        <f>IF(A93="","",IF(COUNTIFS($A:$A,A93,$C:$C,"")&gt;1,"Mais de uma entrada em aberto",IF(AND(C93&lt;&gt;"",C93&lt;B93),"Saída antes da entrada","")))</f>
        <v/>
      </c>
      <c r="F93" s="32">
        <f>IF(OR(A93="",B93=""),"",SUMIFS(Producao!$B:$B,Producao!$A:$A,"&gt;="&amp;B93,Producao!$A:$A,"&lt;"&amp;IF(C93="",TODAY()+1,C93)))</f>
        <v/>
      </c>
    </row>
    <row r="94">
      <c r="A94" s="30" t="n"/>
      <c r="B94" s="31" t="n"/>
      <c r="C94" s="31" t="n"/>
      <c r="D94">
        <f>IF(B94="","",IF(C94="",TODAY(),C94)-B94)</f>
        <v/>
      </c>
      <c r="E94">
        <f>IF(A94="","",IF(COUNTIFS($A:$A,A94,$C:$C,"")&gt;1,"Mais de uma entrada em aberto",IF(AND(C94&lt;&gt;"",C94&lt;B94),"Saída antes da entrada","")))</f>
        <v/>
      </c>
      <c r="F94" s="32">
        <f>IF(OR(A94="",B94=""),"",SUMIFS(Producao!$B:$B,Producao!$A:$A,"&gt;="&amp;B94,Producao!$A:$A,"&lt;"&amp;IF(C94="",TODAY()+1,C94)))</f>
        <v/>
      </c>
    </row>
    <row r="95">
      <c r="A95" s="30" t="n"/>
      <c r="B95" s="31" t="n"/>
      <c r="C95" s="31" t="n"/>
      <c r="D95">
        <f>IF(B95="","",IF(C95="",TODAY(),C95)-B95)</f>
        <v/>
      </c>
      <c r="E95">
        <f>IF(A95="","",IF(COUNTIFS($A:$A,A95,$C:$C,"")&gt;1,"Mais de uma entrada em aberto",IF(AND(C95&lt;&gt;"",C95&lt;B95),"Saída antes da entrada","")))</f>
        <v/>
      </c>
      <c r="F95" s="32">
        <f>IF(OR(A95="",B95=""),"",SUMIFS(Producao!$B:$B,Producao!$A:$A,"&gt;="&amp;B95,Producao!$A:$A,"&lt;"&amp;IF(C95="",TODAY()+1,C95)))</f>
        <v/>
      </c>
    </row>
    <row r="96">
      <c r="A96" s="30" t="n"/>
      <c r="B96" s="31" t="n"/>
      <c r="C96" s="31" t="n"/>
      <c r="D96">
        <f>IF(B96="","",IF(C96="",TODAY(),C96)-B96)</f>
        <v/>
      </c>
      <c r="E96">
        <f>IF(A96="","",IF(COUNTIFS($A:$A,A96,$C:$C,"")&gt;1,"Mais de uma entrada em aberto",IF(AND(C96&lt;&gt;"",C96&lt;B96),"Saída antes da entrada","")))</f>
        <v/>
      </c>
      <c r="F96" s="32">
        <f>IF(OR(A96="",B96=""),"",SUMIFS(Producao!$B:$B,Producao!$A:$A,"&gt;="&amp;B96,Producao!$A:$A,"&lt;"&amp;IF(C96="",TODAY()+1,C96)))</f>
        <v/>
      </c>
    </row>
    <row r="97">
      <c r="A97" s="30" t="n"/>
      <c r="B97" s="31" t="n"/>
      <c r="C97" s="31" t="n"/>
      <c r="D97">
        <f>IF(B97="","",IF(C97="",TODAY(),C97)-B97)</f>
        <v/>
      </c>
      <c r="E97">
        <f>IF(A97="","",IF(COUNTIFS($A:$A,A97,$C:$C,"")&gt;1,"Mais de uma entrada em aberto",IF(AND(C97&lt;&gt;"",C97&lt;B97),"Saída antes da entrada","")))</f>
        <v/>
      </c>
      <c r="F97" s="32">
        <f>IF(OR(A97="",B97=""),"",SUMIFS(Producao!$B:$B,Producao!$A:$A,"&gt;="&amp;B97,Producao!$A:$A,"&lt;"&amp;IF(C97="",TODAY()+1,C97)))</f>
        <v/>
      </c>
    </row>
    <row r="98">
      <c r="A98" s="30" t="n"/>
      <c r="B98" s="31" t="n"/>
      <c r="C98" s="31" t="n"/>
      <c r="D98">
        <f>IF(B98="","",IF(C98="",TODAY(),C98)-B98)</f>
        <v/>
      </c>
      <c r="E98">
        <f>IF(A98="","",IF(COUNTIFS($A:$A,A98,$C:$C,"")&gt;1,"Mais de uma entrada em aberto",IF(AND(C98&lt;&gt;"",C98&lt;B98),"Saída antes da entrada","")))</f>
        <v/>
      </c>
      <c r="F98" s="32">
        <f>IF(OR(A98="",B98=""),"",SUMIFS(Producao!$B:$B,Producao!$A:$A,"&gt;="&amp;B98,Producao!$A:$A,"&lt;"&amp;IF(C98="",TODAY()+1,C98)))</f>
        <v/>
      </c>
    </row>
    <row r="99">
      <c r="A99" s="30" t="n"/>
      <c r="B99" s="31" t="n"/>
      <c r="C99" s="31" t="n"/>
      <c r="D99">
        <f>IF(B99="","",IF(C99="",TODAY(),C99)-B99)</f>
        <v/>
      </c>
      <c r="E99">
        <f>IF(A99="","",IF(COUNTIFS($A:$A,A99,$C:$C,"")&gt;1,"Mais de uma entrada em aberto",IF(AND(C99&lt;&gt;"",C99&lt;B99),"Saída antes da entrada","")))</f>
        <v/>
      </c>
      <c r="F99" s="32">
        <f>IF(OR(A99="",B99=""),"",SUMIFS(Producao!$B:$B,Producao!$A:$A,"&gt;="&amp;B99,Producao!$A:$A,"&lt;"&amp;IF(C99="",TODAY()+1,C99)))</f>
        <v/>
      </c>
    </row>
    <row r="100">
      <c r="A100" s="30" t="n"/>
      <c r="B100" s="31" t="n"/>
      <c r="C100" s="31" t="n"/>
      <c r="D100">
        <f>IF(B100="","",IF(C100="",TODAY(),C100)-B100)</f>
        <v/>
      </c>
      <c r="E100">
        <f>IF(A100="","",IF(COUNTIFS($A:$A,A100,$C:$C,"")&gt;1,"Mais de uma entrada em aberto",IF(AND(C100&lt;&gt;"",C100&lt;B100),"Saída antes da entrada","")))</f>
        <v/>
      </c>
      <c r="F100" s="32">
        <f>IF(OR(A100="",B100=""),"",SUMIFS(Producao!$B:$B,Producao!$A:$A,"&gt;="&amp;B100,Producao!$A:$A,"&lt;"&amp;IF(C100="",TODAY()+1,C100)))</f>
        <v/>
      </c>
    </row>
    <row r="101">
      <c r="A101" s="30" t="n"/>
      <c r="B101" s="31" t="n"/>
      <c r="C101" s="31" t="n"/>
      <c r="D101">
        <f>IF(B101="","",IF(C101="",TODAY(),C101)-B101)</f>
        <v/>
      </c>
      <c r="E101">
        <f>IF(A101="","",IF(COUNTIFS($A:$A,A101,$C:$C,"")&gt;1,"Mais de uma entrada em aberto",IF(AND(C101&lt;&gt;"",C101&lt;B101),"Saída antes da entrada","")))</f>
        <v/>
      </c>
      <c r="F101" s="32">
        <f>IF(OR(A101="",B101=""),"",SUMIFS(Producao!$B:$B,Producao!$A:$A,"&gt;="&amp;B101,Producao!$A:$A,"&lt;"&amp;IF(C101="",TODAY()+1,C101)))</f>
        <v/>
      </c>
    </row>
    <row r="102">
      <c r="A102" s="30" t="n"/>
      <c r="B102" s="31" t="n"/>
      <c r="C102" s="31" t="n"/>
      <c r="D102">
        <f>IF(B102="","",IF(C102="",TODAY(),C102)-B102)</f>
        <v/>
      </c>
      <c r="E102">
        <f>IF(A102="","",IF(COUNTIFS($A:$A,A102,$C:$C,"")&gt;1,"Mais de uma entrada em aberto",IF(AND(C102&lt;&gt;"",C102&lt;B102),"Saída antes da entrada","")))</f>
        <v/>
      </c>
      <c r="F102" s="32">
        <f>IF(OR(A102="",B102=""),"",SUMIFS(Producao!$B:$B,Producao!$A:$A,"&gt;="&amp;B102,Producao!$A:$A,"&lt;"&amp;IF(C102="",TODAY()+1,C102)))</f>
        <v/>
      </c>
    </row>
    <row r="103">
      <c r="A103" s="30" t="n"/>
      <c r="B103" s="31" t="n"/>
      <c r="C103" s="31" t="n"/>
      <c r="D103">
        <f>IF(B103="","",IF(C103="",TODAY(),C103)-B103)</f>
        <v/>
      </c>
      <c r="E103">
        <f>IF(A103="","",IF(COUNTIFS($A:$A,A103,$C:$C,"")&gt;1,"Mais de uma entrada em aberto",IF(AND(C103&lt;&gt;"",C103&lt;B103),"Saída antes da entrada","")))</f>
        <v/>
      </c>
      <c r="F103" s="32">
        <f>IF(OR(A103="",B103=""),"",SUMIFS(Producao!$B:$B,Producao!$A:$A,"&gt;="&amp;B103,Producao!$A:$A,"&lt;"&amp;IF(C103="",TODAY()+1,C103)))</f>
        <v/>
      </c>
    </row>
    <row r="104">
      <c r="A104" s="30" t="n"/>
      <c r="B104" s="31" t="n"/>
      <c r="C104" s="31" t="n"/>
      <c r="D104">
        <f>IF(B104="","",IF(C104="",TODAY(),C104)-B104)</f>
        <v/>
      </c>
      <c r="E104">
        <f>IF(A104="","",IF(COUNTIFS($A:$A,A104,$C:$C,"")&gt;1,"Mais de uma entrada em aberto",IF(AND(C104&lt;&gt;"",C104&lt;B104),"Saída antes da entrada","")))</f>
        <v/>
      </c>
      <c r="F104" s="32">
        <f>IF(OR(A104="",B104=""),"",SUMIFS(Producao!$B:$B,Producao!$A:$A,"&gt;="&amp;B104,Producao!$A:$A,"&lt;"&amp;IF(C104="",TODAY()+1,C104)))</f>
        <v/>
      </c>
    </row>
    <row r="105">
      <c r="A105" s="30" t="n"/>
      <c r="B105" s="31" t="n"/>
      <c r="C105" s="31" t="n"/>
      <c r="D105">
        <f>IF(B105="","",IF(C105="",TODAY(),C105)-B105)</f>
        <v/>
      </c>
      <c r="E105">
        <f>IF(A105="","",IF(COUNTIFS($A:$A,A105,$C:$C,"")&gt;1,"Mais de uma entrada em aberto",IF(AND(C105&lt;&gt;"",C105&lt;B105),"Saída antes da entrada","")))</f>
        <v/>
      </c>
      <c r="F105" s="32">
        <f>IF(OR(A105="",B105=""),"",SUMIFS(Producao!$B:$B,Producao!$A:$A,"&gt;="&amp;B105,Producao!$A:$A,"&lt;"&amp;IF(C105="",TODAY()+1,C105)))</f>
        <v/>
      </c>
    </row>
    <row r="106">
      <c r="A106" s="30" t="n"/>
      <c r="B106" s="31" t="n"/>
      <c r="C106" s="31" t="n"/>
      <c r="D106">
        <f>IF(B106="","",IF(C106="",TODAY(),C106)-B106)</f>
        <v/>
      </c>
      <c r="E106">
        <f>IF(A106="","",IF(COUNTIFS($A:$A,A106,$C:$C,"")&gt;1,"Mais de uma entrada em aberto",IF(AND(C106&lt;&gt;"",C106&lt;B106),"Saída antes da entrada","")))</f>
        <v/>
      </c>
      <c r="F106" s="32">
        <f>IF(OR(A106="",B106=""),"",SUMIFS(Producao!$B:$B,Producao!$A:$A,"&gt;="&amp;B106,Producao!$A:$A,"&lt;"&amp;IF(C106="",TODAY()+1,C106)))</f>
        <v/>
      </c>
    </row>
    <row r="107">
      <c r="A107" s="30" t="n"/>
      <c r="B107" s="31" t="n"/>
      <c r="C107" s="31" t="n"/>
      <c r="D107">
        <f>IF(B107="","",IF(C107="",TODAY(),C107)-B107)</f>
        <v/>
      </c>
      <c r="E107">
        <f>IF(A107="","",IF(COUNTIFS($A:$A,A107,$C:$C,"")&gt;1,"Mais de uma entrada em aberto",IF(AND(C107&lt;&gt;"",C107&lt;B107),"Saída antes da entrada","")))</f>
        <v/>
      </c>
      <c r="F107" s="32">
        <f>IF(OR(A107="",B107=""),"",SUMIFS(Producao!$B:$B,Producao!$A:$A,"&gt;="&amp;B107,Producao!$A:$A,"&lt;"&amp;IF(C107="",TODAY()+1,C107)))</f>
        <v/>
      </c>
    </row>
    <row r="108">
      <c r="A108" s="30" t="n"/>
      <c r="B108" s="31" t="n"/>
      <c r="C108" s="31" t="n"/>
      <c r="D108">
        <f>IF(B108="","",IF(C108="",TODAY(),C108)-B108)</f>
        <v/>
      </c>
      <c r="E108">
        <f>IF(A108="","",IF(COUNTIFS($A:$A,A108,$C:$C,"")&gt;1,"Mais de uma entrada em aberto",IF(AND(C108&lt;&gt;"",C108&lt;B108),"Saída antes da entrada","")))</f>
        <v/>
      </c>
      <c r="F108" s="32">
        <f>IF(OR(A108="",B108=""),"",SUMIFS(Producao!$B:$B,Producao!$A:$A,"&gt;="&amp;B108,Producao!$A:$A,"&lt;"&amp;IF(C108="",TODAY()+1,C108)))</f>
        <v/>
      </c>
    </row>
    <row r="109">
      <c r="A109" s="30" t="n"/>
      <c r="B109" s="31" t="n"/>
      <c r="C109" s="31" t="n"/>
      <c r="D109">
        <f>IF(B109="","",IF(C109="",TODAY(),C109)-B109)</f>
        <v/>
      </c>
      <c r="E109">
        <f>IF(A109="","",IF(COUNTIFS($A:$A,A109,$C:$C,"")&gt;1,"Mais de uma entrada em aberto",IF(AND(C109&lt;&gt;"",C109&lt;B109),"Saída antes da entrada","")))</f>
        <v/>
      </c>
      <c r="F109" s="32">
        <f>IF(OR(A109="",B109=""),"",SUMIFS(Producao!$B:$B,Producao!$A:$A,"&gt;="&amp;B109,Producao!$A:$A,"&lt;"&amp;IF(C109="",TODAY()+1,C109)))</f>
        <v/>
      </c>
    </row>
    <row r="110">
      <c r="A110" s="30" t="n"/>
      <c r="B110" s="31" t="n"/>
      <c r="C110" s="31" t="n"/>
      <c r="D110">
        <f>IF(B110="","",IF(C110="",TODAY(),C110)-B110)</f>
        <v/>
      </c>
      <c r="E110">
        <f>IF(A110="","",IF(COUNTIFS($A:$A,A110,$C:$C,"")&gt;1,"Mais de uma entrada em aberto",IF(AND(C110&lt;&gt;"",C110&lt;B110),"Saída antes da entrada","")))</f>
        <v/>
      </c>
      <c r="F110" s="32">
        <f>IF(OR(A110="",B110=""),"",SUMIFS(Producao!$B:$B,Producao!$A:$A,"&gt;="&amp;B110,Producao!$A:$A,"&lt;"&amp;IF(C110="",TODAY()+1,C110)))</f>
        <v/>
      </c>
    </row>
    <row r="111">
      <c r="A111" s="30" t="n"/>
      <c r="B111" s="31" t="n"/>
      <c r="C111" s="31" t="n"/>
      <c r="D111">
        <f>IF(B111="","",IF(C111="",TODAY(),C111)-B111)</f>
        <v/>
      </c>
      <c r="E111">
        <f>IF(A111="","",IF(COUNTIFS($A:$A,A111,$C:$C,"")&gt;1,"Mais de uma entrada em aberto",IF(AND(C111&lt;&gt;"",C111&lt;B111),"Saída antes da entrada","")))</f>
        <v/>
      </c>
      <c r="F111" s="32">
        <f>IF(OR(A111="",B111=""),"",SUMIFS(Producao!$B:$B,Producao!$A:$A,"&gt;="&amp;B111,Producao!$A:$A,"&lt;"&amp;IF(C111="",TODAY()+1,C111)))</f>
        <v/>
      </c>
    </row>
    <row r="112">
      <c r="A112" s="30" t="n"/>
      <c r="B112" s="31" t="n"/>
      <c r="C112" s="31" t="n"/>
      <c r="D112">
        <f>IF(B112="","",IF(C112="",TODAY(),C112)-B112)</f>
        <v/>
      </c>
      <c r="E112">
        <f>IF(A112="","",IF(COUNTIFS($A:$A,A112,$C:$C,"")&gt;1,"Mais de uma entrada em aberto",IF(AND(C112&lt;&gt;"",C112&lt;B112),"Saída antes da entrada","")))</f>
        <v/>
      </c>
      <c r="F112" s="32">
        <f>IF(OR(A112="",B112=""),"",SUMIFS(Producao!$B:$B,Producao!$A:$A,"&gt;="&amp;B112,Producao!$A:$A,"&lt;"&amp;IF(C112="",TODAY()+1,C112)))</f>
        <v/>
      </c>
    </row>
    <row r="113">
      <c r="A113" s="30" t="n"/>
      <c r="B113" s="31" t="n"/>
      <c r="C113" s="31" t="n"/>
      <c r="D113">
        <f>IF(B113="","",IF(C113="",TODAY(),C113)-B113)</f>
        <v/>
      </c>
      <c r="E113">
        <f>IF(A113="","",IF(COUNTIFS($A:$A,A113,$C:$C,"")&gt;1,"Mais de uma entrada em aberto",IF(AND(C113&lt;&gt;"",C113&lt;B113),"Saída antes da entrada","")))</f>
        <v/>
      </c>
      <c r="F113" s="32">
        <f>IF(OR(A113="",B113=""),"",SUMIFS(Producao!$B:$B,Producao!$A:$A,"&gt;="&amp;B113,Producao!$A:$A,"&lt;"&amp;IF(C113="",TODAY()+1,C113)))</f>
        <v/>
      </c>
    </row>
    <row r="114">
      <c r="A114" s="30" t="n"/>
      <c r="B114" s="31" t="n"/>
      <c r="C114" s="31" t="n"/>
      <c r="D114">
        <f>IF(B114="","",IF(C114="",TODAY(),C114)-B114)</f>
        <v/>
      </c>
      <c r="E114">
        <f>IF(A114="","",IF(COUNTIFS($A:$A,A114,$C:$C,"")&gt;1,"Mais de uma entrada em aberto",IF(AND(C114&lt;&gt;"",C114&lt;B114),"Saída antes da entrada","")))</f>
        <v/>
      </c>
      <c r="F114" s="32">
        <f>IF(OR(A114="",B114=""),"",SUMIFS(Producao!$B:$B,Producao!$A:$A,"&gt;="&amp;B114,Producao!$A:$A,"&lt;"&amp;IF(C114="",TODAY()+1,C114)))</f>
        <v/>
      </c>
    </row>
    <row r="115">
      <c r="A115" s="30" t="n"/>
      <c r="B115" s="31" t="n"/>
      <c r="C115" s="31" t="n"/>
      <c r="D115">
        <f>IF(B115="","",IF(C115="",TODAY(),C115)-B115)</f>
        <v/>
      </c>
      <c r="E115">
        <f>IF(A115="","",IF(COUNTIFS($A:$A,A115,$C:$C,"")&gt;1,"Mais de uma entrada em aberto",IF(AND(C115&lt;&gt;"",C115&lt;B115),"Saída antes da entrada","")))</f>
        <v/>
      </c>
      <c r="F115" s="32">
        <f>IF(OR(A115="",B115=""),"",SUMIFS(Producao!$B:$B,Producao!$A:$A,"&gt;="&amp;B115,Producao!$A:$A,"&lt;"&amp;IF(C115="",TODAY()+1,C115)))</f>
        <v/>
      </c>
    </row>
    <row r="116">
      <c r="A116" s="30" t="n"/>
      <c r="B116" s="31" t="n"/>
      <c r="C116" s="31" t="n"/>
      <c r="D116">
        <f>IF(B116="","",IF(C116="",TODAY(),C116)-B116)</f>
        <v/>
      </c>
      <c r="E116">
        <f>IF(A116="","",IF(COUNTIFS($A:$A,A116,$C:$C,"")&gt;1,"Mais de uma entrada em aberto",IF(AND(C116&lt;&gt;"",C116&lt;B116),"Saída antes da entrada","")))</f>
        <v/>
      </c>
      <c r="F116" s="32">
        <f>IF(OR(A116="",B116=""),"",SUMIFS(Producao!$B:$B,Producao!$A:$A,"&gt;="&amp;B116,Producao!$A:$A,"&lt;"&amp;IF(C116="",TODAY()+1,C116)))</f>
        <v/>
      </c>
    </row>
    <row r="117">
      <c r="A117" s="30" t="n"/>
      <c r="B117" s="31" t="n"/>
      <c r="C117" s="31" t="n"/>
      <c r="D117">
        <f>IF(B117="","",IF(C117="",TODAY(),C117)-B117)</f>
        <v/>
      </c>
      <c r="E117">
        <f>IF(A117="","",IF(COUNTIFS($A:$A,A117,$C:$C,"")&gt;1,"Mais de uma entrada em aberto",IF(AND(C117&lt;&gt;"",C117&lt;B117),"Saída antes da entrada","")))</f>
        <v/>
      </c>
      <c r="F117" s="32">
        <f>IF(OR(A117="",B117=""),"",SUMIFS(Producao!$B:$B,Producao!$A:$A,"&gt;="&amp;B117,Producao!$A:$A,"&lt;"&amp;IF(C117="",TODAY()+1,C117)))</f>
        <v/>
      </c>
    </row>
    <row r="118">
      <c r="A118" s="30" t="n"/>
      <c r="B118" s="31" t="n"/>
      <c r="C118" s="31" t="n"/>
      <c r="D118">
        <f>IF(B118="","",IF(C118="",TODAY(),C118)-B118)</f>
        <v/>
      </c>
      <c r="E118">
        <f>IF(A118="","",IF(COUNTIFS($A:$A,A118,$C:$C,"")&gt;1,"Mais de uma entrada em aberto",IF(AND(C118&lt;&gt;"",C118&lt;B118),"Saída antes da entrada","")))</f>
        <v/>
      </c>
      <c r="F118" s="32">
        <f>IF(OR(A118="",B118=""),"",SUMIFS(Producao!$B:$B,Producao!$A:$A,"&gt;="&amp;B118,Producao!$A:$A,"&lt;"&amp;IF(C118="",TODAY()+1,C118)))</f>
        <v/>
      </c>
    </row>
    <row r="119">
      <c r="A119" s="30" t="n"/>
      <c r="B119" s="31" t="n"/>
      <c r="C119" s="31" t="n"/>
      <c r="D119">
        <f>IF(B119="","",IF(C119="",TODAY(),C119)-B119)</f>
        <v/>
      </c>
      <c r="E119">
        <f>IF(A119="","",IF(COUNTIFS($A:$A,A119,$C:$C,"")&gt;1,"Mais de uma entrada em aberto",IF(AND(C119&lt;&gt;"",C119&lt;B119),"Saída antes da entrada","")))</f>
        <v/>
      </c>
      <c r="F119" s="32">
        <f>IF(OR(A119="",B119=""),"",SUMIFS(Producao!$B:$B,Producao!$A:$A,"&gt;="&amp;B119,Producao!$A:$A,"&lt;"&amp;IF(C119="",TODAY()+1,C119)))</f>
        <v/>
      </c>
    </row>
    <row r="120">
      <c r="A120" s="30" t="n"/>
      <c r="B120" s="31" t="n"/>
      <c r="C120" s="31" t="n"/>
      <c r="D120">
        <f>IF(B120="","",IF(C120="",TODAY(),C120)-B120)</f>
        <v/>
      </c>
      <c r="E120">
        <f>IF(A120="","",IF(COUNTIFS($A:$A,A120,$C:$C,"")&gt;1,"Mais de uma entrada em aberto",IF(AND(C120&lt;&gt;"",C120&lt;B120),"Saída antes da entrada","")))</f>
        <v/>
      </c>
      <c r="F120" s="32">
        <f>IF(OR(A120="",B120=""),"",SUMIFS(Producao!$B:$B,Producao!$A:$A,"&gt;="&amp;B120,Producao!$A:$A,"&lt;"&amp;IF(C120="",TODAY()+1,C120)))</f>
        <v/>
      </c>
    </row>
    <row r="121">
      <c r="A121" s="30" t="n"/>
      <c r="B121" s="31" t="n"/>
      <c r="C121" s="31" t="n"/>
      <c r="D121">
        <f>IF(B121="","",IF(C121="",TODAY(),C121)-B121)</f>
        <v/>
      </c>
      <c r="E121">
        <f>IF(A121="","",IF(COUNTIFS($A:$A,A121,$C:$C,"")&gt;1,"Mais de uma entrada em aberto",IF(AND(C121&lt;&gt;"",C121&lt;B121),"Saída antes da entrada","")))</f>
        <v/>
      </c>
      <c r="F121" s="32">
        <f>IF(OR(A121="",B121=""),"",SUMIFS(Producao!$B:$B,Producao!$A:$A,"&gt;="&amp;B121,Producao!$A:$A,"&lt;"&amp;IF(C121="",TODAY()+1,C121)))</f>
        <v/>
      </c>
    </row>
    <row r="122">
      <c r="A122" s="30" t="n"/>
      <c r="B122" s="31" t="n"/>
      <c r="C122" s="31" t="n"/>
      <c r="D122">
        <f>IF(B122="","",IF(C122="",TODAY(),C122)-B122)</f>
        <v/>
      </c>
      <c r="E122">
        <f>IF(A122="","",IF(COUNTIFS($A:$A,A122,$C:$C,"")&gt;1,"Mais de uma entrada em aberto",IF(AND(C122&lt;&gt;"",C122&lt;B122),"Saída antes da entrada","")))</f>
        <v/>
      </c>
      <c r="F122" s="32">
        <f>IF(OR(A122="",B122=""),"",SUMIFS(Producao!$B:$B,Producao!$A:$A,"&gt;="&amp;B122,Producao!$A:$A,"&lt;"&amp;IF(C122="",TODAY()+1,C122)))</f>
        <v/>
      </c>
    </row>
    <row r="123">
      <c r="A123" s="30" t="n"/>
      <c r="B123" s="31" t="n"/>
      <c r="C123" s="31" t="n"/>
      <c r="D123">
        <f>IF(B123="","",IF(C123="",TODAY(),C123)-B123)</f>
        <v/>
      </c>
      <c r="E123">
        <f>IF(A123="","",IF(COUNTIFS($A:$A,A123,$C:$C,"")&gt;1,"Mais de uma entrada em aberto",IF(AND(C123&lt;&gt;"",C123&lt;B123),"Saída antes da entrada","")))</f>
        <v/>
      </c>
      <c r="F123" s="32">
        <f>IF(OR(A123="",B123=""),"",SUMIFS(Producao!$B:$B,Producao!$A:$A,"&gt;="&amp;B123,Producao!$A:$A,"&lt;"&amp;IF(C123="",TODAY()+1,C123)))</f>
        <v/>
      </c>
    </row>
    <row r="124">
      <c r="A124" s="30" t="n"/>
      <c r="B124" s="31" t="n"/>
      <c r="C124" s="31" t="n"/>
      <c r="D124">
        <f>IF(B124="","",IF(C124="",TODAY(),C124)-B124)</f>
        <v/>
      </c>
      <c r="E124">
        <f>IF(A124="","",IF(COUNTIFS($A:$A,A124,$C:$C,"")&gt;1,"Mais de uma entrada em aberto",IF(AND(C124&lt;&gt;"",C124&lt;B124),"Saída antes da entrada","")))</f>
        <v/>
      </c>
      <c r="F124" s="32">
        <f>IF(OR(A124="",B124=""),"",SUMIFS(Producao!$B:$B,Producao!$A:$A,"&gt;="&amp;B124,Producao!$A:$A,"&lt;"&amp;IF(C124="",TODAY()+1,C124)))</f>
        <v/>
      </c>
    </row>
    <row r="125">
      <c r="A125" s="30" t="n"/>
      <c r="B125" s="31" t="n"/>
      <c r="C125" s="31" t="n"/>
      <c r="D125">
        <f>IF(B125="","",IF(C125="",TODAY(),C125)-B125)</f>
        <v/>
      </c>
      <c r="E125">
        <f>IF(A125="","",IF(COUNTIFS($A:$A,A125,$C:$C,"")&gt;1,"Mais de uma entrada em aberto",IF(AND(C125&lt;&gt;"",C125&lt;B125),"Saída antes da entrada","")))</f>
        <v/>
      </c>
      <c r="F125" s="32">
        <f>IF(OR(A125="",B125=""),"",SUMIFS(Producao!$B:$B,Producao!$A:$A,"&gt;="&amp;B125,Producao!$A:$A,"&lt;"&amp;IF(C125="",TODAY()+1,C125)))</f>
        <v/>
      </c>
    </row>
    <row r="126">
      <c r="A126" s="30" t="n"/>
      <c r="B126" s="31" t="n"/>
      <c r="C126" s="31" t="n"/>
      <c r="D126">
        <f>IF(B126="","",IF(C126="",TODAY(),C126)-B126)</f>
        <v/>
      </c>
      <c r="E126">
        <f>IF(A126="","",IF(COUNTIFS($A:$A,A126,$C:$C,"")&gt;1,"Mais de uma entrada em aberto",IF(AND(C126&lt;&gt;"",C126&lt;B126),"Saída antes da entrada","")))</f>
        <v/>
      </c>
      <c r="F126" s="32">
        <f>IF(OR(A126="",B126=""),"",SUMIFS(Producao!$B:$B,Producao!$A:$A,"&gt;="&amp;B126,Producao!$A:$A,"&lt;"&amp;IF(C126="",TODAY()+1,C126)))</f>
        <v/>
      </c>
    </row>
    <row r="127">
      <c r="A127" s="30" t="n"/>
      <c r="B127" s="31" t="n"/>
      <c r="C127" s="31" t="n"/>
      <c r="D127">
        <f>IF(B127="","",IF(C127="",TODAY(),C127)-B127)</f>
        <v/>
      </c>
      <c r="E127">
        <f>IF(A127="","",IF(COUNTIFS($A:$A,A127,$C:$C,"")&gt;1,"Mais de uma entrada em aberto",IF(AND(C127&lt;&gt;"",C127&lt;B127),"Saída antes da entrada","")))</f>
        <v/>
      </c>
      <c r="F127" s="32">
        <f>IF(OR(A127="",B127=""),"",SUMIFS(Producao!$B:$B,Producao!$A:$A,"&gt;="&amp;B127,Producao!$A:$A,"&lt;"&amp;IF(C127="",TODAY()+1,C127)))</f>
        <v/>
      </c>
    </row>
    <row r="128">
      <c r="A128" s="30" t="n"/>
      <c r="B128" s="31" t="n"/>
      <c r="C128" s="31" t="n"/>
      <c r="D128">
        <f>IF(B128="","",IF(C128="",TODAY(),C128)-B128)</f>
        <v/>
      </c>
      <c r="E128">
        <f>IF(A128="","",IF(COUNTIFS($A:$A,A128,$C:$C,"")&gt;1,"Mais de uma entrada em aberto",IF(AND(C128&lt;&gt;"",C128&lt;B128),"Saída antes da entrada","")))</f>
        <v/>
      </c>
      <c r="F128" s="32">
        <f>IF(OR(A128="",B128=""),"",SUMIFS(Producao!$B:$B,Producao!$A:$A,"&gt;="&amp;B128,Producao!$A:$A,"&lt;"&amp;IF(C128="",TODAY()+1,C128)))</f>
        <v/>
      </c>
    </row>
    <row r="129">
      <c r="A129" s="30" t="n"/>
      <c r="B129" s="31" t="n"/>
      <c r="C129" s="31" t="n"/>
      <c r="D129">
        <f>IF(B129="","",IF(C129="",TODAY(),C129)-B129)</f>
        <v/>
      </c>
      <c r="E129">
        <f>IF(A129="","",IF(COUNTIFS($A:$A,A129,$C:$C,"")&gt;1,"Mais de uma entrada em aberto",IF(AND(C129&lt;&gt;"",C129&lt;B129),"Saída antes da entrada","")))</f>
        <v/>
      </c>
      <c r="F129" s="32">
        <f>IF(OR(A129="",B129=""),"",SUMIFS(Producao!$B:$B,Producao!$A:$A,"&gt;="&amp;B129,Producao!$A:$A,"&lt;"&amp;IF(C129="",TODAY()+1,C129)))</f>
        <v/>
      </c>
    </row>
    <row r="130">
      <c r="A130" s="30" t="n"/>
      <c r="B130" s="31" t="n"/>
      <c r="C130" s="31" t="n"/>
      <c r="D130">
        <f>IF(B130="","",IF(C130="",TODAY(),C130)-B130)</f>
        <v/>
      </c>
      <c r="E130">
        <f>IF(A130="","",IF(COUNTIFS($A:$A,A130,$C:$C,"")&gt;1,"Mais de uma entrada em aberto",IF(AND(C130&lt;&gt;"",C130&lt;B130),"Saída antes da entrada","")))</f>
        <v/>
      </c>
      <c r="F130" s="32">
        <f>IF(OR(A130="",B130=""),"",SUMIFS(Producao!$B:$B,Producao!$A:$A,"&gt;="&amp;B130,Producao!$A:$A,"&lt;"&amp;IF(C130="",TODAY()+1,C130)))</f>
        <v/>
      </c>
    </row>
    <row r="131">
      <c r="A131" s="30" t="n"/>
      <c r="B131" s="31" t="n"/>
      <c r="C131" s="31" t="n"/>
      <c r="D131">
        <f>IF(B131="","",IF(C131="",TODAY(),C131)-B131)</f>
        <v/>
      </c>
      <c r="E131">
        <f>IF(A131="","",IF(COUNTIFS($A:$A,A131,$C:$C,"")&gt;1,"Mais de uma entrada em aberto",IF(AND(C131&lt;&gt;"",C131&lt;B131),"Saída antes da entrada","")))</f>
        <v/>
      </c>
      <c r="F131" s="32">
        <f>IF(OR(A131="",B131=""),"",SUMIFS(Producao!$B:$B,Producao!$A:$A,"&gt;="&amp;B131,Producao!$A:$A,"&lt;"&amp;IF(C131="",TODAY()+1,C131)))</f>
        <v/>
      </c>
    </row>
    <row r="132">
      <c r="A132" s="30" t="n"/>
      <c r="B132" s="31" t="n"/>
      <c r="C132" s="31" t="n"/>
      <c r="D132">
        <f>IF(B132="","",IF(C132="",TODAY(),C132)-B132)</f>
        <v/>
      </c>
      <c r="E132">
        <f>IF(A132="","",IF(COUNTIFS($A:$A,A132,$C:$C,"")&gt;1,"Mais de uma entrada em aberto",IF(AND(C132&lt;&gt;"",C132&lt;B132),"Saída antes da entrada","")))</f>
        <v/>
      </c>
      <c r="F132" s="32">
        <f>IF(OR(A132="",B132=""),"",SUMIFS(Producao!$B:$B,Producao!$A:$A,"&gt;="&amp;B132,Producao!$A:$A,"&lt;"&amp;IF(C132="",TODAY()+1,C132)))</f>
        <v/>
      </c>
    </row>
    <row r="133">
      <c r="A133" s="30" t="n"/>
      <c r="B133" s="31" t="n"/>
      <c r="C133" s="31" t="n"/>
      <c r="D133">
        <f>IF(B133="","",IF(C133="",TODAY(),C133)-B133)</f>
        <v/>
      </c>
      <c r="E133">
        <f>IF(A133="","",IF(COUNTIFS($A:$A,A133,$C:$C,"")&gt;1,"Mais de uma entrada em aberto",IF(AND(C133&lt;&gt;"",C133&lt;B133),"Saída antes da entrada","")))</f>
        <v/>
      </c>
      <c r="F133" s="32">
        <f>IF(OR(A133="",B133=""),"",SUMIFS(Producao!$B:$B,Producao!$A:$A,"&gt;="&amp;B133,Producao!$A:$A,"&lt;"&amp;IF(C133="",TODAY()+1,C133)))</f>
        <v/>
      </c>
    </row>
    <row r="134">
      <c r="A134" s="30" t="n"/>
      <c r="B134" s="31" t="n"/>
      <c r="C134" s="31" t="n"/>
      <c r="D134">
        <f>IF(B134="","",IF(C134="",TODAY(),C134)-B134)</f>
        <v/>
      </c>
      <c r="E134">
        <f>IF(A134="","",IF(COUNTIFS($A:$A,A134,$C:$C,"")&gt;1,"Mais de uma entrada em aberto",IF(AND(C134&lt;&gt;"",C134&lt;B134),"Saída antes da entrada","")))</f>
        <v/>
      </c>
      <c r="F134" s="32">
        <f>IF(OR(A134="",B134=""),"",SUMIFS(Producao!$B:$B,Producao!$A:$A,"&gt;="&amp;B134,Producao!$A:$A,"&lt;"&amp;IF(C134="",TODAY()+1,C134)))</f>
        <v/>
      </c>
    </row>
    <row r="135">
      <c r="A135" s="30" t="n"/>
      <c r="B135" s="31" t="n"/>
      <c r="C135" s="31" t="n"/>
      <c r="D135">
        <f>IF(B135="","",IF(C135="",TODAY(),C135)-B135)</f>
        <v/>
      </c>
      <c r="E135">
        <f>IF(A135="","",IF(COUNTIFS($A:$A,A135,$C:$C,"")&gt;1,"Mais de uma entrada em aberto",IF(AND(C135&lt;&gt;"",C135&lt;B135),"Saída antes da entrada","")))</f>
        <v/>
      </c>
      <c r="F135" s="32">
        <f>IF(OR(A135="",B135=""),"",SUMIFS(Producao!$B:$B,Producao!$A:$A,"&gt;="&amp;B135,Producao!$A:$A,"&lt;"&amp;IF(C135="",TODAY()+1,C135)))</f>
        <v/>
      </c>
    </row>
    <row r="136">
      <c r="A136" s="30" t="n"/>
      <c r="B136" s="31" t="n"/>
      <c r="C136" s="31" t="n"/>
      <c r="D136">
        <f>IF(B136="","",IF(C136="",TODAY(),C136)-B136)</f>
        <v/>
      </c>
      <c r="E136">
        <f>IF(A136="","",IF(COUNTIFS($A:$A,A136,$C:$C,"")&gt;1,"Mais de uma entrada em aberto",IF(AND(C136&lt;&gt;"",C136&lt;B136),"Saída antes da entrada","")))</f>
        <v/>
      </c>
      <c r="F136" s="32">
        <f>IF(OR(A136="",B136=""),"",SUMIFS(Producao!$B:$B,Producao!$A:$A,"&gt;="&amp;B136,Producao!$A:$A,"&lt;"&amp;IF(C136="",TODAY()+1,C136)))</f>
        <v/>
      </c>
    </row>
    <row r="137">
      <c r="A137" s="30" t="n"/>
      <c r="B137" s="31" t="n"/>
      <c r="C137" s="31" t="n"/>
      <c r="D137">
        <f>IF(B137="","",IF(C137="",TODAY(),C137)-B137)</f>
        <v/>
      </c>
      <c r="E137">
        <f>IF(A137="","",IF(COUNTIFS($A:$A,A137,$C:$C,"")&gt;1,"Mais de uma entrada em aberto",IF(AND(C137&lt;&gt;"",C137&lt;B137),"Saída antes da entrada","")))</f>
        <v/>
      </c>
      <c r="F137" s="32">
        <f>IF(OR(A137="",B137=""),"",SUMIFS(Producao!$B:$B,Producao!$A:$A,"&gt;="&amp;B137,Producao!$A:$A,"&lt;"&amp;IF(C137="",TODAY()+1,C137)))</f>
        <v/>
      </c>
    </row>
    <row r="138">
      <c r="A138" s="30" t="n"/>
      <c r="B138" s="31" t="n"/>
      <c r="C138" s="31" t="n"/>
      <c r="D138">
        <f>IF(B138="","",IF(C138="",TODAY(),C138)-B138)</f>
        <v/>
      </c>
      <c r="E138">
        <f>IF(A138="","",IF(COUNTIFS($A:$A,A138,$C:$C,"")&gt;1,"Mais de uma entrada em aberto",IF(AND(C138&lt;&gt;"",C138&lt;B138),"Saída antes da entrada","")))</f>
        <v/>
      </c>
      <c r="F138" s="32">
        <f>IF(OR(A138="",B138=""),"",SUMIFS(Producao!$B:$B,Producao!$A:$A,"&gt;="&amp;B138,Producao!$A:$A,"&lt;"&amp;IF(C138="",TODAY()+1,C138)))</f>
        <v/>
      </c>
    </row>
    <row r="139">
      <c r="A139" s="30" t="n"/>
      <c r="B139" s="31" t="n"/>
      <c r="C139" s="31" t="n"/>
      <c r="D139">
        <f>IF(B139="","",IF(C139="",TODAY(),C139)-B139)</f>
        <v/>
      </c>
      <c r="E139">
        <f>IF(A139="","",IF(COUNTIFS($A:$A,A139,$C:$C,"")&gt;1,"Mais de uma entrada em aberto",IF(AND(C139&lt;&gt;"",C139&lt;B139),"Saída antes da entrada","")))</f>
        <v/>
      </c>
      <c r="F139" s="32">
        <f>IF(OR(A139="",B139=""),"",SUMIFS(Producao!$B:$B,Producao!$A:$A,"&gt;="&amp;B139,Producao!$A:$A,"&lt;"&amp;IF(C139="",TODAY()+1,C139)))</f>
        <v/>
      </c>
    </row>
    <row r="140">
      <c r="A140" s="30" t="n"/>
      <c r="B140" s="31" t="n"/>
      <c r="C140" s="31" t="n"/>
      <c r="D140">
        <f>IF(B140="","",IF(C140="",TODAY(),C140)-B140)</f>
        <v/>
      </c>
      <c r="E140">
        <f>IF(A140="","",IF(COUNTIFS($A:$A,A140,$C:$C,"")&gt;1,"Mais de uma entrada em aberto",IF(AND(C140&lt;&gt;"",C140&lt;B140),"Saída antes da entrada","")))</f>
        <v/>
      </c>
      <c r="F140" s="32">
        <f>IF(OR(A140="",B140=""),"",SUMIFS(Producao!$B:$B,Producao!$A:$A,"&gt;="&amp;B140,Producao!$A:$A,"&lt;"&amp;IF(C140="",TODAY()+1,C140)))</f>
        <v/>
      </c>
    </row>
    <row r="141">
      <c r="A141" s="30" t="n"/>
      <c r="B141" s="31" t="n"/>
      <c r="C141" s="31" t="n"/>
      <c r="D141">
        <f>IF(B141="","",IF(C141="",TODAY(),C141)-B141)</f>
        <v/>
      </c>
      <c r="E141">
        <f>IF(A141="","",IF(COUNTIFS($A:$A,A141,$C:$C,"")&gt;1,"Mais de uma entrada em aberto",IF(AND(C141&lt;&gt;"",C141&lt;B141),"Saída antes da entrada","")))</f>
        <v/>
      </c>
      <c r="F141" s="32">
        <f>IF(OR(A141="",B141=""),"",SUMIFS(Producao!$B:$B,Producao!$A:$A,"&gt;="&amp;B141,Producao!$A:$A,"&lt;"&amp;IF(C141="",TODAY()+1,C141)))</f>
        <v/>
      </c>
    </row>
    <row r="142">
      <c r="A142" s="30" t="n"/>
      <c r="B142" s="31" t="n"/>
      <c r="C142" s="31" t="n"/>
      <c r="D142">
        <f>IF(B142="","",IF(C142="",TODAY(),C142)-B142)</f>
        <v/>
      </c>
      <c r="E142">
        <f>IF(A142="","",IF(COUNTIFS($A:$A,A142,$C:$C,"")&gt;1,"Mais de uma entrada em aberto",IF(AND(C142&lt;&gt;"",C142&lt;B142),"Saída antes da entrada","")))</f>
        <v/>
      </c>
      <c r="F142" s="32">
        <f>IF(OR(A142="",B142=""),"",SUMIFS(Producao!$B:$B,Producao!$A:$A,"&gt;="&amp;B142,Producao!$A:$A,"&lt;"&amp;IF(C142="",TODAY()+1,C142)))</f>
        <v/>
      </c>
    </row>
    <row r="143">
      <c r="A143" s="30" t="n"/>
      <c r="B143" s="31" t="n"/>
      <c r="C143" s="31" t="n"/>
      <c r="D143">
        <f>IF(B143="","",IF(C143="",TODAY(),C143)-B143)</f>
        <v/>
      </c>
      <c r="E143">
        <f>IF(A143="","",IF(COUNTIFS($A:$A,A143,$C:$C,"")&gt;1,"Mais de uma entrada em aberto",IF(AND(C143&lt;&gt;"",C143&lt;B143),"Saída antes da entrada","")))</f>
        <v/>
      </c>
      <c r="F143" s="32">
        <f>IF(OR(A143="",B143=""),"",SUMIFS(Producao!$B:$B,Producao!$A:$A,"&gt;="&amp;B143,Producao!$A:$A,"&lt;"&amp;IF(C143="",TODAY()+1,C143)))</f>
        <v/>
      </c>
    </row>
    <row r="144">
      <c r="A144" s="30" t="n"/>
      <c r="B144" s="31" t="n"/>
      <c r="C144" s="31" t="n"/>
      <c r="D144">
        <f>IF(B144="","",IF(C144="",TODAY(),C144)-B144)</f>
        <v/>
      </c>
      <c r="E144">
        <f>IF(A144="","",IF(COUNTIFS($A:$A,A144,$C:$C,"")&gt;1,"Mais de uma entrada em aberto",IF(AND(C144&lt;&gt;"",C144&lt;B144),"Saída antes da entrada","")))</f>
        <v/>
      </c>
      <c r="F144" s="32">
        <f>IF(OR(A144="",B144=""),"",SUMIFS(Producao!$B:$B,Producao!$A:$A,"&gt;="&amp;B144,Producao!$A:$A,"&lt;"&amp;IF(C144="",TODAY()+1,C144)))</f>
        <v/>
      </c>
    </row>
    <row r="145">
      <c r="A145" s="30" t="n"/>
      <c r="B145" s="31" t="n"/>
      <c r="C145" s="31" t="n"/>
      <c r="D145">
        <f>IF(B145="","",IF(C145="",TODAY(),C145)-B145)</f>
        <v/>
      </c>
      <c r="E145">
        <f>IF(A145="","",IF(COUNTIFS($A:$A,A145,$C:$C,"")&gt;1,"Mais de uma entrada em aberto",IF(AND(C145&lt;&gt;"",C145&lt;B145),"Saída antes da entrada","")))</f>
        <v/>
      </c>
      <c r="F145" s="32">
        <f>IF(OR(A145="",B145=""),"",SUMIFS(Producao!$B:$B,Producao!$A:$A,"&gt;="&amp;B145,Producao!$A:$A,"&lt;"&amp;IF(C145="",TODAY()+1,C145)))</f>
        <v/>
      </c>
    </row>
    <row r="146">
      <c r="A146" s="30" t="n"/>
      <c r="B146" s="31" t="n"/>
      <c r="C146" s="31" t="n"/>
      <c r="D146">
        <f>IF(B146="","",IF(C146="",TODAY(),C146)-B146)</f>
        <v/>
      </c>
      <c r="E146">
        <f>IF(A146="","",IF(COUNTIFS($A:$A,A146,$C:$C,"")&gt;1,"Mais de uma entrada em aberto",IF(AND(C146&lt;&gt;"",C146&lt;B146),"Saída antes da entrada","")))</f>
        <v/>
      </c>
      <c r="F146" s="32">
        <f>IF(OR(A146="",B146=""),"",SUMIFS(Producao!$B:$B,Producao!$A:$A,"&gt;="&amp;B146,Producao!$A:$A,"&lt;"&amp;IF(C146="",TODAY()+1,C146)))</f>
        <v/>
      </c>
    </row>
    <row r="147">
      <c r="A147" s="30" t="n"/>
      <c r="B147" s="31" t="n"/>
      <c r="C147" s="31" t="n"/>
      <c r="D147">
        <f>IF(B147="","",IF(C147="",TODAY(),C147)-B147)</f>
        <v/>
      </c>
      <c r="E147">
        <f>IF(A147="","",IF(COUNTIFS($A:$A,A147,$C:$C,"")&gt;1,"Mais de uma entrada em aberto",IF(AND(C147&lt;&gt;"",C147&lt;B147),"Saída antes da entrada","")))</f>
        <v/>
      </c>
      <c r="F147" s="32">
        <f>IF(OR(A147="",B147=""),"",SUMIFS(Producao!$B:$B,Producao!$A:$A,"&gt;="&amp;B147,Producao!$A:$A,"&lt;"&amp;IF(C147="",TODAY()+1,C147)))</f>
        <v/>
      </c>
    </row>
    <row r="148">
      <c r="A148" s="30" t="n"/>
      <c r="B148" s="31" t="n"/>
      <c r="C148" s="31" t="n"/>
      <c r="D148">
        <f>IF(B148="","",IF(C148="",TODAY(),C148)-B148)</f>
        <v/>
      </c>
      <c r="E148">
        <f>IF(A148="","",IF(COUNTIFS($A:$A,A148,$C:$C,"")&gt;1,"Mais de uma entrada em aberto",IF(AND(C148&lt;&gt;"",C148&lt;B148),"Saída antes da entrada","")))</f>
        <v/>
      </c>
      <c r="F148" s="32">
        <f>IF(OR(A148="",B148=""),"",SUMIFS(Producao!$B:$B,Producao!$A:$A,"&gt;="&amp;B148,Producao!$A:$A,"&lt;"&amp;IF(C148="",TODAY()+1,C148)))</f>
        <v/>
      </c>
    </row>
    <row r="149">
      <c r="A149" s="30" t="n"/>
      <c r="B149" s="31" t="n"/>
      <c r="C149" s="31" t="n"/>
      <c r="D149">
        <f>IF(B149="","",IF(C149="",TODAY(),C149)-B149)</f>
        <v/>
      </c>
      <c r="E149">
        <f>IF(A149="","",IF(COUNTIFS($A:$A,A149,$C:$C,"")&gt;1,"Mais de uma entrada em aberto",IF(AND(C149&lt;&gt;"",C149&lt;B149),"Saída antes da entrada","")))</f>
        <v/>
      </c>
      <c r="F149" s="32">
        <f>IF(OR(A149="",B149=""),"",SUMIFS(Producao!$B:$B,Producao!$A:$A,"&gt;="&amp;B149,Producao!$A:$A,"&lt;"&amp;IF(C149="",TODAY()+1,C149)))</f>
        <v/>
      </c>
    </row>
    <row r="150">
      <c r="A150" s="30" t="n"/>
      <c r="B150" s="31" t="n"/>
      <c r="C150" s="31" t="n"/>
      <c r="D150">
        <f>IF(B150="","",IF(C150="",TODAY(),C150)-B150)</f>
        <v/>
      </c>
      <c r="E150">
        <f>IF(A150="","",IF(COUNTIFS($A:$A,A150,$C:$C,"")&gt;1,"Mais de uma entrada em aberto",IF(AND(C150&lt;&gt;"",C150&lt;B150),"Saída antes da entrada","")))</f>
        <v/>
      </c>
      <c r="F150" s="32">
        <f>IF(OR(A150="",B150=""),"",SUMIFS(Producao!$B:$B,Producao!$A:$A,"&gt;="&amp;B150,Producao!$A:$A,"&lt;"&amp;IF(C150="",TODAY()+1,C150)))</f>
        <v/>
      </c>
    </row>
    <row r="151">
      <c r="A151" s="30" t="n"/>
      <c r="B151" s="31" t="n"/>
      <c r="C151" s="31" t="n"/>
      <c r="D151">
        <f>IF(B151="","",IF(C151="",TODAY(),C151)-B151)</f>
        <v/>
      </c>
      <c r="E151">
        <f>IF(A151="","",IF(COUNTIFS($A:$A,A151,$C:$C,"")&gt;1,"Mais de uma entrada em aberto",IF(AND(C151&lt;&gt;"",C151&lt;B151),"Saída antes da entrada","")))</f>
        <v/>
      </c>
      <c r="F151" s="32">
        <f>IF(OR(A151="",B151=""),"",SUMIFS(Producao!$B:$B,Producao!$A:$A,"&gt;="&amp;B151,Producao!$A:$A,"&lt;"&amp;IF(C151="",TODAY()+1,C151)))</f>
        <v/>
      </c>
    </row>
    <row r="152">
      <c r="A152" s="30" t="n"/>
      <c r="B152" s="31" t="n"/>
      <c r="C152" s="31" t="n"/>
      <c r="D152">
        <f>IF(B152="","",IF(C152="",TODAY(),C152)-B152)</f>
        <v/>
      </c>
      <c r="E152">
        <f>IF(A152="","",IF(COUNTIFS($A:$A,A152,$C:$C,"")&gt;1,"Mais de uma entrada em aberto",IF(AND(C152&lt;&gt;"",C152&lt;B152),"Saída antes da entrada","")))</f>
        <v/>
      </c>
      <c r="F152" s="32">
        <f>IF(OR(A152="",B152=""),"",SUMIFS(Producao!$B:$B,Producao!$A:$A,"&gt;="&amp;B152,Producao!$A:$A,"&lt;"&amp;IF(C152="",TODAY()+1,C152)))</f>
        <v/>
      </c>
    </row>
    <row r="153">
      <c r="A153" s="30" t="n"/>
      <c r="B153" s="31" t="n"/>
      <c r="C153" s="31" t="n"/>
      <c r="D153">
        <f>IF(B153="","",IF(C153="",TODAY(),C153)-B153)</f>
        <v/>
      </c>
      <c r="E153">
        <f>IF(A153="","",IF(COUNTIFS($A:$A,A153,$C:$C,"")&gt;1,"Mais de uma entrada em aberto",IF(AND(C153&lt;&gt;"",C153&lt;B153),"Saída antes da entrada","")))</f>
        <v/>
      </c>
      <c r="F153" s="32">
        <f>IF(OR(A153="",B153=""),"",SUMIFS(Producao!$B:$B,Producao!$A:$A,"&gt;="&amp;B153,Producao!$A:$A,"&lt;"&amp;IF(C153="",TODAY()+1,C153)))</f>
        <v/>
      </c>
    </row>
    <row r="154">
      <c r="A154" s="30" t="n"/>
      <c r="B154" s="31" t="n"/>
      <c r="C154" s="31" t="n"/>
      <c r="D154">
        <f>IF(B154="","",IF(C154="",TODAY(),C154)-B154)</f>
        <v/>
      </c>
      <c r="E154">
        <f>IF(A154="","",IF(COUNTIFS($A:$A,A154,$C:$C,"")&gt;1,"Mais de uma entrada em aberto",IF(AND(C154&lt;&gt;"",C154&lt;B154),"Saída antes da entrada","")))</f>
        <v/>
      </c>
      <c r="F154" s="32">
        <f>IF(OR(A154="",B154=""),"",SUMIFS(Producao!$B:$B,Producao!$A:$A,"&gt;="&amp;B154,Producao!$A:$A,"&lt;"&amp;IF(C154="",TODAY()+1,C154)))</f>
        <v/>
      </c>
    </row>
    <row r="155">
      <c r="A155" s="30" t="n"/>
      <c r="B155" s="31" t="n"/>
      <c r="C155" s="31" t="n"/>
      <c r="D155">
        <f>IF(B155="","",IF(C155="",TODAY(),C155)-B155)</f>
        <v/>
      </c>
      <c r="E155">
        <f>IF(A155="","",IF(COUNTIFS($A:$A,A155,$C:$C,"")&gt;1,"Mais de uma entrada em aberto",IF(AND(C155&lt;&gt;"",C155&lt;B155),"Saída antes da entrada","")))</f>
        <v/>
      </c>
      <c r="F155" s="32">
        <f>IF(OR(A155="",B155=""),"",SUMIFS(Producao!$B:$B,Producao!$A:$A,"&gt;="&amp;B155,Producao!$A:$A,"&lt;"&amp;IF(C155="",TODAY()+1,C155)))</f>
        <v/>
      </c>
    </row>
    <row r="156">
      <c r="A156" s="30" t="n"/>
      <c r="B156" s="31" t="n"/>
      <c r="C156" s="31" t="n"/>
      <c r="D156">
        <f>IF(B156="","",IF(C156="",TODAY(),C156)-B156)</f>
        <v/>
      </c>
      <c r="E156">
        <f>IF(A156="","",IF(COUNTIFS($A:$A,A156,$C:$C,"")&gt;1,"Mais de uma entrada em aberto",IF(AND(C156&lt;&gt;"",C156&lt;B156),"Saída antes da entrada","")))</f>
        <v/>
      </c>
      <c r="F156" s="32">
        <f>IF(OR(A156="",B156=""),"",SUMIFS(Producao!$B:$B,Producao!$A:$A,"&gt;="&amp;B156,Producao!$A:$A,"&lt;"&amp;IF(C156="",TODAY()+1,C156)))</f>
        <v/>
      </c>
    </row>
    <row r="157">
      <c r="A157" s="30" t="n"/>
      <c r="B157" s="31" t="n"/>
      <c r="C157" s="31" t="n"/>
      <c r="D157">
        <f>IF(B157="","",IF(C157="",TODAY(),C157)-B157)</f>
        <v/>
      </c>
      <c r="E157">
        <f>IF(A157="","",IF(COUNTIFS($A:$A,A157,$C:$C,"")&gt;1,"Mais de uma entrada em aberto",IF(AND(C157&lt;&gt;"",C157&lt;B157),"Saída antes da entrada","")))</f>
        <v/>
      </c>
      <c r="F157" s="32">
        <f>IF(OR(A157="",B157=""),"",SUMIFS(Producao!$B:$B,Producao!$A:$A,"&gt;="&amp;B157,Producao!$A:$A,"&lt;"&amp;IF(C157="",TODAY()+1,C157)))</f>
        <v/>
      </c>
    </row>
    <row r="158">
      <c r="A158" s="30" t="n"/>
      <c r="B158" s="31" t="n"/>
      <c r="C158" s="31" t="n"/>
      <c r="D158">
        <f>IF(B158="","",IF(C158="",TODAY(),C158)-B158)</f>
        <v/>
      </c>
      <c r="E158">
        <f>IF(A158="","",IF(COUNTIFS($A:$A,A158,$C:$C,"")&gt;1,"Mais de uma entrada em aberto",IF(AND(C158&lt;&gt;"",C158&lt;B158),"Saída antes da entrada","")))</f>
        <v/>
      </c>
      <c r="F158" s="32">
        <f>IF(OR(A158="",B158=""),"",SUMIFS(Producao!$B:$B,Producao!$A:$A,"&gt;="&amp;B158,Producao!$A:$A,"&lt;"&amp;IF(C158="",TODAY()+1,C158)))</f>
        <v/>
      </c>
    </row>
    <row r="159">
      <c r="A159" s="30" t="n"/>
      <c r="B159" s="31" t="n"/>
      <c r="C159" s="31" t="n"/>
      <c r="D159">
        <f>IF(B159="","",IF(C159="",TODAY(),C159)-B159)</f>
        <v/>
      </c>
      <c r="E159">
        <f>IF(A159="","",IF(COUNTIFS($A:$A,A159,$C:$C,"")&gt;1,"Mais de uma entrada em aberto",IF(AND(C159&lt;&gt;"",C159&lt;B159),"Saída antes da entrada","")))</f>
        <v/>
      </c>
      <c r="F159" s="32">
        <f>IF(OR(A159="",B159=""),"",SUMIFS(Producao!$B:$B,Producao!$A:$A,"&gt;="&amp;B159,Producao!$A:$A,"&lt;"&amp;IF(C159="",TODAY()+1,C159)))</f>
        <v/>
      </c>
    </row>
    <row r="160">
      <c r="A160" s="30" t="n"/>
      <c r="B160" s="31" t="n"/>
      <c r="C160" s="31" t="n"/>
      <c r="D160">
        <f>IF(B160="","",IF(C160="",TODAY(),C160)-B160)</f>
        <v/>
      </c>
      <c r="E160">
        <f>IF(A160="","",IF(COUNTIFS($A:$A,A160,$C:$C,"")&gt;1,"Mais de uma entrada em aberto",IF(AND(C160&lt;&gt;"",C160&lt;B160),"Saída antes da entrada","")))</f>
        <v/>
      </c>
      <c r="F160" s="32">
        <f>IF(OR(A160="",B160=""),"",SUMIFS(Producao!$B:$B,Producao!$A:$A,"&gt;="&amp;B160,Producao!$A:$A,"&lt;"&amp;IF(C160="",TODAY()+1,C160)))</f>
        <v/>
      </c>
    </row>
    <row r="161">
      <c r="A161" s="30" t="n"/>
      <c r="B161" s="31" t="n"/>
      <c r="C161" s="31" t="n"/>
      <c r="D161">
        <f>IF(B161="","",IF(C161="",TODAY(),C161)-B161)</f>
        <v/>
      </c>
      <c r="E161">
        <f>IF(A161="","",IF(COUNTIFS($A:$A,A161,$C:$C,"")&gt;1,"Mais de uma entrada em aberto",IF(AND(C161&lt;&gt;"",C161&lt;B161),"Saída antes da entrada","")))</f>
        <v/>
      </c>
      <c r="F161" s="32">
        <f>IF(OR(A161="",B161=""),"",SUMIFS(Producao!$B:$B,Producao!$A:$A,"&gt;="&amp;B161,Producao!$A:$A,"&lt;"&amp;IF(C161="",TODAY()+1,C161)))</f>
        <v/>
      </c>
    </row>
    <row r="162">
      <c r="A162" s="30" t="n"/>
      <c r="B162" s="31" t="n"/>
      <c r="C162" s="31" t="n"/>
      <c r="D162">
        <f>IF(B162="","",IF(C162="",TODAY(),C162)-B162)</f>
        <v/>
      </c>
      <c r="E162">
        <f>IF(A162="","",IF(COUNTIFS($A:$A,A162,$C:$C,"")&gt;1,"Mais de uma entrada em aberto",IF(AND(C162&lt;&gt;"",C162&lt;B162),"Saída antes da entrada","")))</f>
        <v/>
      </c>
      <c r="F162" s="32">
        <f>IF(OR(A162="",B162=""),"",SUMIFS(Producao!$B:$B,Producao!$A:$A,"&gt;="&amp;B162,Producao!$A:$A,"&lt;"&amp;IF(C162="",TODAY()+1,C162)))</f>
        <v/>
      </c>
    </row>
    <row r="163">
      <c r="A163" s="30" t="n"/>
      <c r="B163" s="31" t="n"/>
      <c r="C163" s="31" t="n"/>
      <c r="D163">
        <f>IF(B163="","",IF(C163="",TODAY(),C163)-B163)</f>
        <v/>
      </c>
      <c r="E163">
        <f>IF(A163="","",IF(COUNTIFS($A:$A,A163,$C:$C,"")&gt;1,"Mais de uma entrada em aberto",IF(AND(C163&lt;&gt;"",C163&lt;B163),"Saída antes da entrada","")))</f>
        <v/>
      </c>
      <c r="F163" s="32">
        <f>IF(OR(A163="",B163=""),"",SUMIFS(Producao!$B:$B,Producao!$A:$A,"&gt;="&amp;B163,Producao!$A:$A,"&lt;"&amp;IF(C163="",TODAY()+1,C163)))</f>
        <v/>
      </c>
    </row>
    <row r="164">
      <c r="A164" s="30" t="n"/>
      <c r="B164" s="31" t="n"/>
      <c r="C164" s="31" t="n"/>
      <c r="D164">
        <f>IF(B164="","",IF(C164="",TODAY(),C164)-B164)</f>
        <v/>
      </c>
      <c r="E164">
        <f>IF(A164="","",IF(COUNTIFS($A:$A,A164,$C:$C,"")&gt;1,"Mais de uma entrada em aberto",IF(AND(C164&lt;&gt;"",C164&lt;B164),"Saída antes da entrada","")))</f>
        <v/>
      </c>
      <c r="F164" s="32">
        <f>IF(OR(A164="",B164=""),"",SUMIFS(Producao!$B:$B,Producao!$A:$A,"&gt;="&amp;B164,Producao!$A:$A,"&lt;"&amp;IF(C164="",TODAY()+1,C164)))</f>
        <v/>
      </c>
    </row>
    <row r="165">
      <c r="A165" s="30" t="n"/>
      <c r="B165" s="31" t="n"/>
      <c r="C165" s="31" t="n"/>
      <c r="D165">
        <f>IF(B165="","",IF(C165="",TODAY(),C165)-B165)</f>
        <v/>
      </c>
      <c r="E165">
        <f>IF(A165="","",IF(COUNTIFS($A:$A,A165,$C:$C,"")&gt;1,"Mais de uma entrada em aberto",IF(AND(C165&lt;&gt;"",C165&lt;B165),"Saída antes da entrada","")))</f>
        <v/>
      </c>
      <c r="F165" s="32">
        <f>IF(OR(A165="",B165=""),"",SUMIFS(Producao!$B:$B,Producao!$A:$A,"&gt;="&amp;B165,Producao!$A:$A,"&lt;"&amp;IF(C165="",TODAY()+1,C165)))</f>
        <v/>
      </c>
    </row>
    <row r="166">
      <c r="A166" s="30" t="n"/>
      <c r="B166" s="31" t="n"/>
      <c r="C166" s="31" t="n"/>
      <c r="D166">
        <f>IF(B166="","",IF(C166="",TODAY(),C166)-B166)</f>
        <v/>
      </c>
      <c r="E166">
        <f>IF(A166="","",IF(COUNTIFS($A:$A,A166,$C:$C,"")&gt;1,"Mais de uma entrada em aberto",IF(AND(C166&lt;&gt;"",C166&lt;B166),"Saída antes da entrada","")))</f>
        <v/>
      </c>
      <c r="F166" s="32">
        <f>IF(OR(A166="",B166=""),"",SUMIFS(Producao!$B:$B,Producao!$A:$A,"&gt;="&amp;B166,Producao!$A:$A,"&lt;"&amp;IF(C166="",TODAY()+1,C166)))</f>
        <v/>
      </c>
    </row>
    <row r="167">
      <c r="A167" s="30" t="n"/>
      <c r="B167" s="31" t="n"/>
      <c r="C167" s="31" t="n"/>
      <c r="D167">
        <f>IF(B167="","",IF(C167="",TODAY(),C167)-B167)</f>
        <v/>
      </c>
      <c r="E167">
        <f>IF(A167="","",IF(COUNTIFS($A:$A,A167,$C:$C,"")&gt;1,"Mais de uma entrada em aberto",IF(AND(C167&lt;&gt;"",C167&lt;B167),"Saída antes da entrada","")))</f>
        <v/>
      </c>
      <c r="F167" s="32">
        <f>IF(OR(A167="",B167=""),"",SUMIFS(Producao!$B:$B,Producao!$A:$A,"&gt;="&amp;B167,Producao!$A:$A,"&lt;"&amp;IF(C167="",TODAY()+1,C167)))</f>
        <v/>
      </c>
    </row>
    <row r="168">
      <c r="A168" s="30" t="n"/>
      <c r="B168" s="31" t="n"/>
      <c r="C168" s="31" t="n"/>
      <c r="D168">
        <f>IF(B168="","",IF(C168="",TODAY(),C168)-B168)</f>
        <v/>
      </c>
      <c r="E168">
        <f>IF(A168="","",IF(COUNTIFS($A:$A,A168,$C:$C,"")&gt;1,"Mais de uma entrada em aberto",IF(AND(C168&lt;&gt;"",C168&lt;B168),"Saída antes da entrada","")))</f>
        <v/>
      </c>
      <c r="F168" s="32">
        <f>IF(OR(A168="",B168=""),"",SUMIFS(Producao!$B:$B,Producao!$A:$A,"&gt;="&amp;B168,Producao!$A:$A,"&lt;"&amp;IF(C168="",TODAY()+1,C168)))</f>
        <v/>
      </c>
    </row>
    <row r="169">
      <c r="A169" s="30" t="n"/>
      <c r="B169" s="31" t="n"/>
      <c r="C169" s="31" t="n"/>
      <c r="D169">
        <f>IF(B169="","",IF(C169="",TODAY(),C169)-B169)</f>
        <v/>
      </c>
      <c r="E169">
        <f>IF(A169="","",IF(COUNTIFS($A:$A,A169,$C:$C,"")&gt;1,"Mais de uma entrada em aberto",IF(AND(C169&lt;&gt;"",C169&lt;B169),"Saída antes da entrada","")))</f>
        <v/>
      </c>
      <c r="F169" s="32">
        <f>IF(OR(A169="",B169=""),"",SUMIFS(Producao!$B:$B,Producao!$A:$A,"&gt;="&amp;B169,Producao!$A:$A,"&lt;"&amp;IF(C169="",TODAY()+1,C169)))</f>
        <v/>
      </c>
    </row>
    <row r="170">
      <c r="A170" s="30" t="n"/>
      <c r="B170" s="31" t="n"/>
      <c r="C170" s="31" t="n"/>
      <c r="D170">
        <f>IF(B170="","",IF(C170="",TODAY(),C170)-B170)</f>
        <v/>
      </c>
      <c r="E170">
        <f>IF(A170="","",IF(COUNTIFS($A:$A,A170,$C:$C,"")&gt;1,"Mais de uma entrada em aberto",IF(AND(C170&lt;&gt;"",C170&lt;B170),"Saída antes da entrada","")))</f>
        <v/>
      </c>
      <c r="F170" s="32">
        <f>IF(OR(A170="",B170=""),"",SUMIFS(Producao!$B:$B,Producao!$A:$A,"&gt;="&amp;B170,Producao!$A:$A,"&lt;"&amp;IF(C170="",TODAY()+1,C170)))</f>
        <v/>
      </c>
    </row>
    <row r="171">
      <c r="A171" s="30" t="n"/>
      <c r="B171" s="31" t="n"/>
      <c r="C171" s="31" t="n"/>
      <c r="D171">
        <f>IF(B171="","",IF(C171="",TODAY(),C171)-B171)</f>
        <v/>
      </c>
      <c r="E171">
        <f>IF(A171="","",IF(COUNTIFS($A:$A,A171,$C:$C,"")&gt;1,"Mais de uma entrada em aberto",IF(AND(C171&lt;&gt;"",C171&lt;B171),"Saída antes da entrada","")))</f>
        <v/>
      </c>
      <c r="F171" s="32">
        <f>IF(OR(A171="",B171=""),"",SUMIFS(Producao!$B:$B,Producao!$A:$A,"&gt;="&amp;B171,Producao!$A:$A,"&lt;"&amp;IF(C171="",TODAY()+1,C171)))</f>
        <v/>
      </c>
    </row>
    <row r="172">
      <c r="A172" s="30" t="n"/>
      <c r="B172" s="31" t="n"/>
      <c r="C172" s="31" t="n"/>
      <c r="D172">
        <f>IF(B172="","",IF(C172="",TODAY(),C172)-B172)</f>
        <v/>
      </c>
      <c r="E172">
        <f>IF(A172="","",IF(COUNTIFS($A:$A,A172,$C:$C,"")&gt;1,"Mais de uma entrada em aberto",IF(AND(C172&lt;&gt;"",C172&lt;B172),"Saída antes da entrada","")))</f>
        <v/>
      </c>
      <c r="F172" s="32">
        <f>IF(OR(A172="",B172=""),"",SUMIFS(Producao!$B:$B,Producao!$A:$A,"&gt;="&amp;B172,Producao!$A:$A,"&lt;"&amp;IF(C172="",TODAY()+1,C172)))</f>
        <v/>
      </c>
    </row>
    <row r="173">
      <c r="A173" s="30" t="n"/>
      <c r="B173" s="31" t="n"/>
      <c r="C173" s="31" t="n"/>
      <c r="D173">
        <f>IF(B173="","",IF(C173="",TODAY(),C173)-B173)</f>
        <v/>
      </c>
      <c r="E173">
        <f>IF(A173="","",IF(COUNTIFS($A:$A,A173,$C:$C,"")&gt;1,"Mais de uma entrada em aberto",IF(AND(C173&lt;&gt;"",C173&lt;B173),"Saída antes da entrada","")))</f>
        <v/>
      </c>
      <c r="F173" s="32">
        <f>IF(OR(A173="",B173=""),"",SUMIFS(Producao!$B:$B,Producao!$A:$A,"&gt;="&amp;B173,Producao!$A:$A,"&lt;"&amp;IF(C173="",TODAY()+1,C173)))</f>
        <v/>
      </c>
    </row>
    <row r="174">
      <c r="A174" s="30" t="n"/>
      <c r="B174" s="31" t="n"/>
      <c r="C174" s="31" t="n"/>
      <c r="D174">
        <f>IF(B174="","",IF(C174="",TODAY(),C174)-B174)</f>
        <v/>
      </c>
      <c r="E174">
        <f>IF(A174="","",IF(COUNTIFS($A:$A,A174,$C:$C,"")&gt;1,"Mais de uma entrada em aberto",IF(AND(C174&lt;&gt;"",C174&lt;B174),"Saída antes da entrada","")))</f>
        <v/>
      </c>
      <c r="F174" s="32">
        <f>IF(OR(A174="",B174=""),"",SUMIFS(Producao!$B:$B,Producao!$A:$A,"&gt;="&amp;B174,Producao!$A:$A,"&lt;"&amp;IF(C174="",TODAY()+1,C174)))</f>
        <v/>
      </c>
    </row>
    <row r="175">
      <c r="A175" s="30" t="n"/>
      <c r="B175" s="31" t="n"/>
      <c r="C175" s="31" t="n"/>
      <c r="D175">
        <f>IF(B175="","",IF(C175="",TODAY(),C175)-B175)</f>
        <v/>
      </c>
      <c r="E175">
        <f>IF(A175="","",IF(COUNTIFS($A:$A,A175,$C:$C,"")&gt;1,"Mais de uma entrada em aberto",IF(AND(C175&lt;&gt;"",C175&lt;B175),"Saída antes da entrada","")))</f>
        <v/>
      </c>
      <c r="F175" s="32">
        <f>IF(OR(A175="",B175=""),"",SUMIFS(Producao!$B:$B,Producao!$A:$A,"&gt;="&amp;B175,Producao!$A:$A,"&lt;"&amp;IF(C175="",TODAY()+1,C175)))</f>
        <v/>
      </c>
    </row>
    <row r="176">
      <c r="A176" s="30" t="n"/>
      <c r="B176" s="31" t="n"/>
      <c r="C176" s="31" t="n"/>
      <c r="D176">
        <f>IF(B176="","",IF(C176="",TODAY(),C176)-B176)</f>
        <v/>
      </c>
      <c r="E176">
        <f>IF(A176="","",IF(COUNTIFS($A:$A,A176,$C:$C,"")&gt;1,"Mais de uma entrada em aberto",IF(AND(C176&lt;&gt;"",C176&lt;B176),"Saída antes da entrada","")))</f>
        <v/>
      </c>
      <c r="F176" s="32">
        <f>IF(OR(A176="",B176=""),"",SUMIFS(Producao!$B:$B,Producao!$A:$A,"&gt;="&amp;B176,Producao!$A:$A,"&lt;"&amp;IF(C176="",TODAY()+1,C176)))</f>
        <v/>
      </c>
    </row>
    <row r="177">
      <c r="A177" s="30" t="n"/>
      <c r="B177" s="31" t="n"/>
      <c r="C177" s="31" t="n"/>
      <c r="D177">
        <f>IF(B177="","",IF(C177="",TODAY(),C177)-B177)</f>
        <v/>
      </c>
      <c r="E177">
        <f>IF(A177="","",IF(COUNTIFS($A:$A,A177,$C:$C,"")&gt;1,"Mais de uma entrada em aberto",IF(AND(C177&lt;&gt;"",C177&lt;B177),"Saída antes da entrada","")))</f>
        <v/>
      </c>
      <c r="F177" s="32">
        <f>IF(OR(A177="",B177=""),"",SUMIFS(Producao!$B:$B,Producao!$A:$A,"&gt;="&amp;B177,Producao!$A:$A,"&lt;"&amp;IF(C177="",TODAY()+1,C177)))</f>
        <v/>
      </c>
    </row>
    <row r="178">
      <c r="A178" s="30" t="n"/>
      <c r="B178" s="31" t="n"/>
      <c r="C178" s="31" t="n"/>
      <c r="D178">
        <f>IF(B178="","",IF(C178="",TODAY(),C178)-B178)</f>
        <v/>
      </c>
      <c r="E178">
        <f>IF(A178="","",IF(COUNTIFS($A:$A,A178,$C:$C,"")&gt;1,"Mais de uma entrada em aberto",IF(AND(C178&lt;&gt;"",C178&lt;B178),"Saída antes da entrada","")))</f>
        <v/>
      </c>
      <c r="F178" s="32">
        <f>IF(OR(A178="",B178=""),"",SUMIFS(Producao!$B:$B,Producao!$A:$A,"&gt;="&amp;B178,Producao!$A:$A,"&lt;"&amp;IF(C178="",TODAY()+1,C178)))</f>
        <v/>
      </c>
    </row>
    <row r="179">
      <c r="A179" s="30" t="n"/>
      <c r="B179" s="31" t="n"/>
      <c r="C179" s="31" t="n"/>
      <c r="D179">
        <f>IF(B179="","",IF(C179="",TODAY(),C179)-B179)</f>
        <v/>
      </c>
      <c r="E179">
        <f>IF(A179="","",IF(COUNTIFS($A:$A,A179,$C:$C,"")&gt;1,"Mais de uma entrada em aberto",IF(AND(C179&lt;&gt;"",C179&lt;B179),"Saída antes da entrada","")))</f>
        <v/>
      </c>
      <c r="F179" s="32">
        <f>IF(OR(A179="",B179=""),"",SUMIFS(Producao!$B:$B,Producao!$A:$A,"&gt;="&amp;B179,Producao!$A:$A,"&lt;"&amp;IF(C179="",TODAY()+1,C179)))</f>
        <v/>
      </c>
    </row>
    <row r="180">
      <c r="A180" s="30" t="n"/>
      <c r="B180" s="31" t="n"/>
      <c r="C180" s="31" t="n"/>
      <c r="D180">
        <f>IF(B180="","",IF(C180="",TODAY(),C180)-B180)</f>
        <v/>
      </c>
      <c r="E180">
        <f>IF(A180="","",IF(COUNTIFS($A:$A,A180,$C:$C,"")&gt;1,"Mais de uma entrada em aberto",IF(AND(C180&lt;&gt;"",C180&lt;B180),"Saída antes da entrada","")))</f>
        <v/>
      </c>
      <c r="F180" s="32">
        <f>IF(OR(A180="",B180=""),"",SUMIFS(Producao!$B:$B,Producao!$A:$A,"&gt;="&amp;B180,Producao!$A:$A,"&lt;"&amp;IF(C180="",TODAY()+1,C180)))</f>
        <v/>
      </c>
    </row>
    <row r="181">
      <c r="A181" s="30" t="n"/>
      <c r="B181" s="31" t="n"/>
      <c r="C181" s="31" t="n"/>
      <c r="D181">
        <f>IF(B181="","",IF(C181="",TODAY(),C181)-B181)</f>
        <v/>
      </c>
      <c r="E181">
        <f>IF(A181="","",IF(COUNTIFS($A:$A,A181,$C:$C,"")&gt;1,"Mais de uma entrada em aberto",IF(AND(C181&lt;&gt;"",C181&lt;B181),"Saída antes da entrada","")))</f>
        <v/>
      </c>
      <c r="F181" s="32">
        <f>IF(OR(A181="",B181=""),"",SUMIFS(Producao!$B:$B,Producao!$A:$A,"&gt;="&amp;B181,Producao!$A:$A,"&lt;"&amp;IF(C181="",TODAY()+1,C181)))</f>
        <v/>
      </c>
    </row>
    <row r="182">
      <c r="A182" s="30" t="n"/>
      <c r="B182" s="31" t="n"/>
      <c r="C182" s="31" t="n"/>
      <c r="D182">
        <f>IF(B182="","",IF(C182="",TODAY(),C182)-B182)</f>
        <v/>
      </c>
      <c r="E182">
        <f>IF(A182="","",IF(COUNTIFS($A:$A,A182,$C:$C,"")&gt;1,"Mais de uma entrada em aberto",IF(AND(C182&lt;&gt;"",C182&lt;B182),"Saída antes da entrada","")))</f>
        <v/>
      </c>
      <c r="F182" s="32">
        <f>IF(OR(A182="",B182=""),"",SUMIFS(Producao!$B:$B,Producao!$A:$A,"&gt;="&amp;B182,Producao!$A:$A,"&lt;"&amp;IF(C182="",TODAY()+1,C182)))</f>
        <v/>
      </c>
    </row>
    <row r="183">
      <c r="A183" s="30" t="n"/>
      <c r="B183" s="31" t="n"/>
      <c r="C183" s="31" t="n"/>
      <c r="D183">
        <f>IF(B183="","",IF(C183="",TODAY(),C183)-B183)</f>
        <v/>
      </c>
      <c r="E183">
        <f>IF(A183="","",IF(COUNTIFS($A:$A,A183,$C:$C,"")&gt;1,"Mais de uma entrada em aberto",IF(AND(C183&lt;&gt;"",C183&lt;B183),"Saída antes da entrada","")))</f>
        <v/>
      </c>
      <c r="F183" s="32">
        <f>IF(OR(A183="",B183=""),"",SUMIFS(Producao!$B:$B,Producao!$A:$A,"&gt;="&amp;B183,Producao!$A:$A,"&lt;"&amp;IF(C183="",TODAY()+1,C183)))</f>
        <v/>
      </c>
    </row>
    <row r="184">
      <c r="A184" s="30" t="n"/>
      <c r="B184" s="31" t="n"/>
      <c r="C184" s="31" t="n"/>
      <c r="D184">
        <f>IF(B184="","",IF(C184="",TODAY(),C184)-B184)</f>
        <v/>
      </c>
      <c r="E184">
        <f>IF(A184="","",IF(COUNTIFS($A:$A,A184,$C:$C,"")&gt;1,"Mais de uma entrada em aberto",IF(AND(C184&lt;&gt;"",C184&lt;B184),"Saída antes da entrada","")))</f>
        <v/>
      </c>
      <c r="F184" s="32">
        <f>IF(OR(A184="",B184=""),"",SUMIFS(Producao!$B:$B,Producao!$A:$A,"&gt;="&amp;B184,Producao!$A:$A,"&lt;"&amp;IF(C184="",TODAY()+1,C184)))</f>
        <v/>
      </c>
    </row>
    <row r="185">
      <c r="A185" s="30" t="n"/>
      <c r="B185" s="31" t="n"/>
      <c r="C185" s="31" t="n"/>
      <c r="D185">
        <f>IF(B185="","",IF(C185="",TODAY(),C185)-B185)</f>
        <v/>
      </c>
      <c r="E185">
        <f>IF(A185="","",IF(COUNTIFS($A:$A,A185,$C:$C,"")&gt;1,"Mais de uma entrada em aberto",IF(AND(C185&lt;&gt;"",C185&lt;B185),"Saída antes da entrada","")))</f>
        <v/>
      </c>
      <c r="F185" s="32">
        <f>IF(OR(A185="",B185=""),"",SUMIFS(Producao!$B:$B,Producao!$A:$A,"&gt;="&amp;B185,Producao!$A:$A,"&lt;"&amp;IF(C185="",TODAY()+1,C185)))</f>
        <v/>
      </c>
    </row>
    <row r="186">
      <c r="A186" s="30" t="n"/>
      <c r="B186" s="31" t="n"/>
      <c r="C186" s="31" t="n"/>
      <c r="D186">
        <f>IF(B186="","",IF(C186="",TODAY(),C186)-B186)</f>
        <v/>
      </c>
      <c r="E186">
        <f>IF(A186="","",IF(COUNTIFS($A:$A,A186,$C:$C,"")&gt;1,"Mais de uma entrada em aberto",IF(AND(C186&lt;&gt;"",C186&lt;B186),"Saída antes da entrada","")))</f>
        <v/>
      </c>
      <c r="F186" s="32">
        <f>IF(OR(A186="",B186=""),"",SUMIFS(Producao!$B:$B,Producao!$A:$A,"&gt;="&amp;B186,Producao!$A:$A,"&lt;"&amp;IF(C186="",TODAY()+1,C186)))</f>
        <v/>
      </c>
    </row>
    <row r="187">
      <c r="A187" s="30" t="n"/>
      <c r="B187" s="31" t="n"/>
      <c r="C187" s="31" t="n"/>
      <c r="D187">
        <f>IF(B187="","",IF(C187="",TODAY(),C187)-B187)</f>
        <v/>
      </c>
      <c r="E187">
        <f>IF(A187="","",IF(COUNTIFS($A:$A,A187,$C:$C,"")&gt;1,"Mais de uma entrada em aberto",IF(AND(C187&lt;&gt;"",C187&lt;B187),"Saída antes da entrada","")))</f>
        <v/>
      </c>
      <c r="F187" s="32">
        <f>IF(OR(A187="",B187=""),"",SUMIFS(Producao!$B:$B,Producao!$A:$A,"&gt;="&amp;B187,Producao!$A:$A,"&lt;"&amp;IF(C187="",TODAY()+1,C187)))</f>
        <v/>
      </c>
    </row>
    <row r="188">
      <c r="A188" s="30" t="n"/>
      <c r="B188" s="31" t="n"/>
      <c r="C188" s="31" t="n"/>
      <c r="D188">
        <f>IF(B188="","",IF(C188="",TODAY(),C188)-B188)</f>
        <v/>
      </c>
      <c r="E188">
        <f>IF(A188="","",IF(COUNTIFS($A:$A,A188,$C:$C,"")&gt;1,"Mais de uma entrada em aberto",IF(AND(C188&lt;&gt;"",C188&lt;B188),"Saída antes da entrada","")))</f>
        <v/>
      </c>
      <c r="F188" s="32">
        <f>IF(OR(A188="",B188=""),"",SUMIFS(Producao!$B:$B,Producao!$A:$A,"&gt;="&amp;B188,Producao!$A:$A,"&lt;"&amp;IF(C188="",TODAY()+1,C188)))</f>
        <v/>
      </c>
    </row>
    <row r="189">
      <c r="A189" s="30" t="n"/>
      <c r="B189" s="31" t="n"/>
      <c r="C189" s="31" t="n"/>
      <c r="D189">
        <f>IF(B189="","",IF(C189="",TODAY(),C189)-B189)</f>
        <v/>
      </c>
      <c r="E189">
        <f>IF(A189="","",IF(COUNTIFS($A:$A,A189,$C:$C,"")&gt;1,"Mais de uma entrada em aberto",IF(AND(C189&lt;&gt;"",C189&lt;B189),"Saída antes da entrada","")))</f>
        <v/>
      </c>
      <c r="F189" s="32">
        <f>IF(OR(A189="",B189=""),"",SUMIFS(Producao!$B:$B,Producao!$A:$A,"&gt;="&amp;B189,Producao!$A:$A,"&lt;"&amp;IF(C189="",TODAY()+1,C189)))</f>
        <v/>
      </c>
    </row>
    <row r="190">
      <c r="A190" s="30" t="n"/>
      <c r="B190" s="31" t="n"/>
      <c r="C190" s="31" t="n"/>
      <c r="D190">
        <f>IF(B190="","",IF(C190="",TODAY(),C190)-B190)</f>
        <v/>
      </c>
      <c r="E190">
        <f>IF(A190="","",IF(COUNTIFS($A:$A,A190,$C:$C,"")&gt;1,"Mais de uma entrada em aberto",IF(AND(C190&lt;&gt;"",C190&lt;B190),"Saída antes da entrada","")))</f>
        <v/>
      </c>
      <c r="F190" s="32">
        <f>IF(OR(A190="",B190=""),"",SUMIFS(Producao!$B:$B,Producao!$A:$A,"&gt;="&amp;B190,Producao!$A:$A,"&lt;"&amp;IF(C190="",TODAY()+1,C190)))</f>
        <v/>
      </c>
    </row>
    <row r="191">
      <c r="A191" s="30" t="n"/>
      <c r="B191" s="31" t="n"/>
      <c r="C191" s="31" t="n"/>
      <c r="D191">
        <f>IF(B191="","",IF(C191="",TODAY(),C191)-B191)</f>
        <v/>
      </c>
      <c r="E191">
        <f>IF(A191="","",IF(COUNTIFS($A:$A,A191,$C:$C,"")&gt;1,"Mais de uma entrada em aberto",IF(AND(C191&lt;&gt;"",C191&lt;B191),"Saída antes da entrada","")))</f>
        <v/>
      </c>
      <c r="F191" s="32">
        <f>IF(OR(A191="",B191=""),"",SUMIFS(Producao!$B:$B,Producao!$A:$A,"&gt;="&amp;B191,Producao!$A:$A,"&lt;"&amp;IF(C191="",TODAY()+1,C191)))</f>
        <v/>
      </c>
    </row>
    <row r="192">
      <c r="A192" s="30" t="n"/>
      <c r="B192" s="31" t="n"/>
      <c r="C192" s="31" t="n"/>
      <c r="D192">
        <f>IF(B192="","",IF(C192="",TODAY(),C192)-B192)</f>
        <v/>
      </c>
      <c r="E192">
        <f>IF(A192="","",IF(COUNTIFS($A:$A,A192,$C:$C,"")&gt;1,"Mais de uma entrada em aberto",IF(AND(C192&lt;&gt;"",C192&lt;B192),"Saída antes da entrada","")))</f>
        <v/>
      </c>
      <c r="F192" s="32">
        <f>IF(OR(A192="",B192=""),"",SUMIFS(Producao!$B:$B,Producao!$A:$A,"&gt;="&amp;B192,Producao!$A:$A,"&lt;"&amp;IF(C192="",TODAY()+1,C192)))</f>
        <v/>
      </c>
    </row>
    <row r="193">
      <c r="A193" s="30" t="n"/>
      <c r="B193" s="31" t="n"/>
      <c r="C193" s="31" t="n"/>
      <c r="D193">
        <f>IF(B193="","",IF(C193="",TODAY(),C193)-B193)</f>
        <v/>
      </c>
      <c r="E193">
        <f>IF(A193="","",IF(COUNTIFS($A:$A,A193,$C:$C,"")&gt;1,"Mais de uma entrada em aberto",IF(AND(C193&lt;&gt;"",C193&lt;B193),"Saída antes da entrada","")))</f>
        <v/>
      </c>
      <c r="F193" s="32">
        <f>IF(OR(A193="",B193=""),"",SUMIFS(Producao!$B:$B,Producao!$A:$A,"&gt;="&amp;B193,Producao!$A:$A,"&lt;"&amp;IF(C193="",TODAY()+1,C193)))</f>
        <v/>
      </c>
    </row>
    <row r="194">
      <c r="A194" s="30" t="n"/>
      <c r="B194" s="31" t="n"/>
      <c r="C194" s="31" t="n"/>
      <c r="D194">
        <f>IF(B194="","",IF(C194="",TODAY(),C194)-B194)</f>
        <v/>
      </c>
      <c r="E194">
        <f>IF(A194="","",IF(COUNTIFS($A:$A,A194,$C:$C,"")&gt;1,"Mais de uma entrada em aberto",IF(AND(C194&lt;&gt;"",C194&lt;B194),"Saída antes da entrada","")))</f>
        <v/>
      </c>
      <c r="F194" s="32">
        <f>IF(OR(A194="",B194=""),"",SUMIFS(Producao!$B:$B,Producao!$A:$A,"&gt;="&amp;B194,Producao!$A:$A,"&lt;"&amp;IF(C194="",TODAY()+1,C194)))</f>
        <v/>
      </c>
    </row>
    <row r="195">
      <c r="A195" s="30" t="n"/>
      <c r="B195" s="31" t="n"/>
      <c r="C195" s="31" t="n"/>
      <c r="D195">
        <f>IF(B195="","",IF(C195="",TODAY(),C195)-B195)</f>
        <v/>
      </c>
      <c r="E195">
        <f>IF(A195="","",IF(COUNTIFS($A:$A,A195,$C:$C,"")&gt;1,"Mais de uma entrada em aberto",IF(AND(C195&lt;&gt;"",C195&lt;B195),"Saída antes da entrada","")))</f>
        <v/>
      </c>
      <c r="F195" s="32">
        <f>IF(OR(A195="",B195=""),"",SUMIFS(Producao!$B:$B,Producao!$A:$A,"&gt;="&amp;B195,Producao!$A:$A,"&lt;"&amp;IF(C195="",TODAY()+1,C195)))</f>
        <v/>
      </c>
    </row>
    <row r="196">
      <c r="A196" s="30" t="n"/>
      <c r="B196" s="31" t="n"/>
      <c r="C196" s="31" t="n"/>
      <c r="D196">
        <f>IF(B196="","",IF(C196="",TODAY(),C196)-B196)</f>
        <v/>
      </c>
      <c r="E196">
        <f>IF(A196="","",IF(COUNTIFS($A:$A,A196,$C:$C,"")&gt;1,"Mais de uma entrada em aberto",IF(AND(C196&lt;&gt;"",C196&lt;B196),"Saída antes da entrada","")))</f>
        <v/>
      </c>
      <c r="F196" s="32">
        <f>IF(OR(A196="",B196=""),"",SUMIFS(Producao!$B:$B,Producao!$A:$A,"&gt;="&amp;B196,Producao!$A:$A,"&lt;"&amp;IF(C196="",TODAY()+1,C196)))</f>
        <v/>
      </c>
    </row>
    <row r="197">
      <c r="A197" s="30" t="n"/>
      <c r="B197" s="31" t="n"/>
      <c r="C197" s="31" t="n"/>
      <c r="D197">
        <f>IF(B197="","",IF(C197="",TODAY(),C197)-B197)</f>
        <v/>
      </c>
      <c r="E197">
        <f>IF(A197="","",IF(COUNTIFS($A:$A,A197,$C:$C,"")&gt;1,"Mais de uma entrada em aberto",IF(AND(C197&lt;&gt;"",C197&lt;B197),"Saída antes da entrada","")))</f>
        <v/>
      </c>
      <c r="F197" s="32">
        <f>IF(OR(A197="",B197=""),"",SUMIFS(Producao!$B:$B,Producao!$A:$A,"&gt;="&amp;B197,Producao!$A:$A,"&lt;"&amp;IF(C197="",TODAY()+1,C197)))</f>
        <v/>
      </c>
    </row>
    <row r="198">
      <c r="A198" s="30" t="n"/>
      <c r="B198" s="31" t="n"/>
      <c r="C198" s="31" t="n"/>
      <c r="D198">
        <f>IF(B198="","",IF(C198="",TODAY(),C198)-B198)</f>
        <v/>
      </c>
      <c r="E198">
        <f>IF(A198="","",IF(COUNTIFS($A:$A,A198,$C:$C,"")&gt;1,"Mais de uma entrada em aberto",IF(AND(C198&lt;&gt;"",C198&lt;B198),"Saída antes da entrada","")))</f>
        <v/>
      </c>
      <c r="F198" s="32">
        <f>IF(OR(A198="",B198=""),"",SUMIFS(Producao!$B:$B,Producao!$A:$A,"&gt;="&amp;B198,Producao!$A:$A,"&lt;"&amp;IF(C198="",TODAY()+1,C198)))</f>
        <v/>
      </c>
    </row>
    <row r="199">
      <c r="A199" s="30" t="n"/>
      <c r="B199" s="31" t="n"/>
      <c r="C199" s="31" t="n"/>
      <c r="D199">
        <f>IF(B199="","",IF(C199="",TODAY(),C199)-B199)</f>
        <v/>
      </c>
      <c r="E199">
        <f>IF(A199="","",IF(COUNTIFS($A:$A,A199,$C:$C,"")&gt;1,"Mais de uma entrada em aberto",IF(AND(C199&lt;&gt;"",C199&lt;B199),"Saída antes da entrada","")))</f>
        <v/>
      </c>
      <c r="F199" s="32">
        <f>IF(OR(A199="",B199=""),"",SUMIFS(Producao!$B:$B,Producao!$A:$A,"&gt;="&amp;B199,Producao!$A:$A,"&lt;"&amp;IF(C199="",TODAY()+1,C199)))</f>
        <v/>
      </c>
    </row>
    <row r="200">
      <c r="A200" s="30" t="n"/>
      <c r="B200" s="31" t="n"/>
      <c r="C200" s="31" t="n"/>
      <c r="D200">
        <f>IF(B200="","",IF(C200="",TODAY(),C200)-B200)</f>
        <v/>
      </c>
      <c r="E200">
        <f>IF(A200="","",IF(COUNTIFS($A:$A,A200,$C:$C,"")&gt;1,"Mais de uma entrada em aberto",IF(AND(C200&lt;&gt;"",C200&lt;B200),"Saída antes da entrada","")))</f>
        <v/>
      </c>
      <c r="F200" s="32">
        <f>IF(OR(A200="",B200=""),"",SUMIFS(Producao!$B:$B,Producao!$A:$A,"&gt;="&amp;B200,Producao!$A:$A,"&lt;"&amp;IF(C200="",TODAY()+1,C200)))</f>
        <v/>
      </c>
    </row>
    <row r="201">
      <c r="A201" s="30" t="n"/>
      <c r="B201" s="31" t="n"/>
      <c r="C201" s="31" t="n"/>
      <c r="D201">
        <f>IF(B201="","",IF(C201="",TODAY(),C201)-B201)</f>
        <v/>
      </c>
      <c r="E201">
        <f>IF(A201="","",IF(COUNTIFS($A:$A,A201,$C:$C,"")&gt;1,"Mais de uma entrada em aberto",IF(AND(C201&lt;&gt;"",C201&lt;B201),"Saída antes da entrada","")))</f>
        <v/>
      </c>
      <c r="F201" s="32">
        <f>IF(OR(A201="",B201=""),"",SUMIFS(Producao!$B:$B,Producao!$A:$A,"&gt;="&amp;B201,Producao!$A:$A,"&lt;"&amp;IF(C201="",TODAY()+1,C201)))</f>
        <v/>
      </c>
    </row>
    <row r="202">
      <c r="A202" s="30" t="n"/>
      <c r="B202" s="31" t="n"/>
      <c r="C202" s="31" t="n"/>
      <c r="D202">
        <f>IF(B202="","",IF(C202="",TODAY(),C202)-B202)</f>
        <v/>
      </c>
      <c r="E202">
        <f>IF(A202="","",IF(COUNTIFS($A:$A,A202,$C:$C,"")&gt;1,"Mais de uma entrada em aberto",IF(AND(C202&lt;&gt;"",C202&lt;B202),"Saída antes da entrada","")))</f>
        <v/>
      </c>
      <c r="F202" s="32">
        <f>IF(OR(A202="",B202=""),"",SUMIFS(Producao!$B:$B,Producao!$A:$A,"&gt;="&amp;B202,Producao!$A:$A,"&lt;"&amp;IF(C202="",TODAY()+1,C202)))</f>
        <v/>
      </c>
    </row>
    <row r="203">
      <c r="A203" s="30" t="n"/>
      <c r="B203" s="31" t="n"/>
      <c r="C203" s="31" t="n"/>
      <c r="D203">
        <f>IF(B203="","",IF(C203="",TODAY(),C203)-B203)</f>
        <v/>
      </c>
      <c r="E203">
        <f>IF(A203="","",IF(COUNTIFS($A:$A,A203,$C:$C,"")&gt;1,"Mais de uma entrada em aberto",IF(AND(C203&lt;&gt;"",C203&lt;B203),"Saída antes da entrada","")))</f>
        <v/>
      </c>
      <c r="F203" s="32">
        <f>IF(OR(A203="",B203=""),"",SUMIFS(Producao!$B:$B,Producao!$A:$A,"&gt;="&amp;B203,Producao!$A:$A,"&lt;"&amp;IF(C203="",TODAY()+1,C203)))</f>
        <v/>
      </c>
    </row>
    <row r="204">
      <c r="A204" s="30" t="n"/>
      <c r="B204" s="31" t="n"/>
      <c r="C204" s="31" t="n"/>
      <c r="D204">
        <f>IF(B204="","",IF(C204="",TODAY(),C204)-B204)</f>
        <v/>
      </c>
      <c r="E204">
        <f>IF(A204="","",IF(COUNTIFS($A:$A,A204,$C:$C,"")&gt;1,"Mais de uma entrada em aberto",IF(AND(C204&lt;&gt;"",C204&lt;B204),"Saída antes da entrada","")))</f>
        <v/>
      </c>
      <c r="F204" s="32">
        <f>IF(OR(A204="",B204=""),"",SUMIFS(Producao!$B:$B,Producao!$A:$A,"&gt;="&amp;B204,Producao!$A:$A,"&lt;"&amp;IF(C204="",TODAY()+1,C204)))</f>
        <v/>
      </c>
    </row>
    <row r="205">
      <c r="A205" s="30" t="n"/>
      <c r="B205" s="31" t="n"/>
      <c r="C205" s="31" t="n"/>
      <c r="D205">
        <f>IF(B205="","",IF(C205="",TODAY(),C205)-B205)</f>
        <v/>
      </c>
      <c r="E205">
        <f>IF(A205="","",IF(COUNTIFS($A:$A,A205,$C:$C,"")&gt;1,"Mais de uma entrada em aberto",IF(AND(C205&lt;&gt;"",C205&lt;B205),"Saída antes da entrada","")))</f>
        <v/>
      </c>
      <c r="F205" s="32">
        <f>IF(OR(A205="",B205=""),"",SUMIFS(Producao!$B:$B,Producao!$A:$A,"&gt;="&amp;B205,Producao!$A:$A,"&lt;"&amp;IF(C205="",TODAY()+1,C205)))</f>
        <v/>
      </c>
    </row>
    <row r="206">
      <c r="A206" s="30" t="n"/>
      <c r="B206" s="31" t="n"/>
      <c r="C206" s="31" t="n"/>
      <c r="D206">
        <f>IF(B206="","",IF(C206="",TODAY(),C206)-B206)</f>
        <v/>
      </c>
      <c r="E206">
        <f>IF(A206="","",IF(COUNTIFS($A:$A,A206,$C:$C,"")&gt;1,"Mais de uma entrada em aberto",IF(AND(C206&lt;&gt;"",C206&lt;B206),"Saída antes da entrada","")))</f>
        <v/>
      </c>
      <c r="F206" s="32">
        <f>IF(OR(A206="",B206=""),"",SUMIFS(Producao!$B:$B,Producao!$A:$A,"&gt;="&amp;B206,Producao!$A:$A,"&lt;"&amp;IF(C206="",TODAY()+1,C206)))</f>
        <v/>
      </c>
    </row>
    <row r="207">
      <c r="A207" s="30" t="n"/>
      <c r="B207" s="31" t="n"/>
      <c r="C207" s="31" t="n"/>
      <c r="D207">
        <f>IF(B207="","",IF(C207="",TODAY(),C207)-B207)</f>
        <v/>
      </c>
      <c r="E207">
        <f>IF(A207="","",IF(COUNTIFS($A:$A,A207,$C:$C,"")&gt;1,"Mais de uma entrada em aberto",IF(AND(C207&lt;&gt;"",C207&lt;B207),"Saída antes da entrada","")))</f>
        <v/>
      </c>
      <c r="F207" s="32">
        <f>IF(OR(A207="",B207=""),"",SUMIFS(Producao!$B:$B,Producao!$A:$A,"&gt;="&amp;B207,Producao!$A:$A,"&lt;"&amp;IF(C207="",TODAY()+1,C207)))</f>
        <v/>
      </c>
    </row>
    <row r="208">
      <c r="A208" s="30" t="n"/>
      <c r="B208" s="31" t="n"/>
      <c r="C208" s="31" t="n"/>
      <c r="D208">
        <f>IF(B208="","",IF(C208="",TODAY(),C208)-B208)</f>
        <v/>
      </c>
      <c r="E208">
        <f>IF(A208="","",IF(COUNTIFS($A:$A,A208,$C:$C,"")&gt;1,"Mais de uma entrada em aberto",IF(AND(C208&lt;&gt;"",C208&lt;B208),"Saída antes da entrada","")))</f>
        <v/>
      </c>
      <c r="F208" s="32">
        <f>IF(OR(A208="",B208=""),"",SUMIFS(Producao!$B:$B,Producao!$A:$A,"&gt;="&amp;B208,Producao!$A:$A,"&lt;"&amp;IF(C208="",TODAY()+1,C208)))</f>
        <v/>
      </c>
    </row>
    <row r="209">
      <c r="A209" s="30" t="n"/>
      <c r="B209" s="31" t="n"/>
      <c r="C209" s="31" t="n"/>
      <c r="D209">
        <f>IF(B209="","",IF(C209="",TODAY(),C209)-B209)</f>
        <v/>
      </c>
      <c r="E209">
        <f>IF(A209="","",IF(COUNTIFS($A:$A,A209,$C:$C,"")&gt;1,"Mais de uma entrada em aberto",IF(AND(C209&lt;&gt;"",C209&lt;B209),"Saída antes da entrada","")))</f>
        <v/>
      </c>
      <c r="F209" s="32">
        <f>IF(OR(A209="",B209=""),"",SUMIFS(Producao!$B:$B,Producao!$A:$A,"&gt;="&amp;B209,Producao!$A:$A,"&lt;"&amp;IF(C209="",TODAY()+1,C209)))</f>
        <v/>
      </c>
    </row>
    <row r="210">
      <c r="A210" s="30" t="n"/>
      <c r="B210" s="31" t="n"/>
      <c r="C210" s="31" t="n"/>
      <c r="D210">
        <f>IF(B210="","",IF(C210="",TODAY(),C210)-B210)</f>
        <v/>
      </c>
      <c r="E210">
        <f>IF(A210="","",IF(COUNTIFS($A:$A,A210,$C:$C,"")&gt;1,"Mais de uma entrada em aberto",IF(AND(C210&lt;&gt;"",C210&lt;B210),"Saída antes da entrada","")))</f>
        <v/>
      </c>
      <c r="F210" s="32">
        <f>IF(OR(A210="",B210=""),"",SUMIFS(Producao!$B:$B,Producao!$A:$A,"&gt;="&amp;B210,Producao!$A:$A,"&lt;"&amp;IF(C210="",TODAY()+1,C210)))</f>
        <v/>
      </c>
    </row>
    <row r="211">
      <c r="A211" s="30" t="n"/>
      <c r="B211" s="31" t="n"/>
      <c r="C211" s="31" t="n"/>
      <c r="D211">
        <f>IF(B211="","",IF(C211="",TODAY(),C211)-B211)</f>
        <v/>
      </c>
      <c r="E211">
        <f>IF(A211="","",IF(COUNTIFS($A:$A,A211,$C:$C,"")&gt;1,"Mais de uma entrada em aberto",IF(AND(C211&lt;&gt;"",C211&lt;B211),"Saída antes da entrada","")))</f>
        <v/>
      </c>
      <c r="F211" s="32">
        <f>IF(OR(A211="",B211=""),"",SUMIFS(Producao!$B:$B,Producao!$A:$A,"&gt;="&amp;B211,Producao!$A:$A,"&lt;"&amp;IF(C211="",TODAY()+1,C211)))</f>
        <v/>
      </c>
    </row>
    <row r="212">
      <c r="A212" s="30" t="n"/>
      <c r="B212" s="31" t="n"/>
      <c r="C212" s="31" t="n"/>
      <c r="D212">
        <f>IF(B212="","",IF(C212="",TODAY(),C212)-B212)</f>
        <v/>
      </c>
      <c r="E212">
        <f>IF(A212="","",IF(COUNTIFS($A:$A,A212,$C:$C,"")&gt;1,"Mais de uma entrada em aberto",IF(AND(C212&lt;&gt;"",C212&lt;B212),"Saída antes da entrada","")))</f>
        <v/>
      </c>
      <c r="F212" s="32">
        <f>IF(OR(A212="",B212=""),"",SUMIFS(Producao!$B:$B,Producao!$A:$A,"&gt;="&amp;B212,Producao!$A:$A,"&lt;"&amp;IF(C212="",TODAY()+1,C212)))</f>
        <v/>
      </c>
    </row>
    <row r="213">
      <c r="A213" s="30" t="n"/>
      <c r="B213" s="31" t="n"/>
      <c r="C213" s="31" t="n"/>
      <c r="D213">
        <f>IF(B213="","",IF(C213="",TODAY(),C213)-B213)</f>
        <v/>
      </c>
      <c r="E213">
        <f>IF(A213="","",IF(COUNTIFS($A:$A,A213,$C:$C,"")&gt;1,"Mais de uma entrada em aberto",IF(AND(C213&lt;&gt;"",C213&lt;B213),"Saída antes da entrada","")))</f>
        <v/>
      </c>
      <c r="F213" s="32">
        <f>IF(OR(A213="",B213=""),"",SUMIFS(Producao!$B:$B,Producao!$A:$A,"&gt;="&amp;B213,Producao!$A:$A,"&lt;"&amp;IF(C213="",TODAY()+1,C213)))</f>
        <v/>
      </c>
    </row>
    <row r="214">
      <c r="A214" s="30" t="n"/>
      <c r="B214" s="31" t="n"/>
      <c r="C214" s="31" t="n"/>
      <c r="D214">
        <f>IF(B214="","",IF(C214="",TODAY(),C214)-B214)</f>
        <v/>
      </c>
      <c r="E214">
        <f>IF(A214="","",IF(COUNTIFS($A:$A,A214,$C:$C,"")&gt;1,"Mais de uma entrada em aberto",IF(AND(C214&lt;&gt;"",C214&lt;B214),"Saída antes da entrada","")))</f>
        <v/>
      </c>
      <c r="F214" s="32">
        <f>IF(OR(A214="",B214=""),"",SUMIFS(Producao!$B:$B,Producao!$A:$A,"&gt;="&amp;B214,Producao!$A:$A,"&lt;"&amp;IF(C214="",TODAY()+1,C214)))</f>
        <v/>
      </c>
    </row>
    <row r="215">
      <c r="A215" s="30" t="n"/>
      <c r="B215" s="31" t="n"/>
      <c r="C215" s="31" t="n"/>
      <c r="D215">
        <f>IF(B215="","",IF(C215="",TODAY(),C215)-B215)</f>
        <v/>
      </c>
      <c r="E215">
        <f>IF(A215="","",IF(COUNTIFS($A:$A,A215,$C:$C,"")&gt;1,"Mais de uma entrada em aberto",IF(AND(C215&lt;&gt;"",C215&lt;B215),"Saída antes da entrada","")))</f>
        <v/>
      </c>
      <c r="F215" s="32">
        <f>IF(OR(A215="",B215=""),"",SUMIFS(Producao!$B:$B,Producao!$A:$A,"&gt;="&amp;B215,Producao!$A:$A,"&lt;"&amp;IF(C215="",TODAY()+1,C215)))</f>
        <v/>
      </c>
    </row>
    <row r="216">
      <c r="A216" s="30" t="n"/>
      <c r="B216" s="31" t="n"/>
      <c r="C216" s="31" t="n"/>
      <c r="D216">
        <f>IF(B216="","",IF(C216="",TODAY(),C216)-B216)</f>
        <v/>
      </c>
      <c r="E216">
        <f>IF(A216="","",IF(COUNTIFS($A:$A,A216,$C:$C,"")&gt;1,"Mais de uma entrada em aberto",IF(AND(C216&lt;&gt;"",C216&lt;B216),"Saída antes da entrada","")))</f>
        <v/>
      </c>
      <c r="F216" s="32">
        <f>IF(OR(A216="",B216=""),"",SUMIFS(Producao!$B:$B,Producao!$A:$A,"&gt;="&amp;B216,Producao!$A:$A,"&lt;"&amp;IF(C216="",TODAY()+1,C216)))</f>
        <v/>
      </c>
    </row>
    <row r="217">
      <c r="A217" s="30" t="n"/>
      <c r="B217" s="31" t="n"/>
      <c r="C217" s="31" t="n"/>
      <c r="D217">
        <f>IF(B217="","",IF(C217="",TODAY(),C217)-B217)</f>
        <v/>
      </c>
      <c r="E217">
        <f>IF(A217="","",IF(COUNTIFS($A:$A,A217,$C:$C,"")&gt;1,"Mais de uma entrada em aberto",IF(AND(C217&lt;&gt;"",C217&lt;B217),"Saída antes da entrada","")))</f>
        <v/>
      </c>
      <c r="F217" s="32">
        <f>IF(OR(A217="",B217=""),"",SUMIFS(Producao!$B:$B,Producao!$A:$A,"&gt;="&amp;B217,Producao!$A:$A,"&lt;"&amp;IF(C217="",TODAY()+1,C217)))</f>
        <v/>
      </c>
    </row>
    <row r="218">
      <c r="A218" s="30" t="n"/>
      <c r="B218" s="31" t="n"/>
      <c r="C218" s="31" t="n"/>
      <c r="D218">
        <f>IF(B218="","",IF(C218="",TODAY(),C218)-B218)</f>
        <v/>
      </c>
      <c r="E218">
        <f>IF(A218="","",IF(COUNTIFS($A:$A,A218,$C:$C,"")&gt;1,"Mais de uma entrada em aberto",IF(AND(C218&lt;&gt;"",C218&lt;B218),"Saída antes da entrada","")))</f>
        <v/>
      </c>
      <c r="F218" s="32">
        <f>IF(OR(A218="",B218=""),"",SUMIFS(Producao!$B:$B,Producao!$A:$A,"&gt;="&amp;B218,Producao!$A:$A,"&lt;"&amp;IF(C218="",TODAY()+1,C218)))</f>
        <v/>
      </c>
    </row>
    <row r="219">
      <c r="A219" s="30" t="n"/>
      <c r="B219" s="31" t="n"/>
      <c r="C219" s="31" t="n"/>
      <c r="D219">
        <f>IF(B219="","",IF(C219="",TODAY(),C219)-B219)</f>
        <v/>
      </c>
      <c r="E219">
        <f>IF(A219="","",IF(COUNTIFS($A:$A,A219,$C:$C,"")&gt;1,"Mais de uma entrada em aberto",IF(AND(C219&lt;&gt;"",C219&lt;B219),"Saída antes da entrada","")))</f>
        <v/>
      </c>
      <c r="F219" s="32">
        <f>IF(OR(A219="",B219=""),"",SUMIFS(Producao!$B:$B,Producao!$A:$A,"&gt;="&amp;B219,Producao!$A:$A,"&lt;"&amp;IF(C219="",TODAY()+1,C219)))</f>
        <v/>
      </c>
    </row>
    <row r="220">
      <c r="A220" s="30" t="n"/>
      <c r="B220" s="31" t="n"/>
      <c r="C220" s="31" t="n"/>
      <c r="D220">
        <f>IF(B220="","",IF(C220="",TODAY(),C220)-B220)</f>
        <v/>
      </c>
      <c r="E220">
        <f>IF(A220="","",IF(COUNTIFS($A:$A,A220,$C:$C,"")&gt;1,"Mais de uma entrada em aberto",IF(AND(C220&lt;&gt;"",C220&lt;B220),"Saída antes da entrada","")))</f>
        <v/>
      </c>
      <c r="F220" s="32">
        <f>IF(OR(A220="",B220=""),"",SUMIFS(Producao!$B:$B,Producao!$A:$A,"&gt;="&amp;B220,Producao!$A:$A,"&lt;"&amp;IF(C220="",TODAY()+1,C220)))</f>
        <v/>
      </c>
    </row>
    <row r="221">
      <c r="A221" s="30" t="n"/>
      <c r="B221" s="31" t="n"/>
      <c r="C221" s="31" t="n"/>
      <c r="D221">
        <f>IF(B221="","",IF(C221="",TODAY(),C221)-B221)</f>
        <v/>
      </c>
      <c r="E221">
        <f>IF(A221="","",IF(COUNTIFS($A:$A,A221,$C:$C,"")&gt;1,"Mais de uma entrada em aberto",IF(AND(C221&lt;&gt;"",C221&lt;B221),"Saída antes da entrada","")))</f>
        <v/>
      </c>
      <c r="F221" s="32">
        <f>IF(OR(A221="",B221=""),"",SUMIFS(Producao!$B:$B,Producao!$A:$A,"&gt;="&amp;B221,Producao!$A:$A,"&lt;"&amp;IF(C221="",TODAY()+1,C221)))</f>
        <v/>
      </c>
    </row>
    <row r="222">
      <c r="A222" s="30" t="n"/>
      <c r="B222" s="31" t="n"/>
      <c r="C222" s="31" t="n"/>
      <c r="D222">
        <f>IF(B222="","",IF(C222="",TODAY(),C222)-B222)</f>
        <v/>
      </c>
      <c r="E222">
        <f>IF(A222="","",IF(COUNTIFS($A:$A,A222,$C:$C,"")&gt;1,"Mais de uma entrada em aberto",IF(AND(C222&lt;&gt;"",C222&lt;B222),"Saída antes da entrada","")))</f>
        <v/>
      </c>
      <c r="F222" s="32">
        <f>IF(OR(A222="",B222=""),"",SUMIFS(Producao!$B:$B,Producao!$A:$A,"&gt;="&amp;B222,Producao!$A:$A,"&lt;"&amp;IF(C222="",TODAY()+1,C222)))</f>
        <v/>
      </c>
    </row>
    <row r="223">
      <c r="A223" s="30" t="n"/>
      <c r="B223" s="31" t="n"/>
      <c r="C223" s="31" t="n"/>
      <c r="D223">
        <f>IF(B223="","",IF(C223="",TODAY(),C223)-B223)</f>
        <v/>
      </c>
      <c r="E223">
        <f>IF(A223="","",IF(COUNTIFS($A:$A,A223,$C:$C,"")&gt;1,"Mais de uma entrada em aberto",IF(AND(C223&lt;&gt;"",C223&lt;B223),"Saída antes da entrada","")))</f>
        <v/>
      </c>
      <c r="F223" s="32">
        <f>IF(OR(A223="",B223=""),"",SUMIFS(Producao!$B:$B,Producao!$A:$A,"&gt;="&amp;B223,Producao!$A:$A,"&lt;"&amp;IF(C223="",TODAY()+1,C223)))</f>
        <v/>
      </c>
    </row>
    <row r="224">
      <c r="A224" s="30" t="n"/>
      <c r="B224" s="31" t="n"/>
      <c r="C224" s="31" t="n"/>
      <c r="D224">
        <f>IF(B224="","",IF(C224="",TODAY(),C224)-B224)</f>
        <v/>
      </c>
      <c r="E224">
        <f>IF(A224="","",IF(COUNTIFS($A:$A,A224,$C:$C,"")&gt;1,"Mais de uma entrada em aberto",IF(AND(C224&lt;&gt;"",C224&lt;B224),"Saída antes da entrada","")))</f>
        <v/>
      </c>
      <c r="F224" s="32">
        <f>IF(OR(A224="",B224=""),"",SUMIFS(Producao!$B:$B,Producao!$A:$A,"&gt;="&amp;B224,Producao!$A:$A,"&lt;"&amp;IF(C224="",TODAY()+1,C224)))</f>
        <v/>
      </c>
    </row>
    <row r="225">
      <c r="A225" s="30" t="n"/>
      <c r="B225" s="31" t="n"/>
      <c r="C225" s="31" t="n"/>
      <c r="D225">
        <f>IF(B225="","",IF(C225="",TODAY(),C225)-B225)</f>
        <v/>
      </c>
      <c r="E225">
        <f>IF(A225="","",IF(COUNTIFS($A:$A,A225,$C:$C,"")&gt;1,"Mais de uma entrada em aberto",IF(AND(C225&lt;&gt;"",C225&lt;B225),"Saída antes da entrada","")))</f>
        <v/>
      </c>
      <c r="F225" s="32">
        <f>IF(OR(A225="",B225=""),"",SUMIFS(Producao!$B:$B,Producao!$A:$A,"&gt;="&amp;B225,Producao!$A:$A,"&lt;"&amp;IF(C225="",TODAY()+1,C225)))</f>
        <v/>
      </c>
    </row>
    <row r="226">
      <c r="A226" s="30" t="n"/>
      <c r="B226" s="31" t="n"/>
      <c r="C226" s="31" t="n"/>
      <c r="D226">
        <f>IF(B226="","",IF(C226="",TODAY(),C226)-B226)</f>
        <v/>
      </c>
      <c r="E226">
        <f>IF(A226="","",IF(COUNTIFS($A:$A,A226,$C:$C,"")&gt;1,"Mais de uma entrada em aberto",IF(AND(C226&lt;&gt;"",C226&lt;B226),"Saída antes da entrada","")))</f>
        <v/>
      </c>
      <c r="F226" s="32">
        <f>IF(OR(A226="",B226=""),"",SUMIFS(Producao!$B:$B,Producao!$A:$A,"&gt;="&amp;B226,Producao!$A:$A,"&lt;"&amp;IF(C226="",TODAY()+1,C226)))</f>
        <v/>
      </c>
    </row>
    <row r="227">
      <c r="A227" s="30" t="n"/>
      <c r="B227" s="31" t="n"/>
      <c r="C227" s="31" t="n"/>
      <c r="D227">
        <f>IF(B227="","",IF(C227="",TODAY(),C227)-B227)</f>
        <v/>
      </c>
      <c r="E227">
        <f>IF(A227="","",IF(COUNTIFS($A:$A,A227,$C:$C,"")&gt;1,"Mais de uma entrada em aberto",IF(AND(C227&lt;&gt;"",C227&lt;B227),"Saída antes da entrada","")))</f>
        <v/>
      </c>
      <c r="F227" s="32">
        <f>IF(OR(A227="",B227=""),"",SUMIFS(Producao!$B:$B,Producao!$A:$A,"&gt;="&amp;B227,Producao!$A:$A,"&lt;"&amp;IF(C227="",TODAY()+1,C227)))</f>
        <v/>
      </c>
    </row>
    <row r="228">
      <c r="A228" s="30" t="n"/>
      <c r="B228" s="31" t="n"/>
      <c r="C228" s="31" t="n"/>
      <c r="D228">
        <f>IF(B228="","",IF(C228="",TODAY(),C228)-B228)</f>
        <v/>
      </c>
      <c r="E228">
        <f>IF(A228="","",IF(COUNTIFS($A:$A,A228,$C:$C,"")&gt;1,"Mais de uma entrada em aberto",IF(AND(C228&lt;&gt;"",C228&lt;B228),"Saída antes da entrada","")))</f>
        <v/>
      </c>
      <c r="F228" s="32">
        <f>IF(OR(A228="",B228=""),"",SUMIFS(Producao!$B:$B,Producao!$A:$A,"&gt;="&amp;B228,Producao!$A:$A,"&lt;"&amp;IF(C228="",TODAY()+1,C228)))</f>
        <v/>
      </c>
    </row>
    <row r="229">
      <c r="A229" s="30" t="n"/>
      <c r="B229" s="31" t="n"/>
      <c r="C229" s="31" t="n"/>
      <c r="D229">
        <f>IF(B229="","",IF(C229="",TODAY(),C229)-B229)</f>
        <v/>
      </c>
      <c r="E229">
        <f>IF(A229="","",IF(COUNTIFS($A:$A,A229,$C:$C,"")&gt;1,"Mais de uma entrada em aberto",IF(AND(C229&lt;&gt;"",C229&lt;B229),"Saída antes da entrada","")))</f>
        <v/>
      </c>
      <c r="F229" s="32">
        <f>IF(OR(A229="",B229=""),"",SUMIFS(Producao!$B:$B,Producao!$A:$A,"&gt;="&amp;B229,Producao!$A:$A,"&lt;"&amp;IF(C229="",TODAY()+1,C229)))</f>
        <v/>
      </c>
    </row>
    <row r="230">
      <c r="A230" s="30" t="n"/>
      <c r="B230" s="31" t="n"/>
      <c r="C230" s="31" t="n"/>
      <c r="D230">
        <f>IF(B230="","",IF(C230="",TODAY(),C230)-B230)</f>
        <v/>
      </c>
      <c r="E230">
        <f>IF(A230="","",IF(COUNTIFS($A:$A,A230,$C:$C,"")&gt;1,"Mais de uma entrada em aberto",IF(AND(C230&lt;&gt;"",C230&lt;B230),"Saída antes da entrada","")))</f>
        <v/>
      </c>
      <c r="F230" s="32">
        <f>IF(OR(A230="",B230=""),"",SUMIFS(Producao!$B:$B,Producao!$A:$A,"&gt;="&amp;B230,Producao!$A:$A,"&lt;"&amp;IF(C230="",TODAY()+1,C230)))</f>
        <v/>
      </c>
    </row>
    <row r="231">
      <c r="A231" s="30" t="n"/>
      <c r="B231" s="31" t="n"/>
      <c r="C231" s="31" t="n"/>
      <c r="D231">
        <f>IF(B231="","",IF(C231="",TODAY(),C231)-B231)</f>
        <v/>
      </c>
      <c r="E231">
        <f>IF(A231="","",IF(COUNTIFS($A:$A,A231,$C:$C,"")&gt;1,"Mais de uma entrada em aberto",IF(AND(C231&lt;&gt;"",C231&lt;B231),"Saída antes da entrada","")))</f>
        <v/>
      </c>
      <c r="F231" s="32">
        <f>IF(OR(A231="",B231=""),"",SUMIFS(Producao!$B:$B,Producao!$A:$A,"&gt;="&amp;B231,Producao!$A:$A,"&lt;"&amp;IF(C231="",TODAY()+1,C231)))</f>
        <v/>
      </c>
    </row>
    <row r="232">
      <c r="A232" s="30" t="n"/>
      <c r="B232" s="31" t="n"/>
      <c r="C232" s="31" t="n"/>
      <c r="D232">
        <f>IF(B232="","",IF(C232="",TODAY(),C232)-B232)</f>
        <v/>
      </c>
      <c r="E232">
        <f>IF(A232="","",IF(COUNTIFS($A:$A,A232,$C:$C,"")&gt;1,"Mais de uma entrada em aberto",IF(AND(C232&lt;&gt;"",C232&lt;B232),"Saída antes da entrada","")))</f>
        <v/>
      </c>
      <c r="F232" s="32">
        <f>IF(OR(A232="",B232=""),"",SUMIFS(Producao!$B:$B,Producao!$A:$A,"&gt;="&amp;B232,Producao!$A:$A,"&lt;"&amp;IF(C232="",TODAY()+1,C232)))</f>
        <v/>
      </c>
    </row>
    <row r="233">
      <c r="A233" s="30" t="n"/>
      <c r="B233" s="31" t="n"/>
      <c r="C233" s="31" t="n"/>
      <c r="D233">
        <f>IF(B233="","",IF(C233="",TODAY(),C233)-B233)</f>
        <v/>
      </c>
      <c r="E233">
        <f>IF(A233="","",IF(COUNTIFS($A:$A,A233,$C:$C,"")&gt;1,"Mais de uma entrada em aberto",IF(AND(C233&lt;&gt;"",C233&lt;B233),"Saída antes da entrada","")))</f>
        <v/>
      </c>
      <c r="F233" s="32">
        <f>IF(OR(A233="",B233=""),"",SUMIFS(Producao!$B:$B,Producao!$A:$A,"&gt;="&amp;B233,Producao!$A:$A,"&lt;"&amp;IF(C233="",TODAY()+1,C233)))</f>
        <v/>
      </c>
    </row>
    <row r="234">
      <c r="A234" s="30" t="n"/>
      <c r="B234" s="31" t="n"/>
      <c r="C234" s="31" t="n"/>
      <c r="D234">
        <f>IF(B234="","",IF(C234="",TODAY(),C234)-B234)</f>
        <v/>
      </c>
      <c r="E234">
        <f>IF(A234="","",IF(COUNTIFS($A:$A,A234,$C:$C,"")&gt;1,"Mais de uma entrada em aberto",IF(AND(C234&lt;&gt;"",C234&lt;B234),"Saída antes da entrada","")))</f>
        <v/>
      </c>
      <c r="F234" s="32">
        <f>IF(OR(A234="",B234=""),"",SUMIFS(Producao!$B:$B,Producao!$A:$A,"&gt;="&amp;B234,Producao!$A:$A,"&lt;"&amp;IF(C234="",TODAY()+1,C234)))</f>
        <v/>
      </c>
    </row>
    <row r="235">
      <c r="A235" s="30" t="n"/>
      <c r="B235" s="31" t="n"/>
      <c r="C235" s="31" t="n"/>
      <c r="D235">
        <f>IF(B235="","",IF(C235="",TODAY(),C235)-B235)</f>
        <v/>
      </c>
      <c r="E235">
        <f>IF(A235="","",IF(COUNTIFS($A:$A,A235,$C:$C,"")&gt;1,"Mais de uma entrada em aberto",IF(AND(C235&lt;&gt;"",C235&lt;B235),"Saída antes da entrada","")))</f>
        <v/>
      </c>
      <c r="F235" s="32">
        <f>IF(OR(A235="",B235=""),"",SUMIFS(Producao!$B:$B,Producao!$A:$A,"&gt;="&amp;B235,Producao!$A:$A,"&lt;"&amp;IF(C235="",TODAY()+1,C235)))</f>
        <v/>
      </c>
    </row>
    <row r="236">
      <c r="A236" s="30" t="n"/>
      <c r="B236" s="31" t="n"/>
      <c r="C236" s="31" t="n"/>
      <c r="D236">
        <f>IF(B236="","",IF(C236="",TODAY(),C236)-B236)</f>
        <v/>
      </c>
      <c r="E236">
        <f>IF(A236="","",IF(COUNTIFS($A:$A,A236,$C:$C,"")&gt;1,"Mais de uma entrada em aberto",IF(AND(C236&lt;&gt;"",C236&lt;B236),"Saída antes da entrada","")))</f>
        <v/>
      </c>
      <c r="F236" s="32">
        <f>IF(OR(A236="",B236=""),"",SUMIFS(Producao!$B:$B,Producao!$A:$A,"&gt;="&amp;B236,Producao!$A:$A,"&lt;"&amp;IF(C236="",TODAY()+1,C236)))</f>
        <v/>
      </c>
    </row>
    <row r="237">
      <c r="A237" s="30" t="n"/>
      <c r="B237" s="31" t="n"/>
      <c r="C237" s="31" t="n"/>
      <c r="D237">
        <f>IF(B237="","",IF(C237="",TODAY(),C237)-B237)</f>
        <v/>
      </c>
      <c r="E237">
        <f>IF(A237="","",IF(COUNTIFS($A:$A,A237,$C:$C,"")&gt;1,"Mais de uma entrada em aberto",IF(AND(C237&lt;&gt;"",C237&lt;B237),"Saída antes da entrada","")))</f>
        <v/>
      </c>
      <c r="F237" s="32">
        <f>IF(OR(A237="",B237=""),"",SUMIFS(Producao!$B:$B,Producao!$A:$A,"&gt;="&amp;B237,Producao!$A:$A,"&lt;"&amp;IF(C237="",TODAY()+1,C237)))</f>
        <v/>
      </c>
    </row>
    <row r="238">
      <c r="A238" s="30" t="n"/>
      <c r="B238" s="31" t="n"/>
      <c r="C238" s="31" t="n"/>
      <c r="D238">
        <f>IF(B238="","",IF(C238="",TODAY(),C238)-B238)</f>
        <v/>
      </c>
      <c r="E238">
        <f>IF(A238="","",IF(COUNTIFS($A:$A,A238,$C:$C,"")&gt;1,"Mais de uma entrada em aberto",IF(AND(C238&lt;&gt;"",C238&lt;B238),"Saída antes da entrada","")))</f>
        <v/>
      </c>
      <c r="F238" s="32">
        <f>IF(OR(A238="",B238=""),"",SUMIFS(Producao!$B:$B,Producao!$A:$A,"&gt;="&amp;B238,Producao!$A:$A,"&lt;"&amp;IF(C238="",TODAY()+1,C238)))</f>
        <v/>
      </c>
    </row>
    <row r="239">
      <c r="A239" s="30" t="n"/>
      <c r="B239" s="31" t="n"/>
      <c r="C239" s="31" t="n"/>
      <c r="D239">
        <f>IF(B239="","",IF(C239="",TODAY(),C239)-B239)</f>
        <v/>
      </c>
      <c r="E239">
        <f>IF(A239="","",IF(COUNTIFS($A:$A,A239,$C:$C,"")&gt;1,"Mais de uma entrada em aberto",IF(AND(C239&lt;&gt;"",C239&lt;B239),"Saída antes da entrada","")))</f>
        <v/>
      </c>
      <c r="F239" s="32">
        <f>IF(OR(A239="",B239=""),"",SUMIFS(Producao!$B:$B,Producao!$A:$A,"&gt;="&amp;B239,Producao!$A:$A,"&lt;"&amp;IF(C239="",TODAY()+1,C239)))</f>
        <v/>
      </c>
    </row>
    <row r="240">
      <c r="A240" s="30" t="n"/>
      <c r="B240" s="31" t="n"/>
      <c r="C240" s="31" t="n"/>
      <c r="D240">
        <f>IF(B240="","",IF(C240="",TODAY(),C240)-B240)</f>
        <v/>
      </c>
      <c r="E240">
        <f>IF(A240="","",IF(COUNTIFS($A:$A,A240,$C:$C,"")&gt;1,"Mais de uma entrada em aberto",IF(AND(C240&lt;&gt;"",C240&lt;B240),"Saída antes da entrada","")))</f>
        <v/>
      </c>
      <c r="F240" s="32">
        <f>IF(OR(A240="",B240=""),"",SUMIFS(Producao!$B:$B,Producao!$A:$A,"&gt;="&amp;B240,Producao!$A:$A,"&lt;"&amp;IF(C240="",TODAY()+1,C240)))</f>
        <v/>
      </c>
    </row>
    <row r="241">
      <c r="A241" s="30" t="n"/>
      <c r="B241" s="31" t="n"/>
      <c r="C241" s="31" t="n"/>
      <c r="D241">
        <f>IF(B241="","",IF(C241="",TODAY(),C241)-B241)</f>
        <v/>
      </c>
      <c r="E241">
        <f>IF(A241="","",IF(COUNTIFS($A:$A,A241,$C:$C,"")&gt;1,"Mais de uma entrada em aberto",IF(AND(C241&lt;&gt;"",C241&lt;B241),"Saída antes da entrada","")))</f>
        <v/>
      </c>
      <c r="F241" s="32">
        <f>IF(OR(A241="",B241=""),"",SUMIFS(Producao!$B:$B,Producao!$A:$A,"&gt;="&amp;B241,Producao!$A:$A,"&lt;"&amp;IF(C241="",TODAY()+1,C241)))</f>
        <v/>
      </c>
    </row>
    <row r="242">
      <c r="A242" s="30" t="n"/>
      <c r="B242" s="31" t="n"/>
      <c r="C242" s="31" t="n"/>
      <c r="D242">
        <f>IF(B242="","",IF(C242="",TODAY(),C242)-B242)</f>
        <v/>
      </c>
      <c r="E242">
        <f>IF(A242="","",IF(COUNTIFS($A:$A,A242,$C:$C,"")&gt;1,"Mais de uma entrada em aberto",IF(AND(C242&lt;&gt;"",C242&lt;B242),"Saída antes da entrada","")))</f>
        <v/>
      </c>
      <c r="F242" s="32">
        <f>IF(OR(A242="",B242=""),"",SUMIFS(Producao!$B:$B,Producao!$A:$A,"&gt;="&amp;B242,Producao!$A:$A,"&lt;"&amp;IF(C242="",TODAY()+1,C242)))</f>
        <v/>
      </c>
    </row>
    <row r="243">
      <c r="A243" s="30" t="n"/>
      <c r="B243" s="31" t="n"/>
      <c r="C243" s="31" t="n"/>
      <c r="D243">
        <f>IF(B243="","",IF(C243="",TODAY(),C243)-B243)</f>
        <v/>
      </c>
      <c r="E243">
        <f>IF(A243="","",IF(COUNTIFS($A:$A,A243,$C:$C,"")&gt;1,"Mais de uma entrada em aberto",IF(AND(C243&lt;&gt;"",C243&lt;B243),"Saída antes da entrada","")))</f>
        <v/>
      </c>
      <c r="F243" s="32">
        <f>IF(OR(A243="",B243=""),"",SUMIFS(Producao!$B:$B,Producao!$A:$A,"&gt;="&amp;B243,Producao!$A:$A,"&lt;"&amp;IF(C243="",TODAY()+1,C243)))</f>
        <v/>
      </c>
    </row>
    <row r="244">
      <c r="A244" s="30" t="n"/>
      <c r="B244" s="31" t="n"/>
      <c r="C244" s="31" t="n"/>
      <c r="D244">
        <f>IF(B244="","",IF(C244="",TODAY(),C244)-B244)</f>
        <v/>
      </c>
      <c r="E244">
        <f>IF(A244="","",IF(COUNTIFS($A:$A,A244,$C:$C,"")&gt;1,"Mais de uma entrada em aberto",IF(AND(C244&lt;&gt;"",C244&lt;B244),"Saída antes da entrada","")))</f>
        <v/>
      </c>
      <c r="F244" s="32">
        <f>IF(OR(A244="",B244=""),"",SUMIFS(Producao!$B:$B,Producao!$A:$A,"&gt;="&amp;B244,Producao!$A:$A,"&lt;"&amp;IF(C244="",TODAY()+1,C244)))</f>
        <v/>
      </c>
    </row>
    <row r="245">
      <c r="A245" s="30" t="n"/>
      <c r="B245" s="31" t="n"/>
      <c r="C245" s="31" t="n"/>
      <c r="D245">
        <f>IF(B245="","",IF(C245="",TODAY(),C245)-B245)</f>
        <v/>
      </c>
      <c r="E245">
        <f>IF(A245="","",IF(COUNTIFS($A:$A,A245,$C:$C,"")&gt;1,"Mais de uma entrada em aberto",IF(AND(C245&lt;&gt;"",C245&lt;B245),"Saída antes da entrada","")))</f>
        <v/>
      </c>
      <c r="F245" s="32">
        <f>IF(OR(A245="",B245=""),"",SUMIFS(Producao!$B:$B,Producao!$A:$A,"&gt;="&amp;B245,Producao!$A:$A,"&lt;"&amp;IF(C245="",TODAY()+1,C245)))</f>
        <v/>
      </c>
    </row>
    <row r="246">
      <c r="A246" s="30" t="n"/>
      <c r="B246" s="31" t="n"/>
      <c r="C246" s="31" t="n"/>
      <c r="D246">
        <f>IF(B246="","",IF(C246="",TODAY(),C246)-B246)</f>
        <v/>
      </c>
      <c r="E246">
        <f>IF(A246="","",IF(COUNTIFS($A:$A,A246,$C:$C,"")&gt;1,"Mais de uma entrada em aberto",IF(AND(C246&lt;&gt;"",C246&lt;B246),"Saída antes da entrada","")))</f>
        <v/>
      </c>
      <c r="F246" s="32">
        <f>IF(OR(A246="",B246=""),"",SUMIFS(Producao!$B:$B,Producao!$A:$A,"&gt;="&amp;B246,Producao!$A:$A,"&lt;"&amp;IF(C246="",TODAY()+1,C246)))</f>
        <v/>
      </c>
    </row>
    <row r="247">
      <c r="A247" s="30" t="n"/>
      <c r="B247" s="31" t="n"/>
      <c r="C247" s="31" t="n"/>
      <c r="D247">
        <f>IF(B247="","",IF(C247="",TODAY(),C247)-B247)</f>
        <v/>
      </c>
      <c r="E247">
        <f>IF(A247="","",IF(COUNTIFS($A:$A,A247,$C:$C,"")&gt;1,"Mais de uma entrada em aberto",IF(AND(C247&lt;&gt;"",C247&lt;B247),"Saída antes da entrada","")))</f>
        <v/>
      </c>
      <c r="F247" s="32">
        <f>IF(OR(A247="",B247=""),"",SUMIFS(Producao!$B:$B,Producao!$A:$A,"&gt;="&amp;B247,Producao!$A:$A,"&lt;"&amp;IF(C247="",TODAY()+1,C247)))</f>
        <v/>
      </c>
    </row>
    <row r="248">
      <c r="A248" s="30" t="n"/>
      <c r="B248" s="31" t="n"/>
      <c r="C248" s="31" t="n"/>
      <c r="D248">
        <f>IF(B248="","",IF(C248="",TODAY(),C248)-B248)</f>
        <v/>
      </c>
      <c r="E248">
        <f>IF(A248="","",IF(COUNTIFS($A:$A,A248,$C:$C,"")&gt;1,"Mais de uma entrada em aberto",IF(AND(C248&lt;&gt;"",C248&lt;B248),"Saída antes da entrada","")))</f>
        <v/>
      </c>
      <c r="F248" s="32">
        <f>IF(OR(A248="",B248=""),"",SUMIFS(Producao!$B:$B,Producao!$A:$A,"&gt;="&amp;B248,Producao!$A:$A,"&lt;"&amp;IF(C248="",TODAY()+1,C248)))</f>
        <v/>
      </c>
    </row>
    <row r="249">
      <c r="A249" s="30" t="n"/>
      <c r="B249" s="31" t="n"/>
      <c r="C249" s="31" t="n"/>
      <c r="D249">
        <f>IF(B249="","",IF(C249="",TODAY(),C249)-B249)</f>
        <v/>
      </c>
      <c r="E249">
        <f>IF(A249="","",IF(COUNTIFS($A:$A,A249,$C:$C,"")&gt;1,"Mais de uma entrada em aberto",IF(AND(C249&lt;&gt;"",C249&lt;B249),"Saída antes da entrada","")))</f>
        <v/>
      </c>
      <c r="F249" s="32">
        <f>IF(OR(A249="",B249=""),"",SUMIFS(Producao!$B:$B,Producao!$A:$A,"&gt;="&amp;B249,Producao!$A:$A,"&lt;"&amp;IF(C249="",TODAY()+1,C249)))</f>
        <v/>
      </c>
    </row>
    <row r="250">
      <c r="A250" s="30" t="n"/>
      <c r="B250" s="31" t="n"/>
      <c r="C250" s="31" t="n"/>
      <c r="D250">
        <f>IF(B250="","",IF(C250="",TODAY(),C250)-B250)</f>
        <v/>
      </c>
      <c r="E250">
        <f>IF(A250="","",IF(COUNTIFS($A:$A,A250,$C:$C,"")&gt;1,"Mais de uma entrada em aberto",IF(AND(C250&lt;&gt;"",C250&lt;B250),"Saída antes da entrada","")))</f>
        <v/>
      </c>
      <c r="F250" s="32">
        <f>IF(OR(A250="",B250=""),"",SUMIFS(Producao!$B:$B,Producao!$A:$A,"&gt;="&amp;B250,Producao!$A:$A,"&lt;"&amp;IF(C250="",TODAY()+1,C250)))</f>
        <v/>
      </c>
    </row>
    <row r="251">
      <c r="A251" s="30" t="n"/>
      <c r="B251" s="31" t="n"/>
      <c r="C251" s="31" t="n"/>
      <c r="D251">
        <f>IF(B251="","",IF(C251="",TODAY(),C251)-B251)</f>
        <v/>
      </c>
      <c r="E251">
        <f>IF(A251="","",IF(COUNTIFS($A:$A,A251,$C:$C,"")&gt;1,"Mais de uma entrada em aberto",IF(AND(C251&lt;&gt;"",C251&lt;B251),"Saída antes da entrada","")))</f>
        <v/>
      </c>
      <c r="F251" s="32">
        <f>IF(OR(A251="",B251=""),"",SUMIFS(Producao!$B:$B,Producao!$A:$A,"&gt;="&amp;B251,Producao!$A:$A,"&lt;"&amp;IF(C251="",TODAY()+1,C251)))</f>
        <v/>
      </c>
    </row>
    <row r="252">
      <c r="A252" s="30" t="n"/>
      <c r="B252" s="31" t="n"/>
      <c r="C252" s="31" t="n"/>
      <c r="D252">
        <f>IF(B252="","",IF(C252="",TODAY(),C252)-B252)</f>
        <v/>
      </c>
      <c r="E252">
        <f>IF(A252="","",IF(COUNTIFS($A:$A,A252,$C:$C,"")&gt;1,"Mais de uma entrada em aberto",IF(AND(C252&lt;&gt;"",C252&lt;B252),"Saída antes da entrada","")))</f>
        <v/>
      </c>
      <c r="F252" s="32">
        <f>IF(OR(A252="",B252=""),"",SUMIFS(Producao!$B:$B,Producao!$A:$A,"&gt;="&amp;B252,Producao!$A:$A,"&lt;"&amp;IF(C252="",TODAY()+1,C252)))</f>
        <v/>
      </c>
    </row>
    <row r="253">
      <c r="A253" s="30" t="n"/>
      <c r="B253" s="31" t="n"/>
      <c r="C253" s="31" t="n"/>
      <c r="D253">
        <f>IF(B253="","",IF(C253="",TODAY(),C253)-B253)</f>
        <v/>
      </c>
      <c r="E253">
        <f>IF(A253="","",IF(COUNTIFS($A:$A,A253,$C:$C,"")&gt;1,"Mais de uma entrada em aberto",IF(AND(C253&lt;&gt;"",C253&lt;B253),"Saída antes da entrada","")))</f>
        <v/>
      </c>
      <c r="F253" s="32">
        <f>IF(OR(A253="",B253=""),"",SUMIFS(Producao!$B:$B,Producao!$A:$A,"&gt;="&amp;B253,Producao!$A:$A,"&lt;"&amp;IF(C253="",TODAY()+1,C253)))</f>
        <v/>
      </c>
    </row>
    <row r="254">
      <c r="A254" s="30" t="n"/>
      <c r="B254" s="31" t="n"/>
      <c r="C254" s="31" t="n"/>
      <c r="D254">
        <f>IF(B254="","",IF(C254="",TODAY(),C254)-B254)</f>
        <v/>
      </c>
      <c r="E254">
        <f>IF(A254="","",IF(COUNTIFS($A:$A,A254,$C:$C,"")&gt;1,"Mais de uma entrada em aberto",IF(AND(C254&lt;&gt;"",C254&lt;B254),"Saída antes da entrada","")))</f>
        <v/>
      </c>
      <c r="F254" s="32">
        <f>IF(OR(A254="",B254=""),"",SUMIFS(Producao!$B:$B,Producao!$A:$A,"&gt;="&amp;B254,Producao!$A:$A,"&lt;"&amp;IF(C254="",TODAY()+1,C254)))</f>
        <v/>
      </c>
    </row>
    <row r="255">
      <c r="A255" s="30" t="n"/>
      <c r="B255" s="31" t="n"/>
      <c r="C255" s="31" t="n"/>
      <c r="D255">
        <f>IF(B255="","",IF(C255="",TODAY(),C255)-B255)</f>
        <v/>
      </c>
      <c r="E255">
        <f>IF(A255="","",IF(COUNTIFS($A:$A,A255,$C:$C,"")&gt;1,"Mais de uma entrada em aberto",IF(AND(C255&lt;&gt;"",C255&lt;B255),"Saída antes da entrada","")))</f>
        <v/>
      </c>
      <c r="F255" s="32">
        <f>IF(OR(A255="",B255=""),"",SUMIFS(Producao!$B:$B,Producao!$A:$A,"&gt;="&amp;B255,Producao!$A:$A,"&lt;"&amp;IF(C255="",TODAY()+1,C255)))</f>
        <v/>
      </c>
    </row>
    <row r="256">
      <c r="A256" s="30" t="n"/>
      <c r="B256" s="31" t="n"/>
      <c r="C256" s="31" t="n"/>
      <c r="D256">
        <f>IF(B256="","",IF(C256="",TODAY(),C256)-B256)</f>
        <v/>
      </c>
      <c r="E256">
        <f>IF(A256="","",IF(COUNTIFS($A:$A,A256,$C:$C,"")&gt;1,"Mais de uma entrada em aberto",IF(AND(C256&lt;&gt;"",C256&lt;B256),"Saída antes da entrada","")))</f>
        <v/>
      </c>
      <c r="F256" s="32">
        <f>IF(OR(A256="",B256=""),"",SUMIFS(Producao!$B:$B,Producao!$A:$A,"&gt;="&amp;B256,Producao!$A:$A,"&lt;"&amp;IF(C256="",TODAY()+1,C256)))</f>
        <v/>
      </c>
    </row>
    <row r="257">
      <c r="A257" s="30" t="n"/>
      <c r="B257" s="31" t="n"/>
      <c r="C257" s="31" t="n"/>
      <c r="D257">
        <f>IF(B257="","",IF(C257="",TODAY(),C257)-B257)</f>
        <v/>
      </c>
      <c r="E257">
        <f>IF(A257="","",IF(COUNTIFS($A:$A,A257,$C:$C,"")&gt;1,"Mais de uma entrada em aberto",IF(AND(C257&lt;&gt;"",C257&lt;B257),"Saída antes da entrada","")))</f>
        <v/>
      </c>
      <c r="F257" s="32">
        <f>IF(OR(A257="",B257=""),"",SUMIFS(Producao!$B:$B,Producao!$A:$A,"&gt;="&amp;B257,Producao!$A:$A,"&lt;"&amp;IF(C257="",TODAY()+1,C257)))</f>
        <v/>
      </c>
    </row>
    <row r="258">
      <c r="A258" s="30" t="n"/>
      <c r="B258" s="31" t="n"/>
      <c r="C258" s="31" t="n"/>
      <c r="D258">
        <f>IF(B258="","",IF(C258="",TODAY(),C258)-B258)</f>
        <v/>
      </c>
      <c r="E258">
        <f>IF(A258="","",IF(COUNTIFS($A:$A,A258,$C:$C,"")&gt;1,"Mais de uma entrada em aberto",IF(AND(C258&lt;&gt;"",C258&lt;B258),"Saída antes da entrada","")))</f>
        <v/>
      </c>
      <c r="F258" s="32">
        <f>IF(OR(A258="",B258=""),"",SUMIFS(Producao!$B:$B,Producao!$A:$A,"&gt;="&amp;B258,Producao!$A:$A,"&lt;"&amp;IF(C258="",TODAY()+1,C258)))</f>
        <v/>
      </c>
    </row>
    <row r="259">
      <c r="A259" s="30" t="n"/>
      <c r="B259" s="31" t="n"/>
      <c r="C259" s="31" t="n"/>
      <c r="D259">
        <f>IF(B259="","",IF(C259="",TODAY(),C259)-B259)</f>
        <v/>
      </c>
      <c r="E259">
        <f>IF(A259="","",IF(COUNTIFS($A:$A,A259,$C:$C,"")&gt;1,"Mais de uma entrada em aberto",IF(AND(C259&lt;&gt;"",C259&lt;B259),"Saída antes da entrada","")))</f>
        <v/>
      </c>
      <c r="F259" s="32">
        <f>IF(OR(A259="",B259=""),"",SUMIFS(Producao!$B:$B,Producao!$A:$A,"&gt;="&amp;B259,Producao!$A:$A,"&lt;"&amp;IF(C259="",TODAY()+1,C259)))</f>
        <v/>
      </c>
    </row>
    <row r="260">
      <c r="A260" s="30" t="n"/>
      <c r="B260" s="31" t="n"/>
      <c r="C260" s="31" t="n"/>
      <c r="D260">
        <f>IF(B260="","",IF(C260="",TODAY(),C260)-B260)</f>
        <v/>
      </c>
      <c r="E260">
        <f>IF(A260="","",IF(COUNTIFS($A:$A,A260,$C:$C,"")&gt;1,"Mais de uma entrada em aberto",IF(AND(C260&lt;&gt;"",C260&lt;B260),"Saída antes da entrada","")))</f>
        <v/>
      </c>
      <c r="F260" s="32">
        <f>IF(OR(A260="",B260=""),"",SUMIFS(Producao!$B:$B,Producao!$A:$A,"&gt;="&amp;B260,Producao!$A:$A,"&lt;"&amp;IF(C260="",TODAY()+1,C260)))</f>
        <v/>
      </c>
    </row>
    <row r="261">
      <c r="A261" s="30" t="n"/>
      <c r="B261" s="31" t="n"/>
      <c r="C261" s="31" t="n"/>
      <c r="D261">
        <f>IF(B261="","",IF(C261="",TODAY(),C261)-B261)</f>
        <v/>
      </c>
      <c r="E261">
        <f>IF(A261="","",IF(COUNTIFS($A:$A,A261,$C:$C,"")&gt;1,"Mais de uma entrada em aberto",IF(AND(C261&lt;&gt;"",C261&lt;B261),"Saída antes da entrada","")))</f>
        <v/>
      </c>
      <c r="F261" s="32">
        <f>IF(OR(A261="",B261=""),"",SUMIFS(Producao!$B:$B,Producao!$A:$A,"&gt;="&amp;B261,Producao!$A:$A,"&lt;"&amp;IF(C261="",TODAY()+1,C261)))</f>
        <v/>
      </c>
    </row>
    <row r="262">
      <c r="A262" s="30" t="n"/>
      <c r="B262" s="31" t="n"/>
      <c r="C262" s="31" t="n"/>
      <c r="D262">
        <f>IF(B262="","",IF(C262="",TODAY(),C262)-B262)</f>
        <v/>
      </c>
      <c r="E262">
        <f>IF(A262="","",IF(COUNTIFS($A:$A,A262,$C:$C,"")&gt;1,"Mais de uma entrada em aberto",IF(AND(C262&lt;&gt;"",C262&lt;B262),"Saída antes da entrada","")))</f>
        <v/>
      </c>
      <c r="F262" s="32">
        <f>IF(OR(A262="",B262=""),"",SUMIFS(Producao!$B:$B,Producao!$A:$A,"&gt;="&amp;B262,Producao!$A:$A,"&lt;"&amp;IF(C262="",TODAY()+1,C262)))</f>
        <v/>
      </c>
    </row>
    <row r="263">
      <c r="A263" s="30" t="n"/>
      <c r="B263" s="31" t="n"/>
      <c r="C263" s="31" t="n"/>
      <c r="D263">
        <f>IF(B263="","",IF(C263="",TODAY(),C263)-B263)</f>
        <v/>
      </c>
      <c r="E263">
        <f>IF(A263="","",IF(COUNTIFS($A:$A,A263,$C:$C,"")&gt;1,"Mais de uma entrada em aberto",IF(AND(C263&lt;&gt;"",C263&lt;B263),"Saída antes da entrada","")))</f>
        <v/>
      </c>
      <c r="F263" s="32">
        <f>IF(OR(A263="",B263=""),"",SUMIFS(Producao!$B:$B,Producao!$A:$A,"&gt;="&amp;B263,Producao!$A:$A,"&lt;"&amp;IF(C263="",TODAY()+1,C263)))</f>
        <v/>
      </c>
    </row>
    <row r="264">
      <c r="A264" s="30" t="n"/>
      <c r="B264" s="31" t="n"/>
      <c r="C264" s="31" t="n"/>
      <c r="D264">
        <f>IF(B264="","",IF(C264="",TODAY(),C264)-B264)</f>
        <v/>
      </c>
      <c r="E264">
        <f>IF(A264="","",IF(COUNTIFS($A:$A,A264,$C:$C,"")&gt;1,"Mais de uma entrada em aberto",IF(AND(C264&lt;&gt;"",C264&lt;B264),"Saída antes da entrada","")))</f>
        <v/>
      </c>
      <c r="F264" s="32">
        <f>IF(OR(A264="",B264=""),"",SUMIFS(Producao!$B:$B,Producao!$A:$A,"&gt;="&amp;B264,Producao!$A:$A,"&lt;"&amp;IF(C264="",TODAY()+1,C264)))</f>
        <v/>
      </c>
    </row>
    <row r="265">
      <c r="A265" s="30" t="n"/>
      <c r="B265" s="31" t="n"/>
      <c r="C265" s="31" t="n"/>
      <c r="D265">
        <f>IF(B265="","",IF(C265="",TODAY(),C265)-B265)</f>
        <v/>
      </c>
      <c r="E265">
        <f>IF(A265="","",IF(COUNTIFS($A:$A,A265,$C:$C,"")&gt;1,"Mais de uma entrada em aberto",IF(AND(C265&lt;&gt;"",C265&lt;B265),"Saída antes da entrada","")))</f>
        <v/>
      </c>
      <c r="F265" s="32">
        <f>IF(OR(A265="",B265=""),"",SUMIFS(Producao!$B:$B,Producao!$A:$A,"&gt;="&amp;B265,Producao!$A:$A,"&lt;"&amp;IF(C265="",TODAY()+1,C265)))</f>
        <v/>
      </c>
    </row>
    <row r="266">
      <c r="A266" s="30" t="n"/>
      <c r="B266" s="31" t="n"/>
      <c r="C266" s="31" t="n"/>
      <c r="D266">
        <f>IF(B266="","",IF(C266="",TODAY(),C266)-B266)</f>
        <v/>
      </c>
      <c r="E266">
        <f>IF(A266="","",IF(COUNTIFS($A:$A,A266,$C:$C,"")&gt;1,"Mais de uma entrada em aberto",IF(AND(C266&lt;&gt;"",C266&lt;B266),"Saída antes da entrada","")))</f>
        <v/>
      </c>
      <c r="F266" s="32">
        <f>IF(OR(A266="",B266=""),"",SUMIFS(Producao!$B:$B,Producao!$A:$A,"&gt;="&amp;B266,Producao!$A:$A,"&lt;"&amp;IF(C266="",TODAY()+1,C266)))</f>
        <v/>
      </c>
    </row>
    <row r="267">
      <c r="A267" s="30" t="n"/>
      <c r="B267" s="31" t="n"/>
      <c r="C267" s="31" t="n"/>
      <c r="D267">
        <f>IF(B267="","",IF(C267="",TODAY(),C267)-B267)</f>
        <v/>
      </c>
      <c r="E267">
        <f>IF(A267="","",IF(COUNTIFS($A:$A,A267,$C:$C,"")&gt;1,"Mais de uma entrada em aberto",IF(AND(C267&lt;&gt;"",C267&lt;B267),"Saída antes da entrada","")))</f>
        <v/>
      </c>
      <c r="F267" s="32">
        <f>IF(OR(A267="",B267=""),"",SUMIFS(Producao!$B:$B,Producao!$A:$A,"&gt;="&amp;B267,Producao!$A:$A,"&lt;"&amp;IF(C267="",TODAY()+1,C267)))</f>
        <v/>
      </c>
    </row>
    <row r="268">
      <c r="A268" s="30" t="n"/>
      <c r="B268" s="31" t="n"/>
      <c r="C268" s="31" t="n"/>
      <c r="D268">
        <f>IF(B268="","",IF(C268="",TODAY(),C268)-B268)</f>
        <v/>
      </c>
      <c r="E268">
        <f>IF(A268="","",IF(COUNTIFS($A:$A,A268,$C:$C,"")&gt;1,"Mais de uma entrada em aberto",IF(AND(C268&lt;&gt;"",C268&lt;B268),"Saída antes da entrada","")))</f>
        <v/>
      </c>
      <c r="F268" s="32">
        <f>IF(OR(A268="",B268=""),"",SUMIFS(Producao!$B:$B,Producao!$A:$A,"&gt;="&amp;B268,Producao!$A:$A,"&lt;"&amp;IF(C268="",TODAY()+1,C268)))</f>
        <v/>
      </c>
    </row>
    <row r="269">
      <c r="A269" s="30" t="n"/>
      <c r="B269" s="31" t="n"/>
      <c r="C269" s="31" t="n"/>
      <c r="D269">
        <f>IF(B269="","",IF(C269="",TODAY(),C269)-B269)</f>
        <v/>
      </c>
      <c r="E269">
        <f>IF(A269="","",IF(COUNTIFS($A:$A,A269,$C:$C,"")&gt;1,"Mais de uma entrada em aberto",IF(AND(C269&lt;&gt;"",C269&lt;B269),"Saída antes da entrada","")))</f>
        <v/>
      </c>
      <c r="F269" s="32">
        <f>IF(OR(A269="",B269=""),"",SUMIFS(Producao!$B:$B,Producao!$A:$A,"&gt;="&amp;B269,Producao!$A:$A,"&lt;"&amp;IF(C269="",TODAY()+1,C269)))</f>
        <v/>
      </c>
    </row>
    <row r="270">
      <c r="A270" s="30" t="n"/>
      <c r="B270" s="31" t="n"/>
      <c r="C270" s="31" t="n"/>
      <c r="D270">
        <f>IF(B270="","",IF(C270="",TODAY(),C270)-B270)</f>
        <v/>
      </c>
      <c r="E270">
        <f>IF(A270="","",IF(COUNTIFS($A:$A,A270,$C:$C,"")&gt;1,"Mais de uma entrada em aberto",IF(AND(C270&lt;&gt;"",C270&lt;B270),"Saída antes da entrada","")))</f>
        <v/>
      </c>
      <c r="F270" s="32">
        <f>IF(OR(A270="",B270=""),"",SUMIFS(Producao!$B:$B,Producao!$A:$A,"&gt;="&amp;B270,Producao!$A:$A,"&lt;"&amp;IF(C270="",TODAY()+1,C270)))</f>
        <v/>
      </c>
    </row>
    <row r="271">
      <c r="A271" s="30" t="n"/>
      <c r="B271" s="31" t="n"/>
      <c r="C271" s="31" t="n"/>
      <c r="D271">
        <f>IF(B271="","",IF(C271="",TODAY(),C271)-B271)</f>
        <v/>
      </c>
      <c r="E271">
        <f>IF(A271="","",IF(COUNTIFS($A:$A,A271,$C:$C,"")&gt;1,"Mais de uma entrada em aberto",IF(AND(C271&lt;&gt;"",C271&lt;B271),"Saída antes da entrada","")))</f>
        <v/>
      </c>
      <c r="F271" s="32">
        <f>IF(OR(A271="",B271=""),"",SUMIFS(Producao!$B:$B,Producao!$A:$A,"&gt;="&amp;B271,Producao!$A:$A,"&lt;"&amp;IF(C271="",TODAY()+1,C271)))</f>
        <v/>
      </c>
    </row>
    <row r="272">
      <c r="A272" s="30" t="n"/>
      <c r="B272" s="31" t="n"/>
      <c r="C272" s="31" t="n"/>
      <c r="D272">
        <f>IF(B272="","",IF(C272="",TODAY(),C272)-B272)</f>
        <v/>
      </c>
      <c r="E272">
        <f>IF(A272="","",IF(COUNTIFS($A:$A,A272,$C:$C,"")&gt;1,"Mais de uma entrada em aberto",IF(AND(C272&lt;&gt;"",C272&lt;B272),"Saída antes da entrada","")))</f>
        <v/>
      </c>
      <c r="F272" s="32">
        <f>IF(OR(A272="",B272=""),"",SUMIFS(Producao!$B:$B,Producao!$A:$A,"&gt;="&amp;B272,Producao!$A:$A,"&lt;"&amp;IF(C272="",TODAY()+1,C272)))</f>
        <v/>
      </c>
    </row>
    <row r="273">
      <c r="A273" s="30" t="n"/>
      <c r="B273" s="31" t="n"/>
      <c r="C273" s="31" t="n"/>
      <c r="D273">
        <f>IF(B273="","",IF(C273="",TODAY(),C273)-B273)</f>
        <v/>
      </c>
      <c r="E273">
        <f>IF(A273="","",IF(COUNTIFS($A:$A,A273,$C:$C,"")&gt;1,"Mais de uma entrada em aberto",IF(AND(C273&lt;&gt;"",C273&lt;B273),"Saída antes da entrada","")))</f>
        <v/>
      </c>
      <c r="F273" s="32">
        <f>IF(OR(A273="",B273=""),"",SUMIFS(Producao!$B:$B,Producao!$A:$A,"&gt;="&amp;B273,Producao!$A:$A,"&lt;"&amp;IF(C273="",TODAY()+1,C273)))</f>
        <v/>
      </c>
    </row>
    <row r="274">
      <c r="A274" s="30" t="n"/>
      <c r="B274" s="31" t="n"/>
      <c r="C274" s="31" t="n"/>
      <c r="D274">
        <f>IF(B274="","",IF(C274="",TODAY(),C274)-B274)</f>
        <v/>
      </c>
      <c r="E274">
        <f>IF(A274="","",IF(COUNTIFS($A:$A,A274,$C:$C,"")&gt;1,"Mais de uma entrada em aberto",IF(AND(C274&lt;&gt;"",C274&lt;B274),"Saída antes da entrada","")))</f>
        <v/>
      </c>
      <c r="F274" s="32">
        <f>IF(OR(A274="",B274=""),"",SUMIFS(Producao!$B:$B,Producao!$A:$A,"&gt;="&amp;B274,Producao!$A:$A,"&lt;"&amp;IF(C274="",TODAY()+1,C274)))</f>
        <v/>
      </c>
    </row>
    <row r="275">
      <c r="A275" s="30" t="n"/>
      <c r="B275" s="31" t="n"/>
      <c r="C275" s="31" t="n"/>
      <c r="D275">
        <f>IF(B275="","",IF(C275="",TODAY(),C275)-B275)</f>
        <v/>
      </c>
      <c r="E275">
        <f>IF(A275="","",IF(COUNTIFS($A:$A,A275,$C:$C,"")&gt;1,"Mais de uma entrada em aberto",IF(AND(C275&lt;&gt;"",C275&lt;B275),"Saída antes da entrada","")))</f>
        <v/>
      </c>
      <c r="F275" s="32">
        <f>IF(OR(A275="",B275=""),"",SUMIFS(Producao!$B:$B,Producao!$A:$A,"&gt;="&amp;B275,Producao!$A:$A,"&lt;"&amp;IF(C275="",TODAY()+1,C275)))</f>
        <v/>
      </c>
    </row>
    <row r="276">
      <c r="A276" s="30" t="n"/>
      <c r="B276" s="31" t="n"/>
      <c r="C276" s="31" t="n"/>
      <c r="D276">
        <f>IF(B276="","",IF(C276="",TODAY(),C276)-B276)</f>
        <v/>
      </c>
      <c r="E276">
        <f>IF(A276="","",IF(COUNTIFS($A:$A,A276,$C:$C,"")&gt;1,"Mais de uma entrada em aberto",IF(AND(C276&lt;&gt;"",C276&lt;B276),"Saída antes da entrada","")))</f>
        <v/>
      </c>
      <c r="F276" s="32">
        <f>IF(OR(A276="",B276=""),"",SUMIFS(Producao!$B:$B,Producao!$A:$A,"&gt;="&amp;B276,Producao!$A:$A,"&lt;"&amp;IF(C276="",TODAY()+1,C276)))</f>
        <v/>
      </c>
    </row>
    <row r="277">
      <c r="A277" s="30" t="n"/>
      <c r="B277" s="31" t="n"/>
      <c r="C277" s="31" t="n"/>
      <c r="D277">
        <f>IF(B277="","",IF(C277="",TODAY(),C277)-B277)</f>
        <v/>
      </c>
      <c r="E277">
        <f>IF(A277="","",IF(COUNTIFS($A:$A,A277,$C:$C,"")&gt;1,"Mais de uma entrada em aberto",IF(AND(C277&lt;&gt;"",C277&lt;B277),"Saída antes da entrada","")))</f>
        <v/>
      </c>
      <c r="F277" s="32">
        <f>IF(OR(A277="",B277=""),"",SUMIFS(Producao!$B:$B,Producao!$A:$A,"&gt;="&amp;B277,Producao!$A:$A,"&lt;"&amp;IF(C277="",TODAY()+1,C277)))</f>
        <v/>
      </c>
    </row>
    <row r="278">
      <c r="A278" s="30" t="n"/>
      <c r="B278" s="31" t="n"/>
      <c r="C278" s="31" t="n"/>
      <c r="D278">
        <f>IF(B278="","",IF(C278="",TODAY(),C278)-B278)</f>
        <v/>
      </c>
      <c r="E278">
        <f>IF(A278="","",IF(COUNTIFS($A:$A,A278,$C:$C,"")&gt;1,"Mais de uma entrada em aberto",IF(AND(C278&lt;&gt;"",C278&lt;B278),"Saída antes da entrada","")))</f>
        <v/>
      </c>
      <c r="F278" s="32">
        <f>IF(OR(A278="",B278=""),"",SUMIFS(Producao!$B:$B,Producao!$A:$A,"&gt;="&amp;B278,Producao!$A:$A,"&lt;"&amp;IF(C278="",TODAY()+1,C278)))</f>
        <v/>
      </c>
    </row>
    <row r="279">
      <c r="A279" s="30" t="n"/>
      <c r="B279" s="31" t="n"/>
      <c r="C279" s="31" t="n"/>
      <c r="D279">
        <f>IF(B279="","",IF(C279="",TODAY(),C279)-B279)</f>
        <v/>
      </c>
      <c r="E279">
        <f>IF(A279="","",IF(COUNTIFS($A:$A,A279,$C:$C,"")&gt;1,"Mais de uma entrada em aberto",IF(AND(C279&lt;&gt;"",C279&lt;B279),"Saída antes da entrada","")))</f>
        <v/>
      </c>
      <c r="F279" s="32">
        <f>IF(OR(A279="",B279=""),"",SUMIFS(Producao!$B:$B,Producao!$A:$A,"&gt;="&amp;B279,Producao!$A:$A,"&lt;"&amp;IF(C279="",TODAY()+1,C279)))</f>
        <v/>
      </c>
    </row>
    <row r="280">
      <c r="A280" s="30" t="n"/>
      <c r="B280" s="31" t="n"/>
      <c r="C280" s="31" t="n"/>
      <c r="D280">
        <f>IF(B280="","",IF(C280="",TODAY(),C280)-B280)</f>
        <v/>
      </c>
      <c r="E280">
        <f>IF(A280="","",IF(COUNTIFS($A:$A,A280,$C:$C,"")&gt;1,"Mais de uma entrada em aberto",IF(AND(C280&lt;&gt;"",C280&lt;B280),"Saída antes da entrada","")))</f>
        <v/>
      </c>
      <c r="F280" s="32">
        <f>IF(OR(A280="",B280=""),"",SUMIFS(Producao!$B:$B,Producao!$A:$A,"&gt;="&amp;B280,Producao!$A:$A,"&lt;"&amp;IF(C280="",TODAY()+1,C280)))</f>
        <v/>
      </c>
    </row>
    <row r="281">
      <c r="A281" s="30" t="n"/>
      <c r="B281" s="31" t="n"/>
      <c r="C281" s="31" t="n"/>
      <c r="D281">
        <f>IF(B281="","",IF(C281="",TODAY(),C281)-B281)</f>
        <v/>
      </c>
      <c r="E281">
        <f>IF(A281="","",IF(COUNTIFS($A:$A,A281,$C:$C,"")&gt;1,"Mais de uma entrada em aberto",IF(AND(C281&lt;&gt;"",C281&lt;B281),"Saída antes da entrada","")))</f>
        <v/>
      </c>
      <c r="F281" s="32">
        <f>IF(OR(A281="",B281=""),"",SUMIFS(Producao!$B:$B,Producao!$A:$A,"&gt;="&amp;B281,Producao!$A:$A,"&lt;"&amp;IF(C281="",TODAY()+1,C281)))</f>
        <v/>
      </c>
    </row>
    <row r="282">
      <c r="A282" s="30" t="n"/>
      <c r="B282" s="31" t="n"/>
      <c r="C282" s="31" t="n"/>
      <c r="D282">
        <f>IF(B282="","",IF(C282="",TODAY(),C282)-B282)</f>
        <v/>
      </c>
      <c r="E282">
        <f>IF(A282="","",IF(COUNTIFS($A:$A,A282,$C:$C,"")&gt;1,"Mais de uma entrada em aberto",IF(AND(C282&lt;&gt;"",C282&lt;B282),"Saída antes da entrada","")))</f>
        <v/>
      </c>
      <c r="F282" s="32">
        <f>IF(OR(A282="",B282=""),"",SUMIFS(Producao!$B:$B,Producao!$A:$A,"&gt;="&amp;B282,Producao!$A:$A,"&lt;"&amp;IF(C282="",TODAY()+1,C282)))</f>
        <v/>
      </c>
    </row>
    <row r="283">
      <c r="A283" s="30" t="n"/>
      <c r="B283" s="31" t="n"/>
      <c r="C283" s="31" t="n"/>
      <c r="D283">
        <f>IF(B283="","",IF(C283="",TODAY(),C283)-B283)</f>
        <v/>
      </c>
      <c r="E283">
        <f>IF(A283="","",IF(COUNTIFS($A:$A,A283,$C:$C,"")&gt;1,"Mais de uma entrada em aberto",IF(AND(C283&lt;&gt;"",C283&lt;B283),"Saída antes da entrada","")))</f>
        <v/>
      </c>
      <c r="F283" s="32">
        <f>IF(OR(A283="",B283=""),"",SUMIFS(Producao!$B:$B,Producao!$A:$A,"&gt;="&amp;B283,Producao!$A:$A,"&lt;"&amp;IF(C283="",TODAY()+1,C283)))</f>
        <v/>
      </c>
    </row>
    <row r="284">
      <c r="A284" s="30" t="n"/>
      <c r="B284" s="31" t="n"/>
      <c r="C284" s="31" t="n"/>
      <c r="D284">
        <f>IF(B284="","",IF(C284="",TODAY(),C284)-B284)</f>
        <v/>
      </c>
      <c r="E284">
        <f>IF(A284="","",IF(COUNTIFS($A:$A,A284,$C:$C,"")&gt;1,"Mais de uma entrada em aberto",IF(AND(C284&lt;&gt;"",C284&lt;B284),"Saída antes da entrada","")))</f>
        <v/>
      </c>
      <c r="F284" s="32">
        <f>IF(OR(A284="",B284=""),"",SUMIFS(Producao!$B:$B,Producao!$A:$A,"&gt;="&amp;B284,Producao!$A:$A,"&lt;"&amp;IF(C284="",TODAY()+1,C284)))</f>
        <v/>
      </c>
    </row>
    <row r="285">
      <c r="A285" s="30" t="n"/>
      <c r="B285" s="31" t="n"/>
      <c r="C285" s="31" t="n"/>
      <c r="D285">
        <f>IF(B285="","",IF(C285="",TODAY(),C285)-B285)</f>
        <v/>
      </c>
      <c r="E285">
        <f>IF(A285="","",IF(COUNTIFS($A:$A,A285,$C:$C,"")&gt;1,"Mais de uma entrada em aberto",IF(AND(C285&lt;&gt;"",C285&lt;B285),"Saída antes da entrada","")))</f>
        <v/>
      </c>
      <c r="F285" s="32">
        <f>IF(OR(A285="",B285=""),"",SUMIFS(Producao!$B:$B,Producao!$A:$A,"&gt;="&amp;B285,Producao!$A:$A,"&lt;"&amp;IF(C285="",TODAY()+1,C285)))</f>
        <v/>
      </c>
    </row>
    <row r="286">
      <c r="A286" s="30" t="n"/>
      <c r="B286" s="31" t="n"/>
      <c r="C286" s="31" t="n"/>
      <c r="D286">
        <f>IF(B286="","",IF(C286="",TODAY(),C286)-B286)</f>
        <v/>
      </c>
      <c r="E286">
        <f>IF(A286="","",IF(COUNTIFS($A:$A,A286,$C:$C,"")&gt;1,"Mais de uma entrada em aberto",IF(AND(C286&lt;&gt;"",C286&lt;B286),"Saída antes da entrada","")))</f>
        <v/>
      </c>
      <c r="F286" s="32">
        <f>IF(OR(A286="",B286=""),"",SUMIFS(Producao!$B:$B,Producao!$A:$A,"&gt;="&amp;B286,Producao!$A:$A,"&lt;"&amp;IF(C286="",TODAY()+1,C286)))</f>
        <v/>
      </c>
    </row>
    <row r="287">
      <c r="A287" s="30" t="n"/>
      <c r="B287" s="31" t="n"/>
      <c r="C287" s="31" t="n"/>
      <c r="D287">
        <f>IF(B287="","",IF(C287="",TODAY(),C287)-B287)</f>
        <v/>
      </c>
      <c r="E287">
        <f>IF(A287="","",IF(COUNTIFS($A:$A,A287,$C:$C,"")&gt;1,"Mais de uma entrada em aberto",IF(AND(C287&lt;&gt;"",C287&lt;B287),"Saída antes da entrada","")))</f>
        <v/>
      </c>
      <c r="F287" s="32">
        <f>IF(OR(A287="",B287=""),"",SUMIFS(Producao!$B:$B,Producao!$A:$A,"&gt;="&amp;B287,Producao!$A:$A,"&lt;"&amp;IF(C287="",TODAY()+1,C287)))</f>
        <v/>
      </c>
    </row>
    <row r="288">
      <c r="A288" s="30" t="n"/>
      <c r="B288" s="31" t="n"/>
      <c r="C288" s="31" t="n"/>
      <c r="D288">
        <f>IF(B288="","",IF(C288="",TODAY(),C288)-B288)</f>
        <v/>
      </c>
      <c r="E288">
        <f>IF(A288="","",IF(COUNTIFS($A:$A,A288,$C:$C,"")&gt;1,"Mais de uma entrada em aberto",IF(AND(C288&lt;&gt;"",C288&lt;B288),"Saída antes da entrada","")))</f>
        <v/>
      </c>
      <c r="F288" s="32">
        <f>IF(OR(A288="",B288=""),"",SUMIFS(Producao!$B:$B,Producao!$A:$A,"&gt;="&amp;B288,Producao!$A:$A,"&lt;"&amp;IF(C288="",TODAY()+1,C288)))</f>
        <v/>
      </c>
    </row>
    <row r="289">
      <c r="A289" s="30" t="n"/>
      <c r="B289" s="31" t="n"/>
      <c r="C289" s="31" t="n"/>
      <c r="D289">
        <f>IF(B289="","",IF(C289="",TODAY(),C289)-B289)</f>
        <v/>
      </c>
      <c r="E289">
        <f>IF(A289="","",IF(COUNTIFS($A:$A,A289,$C:$C,"")&gt;1,"Mais de uma entrada em aberto",IF(AND(C289&lt;&gt;"",C289&lt;B289),"Saída antes da entrada","")))</f>
        <v/>
      </c>
      <c r="F289" s="32">
        <f>IF(OR(A289="",B289=""),"",SUMIFS(Producao!$B:$B,Producao!$A:$A,"&gt;="&amp;B289,Producao!$A:$A,"&lt;"&amp;IF(C289="",TODAY()+1,C289)))</f>
        <v/>
      </c>
    </row>
    <row r="290">
      <c r="A290" s="30" t="n"/>
      <c r="B290" s="31" t="n"/>
      <c r="C290" s="31" t="n"/>
      <c r="D290">
        <f>IF(B290="","",IF(C290="",TODAY(),C290)-B290)</f>
        <v/>
      </c>
      <c r="E290">
        <f>IF(A290="","",IF(COUNTIFS($A:$A,A290,$C:$C,"")&gt;1,"Mais de uma entrada em aberto",IF(AND(C290&lt;&gt;"",C290&lt;B290),"Saída antes da entrada","")))</f>
        <v/>
      </c>
      <c r="F290" s="32">
        <f>IF(OR(A290="",B290=""),"",SUMIFS(Producao!$B:$B,Producao!$A:$A,"&gt;="&amp;B290,Producao!$A:$A,"&lt;"&amp;IF(C290="",TODAY()+1,C290)))</f>
        <v/>
      </c>
    </row>
    <row r="291">
      <c r="A291" s="30" t="n"/>
      <c r="B291" s="31" t="n"/>
      <c r="C291" s="31" t="n"/>
      <c r="D291">
        <f>IF(B291="","",IF(C291="",TODAY(),C291)-B291)</f>
        <v/>
      </c>
      <c r="E291">
        <f>IF(A291="","",IF(COUNTIFS($A:$A,A291,$C:$C,"")&gt;1,"Mais de uma entrada em aberto",IF(AND(C291&lt;&gt;"",C291&lt;B291),"Saída antes da entrada","")))</f>
        <v/>
      </c>
      <c r="F291" s="32">
        <f>IF(OR(A291="",B291=""),"",SUMIFS(Producao!$B:$B,Producao!$A:$A,"&gt;="&amp;B291,Producao!$A:$A,"&lt;"&amp;IF(C291="",TODAY()+1,C291)))</f>
        <v/>
      </c>
    </row>
    <row r="292">
      <c r="A292" s="30" t="n"/>
      <c r="B292" s="31" t="n"/>
      <c r="C292" s="31" t="n"/>
      <c r="D292">
        <f>IF(B292="","",IF(C292="",TODAY(),C292)-B292)</f>
        <v/>
      </c>
      <c r="E292">
        <f>IF(A292="","",IF(COUNTIFS($A:$A,A292,$C:$C,"")&gt;1,"Mais de uma entrada em aberto",IF(AND(C292&lt;&gt;"",C292&lt;B292),"Saída antes da entrada","")))</f>
        <v/>
      </c>
      <c r="F292" s="32">
        <f>IF(OR(A292="",B292=""),"",SUMIFS(Producao!$B:$B,Producao!$A:$A,"&gt;="&amp;B292,Producao!$A:$A,"&lt;"&amp;IF(C292="",TODAY()+1,C292)))</f>
        <v/>
      </c>
    </row>
    <row r="293">
      <c r="A293" s="30" t="n"/>
      <c r="B293" s="31" t="n"/>
      <c r="C293" s="31" t="n"/>
      <c r="D293">
        <f>IF(B293="","",IF(C293="",TODAY(),C293)-B293)</f>
        <v/>
      </c>
      <c r="E293">
        <f>IF(A293="","",IF(COUNTIFS($A:$A,A293,$C:$C,"")&gt;1,"Mais de uma entrada em aberto",IF(AND(C293&lt;&gt;"",C293&lt;B293),"Saída antes da entrada","")))</f>
        <v/>
      </c>
      <c r="F293" s="32">
        <f>IF(OR(A293="",B293=""),"",SUMIFS(Producao!$B:$B,Producao!$A:$A,"&gt;="&amp;B293,Producao!$A:$A,"&lt;"&amp;IF(C293="",TODAY()+1,C293)))</f>
        <v/>
      </c>
    </row>
    <row r="294">
      <c r="A294" s="30" t="n"/>
      <c r="B294" s="31" t="n"/>
      <c r="C294" s="31" t="n"/>
      <c r="D294">
        <f>IF(B294="","",IF(C294="",TODAY(),C294)-B294)</f>
        <v/>
      </c>
      <c r="E294">
        <f>IF(A294="","",IF(COUNTIFS($A:$A,A294,$C:$C,"")&gt;1,"Mais de uma entrada em aberto",IF(AND(C294&lt;&gt;"",C294&lt;B294),"Saída antes da entrada","")))</f>
        <v/>
      </c>
      <c r="F294" s="32">
        <f>IF(OR(A294="",B294=""),"",SUMIFS(Producao!$B:$B,Producao!$A:$A,"&gt;="&amp;B294,Producao!$A:$A,"&lt;"&amp;IF(C294="",TODAY()+1,C294)))</f>
        <v/>
      </c>
    </row>
    <row r="295">
      <c r="A295" s="30" t="n"/>
      <c r="B295" s="31" t="n"/>
      <c r="C295" s="31" t="n"/>
      <c r="D295">
        <f>IF(B295="","",IF(C295="",TODAY(),C295)-B295)</f>
        <v/>
      </c>
      <c r="E295">
        <f>IF(A295="","",IF(COUNTIFS($A:$A,A295,$C:$C,"")&gt;1,"Mais de uma entrada em aberto",IF(AND(C295&lt;&gt;"",C295&lt;B295),"Saída antes da entrada","")))</f>
        <v/>
      </c>
      <c r="F295" s="32">
        <f>IF(OR(A295="",B295=""),"",SUMIFS(Producao!$B:$B,Producao!$A:$A,"&gt;="&amp;B295,Producao!$A:$A,"&lt;"&amp;IF(C295="",TODAY()+1,C295)))</f>
        <v/>
      </c>
    </row>
    <row r="296">
      <c r="A296" s="30" t="n"/>
      <c r="B296" s="31" t="n"/>
      <c r="C296" s="31" t="n"/>
      <c r="D296">
        <f>IF(B296="","",IF(C296="",TODAY(),C296)-B296)</f>
        <v/>
      </c>
      <c r="E296">
        <f>IF(A296="","",IF(COUNTIFS($A:$A,A296,$C:$C,"")&gt;1,"Mais de uma entrada em aberto",IF(AND(C296&lt;&gt;"",C296&lt;B296),"Saída antes da entrada","")))</f>
        <v/>
      </c>
      <c r="F296" s="32">
        <f>IF(OR(A296="",B296=""),"",SUMIFS(Producao!$B:$B,Producao!$A:$A,"&gt;="&amp;B296,Producao!$A:$A,"&lt;"&amp;IF(C296="",TODAY()+1,C296)))</f>
        <v/>
      </c>
    </row>
    <row r="297">
      <c r="A297" s="30" t="n"/>
      <c r="B297" s="31" t="n"/>
      <c r="C297" s="31" t="n"/>
      <c r="D297">
        <f>IF(B297="","",IF(C297="",TODAY(),C297)-B297)</f>
        <v/>
      </c>
      <c r="E297">
        <f>IF(A297="","",IF(COUNTIFS($A:$A,A297,$C:$C,"")&gt;1,"Mais de uma entrada em aberto",IF(AND(C297&lt;&gt;"",C297&lt;B297),"Saída antes da entrada","")))</f>
        <v/>
      </c>
      <c r="F297" s="32">
        <f>IF(OR(A297="",B297=""),"",SUMIFS(Producao!$B:$B,Producao!$A:$A,"&gt;="&amp;B297,Producao!$A:$A,"&lt;"&amp;IF(C297="",TODAY()+1,C297)))</f>
        <v/>
      </c>
    </row>
    <row r="298">
      <c r="A298" s="30" t="n"/>
      <c r="B298" s="31" t="n"/>
      <c r="C298" s="31" t="n"/>
      <c r="D298">
        <f>IF(B298="","",IF(C298="",TODAY(),C298)-B298)</f>
        <v/>
      </c>
      <c r="E298">
        <f>IF(A298="","",IF(COUNTIFS($A:$A,A298,$C:$C,"")&gt;1,"Mais de uma entrada em aberto",IF(AND(C298&lt;&gt;"",C298&lt;B298),"Saída antes da entrada","")))</f>
        <v/>
      </c>
      <c r="F298" s="32">
        <f>IF(OR(A298="",B298=""),"",SUMIFS(Producao!$B:$B,Producao!$A:$A,"&gt;="&amp;B298,Producao!$A:$A,"&lt;"&amp;IF(C298="",TODAY()+1,C298)))</f>
        <v/>
      </c>
    </row>
    <row r="299">
      <c r="A299" s="30" t="n"/>
      <c r="B299" s="31" t="n"/>
      <c r="C299" s="31" t="n"/>
      <c r="D299">
        <f>IF(B299="","",IF(C299="",TODAY(),C299)-B299)</f>
        <v/>
      </c>
      <c r="E299">
        <f>IF(A299="","",IF(COUNTIFS($A:$A,A299,$C:$C,"")&gt;1,"Mais de uma entrada em aberto",IF(AND(C299&lt;&gt;"",C299&lt;B299),"Saída antes da entrada","")))</f>
        <v/>
      </c>
      <c r="F299" s="32">
        <f>IF(OR(A299="",B299=""),"",SUMIFS(Producao!$B:$B,Producao!$A:$A,"&gt;="&amp;B299,Producao!$A:$A,"&lt;"&amp;IF(C299="",TODAY()+1,C299)))</f>
        <v/>
      </c>
    </row>
    <row r="300">
      <c r="A300" s="30" t="n"/>
      <c r="B300" s="31" t="n"/>
      <c r="C300" s="31" t="n"/>
      <c r="D300">
        <f>IF(B300="","",IF(C300="",TODAY(),C300)-B300)</f>
        <v/>
      </c>
      <c r="E300">
        <f>IF(A300="","",IF(COUNTIFS($A:$A,A300,$C:$C,"")&gt;1,"Mais de uma entrada em aberto",IF(AND(C300&lt;&gt;"",C300&lt;B300),"Saída antes da entrada","")))</f>
        <v/>
      </c>
      <c r="F300" s="32">
        <f>IF(OR(A300="",B300=""),"",SUMIFS(Producao!$B:$B,Producao!$A:$A,"&gt;="&amp;B300,Producao!$A:$A,"&lt;"&amp;IF(C300="",TODAY()+1,C300)))</f>
        <v/>
      </c>
    </row>
    <row r="301">
      <c r="A301" s="30" t="n"/>
      <c r="B301" s="31" t="n"/>
      <c r="C301" s="31" t="n"/>
      <c r="D301">
        <f>IF(B301="","",IF(C301="",TODAY(),C301)-B301)</f>
        <v/>
      </c>
      <c r="E301">
        <f>IF(A301="","",IF(COUNTIFS($A:$A,A301,$C:$C,"")&gt;1,"Mais de uma entrada em aberto",IF(AND(C301&lt;&gt;"",C301&lt;B301),"Saída antes da entrada","")))</f>
        <v/>
      </c>
      <c r="F301" s="32">
        <f>IF(OR(A301="",B301=""),"",SUMIFS(Producao!$B:$B,Producao!$A:$A,"&gt;="&amp;B301,Producao!$A:$A,"&lt;"&amp;IF(C301="",TODAY()+1,C301)))</f>
        <v/>
      </c>
    </row>
    <row r="302">
      <c r="A302" s="30" t="n"/>
      <c r="B302" s="31" t="n"/>
      <c r="C302" s="31" t="n"/>
      <c r="D302">
        <f>IF(B302="","",IF(C302="",TODAY(),C302)-B302)</f>
        <v/>
      </c>
      <c r="E302">
        <f>IF(A302="","",IF(COUNTIFS($A:$A,A302,$C:$C,"")&gt;1,"Mais de uma entrada em aberto",IF(AND(C302&lt;&gt;"",C302&lt;B302),"Saída antes da entrada","")))</f>
        <v/>
      </c>
      <c r="F302" s="32">
        <f>IF(OR(A302="",B302=""),"",SUMIFS(Producao!$B:$B,Producao!$A:$A,"&gt;="&amp;B302,Producao!$A:$A,"&lt;"&amp;IF(C302="",TODAY()+1,C302)))</f>
        <v/>
      </c>
    </row>
    <row r="303">
      <c r="A303" s="30" t="n"/>
      <c r="B303" s="31" t="n"/>
      <c r="C303" s="31" t="n"/>
      <c r="D303">
        <f>IF(B303="","",IF(C303="",TODAY(),C303)-B303)</f>
        <v/>
      </c>
      <c r="E303">
        <f>IF(A303="","",IF(COUNTIFS($A:$A,A303,$C:$C,"")&gt;1,"Mais de uma entrada em aberto",IF(AND(C303&lt;&gt;"",C303&lt;B303),"Saída antes da entrada","")))</f>
        <v/>
      </c>
      <c r="F303" s="32">
        <f>IF(OR(A303="",B303=""),"",SUMIFS(Producao!$B:$B,Producao!$A:$A,"&gt;="&amp;B303,Producao!$A:$A,"&lt;"&amp;IF(C303="",TODAY()+1,C303)))</f>
        <v/>
      </c>
    </row>
    <row r="304">
      <c r="A304" s="30" t="n"/>
      <c r="B304" s="31" t="n"/>
      <c r="C304" s="31" t="n"/>
      <c r="D304">
        <f>IF(B304="","",IF(C304="",TODAY(),C304)-B304)</f>
        <v/>
      </c>
      <c r="E304">
        <f>IF(A304="","",IF(COUNTIFS($A:$A,A304,$C:$C,"")&gt;1,"Mais de uma entrada em aberto",IF(AND(C304&lt;&gt;"",C304&lt;B304),"Saída antes da entrada","")))</f>
        <v/>
      </c>
      <c r="F304" s="32">
        <f>IF(OR(A304="",B304=""),"",SUMIFS(Producao!$B:$B,Producao!$A:$A,"&gt;="&amp;B304,Producao!$A:$A,"&lt;"&amp;IF(C304="",TODAY()+1,C304)))</f>
        <v/>
      </c>
    </row>
    <row r="305">
      <c r="A305" s="30" t="n"/>
      <c r="B305" s="31" t="n"/>
      <c r="C305" s="31" t="n"/>
      <c r="D305">
        <f>IF(B305="","",IF(C305="",TODAY(),C305)-B305)</f>
        <v/>
      </c>
      <c r="E305">
        <f>IF(A305="","",IF(COUNTIFS($A:$A,A305,$C:$C,"")&gt;1,"Mais de uma entrada em aberto",IF(AND(C305&lt;&gt;"",C305&lt;B305),"Saída antes da entrada","")))</f>
        <v/>
      </c>
      <c r="F305" s="32">
        <f>IF(OR(A305="",B305=""),"",SUMIFS(Producao!$B:$B,Producao!$A:$A,"&gt;="&amp;B305,Producao!$A:$A,"&lt;"&amp;IF(C305="",TODAY()+1,C305)))</f>
        <v/>
      </c>
    </row>
    <row r="306">
      <c r="A306" s="30" t="n"/>
      <c r="B306" s="31" t="n"/>
      <c r="C306" s="31" t="n"/>
      <c r="D306">
        <f>IF(B306="","",IF(C306="",TODAY(),C306)-B306)</f>
        <v/>
      </c>
      <c r="E306">
        <f>IF(A306="","",IF(COUNTIFS($A:$A,A306,$C:$C,"")&gt;1,"Mais de uma entrada em aberto",IF(AND(C306&lt;&gt;"",C306&lt;B306),"Saída antes da entrada","")))</f>
        <v/>
      </c>
      <c r="F306" s="32">
        <f>IF(OR(A306="",B306=""),"",SUMIFS(Producao!$B:$B,Producao!$A:$A,"&gt;="&amp;B306,Producao!$A:$A,"&lt;"&amp;IF(C306="",TODAY()+1,C306)))</f>
        <v/>
      </c>
    </row>
    <row r="307">
      <c r="A307" s="30" t="n"/>
      <c r="B307" s="31" t="n"/>
      <c r="C307" s="31" t="n"/>
      <c r="D307">
        <f>IF(B307="","",IF(C307="",TODAY(),C307)-B307)</f>
        <v/>
      </c>
      <c r="E307">
        <f>IF(A307="","",IF(COUNTIFS($A:$A,A307,$C:$C,"")&gt;1,"Mais de uma entrada em aberto",IF(AND(C307&lt;&gt;"",C307&lt;B307),"Saída antes da entrada","")))</f>
        <v/>
      </c>
      <c r="F307" s="32">
        <f>IF(OR(A307="",B307=""),"",SUMIFS(Producao!$B:$B,Producao!$A:$A,"&gt;="&amp;B307,Producao!$A:$A,"&lt;"&amp;IF(C307="",TODAY()+1,C307)))</f>
        <v/>
      </c>
    </row>
    <row r="308">
      <c r="A308" s="30" t="n"/>
      <c r="B308" s="31" t="n"/>
      <c r="C308" s="31" t="n"/>
      <c r="D308">
        <f>IF(B308="","",IF(C308="",TODAY(),C308)-B308)</f>
        <v/>
      </c>
      <c r="E308">
        <f>IF(A308="","",IF(COUNTIFS($A:$A,A308,$C:$C,"")&gt;1,"Mais de uma entrada em aberto",IF(AND(C308&lt;&gt;"",C308&lt;B308),"Saída antes da entrada","")))</f>
        <v/>
      </c>
      <c r="F308" s="32">
        <f>IF(OR(A308="",B308=""),"",SUMIFS(Producao!$B:$B,Producao!$A:$A,"&gt;="&amp;B308,Producao!$A:$A,"&lt;"&amp;IF(C308="",TODAY()+1,C308)))</f>
        <v/>
      </c>
    </row>
    <row r="309">
      <c r="A309" s="30" t="n"/>
      <c r="B309" s="31" t="n"/>
      <c r="C309" s="31" t="n"/>
      <c r="D309">
        <f>IF(B309="","",IF(C309="",TODAY(),C309)-B309)</f>
        <v/>
      </c>
      <c r="E309">
        <f>IF(A309="","",IF(COUNTIFS($A:$A,A309,$C:$C,"")&gt;1,"Mais de uma entrada em aberto",IF(AND(C309&lt;&gt;"",C309&lt;B309),"Saída antes da entrada","")))</f>
        <v/>
      </c>
      <c r="F309" s="32">
        <f>IF(OR(A309="",B309=""),"",SUMIFS(Producao!$B:$B,Producao!$A:$A,"&gt;="&amp;B309,Producao!$A:$A,"&lt;"&amp;IF(C309="",TODAY()+1,C309)))</f>
        <v/>
      </c>
    </row>
    <row r="310">
      <c r="A310" s="30" t="n"/>
      <c r="B310" s="31" t="n"/>
      <c r="C310" s="31" t="n"/>
      <c r="D310">
        <f>IF(B310="","",IF(C310="",TODAY(),C310)-B310)</f>
        <v/>
      </c>
      <c r="E310">
        <f>IF(A310="","",IF(COUNTIFS($A:$A,A310,$C:$C,"")&gt;1,"Mais de uma entrada em aberto",IF(AND(C310&lt;&gt;"",C310&lt;B310),"Saída antes da entrada","")))</f>
        <v/>
      </c>
      <c r="F310" s="32">
        <f>IF(OR(A310="",B310=""),"",SUMIFS(Producao!$B:$B,Producao!$A:$A,"&gt;="&amp;B310,Producao!$A:$A,"&lt;"&amp;IF(C310="",TODAY()+1,C310)))</f>
        <v/>
      </c>
    </row>
    <row r="311">
      <c r="A311" s="30" t="n"/>
      <c r="B311" s="31" t="n"/>
      <c r="C311" s="31" t="n"/>
      <c r="D311">
        <f>IF(B311="","",IF(C311="",TODAY(),C311)-B311)</f>
        <v/>
      </c>
      <c r="E311">
        <f>IF(A311="","",IF(COUNTIFS($A:$A,A311,$C:$C,"")&gt;1,"Mais de uma entrada em aberto",IF(AND(C311&lt;&gt;"",C311&lt;B311),"Saída antes da entrada","")))</f>
        <v/>
      </c>
      <c r="F311" s="32">
        <f>IF(OR(A311="",B311=""),"",SUMIFS(Producao!$B:$B,Producao!$A:$A,"&gt;="&amp;B311,Producao!$A:$A,"&lt;"&amp;IF(C311="",TODAY()+1,C311)))</f>
        <v/>
      </c>
    </row>
    <row r="312">
      <c r="A312" s="30" t="n"/>
      <c r="B312" s="31" t="n"/>
      <c r="C312" s="31" t="n"/>
      <c r="D312">
        <f>IF(B312="","",IF(C312="",TODAY(),C312)-B312)</f>
        <v/>
      </c>
      <c r="E312">
        <f>IF(A312="","",IF(COUNTIFS($A:$A,A312,$C:$C,"")&gt;1,"Mais de uma entrada em aberto",IF(AND(C312&lt;&gt;"",C312&lt;B312),"Saída antes da entrada","")))</f>
        <v/>
      </c>
      <c r="F312" s="32">
        <f>IF(OR(A312="",B312=""),"",SUMIFS(Producao!$B:$B,Producao!$A:$A,"&gt;="&amp;B312,Producao!$A:$A,"&lt;"&amp;IF(C312="",TODAY()+1,C312)))</f>
        <v/>
      </c>
    </row>
    <row r="313">
      <c r="A313" s="30" t="n"/>
      <c r="B313" s="31" t="n"/>
      <c r="C313" s="31" t="n"/>
      <c r="D313">
        <f>IF(B313="","",IF(C313="",TODAY(),C313)-B313)</f>
        <v/>
      </c>
      <c r="E313">
        <f>IF(A313="","",IF(COUNTIFS($A:$A,A313,$C:$C,"")&gt;1,"Mais de uma entrada em aberto",IF(AND(C313&lt;&gt;"",C313&lt;B313),"Saída antes da entrada","")))</f>
        <v/>
      </c>
      <c r="F313" s="32">
        <f>IF(OR(A313="",B313=""),"",SUMIFS(Producao!$B:$B,Producao!$A:$A,"&gt;="&amp;B313,Producao!$A:$A,"&lt;"&amp;IF(C313="",TODAY()+1,C313)))</f>
        <v/>
      </c>
    </row>
    <row r="314">
      <c r="A314" s="30" t="n"/>
      <c r="B314" s="31" t="n"/>
      <c r="C314" s="31" t="n"/>
      <c r="D314">
        <f>IF(B314="","",IF(C314="",TODAY(),C314)-B314)</f>
        <v/>
      </c>
      <c r="E314">
        <f>IF(A314="","",IF(COUNTIFS($A:$A,A314,$C:$C,"")&gt;1,"Mais de uma entrada em aberto",IF(AND(C314&lt;&gt;"",C314&lt;B314),"Saída antes da entrada","")))</f>
        <v/>
      </c>
      <c r="F314" s="32">
        <f>IF(OR(A314="",B314=""),"",SUMIFS(Producao!$B:$B,Producao!$A:$A,"&gt;="&amp;B314,Producao!$A:$A,"&lt;"&amp;IF(C314="",TODAY()+1,C314)))</f>
        <v/>
      </c>
    </row>
    <row r="315">
      <c r="A315" s="30" t="n"/>
      <c r="B315" s="31" t="n"/>
      <c r="C315" s="31" t="n"/>
      <c r="D315">
        <f>IF(B315="","",IF(C315="",TODAY(),C315)-B315)</f>
        <v/>
      </c>
      <c r="E315">
        <f>IF(A315="","",IF(COUNTIFS($A:$A,A315,$C:$C,"")&gt;1,"Mais de uma entrada em aberto",IF(AND(C315&lt;&gt;"",C315&lt;B315),"Saída antes da entrada","")))</f>
        <v/>
      </c>
      <c r="F315" s="32">
        <f>IF(OR(A315="",B315=""),"",SUMIFS(Producao!$B:$B,Producao!$A:$A,"&gt;="&amp;B315,Producao!$A:$A,"&lt;"&amp;IF(C315="",TODAY()+1,C315)))</f>
        <v/>
      </c>
    </row>
    <row r="316">
      <c r="A316" s="30" t="n"/>
      <c r="B316" s="31" t="n"/>
      <c r="C316" s="31" t="n"/>
      <c r="D316">
        <f>IF(B316="","",IF(C316="",TODAY(),C316)-B316)</f>
        <v/>
      </c>
      <c r="E316">
        <f>IF(A316="","",IF(COUNTIFS($A:$A,A316,$C:$C,"")&gt;1,"Mais de uma entrada em aberto",IF(AND(C316&lt;&gt;"",C316&lt;B316),"Saída antes da entrada","")))</f>
        <v/>
      </c>
      <c r="F316" s="32">
        <f>IF(OR(A316="",B316=""),"",SUMIFS(Producao!$B:$B,Producao!$A:$A,"&gt;="&amp;B316,Producao!$A:$A,"&lt;"&amp;IF(C316="",TODAY()+1,C316)))</f>
        <v/>
      </c>
    </row>
    <row r="317">
      <c r="A317" s="30" t="n"/>
      <c r="B317" s="31" t="n"/>
      <c r="C317" s="31" t="n"/>
      <c r="D317">
        <f>IF(B317="","",IF(C317="",TODAY(),C317)-B317)</f>
        <v/>
      </c>
      <c r="E317">
        <f>IF(A317="","",IF(COUNTIFS($A:$A,A317,$C:$C,"")&gt;1,"Mais de uma entrada em aberto",IF(AND(C317&lt;&gt;"",C317&lt;B317),"Saída antes da entrada","")))</f>
        <v/>
      </c>
      <c r="F317" s="32">
        <f>IF(OR(A317="",B317=""),"",SUMIFS(Producao!$B:$B,Producao!$A:$A,"&gt;="&amp;B317,Producao!$A:$A,"&lt;"&amp;IF(C317="",TODAY()+1,C317)))</f>
        <v/>
      </c>
    </row>
    <row r="318">
      <c r="A318" s="30" t="n"/>
      <c r="B318" s="31" t="n"/>
      <c r="C318" s="31" t="n"/>
      <c r="D318">
        <f>IF(B318="","",IF(C318="",TODAY(),C318)-B318)</f>
        <v/>
      </c>
      <c r="E318">
        <f>IF(A318="","",IF(COUNTIFS($A:$A,A318,$C:$C,"")&gt;1,"Mais de uma entrada em aberto",IF(AND(C318&lt;&gt;"",C318&lt;B318),"Saída antes da entrada","")))</f>
        <v/>
      </c>
      <c r="F318" s="32">
        <f>IF(OR(A318="",B318=""),"",SUMIFS(Producao!$B:$B,Producao!$A:$A,"&gt;="&amp;B318,Producao!$A:$A,"&lt;"&amp;IF(C318="",TODAY()+1,C318)))</f>
        <v/>
      </c>
    </row>
    <row r="319">
      <c r="A319" s="30" t="n"/>
      <c r="B319" s="31" t="n"/>
      <c r="C319" s="31" t="n"/>
      <c r="D319">
        <f>IF(B319="","",IF(C319="",TODAY(),C319)-B319)</f>
        <v/>
      </c>
      <c r="E319">
        <f>IF(A319="","",IF(COUNTIFS($A:$A,A319,$C:$C,"")&gt;1,"Mais de uma entrada em aberto",IF(AND(C319&lt;&gt;"",C319&lt;B319),"Saída antes da entrada","")))</f>
        <v/>
      </c>
      <c r="F319" s="32">
        <f>IF(OR(A319="",B319=""),"",SUMIFS(Producao!$B:$B,Producao!$A:$A,"&gt;="&amp;B319,Producao!$A:$A,"&lt;"&amp;IF(C319="",TODAY()+1,C319)))</f>
        <v/>
      </c>
    </row>
    <row r="320">
      <c r="A320" s="30" t="n"/>
      <c r="B320" s="31" t="n"/>
      <c r="C320" s="31" t="n"/>
      <c r="D320">
        <f>IF(B320="","",IF(C320="",TODAY(),C320)-B320)</f>
        <v/>
      </c>
      <c r="E320">
        <f>IF(A320="","",IF(COUNTIFS($A:$A,A320,$C:$C,"")&gt;1,"Mais de uma entrada em aberto",IF(AND(C320&lt;&gt;"",C320&lt;B320),"Saída antes da entrada","")))</f>
        <v/>
      </c>
      <c r="F320" s="32">
        <f>IF(OR(A320="",B320=""),"",SUMIFS(Producao!$B:$B,Producao!$A:$A,"&gt;="&amp;B320,Producao!$A:$A,"&lt;"&amp;IF(C320="",TODAY()+1,C320)))</f>
        <v/>
      </c>
    </row>
    <row r="321">
      <c r="A321" s="30" t="n"/>
      <c r="B321" s="31" t="n"/>
      <c r="C321" s="31" t="n"/>
      <c r="D321">
        <f>IF(B321="","",IF(C321="",TODAY(),C321)-B321)</f>
        <v/>
      </c>
      <c r="E321">
        <f>IF(A321="","",IF(COUNTIFS($A:$A,A321,$C:$C,"")&gt;1,"Mais de uma entrada em aberto",IF(AND(C321&lt;&gt;"",C321&lt;B321),"Saída antes da entrada","")))</f>
        <v/>
      </c>
      <c r="F321" s="32">
        <f>IF(OR(A321="",B321=""),"",SUMIFS(Producao!$B:$B,Producao!$A:$A,"&gt;="&amp;B321,Producao!$A:$A,"&lt;"&amp;IF(C321="",TODAY()+1,C321)))</f>
        <v/>
      </c>
    </row>
    <row r="322">
      <c r="A322" s="30" t="n"/>
      <c r="B322" s="31" t="n"/>
      <c r="C322" s="31" t="n"/>
      <c r="D322">
        <f>IF(B322="","",IF(C322="",TODAY(),C322)-B322)</f>
        <v/>
      </c>
      <c r="E322">
        <f>IF(A322="","",IF(COUNTIFS($A:$A,A322,$C:$C,"")&gt;1,"Mais de uma entrada em aberto",IF(AND(C322&lt;&gt;"",C322&lt;B322),"Saída antes da entrada","")))</f>
        <v/>
      </c>
      <c r="F322" s="32">
        <f>IF(OR(A322="",B322=""),"",SUMIFS(Producao!$B:$B,Producao!$A:$A,"&gt;="&amp;B322,Producao!$A:$A,"&lt;"&amp;IF(C322="",TODAY()+1,C322)))</f>
        <v/>
      </c>
    </row>
    <row r="323">
      <c r="A323" s="30" t="n"/>
      <c r="B323" s="31" t="n"/>
      <c r="C323" s="31" t="n"/>
      <c r="D323">
        <f>IF(B323="","",IF(C323="",TODAY(),C323)-B323)</f>
        <v/>
      </c>
      <c r="E323">
        <f>IF(A323="","",IF(COUNTIFS($A:$A,A323,$C:$C,"")&gt;1,"Mais de uma entrada em aberto",IF(AND(C323&lt;&gt;"",C323&lt;B323),"Saída antes da entrada","")))</f>
        <v/>
      </c>
      <c r="F323" s="32">
        <f>IF(OR(A323="",B323=""),"",SUMIFS(Producao!$B:$B,Producao!$A:$A,"&gt;="&amp;B323,Producao!$A:$A,"&lt;"&amp;IF(C323="",TODAY()+1,C323)))</f>
        <v/>
      </c>
    </row>
    <row r="324">
      <c r="A324" s="30" t="n"/>
      <c r="B324" s="31" t="n"/>
      <c r="C324" s="31" t="n"/>
      <c r="D324">
        <f>IF(B324="","",IF(C324="",TODAY(),C324)-B324)</f>
        <v/>
      </c>
      <c r="E324">
        <f>IF(A324="","",IF(COUNTIFS($A:$A,A324,$C:$C,"")&gt;1,"Mais de uma entrada em aberto",IF(AND(C324&lt;&gt;"",C324&lt;B324),"Saída antes da entrada","")))</f>
        <v/>
      </c>
      <c r="F324" s="32">
        <f>IF(OR(A324="",B324=""),"",SUMIFS(Producao!$B:$B,Producao!$A:$A,"&gt;="&amp;B324,Producao!$A:$A,"&lt;"&amp;IF(C324="",TODAY()+1,C324)))</f>
        <v/>
      </c>
    </row>
    <row r="325">
      <c r="A325" s="30" t="n"/>
      <c r="B325" s="31" t="n"/>
      <c r="C325" s="31" t="n"/>
      <c r="D325">
        <f>IF(B325="","",IF(C325="",TODAY(),C325)-B325)</f>
        <v/>
      </c>
      <c r="E325">
        <f>IF(A325="","",IF(COUNTIFS($A:$A,A325,$C:$C,"")&gt;1,"Mais de uma entrada em aberto",IF(AND(C325&lt;&gt;"",C325&lt;B325),"Saída antes da entrada","")))</f>
        <v/>
      </c>
      <c r="F325" s="32">
        <f>IF(OR(A325="",B325=""),"",SUMIFS(Producao!$B:$B,Producao!$A:$A,"&gt;="&amp;B325,Producao!$A:$A,"&lt;"&amp;IF(C325="",TODAY()+1,C325)))</f>
        <v/>
      </c>
    </row>
    <row r="326">
      <c r="A326" s="30" t="n"/>
      <c r="B326" s="31" t="n"/>
      <c r="C326" s="31" t="n"/>
      <c r="D326">
        <f>IF(B326="","",IF(C326="",TODAY(),C326)-B326)</f>
        <v/>
      </c>
      <c r="E326">
        <f>IF(A326="","",IF(COUNTIFS($A:$A,A326,$C:$C,"")&gt;1,"Mais de uma entrada em aberto",IF(AND(C326&lt;&gt;"",C326&lt;B326),"Saída antes da entrada","")))</f>
        <v/>
      </c>
      <c r="F326" s="32">
        <f>IF(OR(A326="",B326=""),"",SUMIFS(Producao!$B:$B,Producao!$A:$A,"&gt;="&amp;B326,Producao!$A:$A,"&lt;"&amp;IF(C326="",TODAY()+1,C326)))</f>
        <v/>
      </c>
    </row>
    <row r="327">
      <c r="A327" s="30" t="n"/>
      <c r="B327" s="31" t="n"/>
      <c r="C327" s="31" t="n"/>
      <c r="D327">
        <f>IF(B327="","",IF(C327="",TODAY(),C327)-B327)</f>
        <v/>
      </c>
      <c r="E327">
        <f>IF(A327="","",IF(COUNTIFS($A:$A,A327,$C:$C,"")&gt;1,"Mais de uma entrada em aberto",IF(AND(C327&lt;&gt;"",C327&lt;B327),"Saída antes da entrada","")))</f>
        <v/>
      </c>
      <c r="F327" s="32">
        <f>IF(OR(A327="",B327=""),"",SUMIFS(Producao!$B:$B,Producao!$A:$A,"&gt;="&amp;B327,Producao!$A:$A,"&lt;"&amp;IF(C327="",TODAY()+1,C327)))</f>
        <v/>
      </c>
    </row>
    <row r="328">
      <c r="A328" s="30" t="n"/>
      <c r="B328" s="31" t="n"/>
      <c r="C328" s="31" t="n"/>
      <c r="D328">
        <f>IF(B328="","",IF(C328="",TODAY(),C328)-B328)</f>
        <v/>
      </c>
      <c r="E328">
        <f>IF(A328="","",IF(COUNTIFS($A:$A,A328,$C:$C,"")&gt;1,"Mais de uma entrada em aberto",IF(AND(C328&lt;&gt;"",C328&lt;B328),"Saída antes da entrada","")))</f>
        <v/>
      </c>
      <c r="F328" s="32">
        <f>IF(OR(A328="",B328=""),"",SUMIFS(Producao!$B:$B,Producao!$A:$A,"&gt;="&amp;B328,Producao!$A:$A,"&lt;"&amp;IF(C328="",TODAY()+1,C328)))</f>
        <v/>
      </c>
    </row>
    <row r="329">
      <c r="A329" s="30" t="n"/>
      <c r="B329" s="31" t="n"/>
      <c r="C329" s="31" t="n"/>
      <c r="D329">
        <f>IF(B329="","",IF(C329="",TODAY(),C329)-B329)</f>
        <v/>
      </c>
      <c r="E329">
        <f>IF(A329="","",IF(COUNTIFS($A:$A,A329,$C:$C,"")&gt;1,"Mais de uma entrada em aberto",IF(AND(C329&lt;&gt;"",C329&lt;B329),"Saída antes da entrada","")))</f>
        <v/>
      </c>
      <c r="F329" s="32">
        <f>IF(OR(A329="",B329=""),"",SUMIFS(Producao!$B:$B,Producao!$A:$A,"&gt;="&amp;B329,Producao!$A:$A,"&lt;"&amp;IF(C329="",TODAY()+1,C329)))</f>
        <v/>
      </c>
    </row>
    <row r="330">
      <c r="A330" s="30" t="n"/>
      <c r="B330" s="31" t="n"/>
      <c r="C330" s="31" t="n"/>
      <c r="D330">
        <f>IF(B330="","",IF(C330="",TODAY(),C330)-B330)</f>
        <v/>
      </c>
      <c r="E330">
        <f>IF(A330="","",IF(COUNTIFS($A:$A,A330,$C:$C,"")&gt;1,"Mais de uma entrada em aberto",IF(AND(C330&lt;&gt;"",C330&lt;B330),"Saída antes da entrada","")))</f>
        <v/>
      </c>
      <c r="F330" s="32">
        <f>IF(OR(A330="",B330=""),"",SUMIFS(Producao!$B:$B,Producao!$A:$A,"&gt;="&amp;B330,Producao!$A:$A,"&lt;"&amp;IF(C330="",TODAY()+1,C330)))</f>
        <v/>
      </c>
    </row>
    <row r="331">
      <c r="A331" s="30" t="n"/>
      <c r="B331" s="31" t="n"/>
      <c r="C331" s="31" t="n"/>
      <c r="D331">
        <f>IF(B331="","",IF(C331="",TODAY(),C331)-B331)</f>
        <v/>
      </c>
      <c r="E331">
        <f>IF(A331="","",IF(COUNTIFS($A:$A,A331,$C:$C,"")&gt;1,"Mais de uma entrada em aberto",IF(AND(C331&lt;&gt;"",C331&lt;B331),"Saída antes da entrada","")))</f>
        <v/>
      </c>
      <c r="F331" s="32">
        <f>IF(OR(A331="",B331=""),"",SUMIFS(Producao!$B:$B,Producao!$A:$A,"&gt;="&amp;B331,Producao!$A:$A,"&lt;"&amp;IF(C331="",TODAY()+1,C331)))</f>
        <v/>
      </c>
    </row>
    <row r="332">
      <c r="A332" s="30" t="n"/>
      <c r="B332" s="31" t="n"/>
      <c r="C332" s="31" t="n"/>
      <c r="D332">
        <f>IF(B332="","",IF(C332="",TODAY(),C332)-B332)</f>
        <v/>
      </c>
      <c r="E332">
        <f>IF(A332="","",IF(COUNTIFS($A:$A,A332,$C:$C,"")&gt;1,"Mais de uma entrada em aberto",IF(AND(C332&lt;&gt;"",C332&lt;B332),"Saída antes da entrada","")))</f>
        <v/>
      </c>
      <c r="F332" s="32">
        <f>IF(OR(A332="",B332=""),"",SUMIFS(Producao!$B:$B,Producao!$A:$A,"&gt;="&amp;B332,Producao!$A:$A,"&lt;"&amp;IF(C332="",TODAY()+1,C332)))</f>
        <v/>
      </c>
    </row>
    <row r="333">
      <c r="A333" s="30" t="n"/>
      <c r="B333" s="31" t="n"/>
      <c r="C333" s="31" t="n"/>
      <c r="D333">
        <f>IF(B333="","",IF(C333="",TODAY(),C333)-B333)</f>
        <v/>
      </c>
      <c r="E333">
        <f>IF(A333="","",IF(COUNTIFS($A:$A,A333,$C:$C,"")&gt;1,"Mais de uma entrada em aberto",IF(AND(C333&lt;&gt;"",C333&lt;B333),"Saída antes da entrada","")))</f>
        <v/>
      </c>
      <c r="F333" s="32">
        <f>IF(OR(A333="",B333=""),"",SUMIFS(Producao!$B:$B,Producao!$A:$A,"&gt;="&amp;B333,Producao!$A:$A,"&lt;"&amp;IF(C333="",TODAY()+1,C333)))</f>
        <v/>
      </c>
    </row>
    <row r="334">
      <c r="A334" s="30" t="n"/>
      <c r="B334" s="31" t="n"/>
      <c r="C334" s="31" t="n"/>
      <c r="D334">
        <f>IF(B334="","",IF(C334="",TODAY(),C334)-B334)</f>
        <v/>
      </c>
      <c r="E334">
        <f>IF(A334="","",IF(COUNTIFS($A:$A,A334,$C:$C,"")&gt;1,"Mais de uma entrada em aberto",IF(AND(C334&lt;&gt;"",C334&lt;B334),"Saída antes da entrada","")))</f>
        <v/>
      </c>
      <c r="F334" s="32">
        <f>IF(OR(A334="",B334=""),"",SUMIFS(Producao!$B:$B,Producao!$A:$A,"&gt;="&amp;B334,Producao!$A:$A,"&lt;"&amp;IF(C334="",TODAY()+1,C334)))</f>
        <v/>
      </c>
    </row>
    <row r="335">
      <c r="A335" s="30" t="n"/>
      <c r="B335" s="31" t="n"/>
      <c r="C335" s="31" t="n"/>
      <c r="D335">
        <f>IF(B335="","",IF(C335="",TODAY(),C335)-B335)</f>
        <v/>
      </c>
      <c r="E335">
        <f>IF(A335="","",IF(COUNTIFS($A:$A,A335,$C:$C,"")&gt;1,"Mais de uma entrada em aberto",IF(AND(C335&lt;&gt;"",C335&lt;B335),"Saída antes da entrada","")))</f>
        <v/>
      </c>
      <c r="F335" s="32">
        <f>IF(OR(A335="",B335=""),"",SUMIFS(Producao!$B:$B,Producao!$A:$A,"&gt;="&amp;B335,Producao!$A:$A,"&lt;"&amp;IF(C335="",TODAY()+1,C335)))</f>
        <v/>
      </c>
    </row>
    <row r="336">
      <c r="A336" s="30" t="n"/>
      <c r="B336" s="31" t="n"/>
      <c r="C336" s="31" t="n"/>
      <c r="D336">
        <f>IF(B336="","",IF(C336="",TODAY(),C336)-B336)</f>
        <v/>
      </c>
      <c r="E336">
        <f>IF(A336="","",IF(COUNTIFS($A:$A,A336,$C:$C,"")&gt;1,"Mais de uma entrada em aberto",IF(AND(C336&lt;&gt;"",C336&lt;B336),"Saída antes da entrada","")))</f>
        <v/>
      </c>
      <c r="F336" s="32">
        <f>IF(OR(A336="",B336=""),"",SUMIFS(Producao!$B:$B,Producao!$A:$A,"&gt;="&amp;B336,Producao!$A:$A,"&lt;"&amp;IF(C336="",TODAY()+1,C336)))</f>
        <v/>
      </c>
    </row>
    <row r="337">
      <c r="A337" s="30" t="n"/>
      <c r="B337" s="31" t="n"/>
      <c r="C337" s="31" t="n"/>
      <c r="D337">
        <f>IF(B337="","",IF(C337="",TODAY(),C337)-B337)</f>
        <v/>
      </c>
      <c r="E337">
        <f>IF(A337="","",IF(COUNTIFS($A:$A,A337,$C:$C,"")&gt;1,"Mais de uma entrada em aberto",IF(AND(C337&lt;&gt;"",C337&lt;B337),"Saída antes da entrada","")))</f>
        <v/>
      </c>
      <c r="F337" s="32">
        <f>IF(OR(A337="",B337=""),"",SUMIFS(Producao!$B:$B,Producao!$A:$A,"&gt;="&amp;B337,Producao!$A:$A,"&lt;"&amp;IF(C337="",TODAY()+1,C337)))</f>
        <v/>
      </c>
    </row>
    <row r="338">
      <c r="A338" s="30" t="n"/>
      <c r="B338" s="31" t="n"/>
      <c r="C338" s="31" t="n"/>
      <c r="D338">
        <f>IF(B338="","",IF(C338="",TODAY(),C338)-B338)</f>
        <v/>
      </c>
      <c r="E338">
        <f>IF(A338="","",IF(COUNTIFS($A:$A,A338,$C:$C,"")&gt;1,"Mais de uma entrada em aberto",IF(AND(C338&lt;&gt;"",C338&lt;B338),"Saída antes da entrada","")))</f>
        <v/>
      </c>
      <c r="F338" s="32">
        <f>IF(OR(A338="",B338=""),"",SUMIFS(Producao!$B:$B,Producao!$A:$A,"&gt;="&amp;B338,Producao!$A:$A,"&lt;"&amp;IF(C338="",TODAY()+1,C338)))</f>
        <v/>
      </c>
    </row>
    <row r="339">
      <c r="A339" s="30" t="n"/>
      <c r="B339" s="31" t="n"/>
      <c r="C339" s="31" t="n"/>
      <c r="D339">
        <f>IF(B339="","",IF(C339="",TODAY(),C339)-B339)</f>
        <v/>
      </c>
      <c r="E339">
        <f>IF(A339="","",IF(COUNTIFS($A:$A,A339,$C:$C,"")&gt;1,"Mais de uma entrada em aberto",IF(AND(C339&lt;&gt;"",C339&lt;B339),"Saída antes da entrada","")))</f>
        <v/>
      </c>
      <c r="F339" s="32">
        <f>IF(OR(A339="",B339=""),"",SUMIFS(Producao!$B:$B,Producao!$A:$A,"&gt;="&amp;B339,Producao!$A:$A,"&lt;"&amp;IF(C339="",TODAY()+1,C339)))</f>
        <v/>
      </c>
    </row>
    <row r="340">
      <c r="A340" s="30" t="n"/>
      <c r="B340" s="31" t="n"/>
      <c r="C340" s="31" t="n"/>
      <c r="D340">
        <f>IF(B340="","",IF(C340="",TODAY(),C340)-B340)</f>
        <v/>
      </c>
      <c r="E340">
        <f>IF(A340="","",IF(COUNTIFS($A:$A,A340,$C:$C,"")&gt;1,"Mais de uma entrada em aberto",IF(AND(C340&lt;&gt;"",C340&lt;B340),"Saída antes da entrada","")))</f>
        <v/>
      </c>
      <c r="F340" s="32">
        <f>IF(OR(A340="",B340=""),"",SUMIFS(Producao!$B:$B,Producao!$A:$A,"&gt;="&amp;B340,Producao!$A:$A,"&lt;"&amp;IF(C340="",TODAY()+1,C340)))</f>
        <v/>
      </c>
    </row>
    <row r="341">
      <c r="A341" s="30" t="n"/>
      <c r="B341" s="31" t="n"/>
      <c r="C341" s="31" t="n"/>
      <c r="D341">
        <f>IF(B341="","",IF(C341="",TODAY(),C341)-B341)</f>
        <v/>
      </c>
      <c r="E341">
        <f>IF(A341="","",IF(COUNTIFS($A:$A,A341,$C:$C,"")&gt;1,"Mais de uma entrada em aberto",IF(AND(C341&lt;&gt;"",C341&lt;B341),"Saída antes da entrada","")))</f>
        <v/>
      </c>
      <c r="F341" s="32">
        <f>IF(OR(A341="",B341=""),"",SUMIFS(Producao!$B:$B,Producao!$A:$A,"&gt;="&amp;B341,Producao!$A:$A,"&lt;"&amp;IF(C341="",TODAY()+1,C341)))</f>
        <v/>
      </c>
    </row>
    <row r="342">
      <c r="A342" s="30" t="n"/>
      <c r="B342" s="31" t="n"/>
      <c r="C342" s="31" t="n"/>
      <c r="D342">
        <f>IF(B342="","",IF(C342="",TODAY(),C342)-B342)</f>
        <v/>
      </c>
      <c r="E342">
        <f>IF(A342="","",IF(COUNTIFS($A:$A,A342,$C:$C,"")&gt;1,"Mais de uma entrada em aberto",IF(AND(C342&lt;&gt;"",C342&lt;B342),"Saída antes da entrada","")))</f>
        <v/>
      </c>
      <c r="F342" s="32">
        <f>IF(OR(A342="",B342=""),"",SUMIFS(Producao!$B:$B,Producao!$A:$A,"&gt;="&amp;B342,Producao!$A:$A,"&lt;"&amp;IF(C342="",TODAY()+1,C342)))</f>
        <v/>
      </c>
    </row>
    <row r="343">
      <c r="A343" s="30" t="n"/>
      <c r="B343" s="31" t="n"/>
      <c r="C343" s="31" t="n"/>
      <c r="D343">
        <f>IF(B343="","",IF(C343="",TODAY(),C343)-B343)</f>
        <v/>
      </c>
      <c r="E343">
        <f>IF(A343="","",IF(COUNTIFS($A:$A,A343,$C:$C,"")&gt;1,"Mais de uma entrada em aberto",IF(AND(C343&lt;&gt;"",C343&lt;B343),"Saída antes da entrada","")))</f>
        <v/>
      </c>
      <c r="F343" s="32">
        <f>IF(OR(A343="",B343=""),"",SUMIFS(Producao!$B:$B,Producao!$A:$A,"&gt;="&amp;B343,Producao!$A:$A,"&lt;"&amp;IF(C343="",TODAY()+1,C343)))</f>
        <v/>
      </c>
    </row>
    <row r="344">
      <c r="A344" s="30" t="n"/>
      <c r="B344" s="31" t="n"/>
      <c r="C344" s="31" t="n"/>
      <c r="D344">
        <f>IF(B344="","",IF(C344="",TODAY(),C344)-B344)</f>
        <v/>
      </c>
      <c r="E344">
        <f>IF(A344="","",IF(COUNTIFS($A:$A,A344,$C:$C,"")&gt;1,"Mais de uma entrada em aberto",IF(AND(C344&lt;&gt;"",C344&lt;B344),"Saída antes da entrada","")))</f>
        <v/>
      </c>
      <c r="F344" s="32">
        <f>IF(OR(A344="",B344=""),"",SUMIFS(Producao!$B:$B,Producao!$A:$A,"&gt;="&amp;B344,Producao!$A:$A,"&lt;"&amp;IF(C344="",TODAY()+1,C344)))</f>
        <v/>
      </c>
    </row>
    <row r="345">
      <c r="A345" s="30" t="n"/>
      <c r="B345" s="31" t="n"/>
      <c r="C345" s="31" t="n"/>
      <c r="D345">
        <f>IF(B345="","",IF(C345="",TODAY(),C345)-B345)</f>
        <v/>
      </c>
      <c r="E345">
        <f>IF(A345="","",IF(COUNTIFS($A:$A,A345,$C:$C,"")&gt;1,"Mais de uma entrada em aberto",IF(AND(C345&lt;&gt;"",C345&lt;B345),"Saída antes da entrada","")))</f>
        <v/>
      </c>
      <c r="F345" s="32">
        <f>IF(OR(A345="",B345=""),"",SUMIFS(Producao!$B:$B,Producao!$A:$A,"&gt;="&amp;B345,Producao!$A:$A,"&lt;"&amp;IF(C345="",TODAY()+1,C345)))</f>
        <v/>
      </c>
    </row>
    <row r="346">
      <c r="A346" s="30" t="n"/>
      <c r="B346" s="31" t="n"/>
      <c r="C346" s="31" t="n"/>
      <c r="D346">
        <f>IF(B346="","",IF(C346="",TODAY(),C346)-B346)</f>
        <v/>
      </c>
      <c r="E346">
        <f>IF(A346="","",IF(COUNTIFS($A:$A,A346,$C:$C,"")&gt;1,"Mais de uma entrada em aberto",IF(AND(C346&lt;&gt;"",C346&lt;B346),"Saída antes da entrada","")))</f>
        <v/>
      </c>
      <c r="F346" s="32">
        <f>IF(OR(A346="",B346=""),"",SUMIFS(Producao!$B:$B,Producao!$A:$A,"&gt;="&amp;B346,Producao!$A:$A,"&lt;"&amp;IF(C346="",TODAY()+1,C346)))</f>
        <v/>
      </c>
    </row>
    <row r="347">
      <c r="A347" s="30" t="n"/>
      <c r="B347" s="31" t="n"/>
      <c r="C347" s="31" t="n"/>
      <c r="D347">
        <f>IF(B347="","",IF(C347="",TODAY(),C347)-B347)</f>
        <v/>
      </c>
      <c r="E347">
        <f>IF(A347="","",IF(COUNTIFS($A:$A,A347,$C:$C,"")&gt;1,"Mais de uma entrada em aberto",IF(AND(C347&lt;&gt;"",C347&lt;B347),"Saída antes da entrada","")))</f>
        <v/>
      </c>
      <c r="F347" s="32">
        <f>IF(OR(A347="",B347=""),"",SUMIFS(Producao!$B:$B,Producao!$A:$A,"&gt;="&amp;B347,Producao!$A:$A,"&lt;"&amp;IF(C347="",TODAY()+1,C347)))</f>
        <v/>
      </c>
    </row>
    <row r="348">
      <c r="A348" s="30" t="n"/>
      <c r="B348" s="31" t="n"/>
      <c r="C348" s="31" t="n"/>
      <c r="D348">
        <f>IF(B348="","",IF(C348="",TODAY(),C348)-B348)</f>
        <v/>
      </c>
      <c r="E348">
        <f>IF(A348="","",IF(COUNTIFS($A:$A,A348,$C:$C,"")&gt;1,"Mais de uma entrada em aberto",IF(AND(C348&lt;&gt;"",C348&lt;B348),"Saída antes da entrada","")))</f>
        <v/>
      </c>
      <c r="F348" s="32">
        <f>IF(OR(A348="",B348=""),"",SUMIFS(Producao!$B:$B,Producao!$A:$A,"&gt;="&amp;B348,Producao!$A:$A,"&lt;"&amp;IF(C348="",TODAY()+1,C348)))</f>
        <v/>
      </c>
    </row>
    <row r="349">
      <c r="A349" s="30" t="n"/>
      <c r="B349" s="31" t="n"/>
      <c r="C349" s="31" t="n"/>
      <c r="D349">
        <f>IF(B349="","",IF(C349="",TODAY(),C349)-B349)</f>
        <v/>
      </c>
      <c r="E349">
        <f>IF(A349="","",IF(COUNTIFS($A:$A,A349,$C:$C,"")&gt;1,"Mais de uma entrada em aberto",IF(AND(C349&lt;&gt;"",C349&lt;B349),"Saída antes da entrada","")))</f>
        <v/>
      </c>
      <c r="F349" s="32">
        <f>IF(OR(A349="",B349=""),"",SUMIFS(Producao!$B:$B,Producao!$A:$A,"&gt;="&amp;B349,Producao!$A:$A,"&lt;"&amp;IF(C349="",TODAY()+1,C349)))</f>
        <v/>
      </c>
    </row>
    <row r="350">
      <c r="A350" s="30" t="n"/>
      <c r="B350" s="31" t="n"/>
      <c r="C350" s="31" t="n"/>
      <c r="D350">
        <f>IF(B350="","",IF(C350="",TODAY(),C350)-B350)</f>
        <v/>
      </c>
      <c r="E350">
        <f>IF(A350="","",IF(COUNTIFS($A:$A,A350,$C:$C,"")&gt;1,"Mais de uma entrada em aberto",IF(AND(C350&lt;&gt;"",C350&lt;B350),"Saída antes da entrada","")))</f>
        <v/>
      </c>
      <c r="F350" s="32">
        <f>IF(OR(A350="",B350=""),"",SUMIFS(Producao!$B:$B,Producao!$A:$A,"&gt;="&amp;B350,Producao!$A:$A,"&lt;"&amp;IF(C350="",TODAY()+1,C350)))</f>
        <v/>
      </c>
    </row>
    <row r="351">
      <c r="A351" s="30" t="n"/>
      <c r="B351" s="31" t="n"/>
      <c r="C351" s="31" t="n"/>
      <c r="D351">
        <f>IF(B351="","",IF(C351="",TODAY(),C351)-B351)</f>
        <v/>
      </c>
      <c r="E351">
        <f>IF(A351="","",IF(COUNTIFS($A:$A,A351,$C:$C,"")&gt;1,"Mais de uma entrada em aberto",IF(AND(C351&lt;&gt;"",C351&lt;B351),"Saída antes da entrada","")))</f>
        <v/>
      </c>
      <c r="F351" s="32">
        <f>IF(OR(A351="",B351=""),"",SUMIFS(Producao!$B:$B,Producao!$A:$A,"&gt;="&amp;B351,Producao!$A:$A,"&lt;"&amp;IF(C351="",TODAY()+1,C351)))</f>
        <v/>
      </c>
    </row>
    <row r="352">
      <c r="A352" s="30" t="n"/>
      <c r="B352" s="31" t="n"/>
      <c r="C352" s="31" t="n"/>
      <c r="D352">
        <f>IF(B352="","",IF(C352="",TODAY(),C352)-B352)</f>
        <v/>
      </c>
      <c r="E352">
        <f>IF(A352="","",IF(COUNTIFS($A:$A,A352,$C:$C,"")&gt;1,"Mais de uma entrada em aberto",IF(AND(C352&lt;&gt;"",C352&lt;B352),"Saída antes da entrada","")))</f>
        <v/>
      </c>
      <c r="F352" s="32">
        <f>IF(OR(A352="",B352=""),"",SUMIFS(Producao!$B:$B,Producao!$A:$A,"&gt;="&amp;B352,Producao!$A:$A,"&lt;"&amp;IF(C352="",TODAY()+1,C352)))</f>
        <v/>
      </c>
    </row>
    <row r="353">
      <c r="A353" s="30" t="n"/>
      <c r="B353" s="31" t="n"/>
      <c r="C353" s="31" t="n"/>
      <c r="D353">
        <f>IF(B353="","",IF(C353="",TODAY(),C353)-B353)</f>
        <v/>
      </c>
      <c r="E353">
        <f>IF(A353="","",IF(COUNTIFS($A:$A,A353,$C:$C,"")&gt;1,"Mais de uma entrada em aberto",IF(AND(C353&lt;&gt;"",C353&lt;B353),"Saída antes da entrada","")))</f>
        <v/>
      </c>
      <c r="F353" s="32">
        <f>IF(OR(A353="",B353=""),"",SUMIFS(Producao!$B:$B,Producao!$A:$A,"&gt;="&amp;B353,Producao!$A:$A,"&lt;"&amp;IF(C353="",TODAY()+1,C353)))</f>
        <v/>
      </c>
    </row>
    <row r="354">
      <c r="A354" s="30" t="n"/>
      <c r="B354" s="31" t="n"/>
      <c r="C354" s="31" t="n"/>
      <c r="D354">
        <f>IF(B354="","",IF(C354="",TODAY(),C354)-B354)</f>
        <v/>
      </c>
      <c r="E354">
        <f>IF(A354="","",IF(COUNTIFS($A:$A,A354,$C:$C,"")&gt;1,"Mais de uma entrada em aberto",IF(AND(C354&lt;&gt;"",C354&lt;B354),"Saída antes da entrada","")))</f>
        <v/>
      </c>
      <c r="F354" s="32">
        <f>IF(OR(A354="",B354=""),"",SUMIFS(Producao!$B:$B,Producao!$A:$A,"&gt;="&amp;B354,Producao!$A:$A,"&lt;"&amp;IF(C354="",TODAY()+1,C354)))</f>
        <v/>
      </c>
    </row>
    <row r="355">
      <c r="A355" s="30" t="n"/>
      <c r="B355" s="31" t="n"/>
      <c r="C355" s="31" t="n"/>
      <c r="D355">
        <f>IF(B355="","",IF(C355="",TODAY(),C355)-B355)</f>
        <v/>
      </c>
      <c r="E355">
        <f>IF(A355="","",IF(COUNTIFS($A:$A,A355,$C:$C,"")&gt;1,"Mais de uma entrada em aberto",IF(AND(C355&lt;&gt;"",C355&lt;B355),"Saída antes da entrada","")))</f>
        <v/>
      </c>
      <c r="F355" s="32">
        <f>IF(OR(A355="",B355=""),"",SUMIFS(Producao!$B:$B,Producao!$A:$A,"&gt;="&amp;B355,Producao!$A:$A,"&lt;"&amp;IF(C355="",TODAY()+1,C355)))</f>
        <v/>
      </c>
    </row>
    <row r="356">
      <c r="A356" s="30" t="n"/>
      <c r="B356" s="31" t="n"/>
      <c r="C356" s="31" t="n"/>
      <c r="D356">
        <f>IF(B356="","",IF(C356="",TODAY(),C356)-B356)</f>
        <v/>
      </c>
      <c r="E356">
        <f>IF(A356="","",IF(COUNTIFS($A:$A,A356,$C:$C,"")&gt;1,"Mais de uma entrada em aberto",IF(AND(C356&lt;&gt;"",C356&lt;B356),"Saída antes da entrada","")))</f>
        <v/>
      </c>
      <c r="F356" s="32">
        <f>IF(OR(A356="",B356=""),"",SUMIFS(Producao!$B:$B,Producao!$A:$A,"&gt;="&amp;B356,Producao!$A:$A,"&lt;"&amp;IF(C356="",TODAY()+1,C356)))</f>
        <v/>
      </c>
    </row>
    <row r="357">
      <c r="A357" s="30" t="n"/>
      <c r="B357" s="31" t="n"/>
      <c r="C357" s="31" t="n"/>
      <c r="D357">
        <f>IF(B357="","",IF(C357="",TODAY(),C357)-B357)</f>
        <v/>
      </c>
      <c r="E357">
        <f>IF(A357="","",IF(COUNTIFS($A:$A,A357,$C:$C,"")&gt;1,"Mais de uma entrada em aberto",IF(AND(C357&lt;&gt;"",C357&lt;B357),"Saída antes da entrada","")))</f>
        <v/>
      </c>
      <c r="F357" s="32">
        <f>IF(OR(A357="",B357=""),"",SUMIFS(Producao!$B:$B,Producao!$A:$A,"&gt;="&amp;B357,Producao!$A:$A,"&lt;"&amp;IF(C357="",TODAY()+1,C357)))</f>
        <v/>
      </c>
    </row>
    <row r="358">
      <c r="A358" s="30" t="n"/>
      <c r="B358" s="31" t="n"/>
      <c r="C358" s="31" t="n"/>
      <c r="D358">
        <f>IF(B358="","",IF(C358="",TODAY(),C358)-B358)</f>
        <v/>
      </c>
      <c r="E358">
        <f>IF(A358="","",IF(COUNTIFS($A:$A,A358,$C:$C,"")&gt;1,"Mais de uma entrada em aberto",IF(AND(C358&lt;&gt;"",C358&lt;B358),"Saída antes da entrada","")))</f>
        <v/>
      </c>
      <c r="F358" s="32">
        <f>IF(OR(A358="",B358=""),"",SUMIFS(Producao!$B:$B,Producao!$A:$A,"&gt;="&amp;B358,Producao!$A:$A,"&lt;"&amp;IF(C358="",TODAY()+1,C358)))</f>
        <v/>
      </c>
    </row>
    <row r="359">
      <c r="A359" s="30" t="n"/>
      <c r="B359" s="31" t="n"/>
      <c r="C359" s="31" t="n"/>
      <c r="D359">
        <f>IF(B359="","",IF(C359="",TODAY(),C359)-B359)</f>
        <v/>
      </c>
      <c r="E359">
        <f>IF(A359="","",IF(COUNTIFS($A:$A,A359,$C:$C,"")&gt;1,"Mais de uma entrada em aberto",IF(AND(C359&lt;&gt;"",C359&lt;B359),"Saída antes da entrada","")))</f>
        <v/>
      </c>
      <c r="F359" s="32">
        <f>IF(OR(A359="",B359=""),"",SUMIFS(Producao!$B:$B,Producao!$A:$A,"&gt;="&amp;B359,Producao!$A:$A,"&lt;"&amp;IF(C359="",TODAY()+1,C359)))</f>
        <v/>
      </c>
    </row>
    <row r="360">
      <c r="A360" s="30" t="n"/>
      <c r="B360" s="31" t="n"/>
      <c r="C360" s="31" t="n"/>
      <c r="D360">
        <f>IF(B360="","",IF(C360="",TODAY(),C360)-B360)</f>
        <v/>
      </c>
      <c r="E360">
        <f>IF(A360="","",IF(COUNTIFS($A:$A,A360,$C:$C,"")&gt;1,"Mais de uma entrada em aberto",IF(AND(C360&lt;&gt;"",C360&lt;B360),"Saída antes da entrada","")))</f>
        <v/>
      </c>
      <c r="F360" s="32">
        <f>IF(OR(A360="",B360=""),"",SUMIFS(Producao!$B:$B,Producao!$A:$A,"&gt;="&amp;B360,Producao!$A:$A,"&lt;"&amp;IF(C360="",TODAY()+1,C360)))</f>
        <v/>
      </c>
    </row>
    <row r="361">
      <c r="A361" s="30" t="n"/>
      <c r="B361" s="31" t="n"/>
      <c r="C361" s="31" t="n"/>
      <c r="D361">
        <f>IF(B361="","",IF(C361="",TODAY(),C361)-B361)</f>
        <v/>
      </c>
      <c r="E361">
        <f>IF(A361="","",IF(COUNTIFS($A:$A,A361,$C:$C,"")&gt;1,"Mais de uma entrada em aberto",IF(AND(C361&lt;&gt;"",C361&lt;B361),"Saída antes da entrada","")))</f>
        <v/>
      </c>
      <c r="F361" s="32">
        <f>IF(OR(A361="",B361=""),"",SUMIFS(Producao!$B:$B,Producao!$A:$A,"&gt;="&amp;B361,Producao!$A:$A,"&lt;"&amp;IF(C361="",TODAY()+1,C361)))</f>
        <v/>
      </c>
    </row>
    <row r="362">
      <c r="A362" s="30" t="n"/>
      <c r="B362" s="31" t="n"/>
      <c r="C362" s="31" t="n"/>
      <c r="D362">
        <f>IF(B362="","",IF(C362="",TODAY(),C362)-B362)</f>
        <v/>
      </c>
      <c r="E362">
        <f>IF(A362="","",IF(COUNTIFS($A:$A,A362,$C:$C,"")&gt;1,"Mais de uma entrada em aberto",IF(AND(C362&lt;&gt;"",C362&lt;B362),"Saída antes da entrada","")))</f>
        <v/>
      </c>
      <c r="F362" s="32">
        <f>IF(OR(A362="",B362=""),"",SUMIFS(Producao!$B:$B,Producao!$A:$A,"&gt;="&amp;B362,Producao!$A:$A,"&lt;"&amp;IF(C362="",TODAY()+1,C362)))</f>
        <v/>
      </c>
    </row>
    <row r="363">
      <c r="A363" s="30" t="n"/>
      <c r="B363" s="31" t="n"/>
      <c r="C363" s="31" t="n"/>
      <c r="D363">
        <f>IF(B363="","",IF(C363="",TODAY(),C363)-B363)</f>
        <v/>
      </c>
      <c r="E363">
        <f>IF(A363="","",IF(COUNTIFS($A:$A,A363,$C:$C,"")&gt;1,"Mais de uma entrada em aberto",IF(AND(C363&lt;&gt;"",C363&lt;B363),"Saída antes da entrada","")))</f>
        <v/>
      </c>
      <c r="F363" s="32">
        <f>IF(OR(A363="",B363=""),"",SUMIFS(Producao!$B:$B,Producao!$A:$A,"&gt;="&amp;B363,Producao!$A:$A,"&lt;"&amp;IF(C363="",TODAY()+1,C363)))</f>
        <v/>
      </c>
    </row>
    <row r="364">
      <c r="A364" s="30" t="n"/>
      <c r="B364" s="31" t="n"/>
      <c r="C364" s="31" t="n"/>
      <c r="D364">
        <f>IF(B364="","",IF(C364="",TODAY(),C364)-B364)</f>
        <v/>
      </c>
      <c r="E364">
        <f>IF(A364="","",IF(COUNTIFS($A:$A,A364,$C:$C,"")&gt;1,"Mais de uma entrada em aberto",IF(AND(C364&lt;&gt;"",C364&lt;B364),"Saída antes da entrada","")))</f>
        <v/>
      </c>
      <c r="F364" s="32">
        <f>IF(OR(A364="",B364=""),"",SUMIFS(Producao!$B:$B,Producao!$A:$A,"&gt;="&amp;B364,Producao!$A:$A,"&lt;"&amp;IF(C364="",TODAY()+1,C364)))</f>
        <v/>
      </c>
    </row>
    <row r="365">
      <c r="A365" s="30" t="n"/>
      <c r="B365" s="31" t="n"/>
      <c r="C365" s="31" t="n"/>
      <c r="D365">
        <f>IF(B365="","",IF(C365="",TODAY(),C365)-B365)</f>
        <v/>
      </c>
      <c r="E365">
        <f>IF(A365="","",IF(COUNTIFS($A:$A,A365,$C:$C,"")&gt;1,"Mais de uma entrada em aberto",IF(AND(C365&lt;&gt;"",C365&lt;B365),"Saída antes da entrada","")))</f>
        <v/>
      </c>
      <c r="F365" s="32">
        <f>IF(OR(A365="",B365=""),"",SUMIFS(Producao!$B:$B,Producao!$A:$A,"&gt;="&amp;B365,Producao!$A:$A,"&lt;"&amp;IF(C365="",TODAY()+1,C365)))</f>
        <v/>
      </c>
    </row>
    <row r="366">
      <c r="A366" s="30" t="n"/>
      <c r="B366" s="31" t="n"/>
      <c r="C366" s="31" t="n"/>
      <c r="D366">
        <f>IF(B366="","",IF(C366="",TODAY(),C366)-B366)</f>
        <v/>
      </c>
      <c r="E366">
        <f>IF(A366="","",IF(COUNTIFS($A:$A,A366,$C:$C,"")&gt;1,"Mais de uma entrada em aberto",IF(AND(C366&lt;&gt;"",C366&lt;B366),"Saída antes da entrada","")))</f>
        <v/>
      </c>
      <c r="F366" s="32">
        <f>IF(OR(A366="",B366=""),"",SUMIFS(Producao!$B:$B,Producao!$A:$A,"&gt;="&amp;B366,Producao!$A:$A,"&lt;"&amp;IF(C366="",TODAY()+1,C366)))</f>
        <v/>
      </c>
    </row>
    <row r="367">
      <c r="A367" s="30" t="n"/>
      <c r="B367" s="31" t="n"/>
      <c r="C367" s="31" t="n"/>
      <c r="D367">
        <f>IF(B367="","",IF(C367="",TODAY(),C367)-B367)</f>
        <v/>
      </c>
      <c r="E367">
        <f>IF(A367="","",IF(COUNTIFS($A:$A,A367,$C:$C,"")&gt;1,"Mais de uma entrada em aberto",IF(AND(C367&lt;&gt;"",C367&lt;B367),"Saída antes da entrada","")))</f>
        <v/>
      </c>
      <c r="F367" s="32">
        <f>IF(OR(A367="",B367=""),"",SUMIFS(Producao!$B:$B,Producao!$A:$A,"&gt;="&amp;B367,Producao!$A:$A,"&lt;"&amp;IF(C367="",TODAY()+1,C367)))</f>
        <v/>
      </c>
    </row>
    <row r="368">
      <c r="A368" s="30" t="n"/>
      <c r="B368" s="31" t="n"/>
      <c r="C368" s="31" t="n"/>
      <c r="D368">
        <f>IF(B368="","",IF(C368="",TODAY(),C368)-B368)</f>
        <v/>
      </c>
      <c r="E368">
        <f>IF(A368="","",IF(COUNTIFS($A:$A,A368,$C:$C,"")&gt;1,"Mais de uma entrada em aberto",IF(AND(C368&lt;&gt;"",C368&lt;B368),"Saída antes da entrada","")))</f>
        <v/>
      </c>
      <c r="F368" s="32">
        <f>IF(OR(A368="",B368=""),"",SUMIFS(Producao!$B:$B,Producao!$A:$A,"&gt;="&amp;B368,Producao!$A:$A,"&lt;"&amp;IF(C368="",TODAY()+1,C368)))</f>
        <v/>
      </c>
    </row>
    <row r="369">
      <c r="A369" s="30" t="n"/>
      <c r="B369" s="31" t="n"/>
      <c r="C369" s="31" t="n"/>
      <c r="D369">
        <f>IF(B369="","",IF(C369="",TODAY(),C369)-B369)</f>
        <v/>
      </c>
      <c r="E369">
        <f>IF(A369="","",IF(COUNTIFS($A:$A,A369,$C:$C,"")&gt;1,"Mais de uma entrada em aberto",IF(AND(C369&lt;&gt;"",C369&lt;B369),"Saída antes da entrada","")))</f>
        <v/>
      </c>
      <c r="F369" s="32">
        <f>IF(OR(A369="",B369=""),"",SUMIFS(Producao!$B:$B,Producao!$A:$A,"&gt;="&amp;B369,Producao!$A:$A,"&lt;"&amp;IF(C369="",TODAY()+1,C369)))</f>
        <v/>
      </c>
    </row>
    <row r="370">
      <c r="A370" s="30" t="n"/>
      <c r="B370" s="31" t="n"/>
      <c r="C370" s="31" t="n"/>
      <c r="D370">
        <f>IF(B370="","",IF(C370="",TODAY(),C370)-B370)</f>
        <v/>
      </c>
      <c r="E370">
        <f>IF(A370="","",IF(COUNTIFS($A:$A,A370,$C:$C,"")&gt;1,"Mais de uma entrada em aberto",IF(AND(C370&lt;&gt;"",C370&lt;B370),"Saída antes da entrada","")))</f>
        <v/>
      </c>
      <c r="F370" s="32">
        <f>IF(OR(A370="",B370=""),"",SUMIFS(Producao!$B:$B,Producao!$A:$A,"&gt;="&amp;B370,Producao!$A:$A,"&lt;"&amp;IF(C370="",TODAY()+1,C370)))</f>
        <v/>
      </c>
    </row>
    <row r="371">
      <c r="A371" s="30" t="n"/>
      <c r="B371" s="31" t="n"/>
      <c r="C371" s="31" t="n"/>
      <c r="D371">
        <f>IF(B371="","",IF(C371="",TODAY(),C371)-B371)</f>
        <v/>
      </c>
      <c r="E371">
        <f>IF(A371="","",IF(COUNTIFS($A:$A,A371,$C:$C,"")&gt;1,"Mais de uma entrada em aberto",IF(AND(C371&lt;&gt;"",C371&lt;B371),"Saída antes da entrada","")))</f>
        <v/>
      </c>
      <c r="F371" s="32">
        <f>IF(OR(A371="",B371=""),"",SUMIFS(Producao!$B:$B,Producao!$A:$A,"&gt;="&amp;B371,Producao!$A:$A,"&lt;"&amp;IF(C371="",TODAY()+1,C371)))</f>
        <v/>
      </c>
    </row>
    <row r="372">
      <c r="A372" s="30" t="n"/>
      <c r="B372" s="31" t="n"/>
      <c r="C372" s="31" t="n"/>
      <c r="D372">
        <f>IF(B372="","",IF(C372="",TODAY(),C372)-B372)</f>
        <v/>
      </c>
      <c r="E372">
        <f>IF(A372="","",IF(COUNTIFS($A:$A,A372,$C:$C,"")&gt;1,"Mais de uma entrada em aberto",IF(AND(C372&lt;&gt;"",C372&lt;B372),"Saída antes da entrada","")))</f>
        <v/>
      </c>
      <c r="F372" s="32">
        <f>IF(OR(A372="",B372=""),"",SUMIFS(Producao!$B:$B,Producao!$A:$A,"&gt;="&amp;B372,Producao!$A:$A,"&lt;"&amp;IF(C372="",TODAY()+1,C372)))</f>
        <v/>
      </c>
    </row>
    <row r="373">
      <c r="A373" s="30" t="n"/>
      <c r="B373" s="31" t="n"/>
      <c r="C373" s="31" t="n"/>
      <c r="D373">
        <f>IF(B373="","",IF(C373="",TODAY(),C373)-B373)</f>
        <v/>
      </c>
      <c r="E373">
        <f>IF(A373="","",IF(COUNTIFS($A:$A,A373,$C:$C,"")&gt;1,"Mais de uma entrada em aberto",IF(AND(C373&lt;&gt;"",C373&lt;B373),"Saída antes da entrada","")))</f>
        <v/>
      </c>
      <c r="F373" s="32">
        <f>IF(OR(A373="",B373=""),"",SUMIFS(Producao!$B:$B,Producao!$A:$A,"&gt;="&amp;B373,Producao!$A:$A,"&lt;"&amp;IF(C373="",TODAY()+1,C373)))</f>
        <v/>
      </c>
    </row>
    <row r="374">
      <c r="A374" s="30" t="n"/>
      <c r="B374" s="31" t="n"/>
      <c r="C374" s="31" t="n"/>
      <c r="D374">
        <f>IF(B374="","",IF(C374="",TODAY(),C374)-B374)</f>
        <v/>
      </c>
      <c r="E374">
        <f>IF(A374="","",IF(COUNTIFS($A:$A,A374,$C:$C,"")&gt;1,"Mais de uma entrada em aberto",IF(AND(C374&lt;&gt;"",C374&lt;B374),"Saída antes da entrada","")))</f>
        <v/>
      </c>
      <c r="F374" s="32">
        <f>IF(OR(A374="",B374=""),"",SUMIFS(Producao!$B:$B,Producao!$A:$A,"&gt;="&amp;B374,Producao!$A:$A,"&lt;"&amp;IF(C374="",TODAY()+1,C374)))</f>
        <v/>
      </c>
    </row>
    <row r="375">
      <c r="A375" s="30" t="n"/>
      <c r="B375" s="31" t="n"/>
      <c r="C375" s="31" t="n"/>
      <c r="D375">
        <f>IF(B375="","",IF(C375="",TODAY(),C375)-B375)</f>
        <v/>
      </c>
      <c r="E375">
        <f>IF(A375="","",IF(COUNTIFS($A:$A,A375,$C:$C,"")&gt;1,"Mais de uma entrada em aberto",IF(AND(C375&lt;&gt;"",C375&lt;B375),"Saída antes da entrada","")))</f>
        <v/>
      </c>
      <c r="F375" s="32">
        <f>IF(OR(A375="",B375=""),"",SUMIFS(Producao!$B:$B,Producao!$A:$A,"&gt;="&amp;B375,Producao!$A:$A,"&lt;"&amp;IF(C375="",TODAY()+1,C375)))</f>
        <v/>
      </c>
    </row>
    <row r="376">
      <c r="A376" s="30" t="n"/>
      <c r="B376" s="31" t="n"/>
      <c r="C376" s="31" t="n"/>
      <c r="D376">
        <f>IF(B376="","",IF(C376="",TODAY(),C376)-B376)</f>
        <v/>
      </c>
      <c r="E376">
        <f>IF(A376="","",IF(COUNTIFS($A:$A,A376,$C:$C,"")&gt;1,"Mais de uma entrada em aberto",IF(AND(C376&lt;&gt;"",C376&lt;B376),"Saída antes da entrada","")))</f>
        <v/>
      </c>
      <c r="F376" s="32">
        <f>IF(OR(A376="",B376=""),"",SUMIFS(Producao!$B:$B,Producao!$A:$A,"&gt;="&amp;B376,Producao!$A:$A,"&lt;"&amp;IF(C376="",TODAY()+1,C376)))</f>
        <v/>
      </c>
    </row>
    <row r="377">
      <c r="A377" s="30" t="n"/>
      <c r="B377" s="31" t="n"/>
      <c r="C377" s="31" t="n"/>
      <c r="D377">
        <f>IF(B377="","",IF(C377="",TODAY(),C377)-B377)</f>
        <v/>
      </c>
      <c r="E377">
        <f>IF(A377="","",IF(COUNTIFS($A:$A,A377,$C:$C,"")&gt;1,"Mais de uma entrada em aberto",IF(AND(C377&lt;&gt;"",C377&lt;B377),"Saída antes da entrada","")))</f>
        <v/>
      </c>
      <c r="F377" s="32">
        <f>IF(OR(A377="",B377=""),"",SUMIFS(Producao!$B:$B,Producao!$A:$A,"&gt;="&amp;B377,Producao!$A:$A,"&lt;"&amp;IF(C377="",TODAY()+1,C377)))</f>
        <v/>
      </c>
    </row>
    <row r="378">
      <c r="A378" s="30" t="n"/>
      <c r="B378" s="31" t="n"/>
      <c r="C378" s="31" t="n"/>
      <c r="D378">
        <f>IF(B378="","",IF(C378="",TODAY(),C378)-B378)</f>
        <v/>
      </c>
      <c r="E378">
        <f>IF(A378="","",IF(COUNTIFS($A:$A,A378,$C:$C,"")&gt;1,"Mais de uma entrada em aberto",IF(AND(C378&lt;&gt;"",C378&lt;B378),"Saída antes da entrada","")))</f>
        <v/>
      </c>
      <c r="F378" s="32">
        <f>IF(OR(A378="",B378=""),"",SUMIFS(Producao!$B:$B,Producao!$A:$A,"&gt;="&amp;B378,Producao!$A:$A,"&lt;"&amp;IF(C378="",TODAY()+1,C378)))</f>
        <v/>
      </c>
    </row>
    <row r="379">
      <c r="A379" s="30" t="n"/>
      <c r="B379" s="31" t="n"/>
      <c r="C379" s="31" t="n"/>
      <c r="D379">
        <f>IF(B379="","",IF(C379="",TODAY(),C379)-B379)</f>
        <v/>
      </c>
      <c r="E379">
        <f>IF(A379="","",IF(COUNTIFS($A:$A,A379,$C:$C,"")&gt;1,"Mais de uma entrada em aberto",IF(AND(C379&lt;&gt;"",C379&lt;B379),"Saída antes da entrada","")))</f>
        <v/>
      </c>
      <c r="F379" s="32">
        <f>IF(OR(A379="",B379=""),"",SUMIFS(Producao!$B:$B,Producao!$A:$A,"&gt;="&amp;B379,Producao!$A:$A,"&lt;"&amp;IF(C379="",TODAY()+1,C379)))</f>
        <v/>
      </c>
    </row>
    <row r="380">
      <c r="A380" s="30" t="n"/>
      <c r="B380" s="31" t="n"/>
      <c r="C380" s="31" t="n"/>
      <c r="D380">
        <f>IF(B380="","",IF(C380="",TODAY(),C380)-B380)</f>
        <v/>
      </c>
      <c r="E380">
        <f>IF(A380="","",IF(COUNTIFS($A:$A,A380,$C:$C,"")&gt;1,"Mais de uma entrada em aberto",IF(AND(C380&lt;&gt;"",C380&lt;B380),"Saída antes da entrada","")))</f>
        <v/>
      </c>
      <c r="F380" s="32">
        <f>IF(OR(A380="",B380=""),"",SUMIFS(Producao!$B:$B,Producao!$A:$A,"&gt;="&amp;B380,Producao!$A:$A,"&lt;"&amp;IF(C380="",TODAY()+1,C380)))</f>
        <v/>
      </c>
    </row>
    <row r="381">
      <c r="A381" s="30" t="n"/>
      <c r="B381" s="31" t="n"/>
      <c r="C381" s="31" t="n"/>
      <c r="D381">
        <f>IF(B381="","",IF(C381="",TODAY(),C381)-B381)</f>
        <v/>
      </c>
      <c r="E381">
        <f>IF(A381="","",IF(COUNTIFS($A:$A,A381,$C:$C,"")&gt;1,"Mais de uma entrada em aberto",IF(AND(C381&lt;&gt;"",C381&lt;B381),"Saída antes da entrada","")))</f>
        <v/>
      </c>
      <c r="F381" s="32">
        <f>IF(OR(A381="",B381=""),"",SUMIFS(Producao!$B:$B,Producao!$A:$A,"&gt;="&amp;B381,Producao!$A:$A,"&lt;"&amp;IF(C381="",TODAY()+1,C381)))</f>
        <v/>
      </c>
    </row>
    <row r="382">
      <c r="A382" s="30" t="n"/>
      <c r="B382" s="31" t="n"/>
      <c r="C382" s="31" t="n"/>
      <c r="D382">
        <f>IF(B382="","",IF(C382="",TODAY(),C382)-B382)</f>
        <v/>
      </c>
      <c r="E382">
        <f>IF(A382="","",IF(COUNTIFS($A:$A,A382,$C:$C,"")&gt;1,"Mais de uma entrada em aberto",IF(AND(C382&lt;&gt;"",C382&lt;B382),"Saída antes da entrada","")))</f>
        <v/>
      </c>
      <c r="F382" s="32">
        <f>IF(OR(A382="",B382=""),"",SUMIFS(Producao!$B:$B,Producao!$A:$A,"&gt;="&amp;B382,Producao!$A:$A,"&lt;"&amp;IF(C382="",TODAY()+1,C382)))</f>
        <v/>
      </c>
    </row>
    <row r="383">
      <c r="A383" s="30" t="n"/>
      <c r="B383" s="31" t="n"/>
      <c r="C383" s="31" t="n"/>
      <c r="D383">
        <f>IF(B383="","",IF(C383="",TODAY(),C383)-B383)</f>
        <v/>
      </c>
      <c r="E383">
        <f>IF(A383="","",IF(COUNTIFS($A:$A,A383,$C:$C,"")&gt;1,"Mais de uma entrada em aberto",IF(AND(C383&lt;&gt;"",C383&lt;B383),"Saída antes da entrada","")))</f>
        <v/>
      </c>
      <c r="F383" s="32">
        <f>IF(OR(A383="",B383=""),"",SUMIFS(Producao!$B:$B,Producao!$A:$A,"&gt;="&amp;B383,Producao!$A:$A,"&lt;"&amp;IF(C383="",TODAY()+1,C383)))</f>
        <v/>
      </c>
    </row>
    <row r="384">
      <c r="A384" s="30" t="n"/>
      <c r="B384" s="31" t="n"/>
      <c r="C384" s="31" t="n"/>
      <c r="D384">
        <f>IF(B384="","",IF(C384="",TODAY(),C384)-B384)</f>
        <v/>
      </c>
      <c r="E384">
        <f>IF(A384="","",IF(COUNTIFS($A:$A,A384,$C:$C,"")&gt;1,"Mais de uma entrada em aberto",IF(AND(C384&lt;&gt;"",C384&lt;B384),"Saída antes da entrada","")))</f>
        <v/>
      </c>
      <c r="F384" s="32">
        <f>IF(OR(A384="",B384=""),"",SUMIFS(Producao!$B:$B,Producao!$A:$A,"&gt;="&amp;B384,Producao!$A:$A,"&lt;"&amp;IF(C384="",TODAY()+1,C384)))</f>
        <v/>
      </c>
    </row>
    <row r="385">
      <c r="A385" s="30" t="n"/>
      <c r="B385" s="31" t="n"/>
      <c r="C385" s="31" t="n"/>
      <c r="D385">
        <f>IF(B385="","",IF(C385="",TODAY(),C385)-B385)</f>
        <v/>
      </c>
      <c r="E385">
        <f>IF(A385="","",IF(COUNTIFS($A:$A,A385,$C:$C,"")&gt;1,"Mais de uma entrada em aberto",IF(AND(C385&lt;&gt;"",C385&lt;B385),"Saída antes da entrada","")))</f>
        <v/>
      </c>
      <c r="F385" s="32">
        <f>IF(OR(A385="",B385=""),"",SUMIFS(Producao!$B:$B,Producao!$A:$A,"&gt;="&amp;B385,Producao!$A:$A,"&lt;"&amp;IF(C385="",TODAY()+1,C385)))</f>
        <v/>
      </c>
    </row>
    <row r="386">
      <c r="A386" s="30" t="n"/>
      <c r="B386" s="31" t="n"/>
      <c r="C386" s="31" t="n"/>
      <c r="D386">
        <f>IF(B386="","",IF(C386="",TODAY(),C386)-B386)</f>
        <v/>
      </c>
      <c r="E386">
        <f>IF(A386="","",IF(COUNTIFS($A:$A,A386,$C:$C,"")&gt;1,"Mais de uma entrada em aberto",IF(AND(C386&lt;&gt;"",C386&lt;B386),"Saída antes da entrada","")))</f>
        <v/>
      </c>
      <c r="F386" s="32">
        <f>IF(OR(A386="",B386=""),"",SUMIFS(Producao!$B:$B,Producao!$A:$A,"&gt;="&amp;B386,Producao!$A:$A,"&lt;"&amp;IF(C386="",TODAY()+1,C386)))</f>
        <v/>
      </c>
    </row>
    <row r="387">
      <c r="A387" s="30" t="n"/>
      <c r="B387" s="31" t="n"/>
      <c r="C387" s="31" t="n"/>
      <c r="D387">
        <f>IF(B387="","",IF(C387="",TODAY(),C387)-B387)</f>
        <v/>
      </c>
      <c r="E387">
        <f>IF(A387="","",IF(COUNTIFS($A:$A,A387,$C:$C,"")&gt;1,"Mais de uma entrada em aberto",IF(AND(C387&lt;&gt;"",C387&lt;B387),"Saída antes da entrada","")))</f>
        <v/>
      </c>
      <c r="F387" s="32">
        <f>IF(OR(A387="",B387=""),"",SUMIFS(Producao!$B:$B,Producao!$A:$A,"&gt;="&amp;B387,Producao!$A:$A,"&lt;"&amp;IF(C387="",TODAY()+1,C387)))</f>
        <v/>
      </c>
    </row>
    <row r="388">
      <c r="A388" s="30" t="n"/>
      <c r="B388" s="31" t="n"/>
      <c r="C388" s="31" t="n"/>
      <c r="D388">
        <f>IF(B388="","",IF(C388="",TODAY(),C388)-B388)</f>
        <v/>
      </c>
      <c r="E388">
        <f>IF(A388="","",IF(COUNTIFS($A:$A,A388,$C:$C,"")&gt;1,"Mais de uma entrada em aberto",IF(AND(C388&lt;&gt;"",C388&lt;B388),"Saída antes da entrada","")))</f>
        <v/>
      </c>
      <c r="F388" s="32">
        <f>IF(OR(A388="",B388=""),"",SUMIFS(Producao!$B:$B,Producao!$A:$A,"&gt;="&amp;B388,Producao!$A:$A,"&lt;"&amp;IF(C388="",TODAY()+1,C388)))</f>
        <v/>
      </c>
    </row>
    <row r="389">
      <c r="A389" s="30" t="n"/>
      <c r="B389" s="31" t="n"/>
      <c r="C389" s="31" t="n"/>
      <c r="D389">
        <f>IF(B389="","",IF(C389="",TODAY(),C389)-B389)</f>
        <v/>
      </c>
      <c r="E389">
        <f>IF(A389="","",IF(COUNTIFS($A:$A,A389,$C:$C,"")&gt;1,"Mais de uma entrada em aberto",IF(AND(C389&lt;&gt;"",C389&lt;B389),"Saída antes da entrada","")))</f>
        <v/>
      </c>
      <c r="F389" s="32">
        <f>IF(OR(A389="",B389=""),"",SUMIFS(Producao!$B:$B,Producao!$A:$A,"&gt;="&amp;B389,Producao!$A:$A,"&lt;"&amp;IF(C389="",TODAY()+1,C389)))</f>
        <v/>
      </c>
    </row>
    <row r="390">
      <c r="A390" s="30" t="n"/>
      <c r="B390" s="31" t="n"/>
      <c r="C390" s="31" t="n"/>
      <c r="D390">
        <f>IF(B390="","",IF(C390="",TODAY(),C390)-B390)</f>
        <v/>
      </c>
      <c r="E390">
        <f>IF(A390="","",IF(COUNTIFS($A:$A,A390,$C:$C,"")&gt;1,"Mais de uma entrada em aberto",IF(AND(C390&lt;&gt;"",C390&lt;B390),"Saída antes da entrada","")))</f>
        <v/>
      </c>
      <c r="F390" s="32">
        <f>IF(OR(A390="",B390=""),"",SUMIFS(Producao!$B:$B,Producao!$A:$A,"&gt;="&amp;B390,Producao!$A:$A,"&lt;"&amp;IF(C390="",TODAY()+1,C390)))</f>
        <v/>
      </c>
    </row>
    <row r="391">
      <c r="A391" s="30" t="n"/>
      <c r="B391" s="31" t="n"/>
      <c r="C391" s="31" t="n"/>
      <c r="D391">
        <f>IF(B391="","",IF(C391="",TODAY(),C391)-B391)</f>
        <v/>
      </c>
      <c r="E391">
        <f>IF(A391="","",IF(COUNTIFS($A:$A,A391,$C:$C,"")&gt;1,"Mais de uma entrada em aberto",IF(AND(C391&lt;&gt;"",C391&lt;B391),"Saída antes da entrada","")))</f>
        <v/>
      </c>
      <c r="F391" s="32">
        <f>IF(OR(A391="",B391=""),"",SUMIFS(Producao!$B:$B,Producao!$A:$A,"&gt;="&amp;B391,Producao!$A:$A,"&lt;"&amp;IF(C391="",TODAY()+1,C391)))</f>
        <v/>
      </c>
    </row>
    <row r="392">
      <c r="A392" s="30" t="n"/>
      <c r="B392" s="31" t="n"/>
      <c r="C392" s="31" t="n"/>
      <c r="D392">
        <f>IF(B392="","",IF(C392="",TODAY(),C392)-B392)</f>
        <v/>
      </c>
      <c r="E392">
        <f>IF(A392="","",IF(COUNTIFS($A:$A,A392,$C:$C,"")&gt;1,"Mais de uma entrada em aberto",IF(AND(C392&lt;&gt;"",C392&lt;B392),"Saída antes da entrada","")))</f>
        <v/>
      </c>
      <c r="F392" s="32">
        <f>IF(OR(A392="",B392=""),"",SUMIFS(Producao!$B:$B,Producao!$A:$A,"&gt;="&amp;B392,Producao!$A:$A,"&lt;"&amp;IF(C392="",TODAY()+1,C392)))</f>
        <v/>
      </c>
    </row>
    <row r="393">
      <c r="A393" s="30" t="n"/>
      <c r="B393" s="31" t="n"/>
      <c r="C393" s="31" t="n"/>
      <c r="D393">
        <f>IF(B393="","",IF(C393="",TODAY(),C393)-B393)</f>
        <v/>
      </c>
      <c r="E393">
        <f>IF(A393="","",IF(COUNTIFS($A:$A,A393,$C:$C,"")&gt;1,"Mais de uma entrada em aberto",IF(AND(C393&lt;&gt;"",C393&lt;B393),"Saída antes da entrada","")))</f>
        <v/>
      </c>
      <c r="F393" s="32">
        <f>IF(OR(A393="",B393=""),"",SUMIFS(Producao!$B:$B,Producao!$A:$A,"&gt;="&amp;B393,Producao!$A:$A,"&lt;"&amp;IF(C393="",TODAY()+1,C393)))</f>
        <v/>
      </c>
    </row>
    <row r="394">
      <c r="A394" s="30" t="n"/>
      <c r="B394" s="31" t="n"/>
      <c r="C394" s="31" t="n"/>
      <c r="D394">
        <f>IF(B394="","",IF(C394="",TODAY(),C394)-B394)</f>
        <v/>
      </c>
      <c r="E394">
        <f>IF(A394="","",IF(COUNTIFS($A:$A,A394,$C:$C,"")&gt;1,"Mais de uma entrada em aberto",IF(AND(C394&lt;&gt;"",C394&lt;B394),"Saída antes da entrada","")))</f>
        <v/>
      </c>
      <c r="F394" s="32">
        <f>IF(OR(A394="",B394=""),"",SUMIFS(Producao!$B:$B,Producao!$A:$A,"&gt;="&amp;B394,Producao!$A:$A,"&lt;"&amp;IF(C394="",TODAY()+1,C394)))</f>
        <v/>
      </c>
    </row>
    <row r="395">
      <c r="A395" s="30" t="n"/>
      <c r="B395" s="31" t="n"/>
      <c r="C395" s="31" t="n"/>
      <c r="D395">
        <f>IF(B395="","",IF(C395="",TODAY(),C395)-B395)</f>
        <v/>
      </c>
      <c r="E395">
        <f>IF(A395="","",IF(COUNTIFS($A:$A,A395,$C:$C,"")&gt;1,"Mais de uma entrada em aberto",IF(AND(C395&lt;&gt;"",C395&lt;B395),"Saída antes da entrada","")))</f>
        <v/>
      </c>
      <c r="F395" s="32">
        <f>IF(OR(A395="",B395=""),"",SUMIFS(Producao!$B:$B,Producao!$A:$A,"&gt;="&amp;B395,Producao!$A:$A,"&lt;"&amp;IF(C395="",TODAY()+1,C395)))</f>
        <v/>
      </c>
    </row>
    <row r="396">
      <c r="A396" s="30" t="n"/>
      <c r="B396" s="31" t="n"/>
      <c r="C396" s="31" t="n"/>
      <c r="D396">
        <f>IF(B396="","",IF(C396="",TODAY(),C396)-B396)</f>
        <v/>
      </c>
      <c r="E396">
        <f>IF(A396="","",IF(COUNTIFS($A:$A,A396,$C:$C,"")&gt;1,"Mais de uma entrada em aberto",IF(AND(C396&lt;&gt;"",C396&lt;B396),"Saída antes da entrada","")))</f>
        <v/>
      </c>
      <c r="F396" s="32">
        <f>IF(OR(A396="",B396=""),"",SUMIFS(Producao!$B:$B,Producao!$A:$A,"&gt;="&amp;B396,Producao!$A:$A,"&lt;"&amp;IF(C396="",TODAY()+1,C396)))</f>
        <v/>
      </c>
    </row>
    <row r="397">
      <c r="A397" s="30" t="n"/>
      <c r="B397" s="31" t="n"/>
      <c r="C397" s="31" t="n"/>
      <c r="D397">
        <f>IF(B397="","",IF(C397="",TODAY(),C397)-B397)</f>
        <v/>
      </c>
      <c r="E397">
        <f>IF(A397="","",IF(COUNTIFS($A:$A,A397,$C:$C,"")&gt;1,"Mais de uma entrada em aberto",IF(AND(C397&lt;&gt;"",C397&lt;B397),"Saída antes da entrada","")))</f>
        <v/>
      </c>
      <c r="F397" s="32">
        <f>IF(OR(A397="",B397=""),"",SUMIFS(Producao!$B:$B,Producao!$A:$A,"&gt;="&amp;B397,Producao!$A:$A,"&lt;"&amp;IF(C397="",TODAY()+1,C397)))</f>
        <v/>
      </c>
    </row>
    <row r="398">
      <c r="A398" s="30" t="n"/>
      <c r="B398" s="31" t="n"/>
      <c r="C398" s="31" t="n"/>
      <c r="D398">
        <f>IF(B398="","",IF(C398="",TODAY(),C398)-B398)</f>
        <v/>
      </c>
      <c r="E398">
        <f>IF(A398="","",IF(COUNTIFS($A:$A,A398,$C:$C,"")&gt;1,"Mais de uma entrada em aberto",IF(AND(C398&lt;&gt;"",C398&lt;B398),"Saída antes da entrada","")))</f>
        <v/>
      </c>
      <c r="F398" s="32">
        <f>IF(OR(A398="",B398=""),"",SUMIFS(Producao!$B:$B,Producao!$A:$A,"&gt;="&amp;B398,Producao!$A:$A,"&lt;"&amp;IF(C398="",TODAY()+1,C398)))</f>
        <v/>
      </c>
    </row>
    <row r="399">
      <c r="A399" s="30" t="n"/>
      <c r="B399" s="31" t="n"/>
      <c r="C399" s="31" t="n"/>
      <c r="D399">
        <f>IF(B399="","",IF(C399="",TODAY(),C399)-B399)</f>
        <v/>
      </c>
      <c r="E399">
        <f>IF(A399="","",IF(COUNTIFS($A:$A,A399,$C:$C,"")&gt;1,"Mais de uma entrada em aberto",IF(AND(C399&lt;&gt;"",C399&lt;B399),"Saída antes da entrada","")))</f>
        <v/>
      </c>
      <c r="F399" s="32">
        <f>IF(OR(A399="",B399=""),"",SUMIFS(Producao!$B:$B,Producao!$A:$A,"&gt;="&amp;B399,Producao!$A:$A,"&lt;"&amp;IF(C399="",TODAY()+1,C399)))</f>
        <v/>
      </c>
    </row>
    <row r="400">
      <c r="A400" s="30" t="n"/>
      <c r="B400" s="31" t="n"/>
      <c r="C400" s="31" t="n"/>
      <c r="D400">
        <f>IF(B400="","",IF(C400="",TODAY(),C400)-B400)</f>
        <v/>
      </c>
      <c r="E400">
        <f>IF(A400="","",IF(COUNTIFS($A:$A,A400,$C:$C,"")&gt;1,"Mais de uma entrada em aberto",IF(AND(C400&lt;&gt;"",C400&lt;B400),"Saída antes da entrada","")))</f>
        <v/>
      </c>
      <c r="F400" s="32">
        <f>IF(OR(A400="",B400=""),"",SUMIFS(Producao!$B:$B,Producao!$A:$A,"&gt;="&amp;B400,Producao!$A:$A,"&lt;"&amp;IF(C400="",TODAY()+1,C400)))</f>
        <v/>
      </c>
    </row>
    <row r="401">
      <c r="A401" s="30" t="n"/>
      <c r="B401" s="31" t="n"/>
      <c r="C401" s="31" t="n"/>
      <c r="D401">
        <f>IF(B401="","",IF(C401="",TODAY(),C401)-B401)</f>
        <v/>
      </c>
      <c r="E401">
        <f>IF(A401="","",IF(COUNTIFS($A:$A,A401,$C:$C,"")&gt;1,"Mais de uma entrada em aberto",IF(AND(C401&lt;&gt;"",C401&lt;B401),"Saída antes da entrada","")))</f>
        <v/>
      </c>
      <c r="F401" s="32">
        <f>IF(OR(A401="",B401=""),"",SUMIFS(Producao!$B:$B,Producao!$A:$A,"&gt;="&amp;B401,Producao!$A:$A,"&lt;"&amp;IF(C401="",TODAY()+1,C401)))</f>
        <v/>
      </c>
    </row>
    <row r="402">
      <c r="A402" s="30" t="n"/>
      <c r="B402" s="31" t="n"/>
      <c r="C402" s="31" t="n"/>
      <c r="D402">
        <f>IF(B402="","",IF(C402="",TODAY(),C402)-B402)</f>
        <v/>
      </c>
      <c r="E402">
        <f>IF(A402="","",IF(COUNTIFS($A:$A,A402,$C:$C,"")&gt;1,"Mais de uma entrada em aberto",IF(AND(C402&lt;&gt;"",C402&lt;B402),"Saída antes da entrada","")))</f>
        <v/>
      </c>
      <c r="F402" s="32">
        <f>IF(OR(A402="",B402=""),"",SUMIFS(Producao!$B:$B,Producao!$A:$A,"&gt;="&amp;B402,Producao!$A:$A,"&lt;"&amp;IF(C402="",TODAY()+1,C402)))</f>
        <v/>
      </c>
    </row>
    <row r="403">
      <c r="A403" s="30" t="n"/>
      <c r="B403" s="31" t="n"/>
      <c r="C403" s="31" t="n"/>
      <c r="D403">
        <f>IF(B403="","",IF(C403="",TODAY(),C403)-B403)</f>
        <v/>
      </c>
      <c r="E403">
        <f>IF(A403="","",IF(COUNTIFS($A:$A,A403,$C:$C,"")&gt;1,"Mais de uma entrada em aberto",IF(AND(C403&lt;&gt;"",C403&lt;B403),"Saída antes da entrada","")))</f>
        <v/>
      </c>
      <c r="F403" s="32">
        <f>IF(OR(A403="",B403=""),"",SUMIFS(Producao!$B:$B,Producao!$A:$A,"&gt;="&amp;B403,Producao!$A:$A,"&lt;"&amp;IF(C403="",TODAY()+1,C403)))</f>
        <v/>
      </c>
    </row>
    <row r="404">
      <c r="A404" s="30" t="n"/>
      <c r="B404" s="31" t="n"/>
      <c r="C404" s="31" t="n"/>
      <c r="D404">
        <f>IF(B404="","",IF(C404="",TODAY(),C404)-B404)</f>
        <v/>
      </c>
      <c r="E404">
        <f>IF(A404="","",IF(COUNTIFS($A:$A,A404,$C:$C,"")&gt;1,"Mais de uma entrada em aberto",IF(AND(C404&lt;&gt;"",C404&lt;B404),"Saída antes da entrada","")))</f>
        <v/>
      </c>
      <c r="F404" s="32">
        <f>IF(OR(A404="",B404=""),"",SUMIFS(Producao!$B:$B,Producao!$A:$A,"&gt;="&amp;B404,Producao!$A:$A,"&lt;"&amp;IF(C404="",TODAY()+1,C404)))</f>
        <v/>
      </c>
    </row>
    <row r="405">
      <c r="A405" s="30" t="n"/>
      <c r="B405" s="31" t="n"/>
      <c r="C405" s="31" t="n"/>
      <c r="D405">
        <f>IF(B405="","",IF(C405="",TODAY(),C405)-B405)</f>
        <v/>
      </c>
      <c r="E405">
        <f>IF(A405="","",IF(COUNTIFS($A:$A,A405,$C:$C,"")&gt;1,"Mais de uma entrada em aberto",IF(AND(C405&lt;&gt;"",C405&lt;B405),"Saída antes da entrada","")))</f>
        <v/>
      </c>
      <c r="F405" s="32">
        <f>IF(OR(A405="",B405=""),"",SUMIFS(Producao!$B:$B,Producao!$A:$A,"&gt;="&amp;B405,Producao!$A:$A,"&lt;"&amp;IF(C405="",TODAY()+1,C405)))</f>
        <v/>
      </c>
    </row>
    <row r="406">
      <c r="A406" s="30" t="n"/>
      <c r="B406" s="31" t="n"/>
      <c r="C406" s="31" t="n"/>
      <c r="D406">
        <f>IF(B406="","",IF(C406="",TODAY(),C406)-B406)</f>
        <v/>
      </c>
      <c r="E406">
        <f>IF(A406="","",IF(COUNTIFS($A:$A,A406,$C:$C,"")&gt;1,"Mais de uma entrada em aberto",IF(AND(C406&lt;&gt;"",C406&lt;B406),"Saída antes da entrada","")))</f>
        <v/>
      </c>
      <c r="F406" s="32">
        <f>IF(OR(A406="",B406=""),"",SUMIFS(Producao!$B:$B,Producao!$A:$A,"&gt;="&amp;B406,Producao!$A:$A,"&lt;"&amp;IF(C406="",TODAY()+1,C406)))</f>
        <v/>
      </c>
    </row>
    <row r="407">
      <c r="A407" s="30" t="n"/>
      <c r="B407" s="31" t="n"/>
      <c r="C407" s="31" t="n"/>
      <c r="D407">
        <f>IF(B407="","",IF(C407="",TODAY(),C407)-B407)</f>
        <v/>
      </c>
      <c r="E407">
        <f>IF(A407="","",IF(COUNTIFS($A:$A,A407,$C:$C,"")&gt;1,"Mais de uma entrada em aberto",IF(AND(C407&lt;&gt;"",C407&lt;B407),"Saída antes da entrada","")))</f>
        <v/>
      </c>
      <c r="F407" s="32">
        <f>IF(OR(A407="",B407=""),"",SUMIFS(Producao!$B:$B,Producao!$A:$A,"&gt;="&amp;B407,Producao!$A:$A,"&lt;"&amp;IF(C407="",TODAY()+1,C407)))</f>
        <v/>
      </c>
    </row>
    <row r="408">
      <c r="A408" s="30" t="n"/>
      <c r="B408" s="31" t="n"/>
      <c r="C408" s="31" t="n"/>
      <c r="D408">
        <f>IF(B408="","",IF(C408="",TODAY(),C408)-B408)</f>
        <v/>
      </c>
      <c r="E408">
        <f>IF(A408="","",IF(COUNTIFS($A:$A,A408,$C:$C,"")&gt;1,"Mais de uma entrada em aberto",IF(AND(C408&lt;&gt;"",C408&lt;B408),"Saída antes da entrada","")))</f>
        <v/>
      </c>
      <c r="F408" s="32">
        <f>IF(OR(A408="",B408=""),"",SUMIFS(Producao!$B:$B,Producao!$A:$A,"&gt;="&amp;B408,Producao!$A:$A,"&lt;"&amp;IF(C408="",TODAY()+1,C408)))</f>
        <v/>
      </c>
    </row>
    <row r="409">
      <c r="A409" s="30" t="n"/>
      <c r="B409" s="31" t="n"/>
      <c r="C409" s="31" t="n"/>
      <c r="D409">
        <f>IF(B409="","",IF(C409="",TODAY(),C409)-B409)</f>
        <v/>
      </c>
      <c r="E409">
        <f>IF(A409="","",IF(COUNTIFS($A:$A,A409,$C:$C,"")&gt;1,"Mais de uma entrada em aberto",IF(AND(C409&lt;&gt;"",C409&lt;B409),"Saída antes da entrada","")))</f>
        <v/>
      </c>
      <c r="F409" s="32">
        <f>IF(OR(A409="",B409=""),"",SUMIFS(Producao!$B:$B,Producao!$A:$A,"&gt;="&amp;B409,Producao!$A:$A,"&lt;"&amp;IF(C409="",TODAY()+1,C409)))</f>
        <v/>
      </c>
    </row>
    <row r="410">
      <c r="A410" s="30" t="n"/>
      <c r="B410" s="31" t="n"/>
      <c r="C410" s="31" t="n"/>
      <c r="D410">
        <f>IF(B410="","",IF(C410="",TODAY(),C410)-B410)</f>
        <v/>
      </c>
      <c r="E410">
        <f>IF(A410="","",IF(COUNTIFS($A:$A,A410,$C:$C,"")&gt;1,"Mais de uma entrada em aberto",IF(AND(C410&lt;&gt;"",C410&lt;B410),"Saída antes da entrada","")))</f>
        <v/>
      </c>
      <c r="F410" s="32">
        <f>IF(OR(A410="",B410=""),"",SUMIFS(Producao!$B:$B,Producao!$A:$A,"&gt;="&amp;B410,Producao!$A:$A,"&lt;"&amp;IF(C410="",TODAY()+1,C410)))</f>
        <v/>
      </c>
    </row>
    <row r="411">
      <c r="A411" s="30" t="n"/>
      <c r="B411" s="31" t="n"/>
      <c r="C411" s="31" t="n"/>
      <c r="D411">
        <f>IF(B411="","",IF(C411="",TODAY(),C411)-B411)</f>
        <v/>
      </c>
      <c r="E411">
        <f>IF(A411="","",IF(COUNTIFS($A:$A,A411,$C:$C,"")&gt;1,"Mais de uma entrada em aberto",IF(AND(C411&lt;&gt;"",C411&lt;B411),"Saída antes da entrada","")))</f>
        <v/>
      </c>
      <c r="F411" s="32">
        <f>IF(OR(A411="",B411=""),"",SUMIFS(Producao!$B:$B,Producao!$A:$A,"&gt;="&amp;B411,Producao!$A:$A,"&lt;"&amp;IF(C411="",TODAY()+1,C411)))</f>
        <v/>
      </c>
    </row>
    <row r="412">
      <c r="A412" s="30" t="n"/>
      <c r="B412" s="31" t="n"/>
      <c r="C412" s="31" t="n"/>
      <c r="D412">
        <f>IF(B412="","",IF(C412="",TODAY(),C412)-B412)</f>
        <v/>
      </c>
      <c r="E412">
        <f>IF(A412="","",IF(COUNTIFS($A:$A,A412,$C:$C,"")&gt;1,"Mais de uma entrada em aberto",IF(AND(C412&lt;&gt;"",C412&lt;B412),"Saída antes da entrada","")))</f>
        <v/>
      </c>
      <c r="F412" s="32">
        <f>IF(OR(A412="",B412=""),"",SUMIFS(Producao!$B:$B,Producao!$A:$A,"&gt;="&amp;B412,Producao!$A:$A,"&lt;"&amp;IF(C412="",TODAY()+1,C412)))</f>
        <v/>
      </c>
    </row>
    <row r="413">
      <c r="A413" s="30" t="n"/>
      <c r="B413" s="31" t="n"/>
      <c r="C413" s="31" t="n"/>
      <c r="D413">
        <f>IF(B413="","",IF(C413="",TODAY(),C413)-B413)</f>
        <v/>
      </c>
      <c r="E413">
        <f>IF(A413="","",IF(COUNTIFS($A:$A,A413,$C:$C,"")&gt;1,"Mais de uma entrada em aberto",IF(AND(C413&lt;&gt;"",C413&lt;B413),"Saída antes da entrada","")))</f>
        <v/>
      </c>
      <c r="F413" s="32">
        <f>IF(OR(A413="",B413=""),"",SUMIFS(Producao!$B:$B,Producao!$A:$A,"&gt;="&amp;B413,Producao!$A:$A,"&lt;"&amp;IF(C413="",TODAY()+1,C413)))</f>
        <v/>
      </c>
    </row>
    <row r="414">
      <c r="A414" s="30" t="n"/>
      <c r="B414" s="31" t="n"/>
      <c r="C414" s="31" t="n"/>
      <c r="D414">
        <f>IF(B414="","",IF(C414="",TODAY(),C414)-B414)</f>
        <v/>
      </c>
      <c r="E414">
        <f>IF(A414="","",IF(COUNTIFS($A:$A,A414,$C:$C,"")&gt;1,"Mais de uma entrada em aberto",IF(AND(C414&lt;&gt;"",C414&lt;B414),"Saída antes da entrada","")))</f>
        <v/>
      </c>
      <c r="F414" s="32">
        <f>IF(OR(A414="",B414=""),"",SUMIFS(Producao!$B:$B,Producao!$A:$A,"&gt;="&amp;B414,Producao!$A:$A,"&lt;"&amp;IF(C414="",TODAY()+1,C414)))</f>
        <v/>
      </c>
    </row>
    <row r="415">
      <c r="A415" s="30" t="n"/>
      <c r="B415" s="31" t="n"/>
      <c r="C415" s="31" t="n"/>
      <c r="D415">
        <f>IF(B415="","",IF(C415="",TODAY(),C415)-B415)</f>
        <v/>
      </c>
      <c r="E415">
        <f>IF(A415="","",IF(COUNTIFS($A:$A,A415,$C:$C,"")&gt;1,"Mais de uma entrada em aberto",IF(AND(C415&lt;&gt;"",C415&lt;B415),"Saída antes da entrada","")))</f>
        <v/>
      </c>
      <c r="F415" s="32">
        <f>IF(OR(A415="",B415=""),"",SUMIFS(Producao!$B:$B,Producao!$A:$A,"&gt;="&amp;B415,Producao!$A:$A,"&lt;"&amp;IF(C415="",TODAY()+1,C415)))</f>
        <v/>
      </c>
    </row>
    <row r="416">
      <c r="A416" s="30" t="n"/>
      <c r="B416" s="31" t="n"/>
      <c r="C416" s="31" t="n"/>
      <c r="D416">
        <f>IF(B416="","",IF(C416="",TODAY(),C416)-B416)</f>
        <v/>
      </c>
      <c r="E416">
        <f>IF(A416="","",IF(COUNTIFS($A:$A,A416,$C:$C,"")&gt;1,"Mais de uma entrada em aberto",IF(AND(C416&lt;&gt;"",C416&lt;B416),"Saída antes da entrada","")))</f>
        <v/>
      </c>
      <c r="F416" s="32">
        <f>IF(OR(A416="",B416=""),"",SUMIFS(Producao!$B:$B,Producao!$A:$A,"&gt;="&amp;B416,Producao!$A:$A,"&lt;"&amp;IF(C416="",TODAY()+1,C416)))</f>
        <v/>
      </c>
    </row>
    <row r="417">
      <c r="A417" s="30" t="n"/>
      <c r="B417" s="31" t="n"/>
      <c r="C417" s="31" t="n"/>
      <c r="D417">
        <f>IF(B417="","",IF(C417="",TODAY(),C417)-B417)</f>
        <v/>
      </c>
      <c r="E417">
        <f>IF(A417="","",IF(COUNTIFS($A:$A,A417,$C:$C,"")&gt;1,"Mais de uma entrada em aberto",IF(AND(C417&lt;&gt;"",C417&lt;B417),"Saída antes da entrada","")))</f>
        <v/>
      </c>
      <c r="F417" s="32">
        <f>IF(OR(A417="",B417=""),"",SUMIFS(Producao!$B:$B,Producao!$A:$A,"&gt;="&amp;B417,Producao!$A:$A,"&lt;"&amp;IF(C417="",TODAY()+1,C417)))</f>
        <v/>
      </c>
    </row>
    <row r="418">
      <c r="A418" s="30" t="n"/>
      <c r="B418" s="31" t="n"/>
      <c r="C418" s="31" t="n"/>
      <c r="D418">
        <f>IF(B418="","",IF(C418="",TODAY(),C418)-B418)</f>
        <v/>
      </c>
      <c r="E418">
        <f>IF(A418="","",IF(COUNTIFS($A:$A,A418,$C:$C,"")&gt;1,"Mais de uma entrada em aberto",IF(AND(C418&lt;&gt;"",C418&lt;B418),"Saída antes da entrada","")))</f>
        <v/>
      </c>
      <c r="F418" s="32">
        <f>IF(OR(A418="",B418=""),"",SUMIFS(Producao!$B:$B,Producao!$A:$A,"&gt;="&amp;B418,Producao!$A:$A,"&lt;"&amp;IF(C418="",TODAY()+1,C418)))</f>
        <v/>
      </c>
    </row>
    <row r="419">
      <c r="A419" s="30" t="n"/>
      <c r="B419" s="31" t="n"/>
      <c r="C419" s="31" t="n"/>
      <c r="D419">
        <f>IF(B419="","",IF(C419="",TODAY(),C419)-B419)</f>
        <v/>
      </c>
      <c r="E419">
        <f>IF(A419="","",IF(COUNTIFS($A:$A,A419,$C:$C,"")&gt;1,"Mais de uma entrada em aberto",IF(AND(C419&lt;&gt;"",C419&lt;B419),"Saída antes da entrada","")))</f>
        <v/>
      </c>
      <c r="F419" s="32">
        <f>IF(OR(A419="",B419=""),"",SUMIFS(Producao!$B:$B,Producao!$A:$A,"&gt;="&amp;B419,Producao!$A:$A,"&lt;"&amp;IF(C419="",TODAY()+1,C419)))</f>
        <v/>
      </c>
    </row>
    <row r="420">
      <c r="A420" s="30" t="n"/>
      <c r="B420" s="31" t="n"/>
      <c r="C420" s="31" t="n"/>
      <c r="D420">
        <f>IF(B420="","",IF(C420="",TODAY(),C420)-B420)</f>
        <v/>
      </c>
      <c r="E420">
        <f>IF(A420="","",IF(COUNTIFS($A:$A,A420,$C:$C,"")&gt;1,"Mais de uma entrada em aberto",IF(AND(C420&lt;&gt;"",C420&lt;B420),"Saída antes da entrada","")))</f>
        <v/>
      </c>
      <c r="F420" s="32">
        <f>IF(OR(A420="",B420=""),"",SUMIFS(Producao!$B:$B,Producao!$A:$A,"&gt;="&amp;B420,Producao!$A:$A,"&lt;"&amp;IF(C420="",TODAY()+1,C420)))</f>
        <v/>
      </c>
    </row>
    <row r="421">
      <c r="A421" s="30" t="n"/>
      <c r="B421" s="31" t="n"/>
      <c r="C421" s="31" t="n"/>
      <c r="D421">
        <f>IF(B421="","",IF(C421="",TODAY(),C421)-B421)</f>
        <v/>
      </c>
      <c r="E421">
        <f>IF(A421="","",IF(COUNTIFS($A:$A,A421,$C:$C,"")&gt;1,"Mais de uma entrada em aberto",IF(AND(C421&lt;&gt;"",C421&lt;B421),"Saída antes da entrada","")))</f>
        <v/>
      </c>
      <c r="F421" s="32">
        <f>IF(OR(A421="",B421=""),"",SUMIFS(Producao!$B:$B,Producao!$A:$A,"&gt;="&amp;B421,Producao!$A:$A,"&lt;"&amp;IF(C421="",TODAY()+1,C421)))</f>
        <v/>
      </c>
    </row>
    <row r="422">
      <c r="A422" s="30" t="n"/>
      <c r="B422" s="31" t="n"/>
      <c r="C422" s="31" t="n"/>
      <c r="D422">
        <f>IF(B422="","",IF(C422="",TODAY(),C422)-B422)</f>
        <v/>
      </c>
      <c r="E422">
        <f>IF(A422="","",IF(COUNTIFS($A:$A,A422,$C:$C,"")&gt;1,"Mais de uma entrada em aberto",IF(AND(C422&lt;&gt;"",C422&lt;B422),"Saída antes da entrada","")))</f>
        <v/>
      </c>
      <c r="F422" s="32">
        <f>IF(OR(A422="",B422=""),"",SUMIFS(Producao!$B:$B,Producao!$A:$A,"&gt;="&amp;B422,Producao!$A:$A,"&lt;"&amp;IF(C422="",TODAY()+1,C422)))</f>
        <v/>
      </c>
    </row>
    <row r="423">
      <c r="A423" s="30" t="n"/>
      <c r="B423" s="31" t="n"/>
      <c r="C423" s="31" t="n"/>
      <c r="D423">
        <f>IF(B423="","",IF(C423="",TODAY(),C423)-B423)</f>
        <v/>
      </c>
      <c r="E423">
        <f>IF(A423="","",IF(COUNTIFS($A:$A,A423,$C:$C,"")&gt;1,"Mais de uma entrada em aberto",IF(AND(C423&lt;&gt;"",C423&lt;B423),"Saída antes da entrada","")))</f>
        <v/>
      </c>
      <c r="F423" s="32">
        <f>IF(OR(A423="",B423=""),"",SUMIFS(Producao!$B:$B,Producao!$A:$A,"&gt;="&amp;B423,Producao!$A:$A,"&lt;"&amp;IF(C423="",TODAY()+1,C423)))</f>
        <v/>
      </c>
    </row>
    <row r="424">
      <c r="A424" s="30" t="n"/>
      <c r="B424" s="31" t="n"/>
      <c r="C424" s="31" t="n"/>
      <c r="D424">
        <f>IF(B424="","",IF(C424="",TODAY(),C424)-B424)</f>
        <v/>
      </c>
      <c r="E424">
        <f>IF(A424="","",IF(COUNTIFS($A:$A,A424,$C:$C,"")&gt;1,"Mais de uma entrada em aberto",IF(AND(C424&lt;&gt;"",C424&lt;B424),"Saída antes da entrada","")))</f>
        <v/>
      </c>
      <c r="F424" s="32">
        <f>IF(OR(A424="",B424=""),"",SUMIFS(Producao!$B:$B,Producao!$A:$A,"&gt;="&amp;B424,Producao!$A:$A,"&lt;"&amp;IF(C424="",TODAY()+1,C424)))</f>
        <v/>
      </c>
    </row>
    <row r="425">
      <c r="A425" s="30" t="n"/>
      <c r="B425" s="31" t="n"/>
      <c r="C425" s="31" t="n"/>
      <c r="D425">
        <f>IF(B425="","",IF(C425="",TODAY(),C425)-B425)</f>
        <v/>
      </c>
      <c r="E425">
        <f>IF(A425="","",IF(COUNTIFS($A:$A,A425,$C:$C,"")&gt;1,"Mais de uma entrada em aberto",IF(AND(C425&lt;&gt;"",C425&lt;B425),"Saída antes da entrada","")))</f>
        <v/>
      </c>
      <c r="F425" s="32">
        <f>IF(OR(A425="",B425=""),"",SUMIFS(Producao!$B:$B,Producao!$A:$A,"&gt;="&amp;B425,Producao!$A:$A,"&lt;"&amp;IF(C425="",TODAY()+1,C425)))</f>
        <v/>
      </c>
    </row>
    <row r="426">
      <c r="A426" s="30" t="n"/>
      <c r="B426" s="31" t="n"/>
      <c r="C426" s="31" t="n"/>
      <c r="D426">
        <f>IF(B426="","",IF(C426="",TODAY(),C426)-B426)</f>
        <v/>
      </c>
      <c r="E426">
        <f>IF(A426="","",IF(COUNTIFS($A:$A,A426,$C:$C,"")&gt;1,"Mais de uma entrada em aberto",IF(AND(C426&lt;&gt;"",C426&lt;B426),"Saída antes da entrada","")))</f>
        <v/>
      </c>
      <c r="F426" s="32">
        <f>IF(OR(A426="",B426=""),"",SUMIFS(Producao!$B:$B,Producao!$A:$A,"&gt;="&amp;B426,Producao!$A:$A,"&lt;"&amp;IF(C426="",TODAY()+1,C426)))</f>
        <v/>
      </c>
    </row>
    <row r="427">
      <c r="A427" s="30" t="n"/>
      <c r="B427" s="31" t="n"/>
      <c r="C427" s="31" t="n"/>
      <c r="D427">
        <f>IF(B427="","",IF(C427="",TODAY(),C427)-B427)</f>
        <v/>
      </c>
      <c r="E427">
        <f>IF(A427="","",IF(COUNTIFS($A:$A,A427,$C:$C,"")&gt;1,"Mais de uma entrada em aberto",IF(AND(C427&lt;&gt;"",C427&lt;B427),"Saída antes da entrada","")))</f>
        <v/>
      </c>
      <c r="F427" s="32">
        <f>IF(OR(A427="",B427=""),"",SUMIFS(Producao!$B:$B,Producao!$A:$A,"&gt;="&amp;B427,Producao!$A:$A,"&lt;"&amp;IF(C427="",TODAY()+1,C427)))</f>
        <v/>
      </c>
    </row>
    <row r="428">
      <c r="A428" s="30" t="n"/>
      <c r="B428" s="31" t="n"/>
      <c r="C428" s="31" t="n"/>
      <c r="D428">
        <f>IF(B428="","",IF(C428="",TODAY(),C428)-B428)</f>
        <v/>
      </c>
      <c r="E428">
        <f>IF(A428="","",IF(COUNTIFS($A:$A,A428,$C:$C,"")&gt;1,"Mais de uma entrada em aberto",IF(AND(C428&lt;&gt;"",C428&lt;B428),"Saída antes da entrada","")))</f>
        <v/>
      </c>
      <c r="F428" s="32">
        <f>IF(OR(A428="",B428=""),"",SUMIFS(Producao!$B:$B,Producao!$A:$A,"&gt;="&amp;B428,Producao!$A:$A,"&lt;"&amp;IF(C428="",TODAY()+1,C428)))</f>
        <v/>
      </c>
    </row>
    <row r="429">
      <c r="A429" s="30" t="n"/>
      <c r="B429" s="31" t="n"/>
      <c r="C429" s="31" t="n"/>
      <c r="D429">
        <f>IF(B429="","",IF(C429="",TODAY(),C429)-B429)</f>
        <v/>
      </c>
      <c r="E429">
        <f>IF(A429="","",IF(COUNTIFS($A:$A,A429,$C:$C,"")&gt;1,"Mais de uma entrada em aberto",IF(AND(C429&lt;&gt;"",C429&lt;B429),"Saída antes da entrada","")))</f>
        <v/>
      </c>
      <c r="F429" s="32">
        <f>IF(OR(A429="",B429=""),"",SUMIFS(Producao!$B:$B,Producao!$A:$A,"&gt;="&amp;B429,Producao!$A:$A,"&lt;"&amp;IF(C429="",TODAY()+1,C429)))</f>
        <v/>
      </c>
    </row>
    <row r="430">
      <c r="A430" s="30" t="n"/>
      <c r="B430" s="31" t="n"/>
      <c r="C430" s="31" t="n"/>
      <c r="D430">
        <f>IF(B430="","",IF(C430="",TODAY(),C430)-B430)</f>
        <v/>
      </c>
      <c r="E430">
        <f>IF(A430="","",IF(COUNTIFS($A:$A,A430,$C:$C,"")&gt;1,"Mais de uma entrada em aberto",IF(AND(C430&lt;&gt;"",C430&lt;B430),"Saída antes da entrada","")))</f>
        <v/>
      </c>
      <c r="F430" s="32">
        <f>IF(OR(A430="",B430=""),"",SUMIFS(Producao!$B:$B,Producao!$A:$A,"&gt;="&amp;B430,Producao!$A:$A,"&lt;"&amp;IF(C430="",TODAY()+1,C430)))</f>
        <v/>
      </c>
    </row>
    <row r="431">
      <c r="A431" s="30" t="n"/>
      <c r="B431" s="31" t="n"/>
      <c r="C431" s="31" t="n"/>
      <c r="D431">
        <f>IF(B431="","",IF(C431="",TODAY(),C431)-B431)</f>
        <v/>
      </c>
      <c r="E431">
        <f>IF(A431="","",IF(COUNTIFS($A:$A,A431,$C:$C,"")&gt;1,"Mais de uma entrada em aberto",IF(AND(C431&lt;&gt;"",C431&lt;B431),"Saída antes da entrada","")))</f>
        <v/>
      </c>
      <c r="F431" s="32">
        <f>IF(OR(A431="",B431=""),"",SUMIFS(Producao!$B:$B,Producao!$A:$A,"&gt;="&amp;B431,Producao!$A:$A,"&lt;"&amp;IF(C431="",TODAY()+1,C431)))</f>
        <v/>
      </c>
    </row>
    <row r="432">
      <c r="A432" s="30" t="n"/>
      <c r="B432" s="31" t="n"/>
      <c r="C432" s="31" t="n"/>
      <c r="D432">
        <f>IF(B432="","",IF(C432="",TODAY(),C432)-B432)</f>
        <v/>
      </c>
      <c r="E432">
        <f>IF(A432="","",IF(COUNTIFS($A:$A,A432,$C:$C,"")&gt;1,"Mais de uma entrada em aberto",IF(AND(C432&lt;&gt;"",C432&lt;B432),"Saída antes da entrada","")))</f>
        <v/>
      </c>
      <c r="F432" s="32">
        <f>IF(OR(A432="",B432=""),"",SUMIFS(Producao!$B:$B,Producao!$A:$A,"&gt;="&amp;B432,Producao!$A:$A,"&lt;"&amp;IF(C432="",TODAY()+1,C432)))</f>
        <v/>
      </c>
    </row>
    <row r="433">
      <c r="A433" s="30" t="n"/>
      <c r="B433" s="31" t="n"/>
      <c r="C433" s="31" t="n"/>
      <c r="D433">
        <f>IF(B433="","",IF(C433="",TODAY(),C433)-B433)</f>
        <v/>
      </c>
      <c r="E433">
        <f>IF(A433="","",IF(COUNTIFS($A:$A,A433,$C:$C,"")&gt;1,"Mais de uma entrada em aberto",IF(AND(C433&lt;&gt;"",C433&lt;B433),"Saída antes da entrada","")))</f>
        <v/>
      </c>
      <c r="F433" s="32">
        <f>IF(OR(A433="",B433=""),"",SUMIFS(Producao!$B:$B,Producao!$A:$A,"&gt;="&amp;B433,Producao!$A:$A,"&lt;"&amp;IF(C433="",TODAY()+1,C433)))</f>
        <v/>
      </c>
    </row>
    <row r="434">
      <c r="A434" s="30" t="n"/>
      <c r="B434" s="31" t="n"/>
      <c r="C434" s="31" t="n"/>
      <c r="D434">
        <f>IF(B434="","",IF(C434="",TODAY(),C434)-B434)</f>
        <v/>
      </c>
      <c r="E434">
        <f>IF(A434="","",IF(COUNTIFS($A:$A,A434,$C:$C,"")&gt;1,"Mais de uma entrada em aberto",IF(AND(C434&lt;&gt;"",C434&lt;B434),"Saída antes da entrada","")))</f>
        <v/>
      </c>
      <c r="F434" s="32">
        <f>IF(OR(A434="",B434=""),"",SUMIFS(Producao!$B:$B,Producao!$A:$A,"&gt;="&amp;B434,Producao!$A:$A,"&lt;"&amp;IF(C434="",TODAY()+1,C434)))</f>
        <v/>
      </c>
    </row>
    <row r="435">
      <c r="A435" s="30" t="n"/>
      <c r="B435" s="31" t="n"/>
      <c r="C435" s="31" t="n"/>
      <c r="D435">
        <f>IF(B435="","",IF(C435="",TODAY(),C435)-B435)</f>
        <v/>
      </c>
      <c r="E435">
        <f>IF(A435="","",IF(COUNTIFS($A:$A,A435,$C:$C,"")&gt;1,"Mais de uma entrada em aberto",IF(AND(C435&lt;&gt;"",C435&lt;B435),"Saída antes da entrada","")))</f>
        <v/>
      </c>
      <c r="F435" s="32">
        <f>IF(OR(A435="",B435=""),"",SUMIFS(Producao!$B:$B,Producao!$A:$A,"&gt;="&amp;B435,Producao!$A:$A,"&lt;"&amp;IF(C435="",TODAY()+1,C435)))</f>
        <v/>
      </c>
    </row>
    <row r="436">
      <c r="A436" s="30" t="n"/>
      <c r="B436" s="31" t="n"/>
      <c r="C436" s="31" t="n"/>
      <c r="D436">
        <f>IF(B436="","",IF(C436="",TODAY(),C436)-B436)</f>
        <v/>
      </c>
      <c r="E436">
        <f>IF(A436="","",IF(COUNTIFS($A:$A,A436,$C:$C,"")&gt;1,"Mais de uma entrada em aberto",IF(AND(C436&lt;&gt;"",C436&lt;B436),"Saída antes da entrada","")))</f>
        <v/>
      </c>
      <c r="F436" s="32">
        <f>IF(OR(A436="",B436=""),"",SUMIFS(Producao!$B:$B,Producao!$A:$A,"&gt;="&amp;B436,Producao!$A:$A,"&lt;"&amp;IF(C436="",TODAY()+1,C436)))</f>
        <v/>
      </c>
    </row>
    <row r="437">
      <c r="A437" s="30" t="n"/>
      <c r="B437" s="31" t="n"/>
      <c r="C437" s="31" t="n"/>
      <c r="D437">
        <f>IF(B437="","",IF(C437="",TODAY(),C437)-B437)</f>
        <v/>
      </c>
      <c r="E437">
        <f>IF(A437="","",IF(COUNTIFS($A:$A,A437,$C:$C,"")&gt;1,"Mais de uma entrada em aberto",IF(AND(C437&lt;&gt;"",C437&lt;B437),"Saída antes da entrada","")))</f>
        <v/>
      </c>
      <c r="F437" s="32">
        <f>IF(OR(A437="",B437=""),"",SUMIFS(Producao!$B:$B,Producao!$A:$A,"&gt;="&amp;B437,Producao!$A:$A,"&lt;"&amp;IF(C437="",TODAY()+1,C437)))</f>
        <v/>
      </c>
    </row>
    <row r="438">
      <c r="A438" s="30" t="n"/>
      <c r="B438" s="31" t="n"/>
      <c r="C438" s="31" t="n"/>
      <c r="D438">
        <f>IF(B438="","",IF(C438="",TODAY(),C438)-B438)</f>
        <v/>
      </c>
      <c r="E438">
        <f>IF(A438="","",IF(COUNTIFS($A:$A,A438,$C:$C,"")&gt;1,"Mais de uma entrada em aberto",IF(AND(C438&lt;&gt;"",C438&lt;B438),"Saída antes da entrada","")))</f>
        <v/>
      </c>
      <c r="F438" s="32">
        <f>IF(OR(A438="",B438=""),"",SUMIFS(Producao!$B:$B,Producao!$A:$A,"&gt;="&amp;B438,Producao!$A:$A,"&lt;"&amp;IF(C438="",TODAY()+1,C438)))</f>
        <v/>
      </c>
    </row>
    <row r="439">
      <c r="A439" s="30" t="n"/>
      <c r="B439" s="31" t="n"/>
      <c r="C439" s="31" t="n"/>
      <c r="D439">
        <f>IF(B439="","",IF(C439="",TODAY(),C439)-B439)</f>
        <v/>
      </c>
      <c r="E439">
        <f>IF(A439="","",IF(COUNTIFS($A:$A,A439,$C:$C,"")&gt;1,"Mais de uma entrada em aberto",IF(AND(C439&lt;&gt;"",C439&lt;B439),"Saída antes da entrada","")))</f>
        <v/>
      </c>
      <c r="F439" s="32">
        <f>IF(OR(A439="",B439=""),"",SUMIFS(Producao!$B:$B,Producao!$A:$A,"&gt;="&amp;B439,Producao!$A:$A,"&lt;"&amp;IF(C439="",TODAY()+1,C439)))</f>
        <v/>
      </c>
    </row>
    <row r="440">
      <c r="A440" s="30" t="n"/>
      <c r="B440" s="31" t="n"/>
      <c r="C440" s="31" t="n"/>
      <c r="D440">
        <f>IF(B440="","",IF(C440="",TODAY(),C440)-B440)</f>
        <v/>
      </c>
      <c r="E440">
        <f>IF(A440="","",IF(COUNTIFS($A:$A,A440,$C:$C,"")&gt;1,"Mais de uma entrada em aberto",IF(AND(C440&lt;&gt;"",C440&lt;B440),"Saída antes da entrada","")))</f>
        <v/>
      </c>
      <c r="F440" s="32">
        <f>IF(OR(A440="",B440=""),"",SUMIFS(Producao!$B:$B,Producao!$A:$A,"&gt;="&amp;B440,Producao!$A:$A,"&lt;"&amp;IF(C440="",TODAY()+1,C440)))</f>
        <v/>
      </c>
    </row>
    <row r="441">
      <c r="A441" s="30" t="n"/>
      <c r="B441" s="31" t="n"/>
      <c r="C441" s="31" t="n"/>
      <c r="D441">
        <f>IF(B441="","",IF(C441="",TODAY(),C441)-B441)</f>
        <v/>
      </c>
      <c r="E441">
        <f>IF(A441="","",IF(COUNTIFS($A:$A,A441,$C:$C,"")&gt;1,"Mais de uma entrada em aberto",IF(AND(C441&lt;&gt;"",C441&lt;B441),"Saída antes da entrada","")))</f>
        <v/>
      </c>
      <c r="F441" s="32">
        <f>IF(OR(A441="",B441=""),"",SUMIFS(Producao!$B:$B,Producao!$A:$A,"&gt;="&amp;B441,Producao!$A:$A,"&lt;"&amp;IF(C441="",TODAY()+1,C441)))</f>
        <v/>
      </c>
    </row>
    <row r="442">
      <c r="A442" s="30" t="n"/>
      <c r="B442" s="31" t="n"/>
      <c r="C442" s="31" t="n"/>
      <c r="D442">
        <f>IF(B442="","",IF(C442="",TODAY(),C442)-B442)</f>
        <v/>
      </c>
      <c r="E442">
        <f>IF(A442="","",IF(COUNTIFS($A:$A,A442,$C:$C,"")&gt;1,"Mais de uma entrada em aberto",IF(AND(C442&lt;&gt;"",C442&lt;B442),"Saída antes da entrada","")))</f>
        <v/>
      </c>
      <c r="F442" s="32">
        <f>IF(OR(A442="",B442=""),"",SUMIFS(Producao!$B:$B,Producao!$A:$A,"&gt;="&amp;B442,Producao!$A:$A,"&lt;"&amp;IF(C442="",TODAY()+1,C442)))</f>
        <v/>
      </c>
    </row>
    <row r="443">
      <c r="A443" s="30" t="n"/>
      <c r="B443" s="31" t="n"/>
      <c r="C443" s="31" t="n"/>
      <c r="D443">
        <f>IF(B443="","",IF(C443="",TODAY(),C443)-B443)</f>
        <v/>
      </c>
      <c r="E443">
        <f>IF(A443="","",IF(COUNTIFS($A:$A,A443,$C:$C,"")&gt;1,"Mais de uma entrada em aberto",IF(AND(C443&lt;&gt;"",C443&lt;B443),"Saída antes da entrada","")))</f>
        <v/>
      </c>
      <c r="F443" s="32">
        <f>IF(OR(A443="",B443=""),"",SUMIFS(Producao!$B:$B,Producao!$A:$A,"&gt;="&amp;B443,Producao!$A:$A,"&lt;"&amp;IF(C443="",TODAY()+1,C443)))</f>
        <v/>
      </c>
    </row>
    <row r="444">
      <c r="A444" s="30" t="n"/>
      <c r="B444" s="31" t="n"/>
      <c r="C444" s="31" t="n"/>
      <c r="D444">
        <f>IF(B444="","",IF(C444="",TODAY(),C444)-B444)</f>
        <v/>
      </c>
      <c r="E444">
        <f>IF(A444="","",IF(COUNTIFS($A:$A,A444,$C:$C,"")&gt;1,"Mais de uma entrada em aberto",IF(AND(C444&lt;&gt;"",C444&lt;B444),"Saída antes da entrada","")))</f>
        <v/>
      </c>
      <c r="F444" s="32">
        <f>IF(OR(A444="",B444=""),"",SUMIFS(Producao!$B:$B,Producao!$A:$A,"&gt;="&amp;B444,Producao!$A:$A,"&lt;"&amp;IF(C444="",TODAY()+1,C444)))</f>
        <v/>
      </c>
    </row>
    <row r="445">
      <c r="A445" s="30" t="n"/>
      <c r="B445" s="31" t="n"/>
      <c r="C445" s="31" t="n"/>
      <c r="D445">
        <f>IF(B445="","",IF(C445="",TODAY(),C445)-B445)</f>
        <v/>
      </c>
      <c r="E445">
        <f>IF(A445="","",IF(COUNTIFS($A:$A,A445,$C:$C,"")&gt;1,"Mais de uma entrada em aberto",IF(AND(C445&lt;&gt;"",C445&lt;B445),"Saída antes da entrada","")))</f>
        <v/>
      </c>
      <c r="F445" s="32">
        <f>IF(OR(A445="",B445=""),"",SUMIFS(Producao!$B:$B,Producao!$A:$A,"&gt;="&amp;B445,Producao!$A:$A,"&lt;"&amp;IF(C445="",TODAY()+1,C445)))</f>
        <v/>
      </c>
    </row>
    <row r="446">
      <c r="A446" s="30" t="n"/>
      <c r="B446" s="31" t="n"/>
      <c r="C446" s="31" t="n"/>
      <c r="D446">
        <f>IF(B446="","",IF(C446="",TODAY(),C446)-B446)</f>
        <v/>
      </c>
      <c r="E446">
        <f>IF(A446="","",IF(COUNTIFS($A:$A,A446,$C:$C,"")&gt;1,"Mais de uma entrada em aberto",IF(AND(C446&lt;&gt;"",C446&lt;B446),"Saída antes da entrada","")))</f>
        <v/>
      </c>
      <c r="F446" s="32">
        <f>IF(OR(A446="",B446=""),"",SUMIFS(Producao!$B:$B,Producao!$A:$A,"&gt;="&amp;B446,Producao!$A:$A,"&lt;"&amp;IF(C446="",TODAY()+1,C446)))</f>
        <v/>
      </c>
    </row>
    <row r="447">
      <c r="A447" s="30" t="n"/>
      <c r="B447" s="31" t="n"/>
      <c r="C447" s="31" t="n"/>
      <c r="D447">
        <f>IF(B447="","",IF(C447="",TODAY(),C447)-B447)</f>
        <v/>
      </c>
      <c r="E447">
        <f>IF(A447="","",IF(COUNTIFS($A:$A,A447,$C:$C,"")&gt;1,"Mais de uma entrada em aberto",IF(AND(C447&lt;&gt;"",C447&lt;B447),"Saída antes da entrada","")))</f>
        <v/>
      </c>
      <c r="F447" s="32">
        <f>IF(OR(A447="",B447=""),"",SUMIFS(Producao!$B:$B,Producao!$A:$A,"&gt;="&amp;B447,Producao!$A:$A,"&lt;"&amp;IF(C447="",TODAY()+1,C447)))</f>
        <v/>
      </c>
    </row>
    <row r="448">
      <c r="A448" s="30" t="n"/>
      <c r="B448" s="31" t="n"/>
      <c r="C448" s="31" t="n"/>
      <c r="D448">
        <f>IF(B448="","",IF(C448="",TODAY(),C448)-B448)</f>
        <v/>
      </c>
      <c r="E448">
        <f>IF(A448="","",IF(COUNTIFS($A:$A,A448,$C:$C,"")&gt;1,"Mais de uma entrada em aberto",IF(AND(C448&lt;&gt;"",C448&lt;B448),"Saída antes da entrada","")))</f>
        <v/>
      </c>
      <c r="F448" s="32">
        <f>IF(OR(A448="",B448=""),"",SUMIFS(Producao!$B:$B,Producao!$A:$A,"&gt;="&amp;B448,Producao!$A:$A,"&lt;"&amp;IF(C448="",TODAY()+1,C448)))</f>
        <v/>
      </c>
    </row>
    <row r="449">
      <c r="A449" s="30" t="n"/>
      <c r="B449" s="31" t="n"/>
      <c r="C449" s="31" t="n"/>
      <c r="D449">
        <f>IF(B449="","",IF(C449="",TODAY(),C449)-B449)</f>
        <v/>
      </c>
      <c r="E449">
        <f>IF(A449="","",IF(COUNTIFS($A:$A,A449,$C:$C,"")&gt;1,"Mais de uma entrada em aberto",IF(AND(C449&lt;&gt;"",C449&lt;B449),"Saída antes da entrada","")))</f>
        <v/>
      </c>
      <c r="F449" s="32">
        <f>IF(OR(A449="",B449=""),"",SUMIFS(Producao!$B:$B,Producao!$A:$A,"&gt;="&amp;B449,Producao!$A:$A,"&lt;"&amp;IF(C449="",TODAY()+1,C449)))</f>
        <v/>
      </c>
    </row>
    <row r="450">
      <c r="A450" s="30" t="n"/>
      <c r="B450" s="31" t="n"/>
      <c r="C450" s="31" t="n"/>
      <c r="D450">
        <f>IF(B450="","",IF(C450="",TODAY(),C450)-B450)</f>
        <v/>
      </c>
      <c r="E450">
        <f>IF(A450="","",IF(COUNTIFS($A:$A,A450,$C:$C,"")&gt;1,"Mais de uma entrada em aberto",IF(AND(C450&lt;&gt;"",C450&lt;B450),"Saída antes da entrada","")))</f>
        <v/>
      </c>
      <c r="F450" s="32">
        <f>IF(OR(A450="",B450=""),"",SUMIFS(Producao!$B:$B,Producao!$A:$A,"&gt;="&amp;B450,Producao!$A:$A,"&lt;"&amp;IF(C450="",TODAY()+1,C450)))</f>
        <v/>
      </c>
    </row>
    <row r="451">
      <c r="A451" s="30" t="n"/>
      <c r="B451" s="31" t="n"/>
      <c r="C451" s="31" t="n"/>
      <c r="D451">
        <f>IF(B451="","",IF(C451="",TODAY(),C451)-B451)</f>
        <v/>
      </c>
      <c r="E451">
        <f>IF(A451="","",IF(COUNTIFS($A:$A,A451,$C:$C,"")&gt;1,"Mais de uma entrada em aberto",IF(AND(C451&lt;&gt;"",C451&lt;B451),"Saída antes da entrada","")))</f>
        <v/>
      </c>
      <c r="F451" s="32">
        <f>IF(OR(A451="",B451=""),"",SUMIFS(Producao!$B:$B,Producao!$A:$A,"&gt;="&amp;B451,Producao!$A:$A,"&lt;"&amp;IF(C451="",TODAY()+1,C451)))</f>
        <v/>
      </c>
    </row>
    <row r="452">
      <c r="A452" s="30" t="n"/>
      <c r="B452" s="31" t="n"/>
      <c r="C452" s="31" t="n"/>
      <c r="D452">
        <f>IF(B452="","",IF(C452="",TODAY(),C452)-B452)</f>
        <v/>
      </c>
      <c r="E452">
        <f>IF(A452="","",IF(COUNTIFS($A:$A,A452,$C:$C,"")&gt;1,"Mais de uma entrada em aberto",IF(AND(C452&lt;&gt;"",C452&lt;B452),"Saída antes da entrada","")))</f>
        <v/>
      </c>
      <c r="F452" s="32">
        <f>IF(OR(A452="",B452=""),"",SUMIFS(Producao!$B:$B,Producao!$A:$A,"&gt;="&amp;B452,Producao!$A:$A,"&lt;"&amp;IF(C452="",TODAY()+1,C452)))</f>
        <v/>
      </c>
    </row>
    <row r="453">
      <c r="A453" s="30" t="n"/>
      <c r="B453" s="31" t="n"/>
      <c r="C453" s="31" t="n"/>
      <c r="D453">
        <f>IF(B453="","",IF(C453="",TODAY(),C453)-B453)</f>
        <v/>
      </c>
      <c r="E453">
        <f>IF(A453="","",IF(COUNTIFS($A:$A,A453,$C:$C,"")&gt;1,"Mais de uma entrada em aberto",IF(AND(C453&lt;&gt;"",C453&lt;B453),"Saída antes da entrada","")))</f>
        <v/>
      </c>
      <c r="F453" s="32">
        <f>IF(OR(A453="",B453=""),"",SUMIFS(Producao!$B:$B,Producao!$A:$A,"&gt;="&amp;B453,Producao!$A:$A,"&lt;"&amp;IF(C453="",TODAY()+1,C453)))</f>
        <v/>
      </c>
    </row>
    <row r="454">
      <c r="A454" s="30" t="n"/>
      <c r="B454" s="31" t="n"/>
      <c r="C454" s="31" t="n"/>
      <c r="D454">
        <f>IF(B454="","",IF(C454="",TODAY(),C454)-B454)</f>
        <v/>
      </c>
      <c r="E454">
        <f>IF(A454="","",IF(COUNTIFS($A:$A,A454,$C:$C,"")&gt;1,"Mais de uma entrada em aberto",IF(AND(C454&lt;&gt;"",C454&lt;B454),"Saída antes da entrada","")))</f>
        <v/>
      </c>
      <c r="F454" s="32">
        <f>IF(OR(A454="",B454=""),"",SUMIFS(Producao!$B:$B,Producao!$A:$A,"&gt;="&amp;B454,Producao!$A:$A,"&lt;"&amp;IF(C454="",TODAY()+1,C454)))</f>
        <v/>
      </c>
    </row>
    <row r="455">
      <c r="A455" s="30" t="n"/>
      <c r="B455" s="31" t="n"/>
      <c r="C455" s="31" t="n"/>
      <c r="D455">
        <f>IF(B455="","",IF(C455="",TODAY(),C455)-B455)</f>
        <v/>
      </c>
      <c r="E455">
        <f>IF(A455="","",IF(COUNTIFS($A:$A,A455,$C:$C,"")&gt;1,"Mais de uma entrada em aberto",IF(AND(C455&lt;&gt;"",C455&lt;B455),"Saída antes da entrada","")))</f>
        <v/>
      </c>
      <c r="F455" s="32">
        <f>IF(OR(A455="",B455=""),"",SUMIFS(Producao!$B:$B,Producao!$A:$A,"&gt;="&amp;B455,Producao!$A:$A,"&lt;"&amp;IF(C455="",TODAY()+1,C455)))</f>
        <v/>
      </c>
    </row>
    <row r="456">
      <c r="A456" s="30" t="n"/>
      <c r="B456" s="31" t="n"/>
      <c r="C456" s="31" t="n"/>
      <c r="D456">
        <f>IF(B456="","",IF(C456="",TODAY(),C456)-B456)</f>
        <v/>
      </c>
      <c r="E456">
        <f>IF(A456="","",IF(COUNTIFS($A:$A,A456,$C:$C,"")&gt;1,"Mais de uma entrada em aberto",IF(AND(C456&lt;&gt;"",C456&lt;B456),"Saída antes da entrada","")))</f>
        <v/>
      </c>
      <c r="F456" s="32">
        <f>IF(OR(A456="",B456=""),"",SUMIFS(Producao!$B:$B,Producao!$A:$A,"&gt;="&amp;B456,Producao!$A:$A,"&lt;"&amp;IF(C456="",TODAY()+1,C456)))</f>
        <v/>
      </c>
    </row>
    <row r="457">
      <c r="A457" s="30" t="n"/>
      <c r="B457" s="31" t="n"/>
      <c r="C457" s="31" t="n"/>
      <c r="D457">
        <f>IF(B457="","",IF(C457="",TODAY(),C457)-B457)</f>
        <v/>
      </c>
      <c r="E457">
        <f>IF(A457="","",IF(COUNTIFS($A:$A,A457,$C:$C,"")&gt;1,"Mais de uma entrada em aberto",IF(AND(C457&lt;&gt;"",C457&lt;B457),"Saída antes da entrada","")))</f>
        <v/>
      </c>
      <c r="F457" s="32">
        <f>IF(OR(A457="",B457=""),"",SUMIFS(Producao!$B:$B,Producao!$A:$A,"&gt;="&amp;B457,Producao!$A:$A,"&lt;"&amp;IF(C457="",TODAY()+1,C457)))</f>
        <v/>
      </c>
    </row>
    <row r="458">
      <c r="A458" s="30" t="n"/>
      <c r="B458" s="31" t="n"/>
      <c r="C458" s="31" t="n"/>
      <c r="D458">
        <f>IF(B458="","",IF(C458="",TODAY(),C458)-B458)</f>
        <v/>
      </c>
      <c r="E458">
        <f>IF(A458="","",IF(COUNTIFS($A:$A,A458,$C:$C,"")&gt;1,"Mais de uma entrada em aberto",IF(AND(C458&lt;&gt;"",C458&lt;B458),"Saída antes da entrada","")))</f>
        <v/>
      </c>
      <c r="F458" s="32">
        <f>IF(OR(A458="",B458=""),"",SUMIFS(Producao!$B:$B,Producao!$A:$A,"&gt;="&amp;B458,Producao!$A:$A,"&lt;"&amp;IF(C458="",TODAY()+1,C458)))</f>
        <v/>
      </c>
    </row>
    <row r="459">
      <c r="A459" s="30" t="n"/>
      <c r="B459" s="31" t="n"/>
      <c r="C459" s="31" t="n"/>
      <c r="D459">
        <f>IF(B459="","",IF(C459="",TODAY(),C459)-B459)</f>
        <v/>
      </c>
      <c r="E459">
        <f>IF(A459="","",IF(COUNTIFS($A:$A,A459,$C:$C,"")&gt;1,"Mais de uma entrada em aberto",IF(AND(C459&lt;&gt;"",C459&lt;B459),"Saída antes da entrada","")))</f>
        <v/>
      </c>
      <c r="F459" s="32">
        <f>IF(OR(A459="",B459=""),"",SUMIFS(Producao!$B:$B,Producao!$A:$A,"&gt;="&amp;B459,Producao!$A:$A,"&lt;"&amp;IF(C459="",TODAY()+1,C459)))</f>
        <v/>
      </c>
    </row>
    <row r="460">
      <c r="A460" s="30" t="n"/>
      <c r="B460" s="31" t="n"/>
      <c r="C460" s="31" t="n"/>
      <c r="D460">
        <f>IF(B460="","",IF(C460="",TODAY(),C460)-B460)</f>
        <v/>
      </c>
      <c r="E460">
        <f>IF(A460="","",IF(COUNTIFS($A:$A,A460,$C:$C,"")&gt;1,"Mais de uma entrada em aberto",IF(AND(C460&lt;&gt;"",C460&lt;B460),"Saída antes da entrada","")))</f>
        <v/>
      </c>
      <c r="F460" s="32">
        <f>IF(OR(A460="",B460=""),"",SUMIFS(Producao!$B:$B,Producao!$A:$A,"&gt;="&amp;B460,Producao!$A:$A,"&lt;"&amp;IF(C460="",TODAY()+1,C460)))</f>
        <v/>
      </c>
    </row>
    <row r="461">
      <c r="A461" s="30" t="n"/>
      <c r="B461" s="31" t="n"/>
      <c r="C461" s="31" t="n"/>
      <c r="D461">
        <f>IF(B461="","",IF(C461="",TODAY(),C461)-B461)</f>
        <v/>
      </c>
      <c r="E461">
        <f>IF(A461="","",IF(COUNTIFS($A:$A,A461,$C:$C,"")&gt;1,"Mais de uma entrada em aberto",IF(AND(C461&lt;&gt;"",C461&lt;B461),"Saída antes da entrada","")))</f>
        <v/>
      </c>
      <c r="F461" s="32">
        <f>IF(OR(A461="",B461=""),"",SUMIFS(Producao!$B:$B,Producao!$A:$A,"&gt;="&amp;B461,Producao!$A:$A,"&lt;"&amp;IF(C461="",TODAY()+1,C461)))</f>
        <v/>
      </c>
    </row>
    <row r="462">
      <c r="A462" s="30" t="n"/>
      <c r="B462" s="31" t="n"/>
      <c r="C462" s="31" t="n"/>
      <c r="D462">
        <f>IF(B462="","",IF(C462="",TODAY(),C462)-B462)</f>
        <v/>
      </c>
      <c r="E462">
        <f>IF(A462="","",IF(COUNTIFS($A:$A,A462,$C:$C,"")&gt;1,"Mais de uma entrada em aberto",IF(AND(C462&lt;&gt;"",C462&lt;B462),"Saída antes da entrada","")))</f>
        <v/>
      </c>
      <c r="F462" s="32">
        <f>IF(OR(A462="",B462=""),"",SUMIFS(Producao!$B:$B,Producao!$A:$A,"&gt;="&amp;B462,Producao!$A:$A,"&lt;"&amp;IF(C462="",TODAY()+1,C462)))</f>
        <v/>
      </c>
    </row>
    <row r="463">
      <c r="A463" s="30" t="n"/>
      <c r="B463" s="31" t="n"/>
      <c r="C463" s="31" t="n"/>
      <c r="D463">
        <f>IF(B463="","",IF(C463="",TODAY(),C463)-B463)</f>
        <v/>
      </c>
      <c r="E463">
        <f>IF(A463="","",IF(COUNTIFS($A:$A,A463,$C:$C,"")&gt;1,"Mais de uma entrada em aberto",IF(AND(C463&lt;&gt;"",C463&lt;B463),"Saída antes da entrada","")))</f>
        <v/>
      </c>
      <c r="F463" s="32">
        <f>IF(OR(A463="",B463=""),"",SUMIFS(Producao!$B:$B,Producao!$A:$A,"&gt;="&amp;B463,Producao!$A:$A,"&lt;"&amp;IF(C463="",TODAY()+1,C463)))</f>
        <v/>
      </c>
    </row>
    <row r="464">
      <c r="A464" s="30" t="n"/>
      <c r="B464" s="31" t="n"/>
      <c r="C464" s="31" t="n"/>
      <c r="D464">
        <f>IF(B464="","",IF(C464="",TODAY(),C464)-B464)</f>
        <v/>
      </c>
      <c r="E464">
        <f>IF(A464="","",IF(COUNTIFS($A:$A,A464,$C:$C,"")&gt;1,"Mais de uma entrada em aberto",IF(AND(C464&lt;&gt;"",C464&lt;B464),"Saída antes da entrada","")))</f>
        <v/>
      </c>
      <c r="F464" s="32">
        <f>IF(OR(A464="",B464=""),"",SUMIFS(Producao!$B:$B,Producao!$A:$A,"&gt;="&amp;B464,Producao!$A:$A,"&lt;"&amp;IF(C464="",TODAY()+1,C464)))</f>
        <v/>
      </c>
    </row>
    <row r="465">
      <c r="A465" s="30" t="n"/>
      <c r="B465" s="31" t="n"/>
      <c r="C465" s="31" t="n"/>
      <c r="D465">
        <f>IF(B465="","",IF(C465="",TODAY(),C465)-B465)</f>
        <v/>
      </c>
      <c r="E465">
        <f>IF(A465="","",IF(COUNTIFS($A:$A,A465,$C:$C,"")&gt;1,"Mais de uma entrada em aberto",IF(AND(C465&lt;&gt;"",C465&lt;B465),"Saída antes da entrada","")))</f>
        <v/>
      </c>
      <c r="F465" s="32">
        <f>IF(OR(A465="",B465=""),"",SUMIFS(Producao!$B:$B,Producao!$A:$A,"&gt;="&amp;B465,Producao!$A:$A,"&lt;"&amp;IF(C465="",TODAY()+1,C465)))</f>
        <v/>
      </c>
    </row>
    <row r="466">
      <c r="A466" s="30" t="n"/>
      <c r="B466" s="31" t="n"/>
      <c r="C466" s="31" t="n"/>
      <c r="D466">
        <f>IF(B466="","",IF(C466="",TODAY(),C466)-B466)</f>
        <v/>
      </c>
      <c r="E466">
        <f>IF(A466="","",IF(COUNTIFS($A:$A,A466,$C:$C,"")&gt;1,"Mais de uma entrada em aberto",IF(AND(C466&lt;&gt;"",C466&lt;B466),"Saída antes da entrada","")))</f>
        <v/>
      </c>
      <c r="F466" s="32">
        <f>IF(OR(A466="",B466=""),"",SUMIFS(Producao!$B:$B,Producao!$A:$A,"&gt;="&amp;B466,Producao!$A:$A,"&lt;"&amp;IF(C466="",TODAY()+1,C466)))</f>
        <v/>
      </c>
    </row>
    <row r="467">
      <c r="A467" s="30" t="n"/>
      <c r="B467" s="31" t="n"/>
      <c r="C467" s="31" t="n"/>
      <c r="D467">
        <f>IF(B467="","",IF(C467="",TODAY(),C467)-B467)</f>
        <v/>
      </c>
      <c r="E467">
        <f>IF(A467="","",IF(COUNTIFS($A:$A,A467,$C:$C,"")&gt;1,"Mais de uma entrada em aberto",IF(AND(C467&lt;&gt;"",C467&lt;B467),"Saída antes da entrada","")))</f>
        <v/>
      </c>
      <c r="F467" s="32">
        <f>IF(OR(A467="",B467=""),"",SUMIFS(Producao!$B:$B,Producao!$A:$A,"&gt;="&amp;B467,Producao!$A:$A,"&lt;"&amp;IF(C467="",TODAY()+1,C467)))</f>
        <v/>
      </c>
    </row>
    <row r="468">
      <c r="A468" s="30" t="n"/>
      <c r="B468" s="31" t="n"/>
      <c r="C468" s="31" t="n"/>
      <c r="D468">
        <f>IF(B468="","",IF(C468="",TODAY(),C468)-B468)</f>
        <v/>
      </c>
      <c r="E468">
        <f>IF(A468="","",IF(COUNTIFS($A:$A,A468,$C:$C,"")&gt;1,"Mais de uma entrada em aberto",IF(AND(C468&lt;&gt;"",C468&lt;B468),"Saída antes da entrada","")))</f>
        <v/>
      </c>
      <c r="F468" s="32">
        <f>IF(OR(A468="",B468=""),"",SUMIFS(Producao!$B:$B,Producao!$A:$A,"&gt;="&amp;B468,Producao!$A:$A,"&lt;"&amp;IF(C468="",TODAY()+1,C468)))</f>
        <v/>
      </c>
    </row>
    <row r="469">
      <c r="A469" s="30" t="n"/>
      <c r="B469" s="31" t="n"/>
      <c r="C469" s="31" t="n"/>
      <c r="D469">
        <f>IF(B469="","",IF(C469="",TODAY(),C469)-B469)</f>
        <v/>
      </c>
      <c r="E469">
        <f>IF(A469="","",IF(COUNTIFS($A:$A,A469,$C:$C,"")&gt;1,"Mais de uma entrada em aberto",IF(AND(C469&lt;&gt;"",C469&lt;B469),"Saída antes da entrada","")))</f>
        <v/>
      </c>
      <c r="F469" s="32">
        <f>IF(OR(A469="",B469=""),"",SUMIFS(Producao!$B:$B,Producao!$A:$A,"&gt;="&amp;B469,Producao!$A:$A,"&lt;"&amp;IF(C469="",TODAY()+1,C469)))</f>
        <v/>
      </c>
    </row>
    <row r="470">
      <c r="A470" s="30" t="n"/>
      <c r="B470" s="31" t="n"/>
      <c r="C470" s="31" t="n"/>
      <c r="D470">
        <f>IF(B470="","",IF(C470="",TODAY(),C470)-B470)</f>
        <v/>
      </c>
      <c r="E470">
        <f>IF(A470="","",IF(COUNTIFS($A:$A,A470,$C:$C,"")&gt;1,"Mais de uma entrada em aberto",IF(AND(C470&lt;&gt;"",C470&lt;B470),"Saída antes da entrada","")))</f>
        <v/>
      </c>
      <c r="F470" s="32">
        <f>IF(OR(A470="",B470=""),"",SUMIFS(Producao!$B:$B,Producao!$A:$A,"&gt;="&amp;B470,Producao!$A:$A,"&lt;"&amp;IF(C470="",TODAY()+1,C470)))</f>
        <v/>
      </c>
    </row>
    <row r="471">
      <c r="A471" s="30" t="n"/>
      <c r="B471" s="31" t="n"/>
      <c r="C471" s="31" t="n"/>
      <c r="D471">
        <f>IF(B471="","",IF(C471="",TODAY(),C471)-B471)</f>
        <v/>
      </c>
      <c r="E471">
        <f>IF(A471="","",IF(COUNTIFS($A:$A,A471,$C:$C,"")&gt;1,"Mais de uma entrada em aberto",IF(AND(C471&lt;&gt;"",C471&lt;B471),"Saída antes da entrada","")))</f>
        <v/>
      </c>
      <c r="F471" s="32">
        <f>IF(OR(A471="",B471=""),"",SUMIFS(Producao!$B:$B,Producao!$A:$A,"&gt;="&amp;B471,Producao!$A:$A,"&lt;"&amp;IF(C471="",TODAY()+1,C471)))</f>
        <v/>
      </c>
    </row>
    <row r="472">
      <c r="A472" s="30" t="n"/>
      <c r="B472" s="31" t="n"/>
      <c r="C472" s="31" t="n"/>
      <c r="D472">
        <f>IF(B472="","",IF(C472="",TODAY(),C472)-B472)</f>
        <v/>
      </c>
      <c r="E472">
        <f>IF(A472="","",IF(COUNTIFS($A:$A,A472,$C:$C,"")&gt;1,"Mais de uma entrada em aberto",IF(AND(C472&lt;&gt;"",C472&lt;B472),"Saída antes da entrada","")))</f>
        <v/>
      </c>
      <c r="F472" s="32">
        <f>IF(OR(A472="",B472=""),"",SUMIFS(Producao!$B:$B,Producao!$A:$A,"&gt;="&amp;B472,Producao!$A:$A,"&lt;"&amp;IF(C472="",TODAY()+1,C472)))</f>
        <v/>
      </c>
    </row>
    <row r="473">
      <c r="A473" s="30" t="n"/>
      <c r="B473" s="31" t="n"/>
      <c r="C473" s="31" t="n"/>
      <c r="D473">
        <f>IF(B473="","",IF(C473="",TODAY(),C473)-B473)</f>
        <v/>
      </c>
      <c r="E473">
        <f>IF(A473="","",IF(COUNTIFS($A:$A,A473,$C:$C,"")&gt;1,"Mais de uma entrada em aberto",IF(AND(C473&lt;&gt;"",C473&lt;B473),"Saída antes da entrada","")))</f>
        <v/>
      </c>
      <c r="F473" s="32">
        <f>IF(OR(A473="",B473=""),"",SUMIFS(Producao!$B:$B,Producao!$A:$A,"&gt;="&amp;B473,Producao!$A:$A,"&lt;"&amp;IF(C473="",TODAY()+1,C473)))</f>
        <v/>
      </c>
    </row>
    <row r="474">
      <c r="A474" s="30" t="n"/>
      <c r="B474" s="31" t="n"/>
      <c r="C474" s="31" t="n"/>
      <c r="D474">
        <f>IF(B474="","",IF(C474="",TODAY(),C474)-B474)</f>
        <v/>
      </c>
      <c r="E474">
        <f>IF(A474="","",IF(COUNTIFS($A:$A,A474,$C:$C,"")&gt;1,"Mais de uma entrada em aberto",IF(AND(C474&lt;&gt;"",C474&lt;B474),"Saída antes da entrada","")))</f>
        <v/>
      </c>
      <c r="F474" s="32">
        <f>IF(OR(A474="",B474=""),"",SUMIFS(Producao!$B:$B,Producao!$A:$A,"&gt;="&amp;B474,Producao!$A:$A,"&lt;"&amp;IF(C474="",TODAY()+1,C474)))</f>
        <v/>
      </c>
    </row>
    <row r="475">
      <c r="A475" s="30" t="n"/>
      <c r="B475" s="31" t="n"/>
      <c r="C475" s="31" t="n"/>
      <c r="D475">
        <f>IF(B475="","",IF(C475="",TODAY(),C475)-B475)</f>
        <v/>
      </c>
      <c r="E475">
        <f>IF(A475="","",IF(COUNTIFS($A:$A,A475,$C:$C,"")&gt;1,"Mais de uma entrada em aberto",IF(AND(C475&lt;&gt;"",C475&lt;B475),"Saída antes da entrada","")))</f>
        <v/>
      </c>
      <c r="F475" s="32">
        <f>IF(OR(A475="",B475=""),"",SUMIFS(Producao!$B:$B,Producao!$A:$A,"&gt;="&amp;B475,Producao!$A:$A,"&lt;"&amp;IF(C475="",TODAY()+1,C475)))</f>
        <v/>
      </c>
    </row>
    <row r="476">
      <c r="A476" s="30" t="n"/>
      <c r="B476" s="31" t="n"/>
      <c r="C476" s="31" t="n"/>
      <c r="D476">
        <f>IF(B476="","",IF(C476="",TODAY(),C476)-B476)</f>
        <v/>
      </c>
      <c r="E476">
        <f>IF(A476="","",IF(COUNTIFS($A:$A,A476,$C:$C,"")&gt;1,"Mais de uma entrada em aberto",IF(AND(C476&lt;&gt;"",C476&lt;B476),"Saída antes da entrada","")))</f>
        <v/>
      </c>
      <c r="F476" s="32">
        <f>IF(OR(A476="",B476=""),"",SUMIFS(Producao!$B:$B,Producao!$A:$A,"&gt;="&amp;B476,Producao!$A:$A,"&lt;"&amp;IF(C476="",TODAY()+1,C476)))</f>
        <v/>
      </c>
    </row>
    <row r="477">
      <c r="A477" s="30" t="n"/>
      <c r="B477" s="31" t="n"/>
      <c r="C477" s="31" t="n"/>
      <c r="D477">
        <f>IF(B477="","",IF(C477="",TODAY(),C477)-B477)</f>
        <v/>
      </c>
      <c r="E477">
        <f>IF(A477="","",IF(COUNTIFS($A:$A,A477,$C:$C,"")&gt;1,"Mais de uma entrada em aberto",IF(AND(C477&lt;&gt;"",C477&lt;B477),"Saída antes da entrada","")))</f>
        <v/>
      </c>
      <c r="F477" s="32">
        <f>IF(OR(A477="",B477=""),"",SUMIFS(Producao!$B:$B,Producao!$A:$A,"&gt;="&amp;B477,Producao!$A:$A,"&lt;"&amp;IF(C477="",TODAY()+1,C477)))</f>
        <v/>
      </c>
    </row>
    <row r="478">
      <c r="A478" s="30" t="n"/>
      <c r="B478" s="31" t="n"/>
      <c r="C478" s="31" t="n"/>
      <c r="D478">
        <f>IF(B478="","",IF(C478="",TODAY(),C478)-B478)</f>
        <v/>
      </c>
      <c r="E478">
        <f>IF(A478="","",IF(COUNTIFS($A:$A,A478,$C:$C,"")&gt;1,"Mais de uma entrada em aberto",IF(AND(C478&lt;&gt;"",C478&lt;B478),"Saída antes da entrada","")))</f>
        <v/>
      </c>
      <c r="F478" s="32">
        <f>IF(OR(A478="",B478=""),"",SUMIFS(Producao!$B:$B,Producao!$A:$A,"&gt;="&amp;B478,Producao!$A:$A,"&lt;"&amp;IF(C478="",TODAY()+1,C478)))</f>
        <v/>
      </c>
    </row>
    <row r="479">
      <c r="A479" s="30" t="n"/>
      <c r="B479" s="31" t="n"/>
      <c r="C479" s="31" t="n"/>
      <c r="D479">
        <f>IF(B479="","",IF(C479="",TODAY(),C479)-B479)</f>
        <v/>
      </c>
      <c r="E479">
        <f>IF(A479="","",IF(COUNTIFS($A:$A,A479,$C:$C,"")&gt;1,"Mais de uma entrada em aberto",IF(AND(C479&lt;&gt;"",C479&lt;B479),"Saída antes da entrada","")))</f>
        <v/>
      </c>
      <c r="F479" s="32">
        <f>IF(OR(A479="",B479=""),"",SUMIFS(Producao!$B:$B,Producao!$A:$A,"&gt;="&amp;B479,Producao!$A:$A,"&lt;"&amp;IF(C479="",TODAY()+1,C479)))</f>
        <v/>
      </c>
    </row>
    <row r="480">
      <c r="A480" s="30" t="n"/>
      <c r="B480" s="31" t="n"/>
      <c r="C480" s="31" t="n"/>
      <c r="D480">
        <f>IF(B480="","",IF(C480="",TODAY(),C480)-B480)</f>
        <v/>
      </c>
      <c r="E480">
        <f>IF(A480="","",IF(COUNTIFS($A:$A,A480,$C:$C,"")&gt;1,"Mais de uma entrada em aberto",IF(AND(C480&lt;&gt;"",C480&lt;B480),"Saída antes da entrada","")))</f>
        <v/>
      </c>
      <c r="F480" s="32">
        <f>IF(OR(A480="",B480=""),"",SUMIFS(Producao!$B:$B,Producao!$A:$A,"&gt;="&amp;B480,Producao!$A:$A,"&lt;"&amp;IF(C480="",TODAY()+1,C480)))</f>
        <v/>
      </c>
    </row>
    <row r="481">
      <c r="A481" s="30" t="n"/>
      <c r="B481" s="31" t="n"/>
      <c r="C481" s="31" t="n"/>
      <c r="D481">
        <f>IF(B481="","",IF(C481="",TODAY(),C481)-B481)</f>
        <v/>
      </c>
      <c r="E481">
        <f>IF(A481="","",IF(COUNTIFS($A:$A,A481,$C:$C,"")&gt;1,"Mais de uma entrada em aberto",IF(AND(C481&lt;&gt;"",C481&lt;B481),"Saída antes da entrada","")))</f>
        <v/>
      </c>
      <c r="F481" s="32">
        <f>IF(OR(A481="",B481=""),"",SUMIFS(Producao!$B:$B,Producao!$A:$A,"&gt;="&amp;B481,Producao!$A:$A,"&lt;"&amp;IF(C481="",TODAY()+1,C481)))</f>
        <v/>
      </c>
    </row>
    <row r="482">
      <c r="A482" s="30" t="n"/>
      <c r="B482" s="31" t="n"/>
      <c r="C482" s="31" t="n"/>
      <c r="D482">
        <f>IF(B482="","",IF(C482="",TODAY(),C482)-B482)</f>
        <v/>
      </c>
      <c r="E482">
        <f>IF(A482="","",IF(COUNTIFS($A:$A,A482,$C:$C,"")&gt;1,"Mais de uma entrada em aberto",IF(AND(C482&lt;&gt;"",C482&lt;B482),"Saída antes da entrada","")))</f>
        <v/>
      </c>
      <c r="F482" s="32">
        <f>IF(OR(A482="",B482=""),"",SUMIFS(Producao!$B:$B,Producao!$A:$A,"&gt;="&amp;B482,Producao!$A:$A,"&lt;"&amp;IF(C482="",TODAY()+1,C482)))</f>
        <v/>
      </c>
    </row>
    <row r="483">
      <c r="A483" s="30" t="n"/>
      <c r="B483" s="31" t="n"/>
      <c r="C483" s="31" t="n"/>
      <c r="D483">
        <f>IF(B483="","",IF(C483="",TODAY(),C483)-B483)</f>
        <v/>
      </c>
      <c r="E483">
        <f>IF(A483="","",IF(COUNTIFS($A:$A,A483,$C:$C,"")&gt;1,"Mais de uma entrada em aberto",IF(AND(C483&lt;&gt;"",C483&lt;B483),"Saída antes da entrada","")))</f>
        <v/>
      </c>
      <c r="F483" s="32">
        <f>IF(OR(A483="",B483=""),"",SUMIFS(Producao!$B:$B,Producao!$A:$A,"&gt;="&amp;B483,Producao!$A:$A,"&lt;"&amp;IF(C483="",TODAY()+1,C483)))</f>
        <v/>
      </c>
    </row>
    <row r="484">
      <c r="A484" s="30" t="n"/>
      <c r="B484" s="31" t="n"/>
      <c r="C484" s="31" t="n"/>
      <c r="D484">
        <f>IF(B484="","",IF(C484="",TODAY(),C484)-B484)</f>
        <v/>
      </c>
      <c r="E484">
        <f>IF(A484="","",IF(COUNTIFS($A:$A,A484,$C:$C,"")&gt;1,"Mais de uma entrada em aberto",IF(AND(C484&lt;&gt;"",C484&lt;B484),"Saída antes da entrada","")))</f>
        <v/>
      </c>
      <c r="F484" s="32">
        <f>IF(OR(A484="",B484=""),"",SUMIFS(Producao!$B:$B,Producao!$A:$A,"&gt;="&amp;B484,Producao!$A:$A,"&lt;"&amp;IF(C484="",TODAY()+1,C484)))</f>
        <v/>
      </c>
    </row>
    <row r="485">
      <c r="A485" s="30" t="n"/>
      <c r="B485" s="31" t="n"/>
      <c r="C485" s="31" t="n"/>
      <c r="D485">
        <f>IF(B485="","",IF(C485="",TODAY(),C485)-B485)</f>
        <v/>
      </c>
      <c r="E485">
        <f>IF(A485="","",IF(COUNTIFS($A:$A,A485,$C:$C,"")&gt;1,"Mais de uma entrada em aberto",IF(AND(C485&lt;&gt;"",C485&lt;B485),"Saída antes da entrada","")))</f>
        <v/>
      </c>
      <c r="F485" s="32">
        <f>IF(OR(A485="",B485=""),"",SUMIFS(Producao!$B:$B,Producao!$A:$A,"&gt;="&amp;B485,Producao!$A:$A,"&lt;"&amp;IF(C485="",TODAY()+1,C485)))</f>
        <v/>
      </c>
    </row>
    <row r="486">
      <c r="A486" s="30" t="n"/>
      <c r="B486" s="31" t="n"/>
      <c r="C486" s="31" t="n"/>
      <c r="D486">
        <f>IF(B486="","",IF(C486="",TODAY(),C486)-B486)</f>
        <v/>
      </c>
      <c r="E486">
        <f>IF(A486="","",IF(COUNTIFS($A:$A,A486,$C:$C,"")&gt;1,"Mais de uma entrada em aberto",IF(AND(C486&lt;&gt;"",C486&lt;B486),"Saída antes da entrada","")))</f>
        <v/>
      </c>
      <c r="F486" s="32">
        <f>IF(OR(A486="",B486=""),"",SUMIFS(Producao!$B:$B,Producao!$A:$A,"&gt;="&amp;B486,Producao!$A:$A,"&lt;"&amp;IF(C486="",TODAY()+1,C486)))</f>
        <v/>
      </c>
    </row>
    <row r="487">
      <c r="A487" s="30" t="n"/>
      <c r="B487" s="31" t="n"/>
      <c r="C487" s="31" t="n"/>
      <c r="D487">
        <f>IF(B487="","",IF(C487="",TODAY(),C487)-B487)</f>
        <v/>
      </c>
      <c r="E487">
        <f>IF(A487="","",IF(COUNTIFS($A:$A,A487,$C:$C,"")&gt;1,"Mais de uma entrada em aberto",IF(AND(C487&lt;&gt;"",C487&lt;B487),"Saída antes da entrada","")))</f>
        <v/>
      </c>
      <c r="F487" s="32">
        <f>IF(OR(A487="",B487=""),"",SUMIFS(Producao!$B:$B,Producao!$A:$A,"&gt;="&amp;B487,Producao!$A:$A,"&lt;"&amp;IF(C487="",TODAY()+1,C487)))</f>
        <v/>
      </c>
    </row>
    <row r="488">
      <c r="A488" s="30" t="n"/>
      <c r="B488" s="31" t="n"/>
      <c r="C488" s="31" t="n"/>
      <c r="D488">
        <f>IF(B488="","",IF(C488="",TODAY(),C488)-B488)</f>
        <v/>
      </c>
      <c r="E488">
        <f>IF(A488="","",IF(COUNTIFS($A:$A,A488,$C:$C,"")&gt;1,"Mais de uma entrada em aberto",IF(AND(C488&lt;&gt;"",C488&lt;B488),"Saída antes da entrada","")))</f>
        <v/>
      </c>
      <c r="F488" s="32">
        <f>IF(OR(A488="",B488=""),"",SUMIFS(Producao!$B:$B,Producao!$A:$A,"&gt;="&amp;B488,Producao!$A:$A,"&lt;"&amp;IF(C488="",TODAY()+1,C488)))</f>
        <v/>
      </c>
    </row>
    <row r="489">
      <c r="A489" s="30" t="n"/>
      <c r="B489" s="31" t="n"/>
      <c r="C489" s="31" t="n"/>
      <c r="D489">
        <f>IF(B489="","",IF(C489="",TODAY(),C489)-B489)</f>
        <v/>
      </c>
      <c r="E489">
        <f>IF(A489="","",IF(COUNTIFS($A:$A,A489,$C:$C,"")&gt;1,"Mais de uma entrada em aberto",IF(AND(C489&lt;&gt;"",C489&lt;B489),"Saída antes da entrada","")))</f>
        <v/>
      </c>
      <c r="F489" s="32">
        <f>IF(OR(A489="",B489=""),"",SUMIFS(Producao!$B:$B,Producao!$A:$A,"&gt;="&amp;B489,Producao!$A:$A,"&lt;"&amp;IF(C489="",TODAY()+1,C489)))</f>
        <v/>
      </c>
    </row>
    <row r="490">
      <c r="A490" s="30" t="n"/>
      <c r="B490" s="31" t="n"/>
      <c r="C490" s="31" t="n"/>
      <c r="D490">
        <f>IF(B490="","",IF(C490="",TODAY(),C490)-B490)</f>
        <v/>
      </c>
      <c r="E490">
        <f>IF(A490="","",IF(COUNTIFS($A:$A,A490,$C:$C,"")&gt;1,"Mais de uma entrada em aberto",IF(AND(C490&lt;&gt;"",C490&lt;B490),"Saída antes da entrada","")))</f>
        <v/>
      </c>
      <c r="F490" s="32">
        <f>IF(OR(A490="",B490=""),"",SUMIFS(Producao!$B:$B,Producao!$A:$A,"&gt;="&amp;B490,Producao!$A:$A,"&lt;"&amp;IF(C490="",TODAY()+1,C490)))</f>
        <v/>
      </c>
    </row>
    <row r="491">
      <c r="A491" s="30" t="n"/>
      <c r="B491" s="31" t="n"/>
      <c r="C491" s="31" t="n"/>
      <c r="D491">
        <f>IF(B491="","",IF(C491="",TODAY(),C491)-B491)</f>
        <v/>
      </c>
      <c r="E491">
        <f>IF(A491="","",IF(COUNTIFS($A:$A,A491,$C:$C,"")&gt;1,"Mais de uma entrada em aberto",IF(AND(C491&lt;&gt;"",C491&lt;B491),"Saída antes da entrada","")))</f>
        <v/>
      </c>
      <c r="F491" s="32">
        <f>IF(OR(A491="",B491=""),"",SUMIFS(Producao!$B:$B,Producao!$A:$A,"&gt;="&amp;B491,Producao!$A:$A,"&lt;"&amp;IF(C491="",TODAY()+1,C491)))</f>
        <v/>
      </c>
    </row>
    <row r="492">
      <c r="A492" s="30" t="n"/>
      <c r="B492" s="31" t="n"/>
      <c r="C492" s="31" t="n"/>
      <c r="D492">
        <f>IF(B492="","",IF(C492="",TODAY(),C492)-B492)</f>
        <v/>
      </c>
      <c r="E492">
        <f>IF(A492="","",IF(COUNTIFS($A:$A,A492,$C:$C,"")&gt;1,"Mais de uma entrada em aberto",IF(AND(C492&lt;&gt;"",C492&lt;B492),"Saída antes da entrada","")))</f>
        <v/>
      </c>
      <c r="F492" s="32">
        <f>IF(OR(A492="",B492=""),"",SUMIFS(Producao!$B:$B,Producao!$A:$A,"&gt;="&amp;B492,Producao!$A:$A,"&lt;"&amp;IF(C492="",TODAY()+1,C492)))</f>
        <v/>
      </c>
    </row>
    <row r="493">
      <c r="A493" s="30" t="n"/>
      <c r="B493" s="31" t="n"/>
      <c r="C493" s="31" t="n"/>
      <c r="D493">
        <f>IF(B493="","",IF(C493="",TODAY(),C493)-B493)</f>
        <v/>
      </c>
      <c r="E493">
        <f>IF(A493="","",IF(COUNTIFS($A:$A,A493,$C:$C,"")&gt;1,"Mais de uma entrada em aberto",IF(AND(C493&lt;&gt;"",C493&lt;B493),"Saída antes da entrada","")))</f>
        <v/>
      </c>
      <c r="F493" s="32">
        <f>IF(OR(A493="",B493=""),"",SUMIFS(Producao!$B:$B,Producao!$A:$A,"&gt;="&amp;B493,Producao!$A:$A,"&lt;"&amp;IF(C493="",TODAY()+1,C493)))</f>
        <v/>
      </c>
    </row>
    <row r="494">
      <c r="A494" s="30" t="n"/>
      <c r="B494" s="31" t="n"/>
      <c r="C494" s="31" t="n"/>
      <c r="D494">
        <f>IF(B494="","",IF(C494="",TODAY(),C494)-B494)</f>
        <v/>
      </c>
      <c r="E494">
        <f>IF(A494="","",IF(COUNTIFS($A:$A,A494,$C:$C,"")&gt;1,"Mais de uma entrada em aberto",IF(AND(C494&lt;&gt;"",C494&lt;B494),"Saída antes da entrada","")))</f>
        <v/>
      </c>
      <c r="F494" s="32">
        <f>IF(OR(A494="",B494=""),"",SUMIFS(Producao!$B:$B,Producao!$A:$A,"&gt;="&amp;B494,Producao!$A:$A,"&lt;"&amp;IF(C494="",TODAY()+1,C494)))</f>
        <v/>
      </c>
    </row>
    <row r="495">
      <c r="A495" s="30" t="n"/>
      <c r="B495" s="31" t="n"/>
      <c r="C495" s="31" t="n"/>
      <c r="D495">
        <f>IF(B495="","",IF(C495="",TODAY(),C495)-B495)</f>
        <v/>
      </c>
      <c r="E495">
        <f>IF(A495="","",IF(COUNTIFS($A:$A,A495,$C:$C,"")&gt;1,"Mais de uma entrada em aberto",IF(AND(C495&lt;&gt;"",C495&lt;B495),"Saída antes da entrada","")))</f>
        <v/>
      </c>
      <c r="F495" s="32">
        <f>IF(OR(A495="",B495=""),"",SUMIFS(Producao!$B:$B,Producao!$A:$A,"&gt;="&amp;B495,Producao!$A:$A,"&lt;"&amp;IF(C495="",TODAY()+1,C495)))</f>
        <v/>
      </c>
    </row>
    <row r="496">
      <c r="A496" s="30" t="n"/>
      <c r="B496" s="31" t="n"/>
      <c r="C496" s="31" t="n"/>
      <c r="D496">
        <f>IF(B496="","",IF(C496="",TODAY(),C496)-B496)</f>
        <v/>
      </c>
      <c r="E496">
        <f>IF(A496="","",IF(COUNTIFS($A:$A,A496,$C:$C,"")&gt;1,"Mais de uma entrada em aberto",IF(AND(C496&lt;&gt;"",C496&lt;B496),"Saída antes da entrada","")))</f>
        <v/>
      </c>
      <c r="F496" s="32">
        <f>IF(OR(A496="",B496=""),"",SUMIFS(Producao!$B:$B,Producao!$A:$A,"&gt;="&amp;B496,Producao!$A:$A,"&lt;"&amp;IF(C496="",TODAY()+1,C496)))</f>
        <v/>
      </c>
    </row>
    <row r="497">
      <c r="A497" s="30" t="n"/>
      <c r="B497" s="31" t="n"/>
      <c r="C497" s="31" t="n"/>
      <c r="D497">
        <f>IF(B497="","",IF(C497="",TODAY(),C497)-B497)</f>
        <v/>
      </c>
      <c r="E497">
        <f>IF(A497="","",IF(COUNTIFS($A:$A,A497,$C:$C,"")&gt;1,"Mais de uma entrada em aberto",IF(AND(C497&lt;&gt;"",C497&lt;B497),"Saída antes da entrada","")))</f>
        <v/>
      </c>
      <c r="F497" s="32">
        <f>IF(OR(A497="",B497=""),"",SUMIFS(Producao!$B:$B,Producao!$A:$A,"&gt;="&amp;B497,Producao!$A:$A,"&lt;"&amp;IF(C497="",TODAY()+1,C497)))</f>
        <v/>
      </c>
    </row>
    <row r="498">
      <c r="A498" s="30" t="n"/>
      <c r="B498" s="31" t="n"/>
      <c r="C498" s="31" t="n"/>
      <c r="D498">
        <f>IF(B498="","",IF(C498="",TODAY(),C498)-B498)</f>
        <v/>
      </c>
      <c r="E498">
        <f>IF(A498="","",IF(COUNTIFS($A:$A,A498,$C:$C,"")&gt;1,"Mais de uma entrada em aberto",IF(AND(C498&lt;&gt;"",C498&lt;B498),"Saída antes da entrada","")))</f>
        <v/>
      </c>
      <c r="F498" s="32">
        <f>IF(OR(A498="",B498=""),"",SUMIFS(Producao!$B:$B,Producao!$A:$A,"&gt;="&amp;B498,Producao!$A:$A,"&lt;"&amp;IF(C498="",TODAY()+1,C498)))</f>
        <v/>
      </c>
    </row>
    <row r="499">
      <c r="A499" s="30" t="n"/>
      <c r="B499" s="31" t="n"/>
      <c r="C499" s="31" t="n"/>
      <c r="D499">
        <f>IF(B499="","",IF(C499="",TODAY(),C499)-B499)</f>
        <v/>
      </c>
      <c r="E499">
        <f>IF(A499="","",IF(COUNTIFS($A:$A,A499,$C:$C,"")&gt;1,"Mais de uma entrada em aberto",IF(AND(C499&lt;&gt;"",C499&lt;B499),"Saída antes da entrada","")))</f>
        <v/>
      </c>
      <c r="F499" s="32">
        <f>IF(OR(A499="",B499=""),"",SUMIFS(Producao!$B:$B,Producao!$A:$A,"&gt;="&amp;B499,Producao!$A:$A,"&lt;"&amp;IF(C499="",TODAY()+1,C499)))</f>
        <v/>
      </c>
    </row>
    <row r="500">
      <c r="A500" s="30" t="n"/>
      <c r="B500" s="31" t="n"/>
      <c r="C500" s="31" t="n"/>
      <c r="D500">
        <f>IF(B500="","",IF(C500="",TODAY(),C500)-B500)</f>
        <v/>
      </c>
      <c r="E500">
        <f>IF(A500="","",IF(COUNTIFS($A:$A,A500,$C:$C,"")&gt;1,"Mais de uma entrada em aberto",IF(AND(C500&lt;&gt;"",C500&lt;B500),"Saída antes da entrada","")))</f>
        <v/>
      </c>
      <c r="F500" s="32">
        <f>IF(OR(A500="",B500=""),"",SUMIFS(Producao!$B:$B,Producao!$A:$A,"&gt;="&amp;B500,Producao!$A:$A,"&lt;"&amp;IF(C500="",TODAY()+1,C500)))</f>
        <v/>
      </c>
    </row>
    <row r="501">
      <c r="A501" s="30" t="n"/>
      <c r="B501" s="31" t="n"/>
      <c r="C501" s="31" t="n"/>
      <c r="D501">
        <f>IF(B501="","",IF(C501="",TODAY(),C501)-B501)</f>
        <v/>
      </c>
      <c r="E501">
        <f>IF(A501="","",IF(COUNTIFS($A:$A,A501,$C:$C,"")&gt;1,"Mais de uma entrada em aberto",IF(AND(C501&lt;&gt;"",C501&lt;B501),"Saída antes da entrada","")))</f>
        <v/>
      </c>
      <c r="F501" s="32">
        <f>IF(OR(A501="",B501=""),"",SUMIFS(Producao!$B:$B,Producao!$A:$A,"&gt;="&amp;B501,Producao!$A:$A,"&lt;"&amp;IF(C501="",TODAY()+1,C501)))</f>
        <v/>
      </c>
    </row>
    <row r="502">
      <c r="A502" s="30" t="n"/>
      <c r="B502" s="31" t="n"/>
      <c r="C502" s="31" t="n"/>
      <c r="D502">
        <f>IF(B502="","",IF(C502="",TODAY(),C502)-B502)</f>
        <v/>
      </c>
      <c r="E502">
        <f>IF(A502="","",IF(COUNTIFS($A:$A,A502,$C:$C,"")&gt;1,"Mais de uma entrada em aberto",IF(AND(C502&lt;&gt;"",C502&lt;B502),"Saída antes da entrada","")))</f>
        <v/>
      </c>
      <c r="F502" s="32">
        <f>IF(OR(A502="",B502=""),"",SUMIFS(Producao!$B:$B,Producao!$A:$A,"&gt;="&amp;B502,Producao!$A:$A,"&lt;"&amp;IF(C502="",TODAY()+1,C502)))</f>
        <v/>
      </c>
    </row>
    <row r="503">
      <c r="A503" s="30" t="n"/>
      <c r="B503" s="31" t="n"/>
      <c r="C503" s="31" t="n"/>
      <c r="D503">
        <f>IF(B503="","",IF(C503="",TODAY(),C503)-B503)</f>
        <v/>
      </c>
      <c r="E503">
        <f>IF(A503="","",IF(COUNTIFS($A:$A,A503,$C:$C,"")&gt;1,"Mais de uma entrada em aberto",IF(AND(C503&lt;&gt;"",C503&lt;B503),"Saída antes da entrada","")))</f>
        <v/>
      </c>
      <c r="F503" s="32">
        <f>IF(OR(A503="",B503=""),"",SUMIFS(Producao!$B:$B,Producao!$A:$A,"&gt;="&amp;B503,Producao!$A:$A,"&lt;"&amp;IF(C503="",TODAY()+1,C503)))</f>
        <v/>
      </c>
    </row>
    <row r="504">
      <c r="A504" s="30" t="n"/>
      <c r="B504" s="31" t="n"/>
      <c r="C504" s="31" t="n"/>
      <c r="D504">
        <f>IF(B504="","",IF(C504="",TODAY(),C504)-B504)</f>
        <v/>
      </c>
      <c r="E504">
        <f>IF(A504="","",IF(COUNTIFS($A:$A,A504,$C:$C,"")&gt;1,"Mais de uma entrada em aberto",IF(AND(C504&lt;&gt;"",C504&lt;B504),"Saída antes da entrada","")))</f>
        <v/>
      </c>
      <c r="F504" s="32">
        <f>IF(OR(A504="",B504=""),"",SUMIFS(Producao!$B:$B,Producao!$A:$A,"&gt;="&amp;B504,Producao!$A:$A,"&lt;"&amp;IF(C504="",TODAY()+1,C504)))</f>
        <v/>
      </c>
    </row>
    <row r="505">
      <c r="A505" s="30" t="n"/>
      <c r="B505" s="31" t="n"/>
      <c r="C505" s="31" t="n"/>
      <c r="D505">
        <f>IF(B505="","",IF(C505="",TODAY(),C505)-B505)</f>
        <v/>
      </c>
      <c r="E505">
        <f>IF(A505="","",IF(COUNTIFS($A:$A,A505,$C:$C,"")&gt;1,"Mais de uma entrada em aberto",IF(AND(C505&lt;&gt;"",C505&lt;B505),"Saída antes da entrada","")))</f>
        <v/>
      </c>
      <c r="F505" s="32">
        <f>IF(OR(A505="",B505=""),"",SUMIFS(Producao!$B:$B,Producao!$A:$A,"&gt;="&amp;B505,Producao!$A:$A,"&lt;"&amp;IF(C505="",TODAY()+1,C505)))</f>
        <v/>
      </c>
    </row>
    <row r="506">
      <c r="A506" s="30" t="n"/>
      <c r="B506" s="31" t="n"/>
      <c r="C506" s="31" t="n"/>
      <c r="D506">
        <f>IF(B506="","",IF(C506="",TODAY(),C506)-B506)</f>
        <v/>
      </c>
      <c r="E506">
        <f>IF(A506="","",IF(COUNTIFS($A:$A,A506,$C:$C,"")&gt;1,"Mais de uma entrada em aberto",IF(AND(C506&lt;&gt;"",C506&lt;B506),"Saída antes da entrada","")))</f>
        <v/>
      </c>
      <c r="F506" s="32">
        <f>IF(OR(A506="",B506=""),"",SUMIFS(Producao!$B:$B,Producao!$A:$A,"&gt;="&amp;B506,Producao!$A:$A,"&lt;"&amp;IF(C506="",TODAY()+1,C506)))</f>
        <v/>
      </c>
    </row>
    <row r="507">
      <c r="A507" s="30" t="n"/>
      <c r="B507" s="31" t="n"/>
      <c r="C507" s="31" t="n"/>
      <c r="D507">
        <f>IF(B507="","",IF(C507="",TODAY(),C507)-B507)</f>
        <v/>
      </c>
      <c r="E507">
        <f>IF(A507="","",IF(COUNTIFS($A:$A,A507,$C:$C,"")&gt;1,"Mais de uma entrada em aberto",IF(AND(C507&lt;&gt;"",C507&lt;B507),"Saída antes da entrada","")))</f>
        <v/>
      </c>
      <c r="F507" s="32">
        <f>IF(OR(A507="",B507=""),"",SUMIFS(Producao!$B:$B,Producao!$A:$A,"&gt;="&amp;B507,Producao!$A:$A,"&lt;"&amp;IF(C507="",TODAY()+1,C507)))</f>
        <v/>
      </c>
    </row>
    <row r="508">
      <c r="A508" s="30" t="n"/>
      <c r="B508" s="31" t="n"/>
      <c r="C508" s="31" t="n"/>
      <c r="D508">
        <f>IF(B508="","",IF(C508="",TODAY(),C508)-B508)</f>
        <v/>
      </c>
      <c r="E508">
        <f>IF(A508="","",IF(COUNTIFS($A:$A,A508,$C:$C,"")&gt;1,"Mais de uma entrada em aberto",IF(AND(C508&lt;&gt;"",C508&lt;B508),"Saída antes da entrada","")))</f>
        <v/>
      </c>
      <c r="F508" s="32">
        <f>IF(OR(A508="",B508=""),"",SUMIFS(Producao!$B:$B,Producao!$A:$A,"&gt;="&amp;B508,Producao!$A:$A,"&lt;"&amp;IF(C508="",TODAY()+1,C508)))</f>
        <v/>
      </c>
    </row>
    <row r="509">
      <c r="A509" s="30" t="n"/>
      <c r="B509" s="31" t="n"/>
      <c r="C509" s="31" t="n"/>
      <c r="D509">
        <f>IF(B509="","",IF(C509="",TODAY(),C509)-B509)</f>
        <v/>
      </c>
      <c r="E509">
        <f>IF(A509="","",IF(COUNTIFS($A:$A,A509,$C:$C,"")&gt;1,"Mais de uma entrada em aberto",IF(AND(C509&lt;&gt;"",C509&lt;B509),"Saída antes da entrada","")))</f>
        <v/>
      </c>
      <c r="F509" s="32">
        <f>IF(OR(A509="",B509=""),"",SUMIFS(Producao!$B:$B,Producao!$A:$A,"&gt;="&amp;B509,Producao!$A:$A,"&lt;"&amp;IF(C509="",TODAY()+1,C509)))</f>
        <v/>
      </c>
    </row>
    <row r="510">
      <c r="A510" s="30" t="n"/>
      <c r="B510" s="31" t="n"/>
      <c r="C510" s="31" t="n"/>
      <c r="D510">
        <f>IF(B510="","",IF(C510="",TODAY(),C510)-B510)</f>
        <v/>
      </c>
      <c r="E510">
        <f>IF(A510="","",IF(COUNTIFS($A:$A,A510,$C:$C,"")&gt;1,"Mais de uma entrada em aberto",IF(AND(C510&lt;&gt;"",C510&lt;B510),"Saída antes da entrada","")))</f>
        <v/>
      </c>
      <c r="F510" s="32">
        <f>IF(OR(A510="",B510=""),"",SUMIFS(Producao!$B:$B,Producao!$A:$A,"&gt;="&amp;B510,Producao!$A:$A,"&lt;"&amp;IF(C510="",TODAY()+1,C510)))</f>
        <v/>
      </c>
    </row>
    <row r="511">
      <c r="A511" s="30" t="n"/>
      <c r="B511" s="31" t="n"/>
      <c r="C511" s="31" t="n"/>
      <c r="D511">
        <f>IF(B511="","",IF(C511="",TODAY(),C511)-B511)</f>
        <v/>
      </c>
      <c r="E511">
        <f>IF(A511="","",IF(COUNTIFS($A:$A,A511,$C:$C,"")&gt;1,"Mais de uma entrada em aberto",IF(AND(C511&lt;&gt;"",C511&lt;B511),"Saída antes da entrada","")))</f>
        <v/>
      </c>
      <c r="F511" s="32">
        <f>IF(OR(A511="",B511=""),"",SUMIFS(Producao!$B:$B,Producao!$A:$A,"&gt;="&amp;B511,Producao!$A:$A,"&lt;"&amp;IF(C511="",TODAY()+1,C511)))</f>
        <v/>
      </c>
    </row>
    <row r="512">
      <c r="A512" s="30" t="n"/>
      <c r="B512" s="31" t="n"/>
      <c r="C512" s="31" t="n"/>
      <c r="D512">
        <f>IF(B512="","",IF(C512="",TODAY(),C512)-B512)</f>
        <v/>
      </c>
      <c r="E512">
        <f>IF(A512="","",IF(COUNTIFS($A:$A,A512,$C:$C,"")&gt;1,"Mais de uma entrada em aberto",IF(AND(C512&lt;&gt;"",C512&lt;B512),"Saída antes da entrada","")))</f>
        <v/>
      </c>
      <c r="F512" s="32">
        <f>IF(OR(A512="",B512=""),"",SUMIFS(Producao!$B:$B,Producao!$A:$A,"&gt;="&amp;B512,Producao!$A:$A,"&lt;"&amp;IF(C512="",TODAY()+1,C512)))</f>
        <v/>
      </c>
    </row>
    <row r="513">
      <c r="A513" s="30" t="n"/>
      <c r="B513" s="31" t="n"/>
      <c r="C513" s="31" t="n"/>
      <c r="D513">
        <f>IF(B513="","",IF(C513="",TODAY(),C513)-B513)</f>
        <v/>
      </c>
      <c r="E513">
        <f>IF(A513="","",IF(COUNTIFS($A:$A,A513,$C:$C,"")&gt;1,"Mais de uma entrada em aberto",IF(AND(C513&lt;&gt;"",C513&lt;B513),"Saída antes da entrada","")))</f>
        <v/>
      </c>
      <c r="F513" s="32">
        <f>IF(OR(A513="",B513=""),"",SUMIFS(Producao!$B:$B,Producao!$A:$A,"&gt;="&amp;B513,Producao!$A:$A,"&lt;"&amp;IF(C513="",TODAY()+1,C513)))</f>
        <v/>
      </c>
    </row>
    <row r="514">
      <c r="A514" s="30" t="n"/>
      <c r="B514" s="31" t="n"/>
      <c r="C514" s="31" t="n"/>
      <c r="D514">
        <f>IF(B514="","",IF(C514="",TODAY(),C514)-B514)</f>
        <v/>
      </c>
      <c r="E514">
        <f>IF(A514="","",IF(COUNTIFS($A:$A,A514,$C:$C,"")&gt;1,"Mais de uma entrada em aberto",IF(AND(C514&lt;&gt;"",C514&lt;B514),"Saída antes da entrada","")))</f>
        <v/>
      </c>
      <c r="F514" s="32">
        <f>IF(OR(A514="",B514=""),"",SUMIFS(Producao!$B:$B,Producao!$A:$A,"&gt;="&amp;B514,Producao!$A:$A,"&lt;"&amp;IF(C514="",TODAY()+1,C514)))</f>
        <v/>
      </c>
    </row>
    <row r="515">
      <c r="A515" s="30" t="n"/>
      <c r="B515" s="31" t="n"/>
      <c r="C515" s="31" t="n"/>
      <c r="D515">
        <f>IF(B515="","",IF(C515="",TODAY(),C515)-B515)</f>
        <v/>
      </c>
      <c r="E515">
        <f>IF(A515="","",IF(COUNTIFS($A:$A,A515,$C:$C,"")&gt;1,"Mais de uma entrada em aberto",IF(AND(C515&lt;&gt;"",C515&lt;B515),"Saída antes da entrada","")))</f>
        <v/>
      </c>
      <c r="F515" s="32">
        <f>IF(OR(A515="",B515=""),"",SUMIFS(Producao!$B:$B,Producao!$A:$A,"&gt;="&amp;B515,Producao!$A:$A,"&lt;"&amp;IF(C515="",TODAY()+1,C515)))</f>
        <v/>
      </c>
    </row>
    <row r="516">
      <c r="A516" s="30" t="n"/>
      <c r="B516" s="31" t="n"/>
      <c r="C516" s="31" t="n"/>
      <c r="D516">
        <f>IF(B516="","",IF(C516="",TODAY(),C516)-B516)</f>
        <v/>
      </c>
      <c r="E516">
        <f>IF(A516="","",IF(COUNTIFS($A:$A,A516,$C:$C,"")&gt;1,"Mais de uma entrada em aberto",IF(AND(C516&lt;&gt;"",C516&lt;B516),"Saída antes da entrada","")))</f>
        <v/>
      </c>
      <c r="F516" s="32">
        <f>IF(OR(A516="",B516=""),"",SUMIFS(Producao!$B:$B,Producao!$A:$A,"&gt;="&amp;B516,Producao!$A:$A,"&lt;"&amp;IF(C516="",TODAY()+1,C516)))</f>
        <v/>
      </c>
    </row>
    <row r="517">
      <c r="A517" s="30" t="n"/>
      <c r="B517" s="31" t="n"/>
      <c r="C517" s="31" t="n"/>
      <c r="D517">
        <f>IF(B517="","",IF(C517="",TODAY(),C517)-B517)</f>
        <v/>
      </c>
      <c r="E517">
        <f>IF(A517="","",IF(COUNTIFS($A:$A,A517,$C:$C,"")&gt;1,"Mais de uma entrada em aberto",IF(AND(C517&lt;&gt;"",C517&lt;B517),"Saída antes da entrada","")))</f>
        <v/>
      </c>
      <c r="F517" s="32">
        <f>IF(OR(A517="",B517=""),"",SUMIFS(Producao!$B:$B,Producao!$A:$A,"&gt;="&amp;B517,Producao!$A:$A,"&lt;"&amp;IF(C517="",TODAY()+1,C517)))</f>
        <v/>
      </c>
    </row>
    <row r="518">
      <c r="A518" s="30" t="n"/>
      <c r="B518" s="31" t="n"/>
      <c r="C518" s="31" t="n"/>
      <c r="D518">
        <f>IF(B518="","",IF(C518="",TODAY(),C518)-B518)</f>
        <v/>
      </c>
      <c r="E518">
        <f>IF(A518="","",IF(COUNTIFS($A:$A,A518,$C:$C,"")&gt;1,"Mais de uma entrada em aberto",IF(AND(C518&lt;&gt;"",C518&lt;B518),"Saída antes da entrada","")))</f>
        <v/>
      </c>
      <c r="F518" s="32">
        <f>IF(OR(A518="",B518=""),"",SUMIFS(Producao!$B:$B,Producao!$A:$A,"&gt;="&amp;B518,Producao!$A:$A,"&lt;"&amp;IF(C518="",TODAY()+1,C518)))</f>
        <v/>
      </c>
    </row>
    <row r="519">
      <c r="A519" s="30" t="n"/>
      <c r="B519" s="31" t="n"/>
      <c r="C519" s="31" t="n"/>
      <c r="D519">
        <f>IF(B519="","",IF(C519="",TODAY(),C519)-B519)</f>
        <v/>
      </c>
      <c r="E519">
        <f>IF(A519="","",IF(COUNTIFS($A:$A,A519,$C:$C,"")&gt;1,"Mais de uma entrada em aberto",IF(AND(C519&lt;&gt;"",C519&lt;B519),"Saída antes da entrada","")))</f>
        <v/>
      </c>
      <c r="F519" s="32">
        <f>IF(OR(A519="",B519=""),"",SUMIFS(Producao!$B:$B,Producao!$A:$A,"&gt;="&amp;B519,Producao!$A:$A,"&lt;"&amp;IF(C519="",TODAY()+1,C519)))</f>
        <v/>
      </c>
    </row>
    <row r="520">
      <c r="A520" s="30" t="n"/>
      <c r="B520" s="31" t="n"/>
      <c r="C520" s="31" t="n"/>
      <c r="D520">
        <f>IF(B520="","",IF(C520="",TODAY(),C520)-B520)</f>
        <v/>
      </c>
      <c r="E520">
        <f>IF(A520="","",IF(COUNTIFS($A:$A,A520,$C:$C,"")&gt;1,"Mais de uma entrada em aberto",IF(AND(C520&lt;&gt;"",C520&lt;B520),"Saída antes da entrada","")))</f>
        <v/>
      </c>
      <c r="F520" s="32">
        <f>IF(OR(A520="",B520=""),"",SUMIFS(Producao!$B:$B,Producao!$A:$A,"&gt;="&amp;B520,Producao!$A:$A,"&lt;"&amp;IF(C520="",TODAY()+1,C520)))</f>
        <v/>
      </c>
    </row>
    <row r="521">
      <c r="A521" s="30" t="n"/>
      <c r="B521" s="31" t="n"/>
      <c r="C521" s="31" t="n"/>
      <c r="D521">
        <f>IF(B521="","",IF(C521="",TODAY(),C521)-B521)</f>
        <v/>
      </c>
      <c r="E521">
        <f>IF(A521="","",IF(COUNTIFS($A:$A,A521,$C:$C,"")&gt;1,"Mais de uma entrada em aberto",IF(AND(C521&lt;&gt;"",C521&lt;B521),"Saída antes da entrada","")))</f>
        <v/>
      </c>
      <c r="F521" s="32">
        <f>IF(OR(A521="",B521=""),"",SUMIFS(Producao!$B:$B,Producao!$A:$A,"&gt;="&amp;B521,Producao!$A:$A,"&lt;"&amp;IF(C521="",TODAY()+1,C521)))</f>
        <v/>
      </c>
    </row>
    <row r="522">
      <c r="A522" s="30" t="n"/>
      <c r="B522" s="31" t="n"/>
      <c r="C522" s="31" t="n"/>
      <c r="D522">
        <f>IF(B522="","",IF(C522="",TODAY(),C522)-B522)</f>
        <v/>
      </c>
      <c r="E522">
        <f>IF(A522="","",IF(COUNTIFS($A:$A,A522,$C:$C,"")&gt;1,"Mais de uma entrada em aberto",IF(AND(C522&lt;&gt;"",C522&lt;B522),"Saída antes da entrada","")))</f>
        <v/>
      </c>
      <c r="F522" s="32">
        <f>IF(OR(A522="",B522=""),"",SUMIFS(Producao!$B:$B,Producao!$A:$A,"&gt;="&amp;B522,Producao!$A:$A,"&lt;"&amp;IF(C522="",TODAY()+1,C522)))</f>
        <v/>
      </c>
    </row>
    <row r="523">
      <c r="A523" s="30" t="n"/>
      <c r="B523" s="31" t="n"/>
      <c r="C523" s="31" t="n"/>
      <c r="D523">
        <f>IF(B523="","",IF(C523="",TODAY(),C523)-B523)</f>
        <v/>
      </c>
      <c r="E523">
        <f>IF(A523="","",IF(COUNTIFS($A:$A,A523,$C:$C,"")&gt;1,"Mais de uma entrada em aberto",IF(AND(C523&lt;&gt;"",C523&lt;B523),"Saída antes da entrada","")))</f>
        <v/>
      </c>
      <c r="F523" s="32">
        <f>IF(OR(A523="",B523=""),"",SUMIFS(Producao!$B:$B,Producao!$A:$A,"&gt;="&amp;B523,Producao!$A:$A,"&lt;"&amp;IF(C523="",TODAY()+1,C523)))</f>
        <v/>
      </c>
    </row>
    <row r="524">
      <c r="A524" s="30" t="n"/>
      <c r="B524" s="31" t="n"/>
      <c r="C524" s="31" t="n"/>
      <c r="D524">
        <f>IF(B524="","",IF(C524="",TODAY(),C524)-B524)</f>
        <v/>
      </c>
      <c r="E524">
        <f>IF(A524="","",IF(COUNTIFS($A:$A,A524,$C:$C,"")&gt;1,"Mais de uma entrada em aberto",IF(AND(C524&lt;&gt;"",C524&lt;B524),"Saída antes da entrada","")))</f>
        <v/>
      </c>
      <c r="F524" s="32">
        <f>IF(OR(A524="",B524=""),"",SUMIFS(Producao!$B:$B,Producao!$A:$A,"&gt;="&amp;B524,Producao!$A:$A,"&lt;"&amp;IF(C524="",TODAY()+1,C524)))</f>
        <v/>
      </c>
    </row>
    <row r="525">
      <c r="A525" s="30" t="n"/>
      <c r="B525" s="31" t="n"/>
      <c r="C525" s="31" t="n"/>
      <c r="D525">
        <f>IF(B525="","",IF(C525="",TODAY(),C525)-B525)</f>
        <v/>
      </c>
      <c r="E525">
        <f>IF(A525="","",IF(COUNTIFS($A:$A,A525,$C:$C,"")&gt;1,"Mais de uma entrada em aberto",IF(AND(C525&lt;&gt;"",C525&lt;B525),"Saída antes da entrada","")))</f>
        <v/>
      </c>
      <c r="F525" s="32">
        <f>IF(OR(A525="",B525=""),"",SUMIFS(Producao!$B:$B,Producao!$A:$A,"&gt;="&amp;B525,Producao!$A:$A,"&lt;"&amp;IF(C525="",TODAY()+1,C525)))</f>
        <v/>
      </c>
    </row>
    <row r="526">
      <c r="A526" s="30" t="n"/>
      <c r="B526" s="31" t="n"/>
      <c r="C526" s="31" t="n"/>
      <c r="D526">
        <f>IF(B526="","",IF(C526="",TODAY(),C526)-B526)</f>
        <v/>
      </c>
      <c r="E526">
        <f>IF(A526="","",IF(COUNTIFS($A:$A,A526,$C:$C,"")&gt;1,"Mais de uma entrada em aberto",IF(AND(C526&lt;&gt;"",C526&lt;B526),"Saída antes da entrada","")))</f>
        <v/>
      </c>
      <c r="F526" s="32">
        <f>IF(OR(A526="",B526=""),"",SUMIFS(Producao!$B:$B,Producao!$A:$A,"&gt;="&amp;B526,Producao!$A:$A,"&lt;"&amp;IF(C526="",TODAY()+1,C526)))</f>
        <v/>
      </c>
    </row>
    <row r="527">
      <c r="A527" s="30" t="n"/>
      <c r="B527" s="31" t="n"/>
      <c r="C527" s="31" t="n"/>
      <c r="D527">
        <f>IF(B527="","",IF(C527="",TODAY(),C527)-B527)</f>
        <v/>
      </c>
      <c r="E527">
        <f>IF(A527="","",IF(COUNTIFS($A:$A,A527,$C:$C,"")&gt;1,"Mais de uma entrada em aberto",IF(AND(C527&lt;&gt;"",C527&lt;B527),"Saída antes da entrada","")))</f>
        <v/>
      </c>
      <c r="F527" s="32">
        <f>IF(OR(A527="",B527=""),"",SUMIFS(Producao!$B:$B,Producao!$A:$A,"&gt;="&amp;B527,Producao!$A:$A,"&lt;"&amp;IF(C527="",TODAY()+1,C527)))</f>
        <v/>
      </c>
    </row>
    <row r="528">
      <c r="A528" s="30" t="n"/>
      <c r="B528" s="31" t="n"/>
      <c r="C528" s="31" t="n"/>
      <c r="D528">
        <f>IF(B528="","",IF(C528="",TODAY(),C528)-B528)</f>
        <v/>
      </c>
      <c r="E528">
        <f>IF(A528="","",IF(COUNTIFS($A:$A,A528,$C:$C,"")&gt;1,"Mais de uma entrada em aberto",IF(AND(C528&lt;&gt;"",C528&lt;B528),"Saída antes da entrada","")))</f>
        <v/>
      </c>
      <c r="F528" s="32">
        <f>IF(OR(A528="",B528=""),"",SUMIFS(Producao!$B:$B,Producao!$A:$A,"&gt;="&amp;B528,Producao!$A:$A,"&lt;"&amp;IF(C528="",TODAY()+1,C528)))</f>
        <v/>
      </c>
    </row>
    <row r="529">
      <c r="A529" s="30" t="n"/>
      <c r="B529" s="31" t="n"/>
      <c r="C529" s="31" t="n"/>
      <c r="D529">
        <f>IF(B529="","",IF(C529="",TODAY(),C529)-B529)</f>
        <v/>
      </c>
      <c r="E529">
        <f>IF(A529="","",IF(COUNTIFS($A:$A,A529,$C:$C,"")&gt;1,"Mais de uma entrada em aberto",IF(AND(C529&lt;&gt;"",C529&lt;B529),"Saída antes da entrada","")))</f>
        <v/>
      </c>
      <c r="F529" s="32">
        <f>IF(OR(A529="",B529=""),"",SUMIFS(Producao!$B:$B,Producao!$A:$A,"&gt;="&amp;B529,Producao!$A:$A,"&lt;"&amp;IF(C529="",TODAY()+1,C529)))</f>
        <v/>
      </c>
    </row>
    <row r="530">
      <c r="A530" s="30" t="n"/>
      <c r="B530" s="31" t="n"/>
      <c r="C530" s="31" t="n"/>
      <c r="D530">
        <f>IF(B530="","",IF(C530="",TODAY(),C530)-B530)</f>
        <v/>
      </c>
      <c r="E530">
        <f>IF(A530="","",IF(COUNTIFS($A:$A,A530,$C:$C,"")&gt;1,"Mais de uma entrada em aberto",IF(AND(C530&lt;&gt;"",C530&lt;B530),"Saída antes da entrada","")))</f>
        <v/>
      </c>
      <c r="F530" s="32">
        <f>IF(OR(A530="",B530=""),"",SUMIFS(Producao!$B:$B,Producao!$A:$A,"&gt;="&amp;B530,Producao!$A:$A,"&lt;"&amp;IF(C530="",TODAY()+1,C530)))</f>
        <v/>
      </c>
    </row>
    <row r="531">
      <c r="A531" s="30" t="n"/>
      <c r="B531" s="31" t="n"/>
      <c r="C531" s="31" t="n"/>
      <c r="D531">
        <f>IF(B531="","",IF(C531="",TODAY(),C531)-B531)</f>
        <v/>
      </c>
      <c r="E531">
        <f>IF(A531="","",IF(COUNTIFS($A:$A,A531,$C:$C,"")&gt;1,"Mais de uma entrada em aberto",IF(AND(C531&lt;&gt;"",C531&lt;B531),"Saída antes da entrada","")))</f>
        <v/>
      </c>
      <c r="F531" s="32">
        <f>IF(OR(A531="",B531=""),"",SUMIFS(Producao!$B:$B,Producao!$A:$A,"&gt;="&amp;B531,Producao!$A:$A,"&lt;"&amp;IF(C531="",TODAY()+1,C531)))</f>
        <v/>
      </c>
    </row>
    <row r="532">
      <c r="A532" s="30" t="n"/>
      <c r="B532" s="31" t="n"/>
      <c r="C532" s="31" t="n"/>
      <c r="D532">
        <f>IF(B532="","",IF(C532="",TODAY(),C532)-B532)</f>
        <v/>
      </c>
      <c r="E532">
        <f>IF(A532="","",IF(COUNTIFS($A:$A,A532,$C:$C,"")&gt;1,"Mais de uma entrada em aberto",IF(AND(C532&lt;&gt;"",C532&lt;B532),"Saída antes da entrada","")))</f>
        <v/>
      </c>
      <c r="F532" s="32">
        <f>IF(OR(A532="",B532=""),"",SUMIFS(Producao!$B:$B,Producao!$A:$A,"&gt;="&amp;B532,Producao!$A:$A,"&lt;"&amp;IF(C532="",TODAY()+1,C532)))</f>
        <v/>
      </c>
    </row>
    <row r="533">
      <c r="A533" s="30" t="n"/>
      <c r="B533" s="31" t="n"/>
      <c r="C533" s="31" t="n"/>
      <c r="D533">
        <f>IF(B533="","",IF(C533="",TODAY(),C533)-B533)</f>
        <v/>
      </c>
      <c r="E533">
        <f>IF(A533="","",IF(COUNTIFS($A:$A,A533,$C:$C,"")&gt;1,"Mais de uma entrada em aberto",IF(AND(C533&lt;&gt;"",C533&lt;B533),"Saída antes da entrada","")))</f>
        <v/>
      </c>
      <c r="F533" s="32">
        <f>IF(OR(A533="",B533=""),"",SUMIFS(Producao!$B:$B,Producao!$A:$A,"&gt;="&amp;B533,Producao!$A:$A,"&lt;"&amp;IF(C533="",TODAY()+1,C533)))</f>
        <v/>
      </c>
    </row>
    <row r="534">
      <c r="A534" s="30" t="n"/>
      <c r="B534" s="31" t="n"/>
      <c r="C534" s="31" t="n"/>
      <c r="D534">
        <f>IF(B534="","",IF(C534="",TODAY(),C534)-B534)</f>
        <v/>
      </c>
      <c r="E534">
        <f>IF(A534="","",IF(COUNTIFS($A:$A,A534,$C:$C,"")&gt;1,"Mais de uma entrada em aberto",IF(AND(C534&lt;&gt;"",C534&lt;B534),"Saída antes da entrada","")))</f>
        <v/>
      </c>
      <c r="F534" s="32">
        <f>IF(OR(A534="",B534=""),"",SUMIFS(Producao!$B:$B,Producao!$A:$A,"&gt;="&amp;B534,Producao!$A:$A,"&lt;"&amp;IF(C534="",TODAY()+1,C534)))</f>
        <v/>
      </c>
    </row>
    <row r="535">
      <c r="A535" s="30" t="n"/>
      <c r="B535" s="31" t="n"/>
      <c r="C535" s="31" t="n"/>
      <c r="D535">
        <f>IF(B535="","",IF(C535="",TODAY(),C535)-B535)</f>
        <v/>
      </c>
      <c r="E535">
        <f>IF(A535="","",IF(COUNTIFS($A:$A,A535,$C:$C,"")&gt;1,"Mais de uma entrada em aberto",IF(AND(C535&lt;&gt;"",C535&lt;B535),"Saída antes da entrada","")))</f>
        <v/>
      </c>
      <c r="F535" s="32">
        <f>IF(OR(A535="",B535=""),"",SUMIFS(Producao!$B:$B,Producao!$A:$A,"&gt;="&amp;B535,Producao!$A:$A,"&lt;"&amp;IF(C535="",TODAY()+1,C535)))</f>
        <v/>
      </c>
    </row>
    <row r="536">
      <c r="A536" s="30" t="n"/>
      <c r="B536" s="31" t="n"/>
      <c r="C536" s="31" t="n"/>
      <c r="D536">
        <f>IF(B536="","",IF(C536="",TODAY(),C536)-B536)</f>
        <v/>
      </c>
      <c r="E536">
        <f>IF(A536="","",IF(COUNTIFS($A:$A,A536,$C:$C,"")&gt;1,"Mais de uma entrada em aberto",IF(AND(C536&lt;&gt;"",C536&lt;B536),"Saída antes da entrada","")))</f>
        <v/>
      </c>
      <c r="F536" s="32">
        <f>IF(OR(A536="",B536=""),"",SUMIFS(Producao!$B:$B,Producao!$A:$A,"&gt;="&amp;B536,Producao!$A:$A,"&lt;"&amp;IF(C536="",TODAY()+1,C536)))</f>
        <v/>
      </c>
    </row>
    <row r="537">
      <c r="A537" s="30" t="n"/>
      <c r="B537" s="31" t="n"/>
      <c r="C537" s="31" t="n"/>
      <c r="D537">
        <f>IF(B537="","",IF(C537="",TODAY(),C537)-B537)</f>
        <v/>
      </c>
      <c r="E537">
        <f>IF(A537="","",IF(COUNTIFS($A:$A,A537,$C:$C,"")&gt;1,"Mais de uma entrada em aberto",IF(AND(C537&lt;&gt;"",C537&lt;B537),"Saída antes da entrada","")))</f>
        <v/>
      </c>
      <c r="F537" s="32">
        <f>IF(OR(A537="",B537=""),"",SUMIFS(Producao!$B:$B,Producao!$A:$A,"&gt;="&amp;B537,Producao!$A:$A,"&lt;"&amp;IF(C537="",TODAY()+1,C537)))</f>
        <v/>
      </c>
    </row>
    <row r="538">
      <c r="A538" s="30" t="n"/>
      <c r="B538" s="31" t="n"/>
      <c r="C538" s="31" t="n"/>
      <c r="D538">
        <f>IF(B538="","",IF(C538="",TODAY(),C538)-B538)</f>
        <v/>
      </c>
      <c r="E538">
        <f>IF(A538="","",IF(COUNTIFS($A:$A,A538,$C:$C,"")&gt;1,"Mais de uma entrada em aberto",IF(AND(C538&lt;&gt;"",C538&lt;B538),"Saída antes da entrada","")))</f>
        <v/>
      </c>
      <c r="F538" s="32">
        <f>IF(OR(A538="",B538=""),"",SUMIFS(Producao!$B:$B,Producao!$A:$A,"&gt;="&amp;B538,Producao!$A:$A,"&lt;"&amp;IF(C538="",TODAY()+1,C538)))</f>
        <v/>
      </c>
    </row>
    <row r="539">
      <c r="A539" s="30" t="n"/>
      <c r="B539" s="31" t="n"/>
      <c r="C539" s="31" t="n"/>
      <c r="D539">
        <f>IF(B539="","",IF(C539="",TODAY(),C539)-B539)</f>
        <v/>
      </c>
      <c r="E539">
        <f>IF(A539="","",IF(COUNTIFS($A:$A,A539,$C:$C,"")&gt;1,"Mais de uma entrada em aberto",IF(AND(C539&lt;&gt;"",C539&lt;B539),"Saída antes da entrada","")))</f>
        <v/>
      </c>
      <c r="F539" s="32">
        <f>IF(OR(A539="",B539=""),"",SUMIFS(Producao!$B:$B,Producao!$A:$A,"&gt;="&amp;B539,Producao!$A:$A,"&lt;"&amp;IF(C539="",TODAY()+1,C539)))</f>
        <v/>
      </c>
    </row>
    <row r="540">
      <c r="A540" s="30" t="n"/>
      <c r="B540" s="31" t="n"/>
      <c r="C540" s="31" t="n"/>
      <c r="D540">
        <f>IF(B540="","",IF(C540="",TODAY(),C540)-B540)</f>
        <v/>
      </c>
      <c r="E540">
        <f>IF(A540="","",IF(COUNTIFS($A:$A,A540,$C:$C,"")&gt;1,"Mais de uma entrada em aberto",IF(AND(C540&lt;&gt;"",C540&lt;B540),"Saída antes da entrada","")))</f>
        <v/>
      </c>
      <c r="F540" s="32">
        <f>IF(OR(A540="",B540=""),"",SUMIFS(Producao!$B:$B,Producao!$A:$A,"&gt;="&amp;B540,Producao!$A:$A,"&lt;"&amp;IF(C540="",TODAY()+1,C540)))</f>
        <v/>
      </c>
    </row>
    <row r="541">
      <c r="A541" s="30" t="n"/>
      <c r="B541" s="31" t="n"/>
      <c r="C541" s="31" t="n"/>
      <c r="D541">
        <f>IF(B541="","",IF(C541="",TODAY(),C541)-B541)</f>
        <v/>
      </c>
      <c r="E541">
        <f>IF(A541="","",IF(COUNTIFS($A:$A,A541,$C:$C,"")&gt;1,"Mais de uma entrada em aberto",IF(AND(C541&lt;&gt;"",C541&lt;B541),"Saída antes da entrada","")))</f>
        <v/>
      </c>
      <c r="F541" s="32">
        <f>IF(OR(A541="",B541=""),"",SUMIFS(Producao!$B:$B,Producao!$A:$A,"&gt;="&amp;B541,Producao!$A:$A,"&lt;"&amp;IF(C541="",TODAY()+1,C541)))</f>
        <v/>
      </c>
    </row>
    <row r="542">
      <c r="A542" s="30" t="n"/>
      <c r="B542" s="31" t="n"/>
      <c r="C542" s="31" t="n"/>
      <c r="D542">
        <f>IF(B542="","",IF(C542="",TODAY(),C542)-B542)</f>
        <v/>
      </c>
      <c r="E542">
        <f>IF(A542="","",IF(COUNTIFS($A:$A,A542,$C:$C,"")&gt;1,"Mais de uma entrada em aberto",IF(AND(C542&lt;&gt;"",C542&lt;B542),"Saída antes da entrada","")))</f>
        <v/>
      </c>
      <c r="F542" s="32">
        <f>IF(OR(A542="",B542=""),"",SUMIFS(Producao!$B:$B,Producao!$A:$A,"&gt;="&amp;B542,Producao!$A:$A,"&lt;"&amp;IF(C542="",TODAY()+1,C542)))</f>
        <v/>
      </c>
    </row>
    <row r="543">
      <c r="A543" s="30" t="n"/>
      <c r="B543" s="31" t="n"/>
      <c r="C543" s="31" t="n"/>
      <c r="D543">
        <f>IF(B543="","",IF(C543="",TODAY(),C543)-B543)</f>
        <v/>
      </c>
      <c r="E543">
        <f>IF(A543="","",IF(COUNTIFS($A:$A,A543,$C:$C,"")&gt;1,"Mais de uma entrada em aberto",IF(AND(C543&lt;&gt;"",C543&lt;B543),"Saída antes da entrada","")))</f>
        <v/>
      </c>
      <c r="F543" s="32">
        <f>IF(OR(A543="",B543=""),"",SUMIFS(Producao!$B:$B,Producao!$A:$A,"&gt;="&amp;B543,Producao!$A:$A,"&lt;"&amp;IF(C543="",TODAY()+1,C543)))</f>
        <v/>
      </c>
    </row>
    <row r="544">
      <c r="A544" s="30" t="n"/>
      <c r="B544" s="31" t="n"/>
      <c r="C544" s="31" t="n"/>
      <c r="D544">
        <f>IF(B544="","",IF(C544="",TODAY(),C544)-B544)</f>
        <v/>
      </c>
      <c r="E544">
        <f>IF(A544="","",IF(COUNTIFS($A:$A,A544,$C:$C,"")&gt;1,"Mais de uma entrada em aberto",IF(AND(C544&lt;&gt;"",C544&lt;B544),"Saída antes da entrada","")))</f>
        <v/>
      </c>
      <c r="F544" s="32">
        <f>IF(OR(A544="",B544=""),"",SUMIFS(Producao!$B:$B,Producao!$A:$A,"&gt;="&amp;B544,Producao!$A:$A,"&lt;"&amp;IF(C544="",TODAY()+1,C544)))</f>
        <v/>
      </c>
    </row>
    <row r="545">
      <c r="A545" s="30" t="n"/>
      <c r="B545" s="31" t="n"/>
      <c r="C545" s="31" t="n"/>
      <c r="D545">
        <f>IF(B545="","",IF(C545="",TODAY(),C545)-B545)</f>
        <v/>
      </c>
      <c r="E545">
        <f>IF(A545="","",IF(COUNTIFS($A:$A,A545,$C:$C,"")&gt;1,"Mais de uma entrada em aberto",IF(AND(C545&lt;&gt;"",C545&lt;B545),"Saída antes da entrada","")))</f>
        <v/>
      </c>
      <c r="F545" s="32">
        <f>IF(OR(A545="",B545=""),"",SUMIFS(Producao!$B:$B,Producao!$A:$A,"&gt;="&amp;B545,Producao!$A:$A,"&lt;"&amp;IF(C545="",TODAY()+1,C545)))</f>
        <v/>
      </c>
    </row>
    <row r="546">
      <c r="A546" s="30" t="n"/>
      <c r="B546" s="31" t="n"/>
      <c r="C546" s="31" t="n"/>
      <c r="D546">
        <f>IF(B546="","",IF(C546="",TODAY(),C546)-B546)</f>
        <v/>
      </c>
      <c r="E546">
        <f>IF(A546="","",IF(COUNTIFS($A:$A,A546,$C:$C,"")&gt;1,"Mais de uma entrada em aberto",IF(AND(C546&lt;&gt;"",C546&lt;B546),"Saída antes da entrada","")))</f>
        <v/>
      </c>
      <c r="F546" s="32">
        <f>IF(OR(A546="",B546=""),"",SUMIFS(Producao!$B:$B,Producao!$A:$A,"&gt;="&amp;B546,Producao!$A:$A,"&lt;"&amp;IF(C546="",TODAY()+1,C546)))</f>
        <v/>
      </c>
    </row>
    <row r="547">
      <c r="A547" s="30" t="n"/>
      <c r="B547" s="31" t="n"/>
      <c r="C547" s="31" t="n"/>
      <c r="D547">
        <f>IF(B547="","",IF(C547="",TODAY(),C547)-B547)</f>
        <v/>
      </c>
      <c r="E547">
        <f>IF(A547="","",IF(COUNTIFS($A:$A,A547,$C:$C,"")&gt;1,"Mais de uma entrada em aberto",IF(AND(C547&lt;&gt;"",C547&lt;B547),"Saída antes da entrada","")))</f>
        <v/>
      </c>
      <c r="F547" s="32">
        <f>IF(OR(A547="",B547=""),"",SUMIFS(Producao!$B:$B,Producao!$A:$A,"&gt;="&amp;B547,Producao!$A:$A,"&lt;"&amp;IF(C547="",TODAY()+1,C547)))</f>
        <v/>
      </c>
    </row>
    <row r="548">
      <c r="A548" s="30" t="n"/>
      <c r="B548" s="31" t="n"/>
      <c r="C548" s="31" t="n"/>
      <c r="D548">
        <f>IF(B548="","",IF(C548="",TODAY(),C548)-B548)</f>
        <v/>
      </c>
      <c r="E548">
        <f>IF(A548="","",IF(COUNTIFS($A:$A,A548,$C:$C,"")&gt;1,"Mais de uma entrada em aberto",IF(AND(C548&lt;&gt;"",C548&lt;B548),"Saída antes da entrada","")))</f>
        <v/>
      </c>
      <c r="F548" s="32">
        <f>IF(OR(A548="",B548=""),"",SUMIFS(Producao!$B:$B,Producao!$A:$A,"&gt;="&amp;B548,Producao!$A:$A,"&lt;"&amp;IF(C548="",TODAY()+1,C548)))</f>
        <v/>
      </c>
    </row>
    <row r="549">
      <c r="A549" s="30" t="n"/>
      <c r="B549" s="31" t="n"/>
      <c r="C549" s="31" t="n"/>
      <c r="D549">
        <f>IF(B549="","",IF(C549="",TODAY(),C549)-B549)</f>
        <v/>
      </c>
      <c r="E549">
        <f>IF(A549="","",IF(COUNTIFS($A:$A,A549,$C:$C,"")&gt;1,"Mais de uma entrada em aberto",IF(AND(C549&lt;&gt;"",C549&lt;B549),"Saída antes da entrada","")))</f>
        <v/>
      </c>
      <c r="F549" s="32">
        <f>IF(OR(A549="",B549=""),"",SUMIFS(Producao!$B:$B,Producao!$A:$A,"&gt;="&amp;B549,Producao!$A:$A,"&lt;"&amp;IF(C549="",TODAY()+1,C549)))</f>
        <v/>
      </c>
    </row>
    <row r="550">
      <c r="A550" s="30" t="n"/>
      <c r="B550" s="31" t="n"/>
      <c r="C550" s="31" t="n"/>
      <c r="D550">
        <f>IF(B550="","",IF(C550="",TODAY(),C550)-B550)</f>
        <v/>
      </c>
      <c r="E550">
        <f>IF(A550="","",IF(COUNTIFS($A:$A,A550,$C:$C,"")&gt;1,"Mais de uma entrada em aberto",IF(AND(C550&lt;&gt;"",C550&lt;B550),"Saída antes da entrada","")))</f>
        <v/>
      </c>
      <c r="F550" s="32">
        <f>IF(OR(A550="",B550=""),"",SUMIFS(Producao!$B:$B,Producao!$A:$A,"&gt;="&amp;B550,Producao!$A:$A,"&lt;"&amp;IF(C550="",TODAY()+1,C550)))</f>
        <v/>
      </c>
    </row>
    <row r="551">
      <c r="A551" s="30" t="n"/>
      <c r="B551" s="31" t="n"/>
      <c r="C551" s="31" t="n"/>
      <c r="D551">
        <f>IF(B551="","",IF(C551="",TODAY(),C551)-B551)</f>
        <v/>
      </c>
      <c r="E551">
        <f>IF(A551="","",IF(COUNTIFS($A:$A,A551,$C:$C,"")&gt;1,"Mais de uma entrada em aberto",IF(AND(C551&lt;&gt;"",C551&lt;B551),"Saída antes da entrada","")))</f>
        <v/>
      </c>
      <c r="F551" s="32">
        <f>IF(OR(A551="",B551=""),"",SUMIFS(Producao!$B:$B,Producao!$A:$A,"&gt;="&amp;B551,Producao!$A:$A,"&lt;"&amp;IF(C551="",TODAY()+1,C551)))</f>
        <v/>
      </c>
    </row>
    <row r="552">
      <c r="A552" s="30" t="n"/>
      <c r="B552" s="31" t="n"/>
      <c r="C552" s="31" t="n"/>
      <c r="D552">
        <f>IF(B552="","",IF(C552="",TODAY(),C552)-B552)</f>
        <v/>
      </c>
      <c r="E552">
        <f>IF(A552="","",IF(COUNTIFS($A:$A,A552,$C:$C,"")&gt;1,"Mais de uma entrada em aberto",IF(AND(C552&lt;&gt;"",C552&lt;B552),"Saída antes da entrada","")))</f>
        <v/>
      </c>
      <c r="F552" s="32">
        <f>IF(OR(A552="",B552=""),"",SUMIFS(Producao!$B:$B,Producao!$A:$A,"&gt;="&amp;B552,Producao!$A:$A,"&lt;"&amp;IF(C552="",TODAY()+1,C552)))</f>
        <v/>
      </c>
    </row>
    <row r="553">
      <c r="A553" s="30" t="n"/>
      <c r="B553" s="31" t="n"/>
      <c r="C553" s="31" t="n"/>
      <c r="D553">
        <f>IF(B553="","",IF(C553="",TODAY(),C553)-B553)</f>
        <v/>
      </c>
      <c r="E553">
        <f>IF(A553="","",IF(COUNTIFS($A:$A,A553,$C:$C,"")&gt;1,"Mais de uma entrada em aberto",IF(AND(C553&lt;&gt;"",C553&lt;B553),"Saída antes da entrada","")))</f>
        <v/>
      </c>
      <c r="F553" s="32">
        <f>IF(OR(A553="",B553=""),"",SUMIFS(Producao!$B:$B,Producao!$A:$A,"&gt;="&amp;B553,Producao!$A:$A,"&lt;"&amp;IF(C553="",TODAY()+1,C553)))</f>
        <v/>
      </c>
    </row>
    <row r="554">
      <c r="A554" s="30" t="n"/>
      <c r="B554" s="31" t="n"/>
      <c r="C554" s="31" t="n"/>
      <c r="D554">
        <f>IF(B554="","",IF(C554="",TODAY(),C554)-B554)</f>
        <v/>
      </c>
      <c r="E554">
        <f>IF(A554="","",IF(COUNTIFS($A:$A,A554,$C:$C,"")&gt;1,"Mais de uma entrada em aberto",IF(AND(C554&lt;&gt;"",C554&lt;B554),"Saída antes da entrada","")))</f>
        <v/>
      </c>
      <c r="F554" s="32">
        <f>IF(OR(A554="",B554=""),"",SUMIFS(Producao!$B:$B,Producao!$A:$A,"&gt;="&amp;B554,Producao!$A:$A,"&lt;"&amp;IF(C554="",TODAY()+1,C554)))</f>
        <v/>
      </c>
    </row>
    <row r="555">
      <c r="A555" s="30" t="n"/>
      <c r="B555" s="31" t="n"/>
      <c r="C555" s="31" t="n"/>
      <c r="D555">
        <f>IF(B555="","",IF(C555="",TODAY(),C555)-B555)</f>
        <v/>
      </c>
      <c r="E555">
        <f>IF(A555="","",IF(COUNTIFS($A:$A,A555,$C:$C,"")&gt;1,"Mais de uma entrada em aberto",IF(AND(C555&lt;&gt;"",C555&lt;B555),"Saída antes da entrada","")))</f>
        <v/>
      </c>
      <c r="F555" s="32">
        <f>IF(OR(A555="",B555=""),"",SUMIFS(Producao!$B:$B,Producao!$A:$A,"&gt;="&amp;B555,Producao!$A:$A,"&lt;"&amp;IF(C555="",TODAY()+1,C555)))</f>
        <v/>
      </c>
    </row>
    <row r="556">
      <c r="A556" s="30" t="n"/>
      <c r="B556" s="31" t="n"/>
      <c r="C556" s="31" t="n"/>
      <c r="D556">
        <f>IF(B556="","",IF(C556="",TODAY(),C556)-B556)</f>
        <v/>
      </c>
      <c r="E556">
        <f>IF(A556="","",IF(COUNTIFS($A:$A,A556,$C:$C,"")&gt;1,"Mais de uma entrada em aberto",IF(AND(C556&lt;&gt;"",C556&lt;B556),"Saída antes da entrada","")))</f>
        <v/>
      </c>
      <c r="F556" s="32">
        <f>IF(OR(A556="",B556=""),"",SUMIFS(Producao!$B:$B,Producao!$A:$A,"&gt;="&amp;B556,Producao!$A:$A,"&lt;"&amp;IF(C556="",TODAY()+1,C556)))</f>
        <v/>
      </c>
    </row>
    <row r="557">
      <c r="A557" s="30" t="n"/>
      <c r="B557" s="31" t="n"/>
      <c r="C557" s="31" t="n"/>
      <c r="D557">
        <f>IF(B557="","",IF(C557="",TODAY(),C557)-B557)</f>
        <v/>
      </c>
      <c r="E557">
        <f>IF(A557="","",IF(COUNTIFS($A:$A,A557,$C:$C,"")&gt;1,"Mais de uma entrada em aberto",IF(AND(C557&lt;&gt;"",C557&lt;B557),"Saída antes da entrada","")))</f>
        <v/>
      </c>
      <c r="F557" s="32">
        <f>IF(OR(A557="",B557=""),"",SUMIFS(Producao!$B:$B,Producao!$A:$A,"&gt;="&amp;B557,Producao!$A:$A,"&lt;"&amp;IF(C557="",TODAY()+1,C557)))</f>
        <v/>
      </c>
    </row>
    <row r="558">
      <c r="A558" s="30" t="n"/>
      <c r="B558" s="31" t="n"/>
      <c r="C558" s="31" t="n"/>
      <c r="D558">
        <f>IF(B558="","",IF(C558="",TODAY(),C558)-B558)</f>
        <v/>
      </c>
      <c r="E558">
        <f>IF(A558="","",IF(COUNTIFS($A:$A,A558,$C:$C,"")&gt;1,"Mais de uma entrada em aberto",IF(AND(C558&lt;&gt;"",C558&lt;B558),"Saída antes da entrada","")))</f>
        <v/>
      </c>
      <c r="F558" s="32">
        <f>IF(OR(A558="",B558=""),"",SUMIFS(Producao!$B:$B,Producao!$A:$A,"&gt;="&amp;B558,Producao!$A:$A,"&lt;"&amp;IF(C558="",TODAY()+1,C558)))</f>
        <v/>
      </c>
    </row>
    <row r="559">
      <c r="A559" s="30" t="n"/>
      <c r="B559" s="31" t="n"/>
      <c r="C559" s="31" t="n"/>
      <c r="D559">
        <f>IF(B559="","",IF(C559="",TODAY(),C559)-B559)</f>
        <v/>
      </c>
      <c r="E559">
        <f>IF(A559="","",IF(COUNTIFS($A:$A,A559,$C:$C,"")&gt;1,"Mais de uma entrada em aberto",IF(AND(C559&lt;&gt;"",C559&lt;B559),"Saída antes da entrada","")))</f>
        <v/>
      </c>
      <c r="F559" s="32">
        <f>IF(OR(A559="",B559=""),"",SUMIFS(Producao!$B:$B,Producao!$A:$A,"&gt;="&amp;B559,Producao!$A:$A,"&lt;"&amp;IF(C559="",TODAY()+1,C559)))</f>
        <v/>
      </c>
    </row>
    <row r="560">
      <c r="A560" s="30" t="n"/>
      <c r="B560" s="31" t="n"/>
      <c r="C560" s="31" t="n"/>
      <c r="D560">
        <f>IF(B560="","",IF(C560="",TODAY(),C560)-B560)</f>
        <v/>
      </c>
      <c r="E560">
        <f>IF(A560="","",IF(COUNTIFS($A:$A,A560,$C:$C,"")&gt;1,"Mais de uma entrada em aberto",IF(AND(C560&lt;&gt;"",C560&lt;B560),"Saída antes da entrada","")))</f>
        <v/>
      </c>
      <c r="F560" s="32">
        <f>IF(OR(A560="",B560=""),"",SUMIFS(Producao!$B:$B,Producao!$A:$A,"&gt;="&amp;B560,Producao!$A:$A,"&lt;"&amp;IF(C560="",TODAY()+1,C560)))</f>
        <v/>
      </c>
    </row>
    <row r="561">
      <c r="A561" s="30" t="n"/>
      <c r="B561" s="31" t="n"/>
      <c r="C561" s="31" t="n"/>
      <c r="D561">
        <f>IF(B561="","",IF(C561="",TODAY(),C561)-B561)</f>
        <v/>
      </c>
      <c r="E561">
        <f>IF(A561="","",IF(COUNTIFS($A:$A,A561,$C:$C,"")&gt;1,"Mais de uma entrada em aberto",IF(AND(C561&lt;&gt;"",C561&lt;B561),"Saída antes da entrada","")))</f>
        <v/>
      </c>
      <c r="F561" s="32">
        <f>IF(OR(A561="",B561=""),"",SUMIFS(Producao!$B:$B,Producao!$A:$A,"&gt;="&amp;B561,Producao!$A:$A,"&lt;"&amp;IF(C561="",TODAY()+1,C561)))</f>
        <v/>
      </c>
    </row>
    <row r="562">
      <c r="A562" s="30" t="n"/>
      <c r="B562" s="31" t="n"/>
      <c r="C562" s="31" t="n"/>
      <c r="D562">
        <f>IF(B562="","",IF(C562="",TODAY(),C562)-B562)</f>
        <v/>
      </c>
      <c r="E562">
        <f>IF(A562="","",IF(COUNTIFS($A:$A,A562,$C:$C,"")&gt;1,"Mais de uma entrada em aberto",IF(AND(C562&lt;&gt;"",C562&lt;B562),"Saída antes da entrada","")))</f>
        <v/>
      </c>
      <c r="F562" s="32">
        <f>IF(OR(A562="",B562=""),"",SUMIFS(Producao!$B:$B,Producao!$A:$A,"&gt;="&amp;B562,Producao!$A:$A,"&lt;"&amp;IF(C562="",TODAY()+1,C562)))</f>
        <v/>
      </c>
    </row>
    <row r="563">
      <c r="A563" s="30" t="n"/>
      <c r="B563" s="31" t="n"/>
      <c r="C563" s="31" t="n"/>
      <c r="D563">
        <f>IF(B563="","",IF(C563="",TODAY(),C563)-B563)</f>
        <v/>
      </c>
      <c r="E563">
        <f>IF(A563="","",IF(COUNTIFS($A:$A,A563,$C:$C,"")&gt;1,"Mais de uma entrada em aberto",IF(AND(C563&lt;&gt;"",C563&lt;B563),"Saída antes da entrada","")))</f>
        <v/>
      </c>
      <c r="F563" s="32">
        <f>IF(OR(A563="",B563=""),"",SUMIFS(Producao!$B:$B,Producao!$A:$A,"&gt;="&amp;B563,Producao!$A:$A,"&lt;"&amp;IF(C563="",TODAY()+1,C563)))</f>
        <v/>
      </c>
    </row>
    <row r="564">
      <c r="A564" s="30" t="n"/>
      <c r="B564" s="31" t="n"/>
      <c r="C564" s="31" t="n"/>
      <c r="D564">
        <f>IF(B564="","",IF(C564="",TODAY(),C564)-B564)</f>
        <v/>
      </c>
      <c r="E564">
        <f>IF(A564="","",IF(COUNTIFS($A:$A,A564,$C:$C,"")&gt;1,"Mais de uma entrada em aberto",IF(AND(C564&lt;&gt;"",C564&lt;B564),"Saída antes da entrada","")))</f>
        <v/>
      </c>
      <c r="F564" s="32">
        <f>IF(OR(A564="",B564=""),"",SUMIFS(Producao!$B:$B,Producao!$A:$A,"&gt;="&amp;B564,Producao!$A:$A,"&lt;"&amp;IF(C564="",TODAY()+1,C564)))</f>
        <v/>
      </c>
    </row>
    <row r="565">
      <c r="A565" s="30" t="n"/>
      <c r="B565" s="31" t="n"/>
      <c r="C565" s="31" t="n"/>
      <c r="D565">
        <f>IF(B565="","",IF(C565="",TODAY(),C565)-B565)</f>
        <v/>
      </c>
      <c r="E565">
        <f>IF(A565="","",IF(COUNTIFS($A:$A,A565,$C:$C,"")&gt;1,"Mais de uma entrada em aberto",IF(AND(C565&lt;&gt;"",C565&lt;B565),"Saída antes da entrada","")))</f>
        <v/>
      </c>
      <c r="F565" s="32">
        <f>IF(OR(A565="",B565=""),"",SUMIFS(Producao!$B:$B,Producao!$A:$A,"&gt;="&amp;B565,Producao!$A:$A,"&lt;"&amp;IF(C565="",TODAY()+1,C565)))</f>
        <v/>
      </c>
    </row>
    <row r="566">
      <c r="A566" s="30" t="n"/>
      <c r="B566" s="31" t="n"/>
      <c r="C566" s="31" t="n"/>
      <c r="D566">
        <f>IF(B566="","",IF(C566="",TODAY(),C566)-B566)</f>
        <v/>
      </c>
      <c r="E566">
        <f>IF(A566="","",IF(COUNTIFS($A:$A,A566,$C:$C,"")&gt;1,"Mais de uma entrada em aberto",IF(AND(C566&lt;&gt;"",C566&lt;B566),"Saída antes da entrada","")))</f>
        <v/>
      </c>
      <c r="F566" s="32">
        <f>IF(OR(A566="",B566=""),"",SUMIFS(Producao!$B:$B,Producao!$A:$A,"&gt;="&amp;B566,Producao!$A:$A,"&lt;"&amp;IF(C566="",TODAY()+1,C566)))</f>
        <v/>
      </c>
    </row>
    <row r="567">
      <c r="A567" s="30" t="n"/>
      <c r="B567" s="31" t="n"/>
      <c r="C567" s="31" t="n"/>
      <c r="D567">
        <f>IF(B567="","",IF(C567="",TODAY(),C567)-B567)</f>
        <v/>
      </c>
      <c r="E567">
        <f>IF(A567="","",IF(COUNTIFS($A:$A,A567,$C:$C,"")&gt;1,"Mais de uma entrada em aberto",IF(AND(C567&lt;&gt;"",C567&lt;B567),"Saída antes da entrada","")))</f>
        <v/>
      </c>
      <c r="F567" s="32">
        <f>IF(OR(A567="",B567=""),"",SUMIFS(Producao!$B:$B,Producao!$A:$A,"&gt;="&amp;B567,Producao!$A:$A,"&lt;"&amp;IF(C567="",TODAY()+1,C567)))</f>
        <v/>
      </c>
    </row>
    <row r="568">
      <c r="A568" s="30" t="n"/>
      <c r="B568" s="31" t="n"/>
      <c r="C568" s="31" t="n"/>
      <c r="D568">
        <f>IF(B568="","",IF(C568="",TODAY(),C568)-B568)</f>
        <v/>
      </c>
      <c r="E568">
        <f>IF(A568="","",IF(COUNTIFS($A:$A,A568,$C:$C,"")&gt;1,"Mais de uma entrada em aberto",IF(AND(C568&lt;&gt;"",C568&lt;B568),"Saída antes da entrada","")))</f>
        <v/>
      </c>
      <c r="F568" s="32">
        <f>IF(OR(A568="",B568=""),"",SUMIFS(Producao!$B:$B,Producao!$A:$A,"&gt;="&amp;B568,Producao!$A:$A,"&lt;"&amp;IF(C568="",TODAY()+1,C568)))</f>
        <v/>
      </c>
    </row>
    <row r="569">
      <c r="A569" s="30" t="n"/>
      <c r="B569" s="31" t="n"/>
      <c r="C569" s="31" t="n"/>
      <c r="D569">
        <f>IF(B569="","",IF(C569="",TODAY(),C569)-B569)</f>
        <v/>
      </c>
      <c r="E569">
        <f>IF(A569="","",IF(COUNTIFS($A:$A,A569,$C:$C,"")&gt;1,"Mais de uma entrada em aberto",IF(AND(C569&lt;&gt;"",C569&lt;B569),"Saída antes da entrada","")))</f>
        <v/>
      </c>
      <c r="F569" s="32">
        <f>IF(OR(A569="",B569=""),"",SUMIFS(Producao!$B:$B,Producao!$A:$A,"&gt;="&amp;B569,Producao!$A:$A,"&lt;"&amp;IF(C569="",TODAY()+1,C569)))</f>
        <v/>
      </c>
    </row>
    <row r="570">
      <c r="A570" s="30" t="n"/>
      <c r="B570" s="31" t="n"/>
      <c r="C570" s="31" t="n"/>
      <c r="D570">
        <f>IF(B570="","",IF(C570="",TODAY(),C570)-B570)</f>
        <v/>
      </c>
      <c r="E570">
        <f>IF(A570="","",IF(COUNTIFS($A:$A,A570,$C:$C,"")&gt;1,"Mais de uma entrada em aberto",IF(AND(C570&lt;&gt;"",C570&lt;B570),"Saída antes da entrada","")))</f>
        <v/>
      </c>
      <c r="F570" s="32">
        <f>IF(OR(A570="",B570=""),"",SUMIFS(Producao!$B:$B,Producao!$A:$A,"&gt;="&amp;B570,Producao!$A:$A,"&lt;"&amp;IF(C570="",TODAY()+1,C570)))</f>
        <v/>
      </c>
    </row>
    <row r="571">
      <c r="A571" s="30" t="n"/>
      <c r="B571" s="31" t="n"/>
      <c r="C571" s="31" t="n"/>
      <c r="D571">
        <f>IF(B571="","",IF(C571="",TODAY(),C571)-B571)</f>
        <v/>
      </c>
      <c r="E571">
        <f>IF(A571="","",IF(COUNTIFS($A:$A,A571,$C:$C,"")&gt;1,"Mais de uma entrada em aberto",IF(AND(C571&lt;&gt;"",C571&lt;B571),"Saída antes da entrada","")))</f>
        <v/>
      </c>
      <c r="F571" s="32">
        <f>IF(OR(A571="",B571=""),"",SUMIFS(Producao!$B:$B,Producao!$A:$A,"&gt;="&amp;B571,Producao!$A:$A,"&lt;"&amp;IF(C571="",TODAY()+1,C571)))</f>
        <v/>
      </c>
    </row>
    <row r="572">
      <c r="A572" s="30" t="n"/>
      <c r="B572" s="31" t="n"/>
      <c r="C572" s="31" t="n"/>
      <c r="D572">
        <f>IF(B572="","",IF(C572="",TODAY(),C572)-B572)</f>
        <v/>
      </c>
      <c r="E572">
        <f>IF(A572="","",IF(COUNTIFS($A:$A,A572,$C:$C,"")&gt;1,"Mais de uma entrada em aberto",IF(AND(C572&lt;&gt;"",C572&lt;B572),"Saída antes da entrada","")))</f>
        <v/>
      </c>
      <c r="F572" s="32">
        <f>IF(OR(A572="",B572=""),"",SUMIFS(Producao!$B:$B,Producao!$A:$A,"&gt;="&amp;B572,Producao!$A:$A,"&lt;"&amp;IF(C572="",TODAY()+1,C572)))</f>
        <v/>
      </c>
    </row>
    <row r="573">
      <c r="A573" s="30" t="n"/>
      <c r="B573" s="31" t="n"/>
      <c r="C573" s="31" t="n"/>
      <c r="D573">
        <f>IF(B573="","",IF(C573="",TODAY(),C573)-B573)</f>
        <v/>
      </c>
      <c r="E573">
        <f>IF(A573="","",IF(COUNTIFS($A:$A,A573,$C:$C,"")&gt;1,"Mais de uma entrada em aberto",IF(AND(C573&lt;&gt;"",C573&lt;B573),"Saída antes da entrada","")))</f>
        <v/>
      </c>
      <c r="F573" s="32">
        <f>IF(OR(A573="",B573=""),"",SUMIFS(Producao!$B:$B,Producao!$A:$A,"&gt;="&amp;B573,Producao!$A:$A,"&lt;"&amp;IF(C573="",TODAY()+1,C573)))</f>
        <v/>
      </c>
    </row>
    <row r="574">
      <c r="A574" s="30" t="n"/>
      <c r="B574" s="31" t="n"/>
      <c r="C574" s="31" t="n"/>
      <c r="D574">
        <f>IF(B574="","",IF(C574="",TODAY(),C574)-B574)</f>
        <v/>
      </c>
      <c r="E574">
        <f>IF(A574="","",IF(COUNTIFS($A:$A,A574,$C:$C,"")&gt;1,"Mais de uma entrada em aberto",IF(AND(C574&lt;&gt;"",C574&lt;B574),"Saída antes da entrada","")))</f>
        <v/>
      </c>
      <c r="F574" s="32">
        <f>IF(OR(A574="",B574=""),"",SUMIFS(Producao!$B:$B,Producao!$A:$A,"&gt;="&amp;B574,Producao!$A:$A,"&lt;"&amp;IF(C574="",TODAY()+1,C574)))</f>
        <v/>
      </c>
    </row>
    <row r="575">
      <c r="A575" s="30" t="n"/>
      <c r="B575" s="31" t="n"/>
      <c r="C575" s="31" t="n"/>
      <c r="D575">
        <f>IF(B575="","",IF(C575="",TODAY(),C575)-B575)</f>
        <v/>
      </c>
      <c r="E575">
        <f>IF(A575="","",IF(COUNTIFS($A:$A,A575,$C:$C,"")&gt;1,"Mais de uma entrada em aberto",IF(AND(C575&lt;&gt;"",C575&lt;B575),"Saída antes da entrada","")))</f>
        <v/>
      </c>
      <c r="F575" s="32">
        <f>IF(OR(A575="",B575=""),"",SUMIFS(Producao!$B:$B,Producao!$A:$A,"&gt;="&amp;B575,Producao!$A:$A,"&lt;"&amp;IF(C575="",TODAY()+1,C575)))</f>
        <v/>
      </c>
    </row>
    <row r="576">
      <c r="A576" s="30" t="n"/>
      <c r="B576" s="31" t="n"/>
      <c r="C576" s="31" t="n"/>
      <c r="D576">
        <f>IF(B576="","",IF(C576="",TODAY(),C576)-B576)</f>
        <v/>
      </c>
      <c r="E576">
        <f>IF(A576="","",IF(COUNTIFS($A:$A,A576,$C:$C,"")&gt;1,"Mais de uma entrada em aberto",IF(AND(C576&lt;&gt;"",C576&lt;B576),"Saída antes da entrada","")))</f>
        <v/>
      </c>
      <c r="F576" s="32">
        <f>IF(OR(A576="",B576=""),"",SUMIFS(Producao!$B:$B,Producao!$A:$A,"&gt;="&amp;B576,Producao!$A:$A,"&lt;"&amp;IF(C576="",TODAY()+1,C576)))</f>
        <v/>
      </c>
    </row>
    <row r="577">
      <c r="A577" s="30" t="n"/>
      <c r="B577" s="31" t="n"/>
      <c r="C577" s="31" t="n"/>
      <c r="D577">
        <f>IF(B577="","",IF(C577="",TODAY(),C577)-B577)</f>
        <v/>
      </c>
      <c r="E577">
        <f>IF(A577="","",IF(COUNTIFS($A:$A,A577,$C:$C,"")&gt;1,"Mais de uma entrada em aberto",IF(AND(C577&lt;&gt;"",C577&lt;B577),"Saída antes da entrada","")))</f>
        <v/>
      </c>
      <c r="F577" s="32">
        <f>IF(OR(A577="",B577=""),"",SUMIFS(Producao!$B:$B,Producao!$A:$A,"&gt;="&amp;B577,Producao!$A:$A,"&lt;"&amp;IF(C577="",TODAY()+1,C577)))</f>
        <v/>
      </c>
    </row>
    <row r="578">
      <c r="A578" s="30" t="n"/>
      <c r="B578" s="31" t="n"/>
      <c r="C578" s="31" t="n"/>
      <c r="D578">
        <f>IF(B578="","",IF(C578="",TODAY(),C578)-B578)</f>
        <v/>
      </c>
      <c r="E578">
        <f>IF(A578="","",IF(COUNTIFS($A:$A,A578,$C:$C,"")&gt;1,"Mais de uma entrada em aberto",IF(AND(C578&lt;&gt;"",C578&lt;B578),"Saída antes da entrada","")))</f>
        <v/>
      </c>
      <c r="F578" s="32">
        <f>IF(OR(A578="",B578=""),"",SUMIFS(Producao!$B:$B,Producao!$A:$A,"&gt;="&amp;B578,Producao!$A:$A,"&lt;"&amp;IF(C578="",TODAY()+1,C578)))</f>
        <v/>
      </c>
    </row>
    <row r="579">
      <c r="A579" s="30" t="n"/>
      <c r="B579" s="31" t="n"/>
      <c r="C579" s="31" t="n"/>
      <c r="D579">
        <f>IF(B579="","",IF(C579="",TODAY(),C579)-B579)</f>
        <v/>
      </c>
      <c r="E579">
        <f>IF(A579="","",IF(COUNTIFS($A:$A,A579,$C:$C,"")&gt;1,"Mais de uma entrada em aberto",IF(AND(C579&lt;&gt;"",C579&lt;B579),"Saída antes da entrada","")))</f>
        <v/>
      </c>
      <c r="F579" s="32">
        <f>IF(OR(A579="",B579=""),"",SUMIFS(Producao!$B:$B,Producao!$A:$A,"&gt;="&amp;B579,Producao!$A:$A,"&lt;"&amp;IF(C579="",TODAY()+1,C579)))</f>
        <v/>
      </c>
    </row>
    <row r="580">
      <c r="A580" s="30" t="n"/>
      <c r="B580" s="31" t="n"/>
      <c r="C580" s="31" t="n"/>
      <c r="D580">
        <f>IF(B580="","",IF(C580="",TODAY(),C580)-B580)</f>
        <v/>
      </c>
      <c r="E580">
        <f>IF(A580="","",IF(COUNTIFS($A:$A,A580,$C:$C,"")&gt;1,"Mais de uma entrada em aberto",IF(AND(C580&lt;&gt;"",C580&lt;B580),"Saída antes da entrada","")))</f>
        <v/>
      </c>
      <c r="F580" s="32">
        <f>IF(OR(A580="",B580=""),"",SUMIFS(Producao!$B:$B,Producao!$A:$A,"&gt;="&amp;B580,Producao!$A:$A,"&lt;"&amp;IF(C580="",TODAY()+1,C580)))</f>
        <v/>
      </c>
    </row>
    <row r="581">
      <c r="A581" s="30" t="n"/>
      <c r="B581" s="31" t="n"/>
      <c r="C581" s="31" t="n"/>
      <c r="D581">
        <f>IF(B581="","",IF(C581="",TODAY(),C581)-B581)</f>
        <v/>
      </c>
      <c r="E581">
        <f>IF(A581="","",IF(COUNTIFS($A:$A,A581,$C:$C,"")&gt;1,"Mais de uma entrada em aberto",IF(AND(C581&lt;&gt;"",C581&lt;B581),"Saída antes da entrada","")))</f>
        <v/>
      </c>
      <c r="F581" s="32">
        <f>IF(OR(A581="",B581=""),"",SUMIFS(Producao!$B:$B,Producao!$A:$A,"&gt;="&amp;B581,Producao!$A:$A,"&lt;"&amp;IF(C581="",TODAY()+1,C581)))</f>
        <v/>
      </c>
    </row>
    <row r="582">
      <c r="A582" s="30" t="n"/>
      <c r="B582" s="31" t="n"/>
      <c r="C582" s="31" t="n"/>
      <c r="D582">
        <f>IF(B582="","",IF(C582="",TODAY(),C582)-B582)</f>
        <v/>
      </c>
      <c r="E582">
        <f>IF(A582="","",IF(COUNTIFS($A:$A,A582,$C:$C,"")&gt;1,"Mais de uma entrada em aberto",IF(AND(C582&lt;&gt;"",C582&lt;B582),"Saída antes da entrada","")))</f>
        <v/>
      </c>
      <c r="F582" s="32">
        <f>IF(OR(A582="",B582=""),"",SUMIFS(Producao!$B:$B,Producao!$A:$A,"&gt;="&amp;B582,Producao!$A:$A,"&lt;"&amp;IF(C582="",TODAY()+1,C582)))</f>
        <v/>
      </c>
    </row>
    <row r="583">
      <c r="A583" s="30" t="n"/>
      <c r="B583" s="31" t="n"/>
      <c r="C583" s="31" t="n"/>
      <c r="D583">
        <f>IF(B583="","",IF(C583="",TODAY(),C583)-B583)</f>
        <v/>
      </c>
      <c r="E583">
        <f>IF(A583="","",IF(COUNTIFS($A:$A,A583,$C:$C,"")&gt;1,"Mais de uma entrada em aberto",IF(AND(C583&lt;&gt;"",C583&lt;B583),"Saída antes da entrada","")))</f>
        <v/>
      </c>
      <c r="F583" s="32">
        <f>IF(OR(A583="",B583=""),"",SUMIFS(Producao!$B:$B,Producao!$A:$A,"&gt;="&amp;B583,Producao!$A:$A,"&lt;"&amp;IF(C583="",TODAY()+1,C583)))</f>
        <v/>
      </c>
    </row>
    <row r="584">
      <c r="A584" s="30" t="n"/>
      <c r="B584" s="31" t="n"/>
      <c r="C584" s="31" t="n"/>
      <c r="D584">
        <f>IF(B584="","",IF(C584="",TODAY(),C584)-B584)</f>
        <v/>
      </c>
      <c r="E584">
        <f>IF(A584="","",IF(COUNTIFS($A:$A,A584,$C:$C,"")&gt;1,"Mais de uma entrada em aberto",IF(AND(C584&lt;&gt;"",C584&lt;B584),"Saída antes da entrada","")))</f>
        <v/>
      </c>
      <c r="F584" s="32">
        <f>IF(OR(A584="",B584=""),"",SUMIFS(Producao!$B:$B,Producao!$A:$A,"&gt;="&amp;B584,Producao!$A:$A,"&lt;"&amp;IF(C584="",TODAY()+1,C584)))</f>
        <v/>
      </c>
    </row>
    <row r="585">
      <c r="A585" s="30" t="n"/>
      <c r="B585" s="31" t="n"/>
      <c r="C585" s="31" t="n"/>
      <c r="D585">
        <f>IF(B585="","",IF(C585="",TODAY(),C585)-B585)</f>
        <v/>
      </c>
      <c r="E585">
        <f>IF(A585="","",IF(COUNTIFS($A:$A,A585,$C:$C,"")&gt;1,"Mais de uma entrada em aberto",IF(AND(C585&lt;&gt;"",C585&lt;B585),"Saída antes da entrada","")))</f>
        <v/>
      </c>
      <c r="F585" s="32">
        <f>IF(OR(A585="",B585=""),"",SUMIFS(Producao!$B:$B,Producao!$A:$A,"&gt;="&amp;B585,Producao!$A:$A,"&lt;"&amp;IF(C585="",TODAY()+1,C585)))</f>
        <v/>
      </c>
    </row>
    <row r="586">
      <c r="A586" s="30" t="n"/>
      <c r="B586" s="31" t="n"/>
      <c r="C586" s="31" t="n"/>
      <c r="D586">
        <f>IF(B586="","",IF(C586="",TODAY(),C586)-B586)</f>
        <v/>
      </c>
      <c r="E586">
        <f>IF(A586="","",IF(COUNTIFS($A:$A,A586,$C:$C,"")&gt;1,"Mais de uma entrada em aberto",IF(AND(C586&lt;&gt;"",C586&lt;B586),"Saída antes da entrada","")))</f>
        <v/>
      </c>
      <c r="F586" s="32">
        <f>IF(OR(A586="",B586=""),"",SUMIFS(Producao!$B:$B,Producao!$A:$A,"&gt;="&amp;B586,Producao!$A:$A,"&lt;"&amp;IF(C586="",TODAY()+1,C586)))</f>
        <v/>
      </c>
    </row>
    <row r="587">
      <c r="A587" s="30" t="n"/>
      <c r="B587" s="31" t="n"/>
      <c r="C587" s="31" t="n"/>
      <c r="D587">
        <f>IF(B587="","",IF(C587="",TODAY(),C587)-B587)</f>
        <v/>
      </c>
      <c r="E587">
        <f>IF(A587="","",IF(COUNTIFS($A:$A,A587,$C:$C,"")&gt;1,"Mais de uma entrada em aberto",IF(AND(C587&lt;&gt;"",C587&lt;B587),"Saída antes da entrada","")))</f>
        <v/>
      </c>
      <c r="F587" s="32">
        <f>IF(OR(A587="",B587=""),"",SUMIFS(Producao!$B:$B,Producao!$A:$A,"&gt;="&amp;B587,Producao!$A:$A,"&lt;"&amp;IF(C587="",TODAY()+1,C587)))</f>
        <v/>
      </c>
    </row>
    <row r="588">
      <c r="A588" s="30" t="n"/>
      <c r="B588" s="31" t="n"/>
      <c r="C588" s="31" t="n"/>
      <c r="D588">
        <f>IF(B588="","",IF(C588="",TODAY(),C588)-B588)</f>
        <v/>
      </c>
      <c r="E588">
        <f>IF(A588="","",IF(COUNTIFS($A:$A,A588,$C:$C,"")&gt;1,"Mais de uma entrada em aberto",IF(AND(C588&lt;&gt;"",C588&lt;B588),"Saída antes da entrada","")))</f>
        <v/>
      </c>
      <c r="F588" s="32">
        <f>IF(OR(A588="",B588=""),"",SUMIFS(Producao!$B:$B,Producao!$A:$A,"&gt;="&amp;B588,Producao!$A:$A,"&lt;"&amp;IF(C588="",TODAY()+1,C588)))</f>
        <v/>
      </c>
    </row>
    <row r="589">
      <c r="A589" s="30" t="n"/>
      <c r="B589" s="31" t="n"/>
      <c r="C589" s="31" t="n"/>
      <c r="D589">
        <f>IF(B589="","",IF(C589="",TODAY(),C589)-B589)</f>
        <v/>
      </c>
      <c r="E589">
        <f>IF(A589="","",IF(COUNTIFS($A:$A,A589,$C:$C,"")&gt;1,"Mais de uma entrada em aberto",IF(AND(C589&lt;&gt;"",C589&lt;B589),"Saída antes da entrada","")))</f>
        <v/>
      </c>
      <c r="F589" s="32">
        <f>IF(OR(A589="",B589=""),"",SUMIFS(Producao!$B:$B,Producao!$A:$A,"&gt;="&amp;B589,Producao!$A:$A,"&lt;"&amp;IF(C589="",TODAY()+1,C589)))</f>
        <v/>
      </c>
    </row>
    <row r="590">
      <c r="A590" s="30" t="n"/>
      <c r="B590" s="31" t="n"/>
      <c r="C590" s="31" t="n"/>
      <c r="D590">
        <f>IF(B590="","",IF(C590="",TODAY(),C590)-B590)</f>
        <v/>
      </c>
      <c r="E590">
        <f>IF(A590="","",IF(COUNTIFS($A:$A,A590,$C:$C,"")&gt;1,"Mais de uma entrada em aberto",IF(AND(C590&lt;&gt;"",C590&lt;B590),"Saída antes da entrada","")))</f>
        <v/>
      </c>
      <c r="F590" s="32">
        <f>IF(OR(A590="",B590=""),"",SUMIFS(Producao!$B:$B,Producao!$A:$A,"&gt;="&amp;B590,Producao!$A:$A,"&lt;"&amp;IF(C590="",TODAY()+1,C590)))</f>
        <v/>
      </c>
    </row>
    <row r="591">
      <c r="A591" s="30" t="n"/>
      <c r="B591" s="31" t="n"/>
      <c r="C591" s="31" t="n"/>
      <c r="D591">
        <f>IF(B591="","",IF(C591="",TODAY(),C591)-B591)</f>
        <v/>
      </c>
      <c r="E591">
        <f>IF(A591="","",IF(COUNTIFS($A:$A,A591,$C:$C,"")&gt;1,"Mais de uma entrada em aberto",IF(AND(C591&lt;&gt;"",C591&lt;B591),"Saída antes da entrada","")))</f>
        <v/>
      </c>
      <c r="F591" s="32">
        <f>IF(OR(A591="",B591=""),"",SUMIFS(Producao!$B:$B,Producao!$A:$A,"&gt;="&amp;B591,Producao!$A:$A,"&lt;"&amp;IF(C591="",TODAY()+1,C591)))</f>
        <v/>
      </c>
    </row>
    <row r="592">
      <c r="A592" s="30" t="n"/>
      <c r="B592" s="31" t="n"/>
      <c r="C592" s="31" t="n"/>
      <c r="D592">
        <f>IF(B592="","",IF(C592="",TODAY(),C592)-B592)</f>
        <v/>
      </c>
      <c r="E592">
        <f>IF(A592="","",IF(COUNTIFS($A:$A,A592,$C:$C,"")&gt;1,"Mais de uma entrada em aberto",IF(AND(C592&lt;&gt;"",C592&lt;B592),"Saída antes da entrada","")))</f>
        <v/>
      </c>
      <c r="F592" s="32">
        <f>IF(OR(A592="",B592=""),"",SUMIFS(Producao!$B:$B,Producao!$A:$A,"&gt;="&amp;B592,Producao!$A:$A,"&lt;"&amp;IF(C592="",TODAY()+1,C592)))</f>
        <v/>
      </c>
    </row>
    <row r="593">
      <c r="A593" s="30" t="n"/>
      <c r="B593" s="31" t="n"/>
      <c r="C593" s="31" t="n"/>
      <c r="D593">
        <f>IF(B593="","",IF(C593="",TODAY(),C593)-B593)</f>
        <v/>
      </c>
      <c r="E593">
        <f>IF(A593="","",IF(COUNTIFS($A:$A,A593,$C:$C,"")&gt;1,"Mais de uma entrada em aberto",IF(AND(C593&lt;&gt;"",C593&lt;B593),"Saída antes da entrada","")))</f>
        <v/>
      </c>
      <c r="F593" s="32">
        <f>IF(OR(A593="",B593=""),"",SUMIFS(Producao!$B:$B,Producao!$A:$A,"&gt;="&amp;B593,Producao!$A:$A,"&lt;"&amp;IF(C593="",TODAY()+1,C593)))</f>
        <v/>
      </c>
    </row>
    <row r="594">
      <c r="A594" s="30" t="n"/>
      <c r="B594" s="31" t="n"/>
      <c r="C594" s="31" t="n"/>
      <c r="D594">
        <f>IF(B594="","",IF(C594="",TODAY(),C594)-B594)</f>
        <v/>
      </c>
      <c r="E594">
        <f>IF(A594="","",IF(COUNTIFS($A:$A,A594,$C:$C,"")&gt;1,"Mais de uma entrada em aberto",IF(AND(C594&lt;&gt;"",C594&lt;B594),"Saída antes da entrada","")))</f>
        <v/>
      </c>
      <c r="F594" s="32">
        <f>IF(OR(A594="",B594=""),"",SUMIFS(Producao!$B:$B,Producao!$A:$A,"&gt;="&amp;B594,Producao!$A:$A,"&lt;"&amp;IF(C594="",TODAY()+1,C594)))</f>
        <v/>
      </c>
    </row>
    <row r="595">
      <c r="A595" s="30" t="n"/>
      <c r="B595" s="31" t="n"/>
      <c r="C595" s="31" t="n"/>
      <c r="D595">
        <f>IF(B595="","",IF(C595="",TODAY(),C595)-B595)</f>
        <v/>
      </c>
      <c r="E595">
        <f>IF(A595="","",IF(COUNTIFS($A:$A,A595,$C:$C,"")&gt;1,"Mais de uma entrada em aberto",IF(AND(C595&lt;&gt;"",C595&lt;B595),"Saída antes da entrada","")))</f>
        <v/>
      </c>
      <c r="F595" s="32">
        <f>IF(OR(A595="",B595=""),"",SUMIFS(Producao!$B:$B,Producao!$A:$A,"&gt;="&amp;B595,Producao!$A:$A,"&lt;"&amp;IF(C595="",TODAY()+1,C595)))</f>
        <v/>
      </c>
    </row>
    <row r="596">
      <c r="A596" s="30" t="n"/>
      <c r="B596" s="31" t="n"/>
      <c r="C596" s="31" t="n"/>
      <c r="D596">
        <f>IF(B596="","",IF(C596="",TODAY(),C596)-B596)</f>
        <v/>
      </c>
      <c r="E596">
        <f>IF(A596="","",IF(COUNTIFS($A:$A,A596,$C:$C,"")&gt;1,"Mais de uma entrada em aberto",IF(AND(C596&lt;&gt;"",C596&lt;B596),"Saída antes da entrada","")))</f>
        <v/>
      </c>
      <c r="F596" s="32">
        <f>IF(OR(A596="",B596=""),"",SUMIFS(Producao!$B:$B,Producao!$A:$A,"&gt;="&amp;B596,Producao!$A:$A,"&lt;"&amp;IF(C596="",TODAY()+1,C596)))</f>
        <v/>
      </c>
    </row>
    <row r="597">
      <c r="A597" s="30" t="n"/>
      <c r="B597" s="31" t="n"/>
      <c r="C597" s="31" t="n"/>
      <c r="D597">
        <f>IF(B597="","",IF(C597="",TODAY(),C597)-B597)</f>
        <v/>
      </c>
      <c r="E597">
        <f>IF(A597="","",IF(COUNTIFS($A:$A,A597,$C:$C,"")&gt;1,"Mais de uma entrada em aberto",IF(AND(C597&lt;&gt;"",C597&lt;B597),"Saída antes da entrada","")))</f>
        <v/>
      </c>
      <c r="F597" s="32">
        <f>IF(OR(A597="",B597=""),"",SUMIFS(Producao!$B:$B,Producao!$A:$A,"&gt;="&amp;B597,Producao!$A:$A,"&lt;"&amp;IF(C597="",TODAY()+1,C597)))</f>
        <v/>
      </c>
    </row>
    <row r="598">
      <c r="A598" s="30" t="n"/>
      <c r="B598" s="31" t="n"/>
      <c r="C598" s="31" t="n"/>
      <c r="D598">
        <f>IF(B598="","",IF(C598="",TODAY(),C598)-B598)</f>
        <v/>
      </c>
      <c r="E598">
        <f>IF(A598="","",IF(COUNTIFS($A:$A,A598,$C:$C,"")&gt;1,"Mais de uma entrada em aberto",IF(AND(C598&lt;&gt;"",C598&lt;B598),"Saída antes da entrada","")))</f>
        <v/>
      </c>
      <c r="F598" s="32">
        <f>IF(OR(A598="",B598=""),"",SUMIFS(Producao!$B:$B,Producao!$A:$A,"&gt;="&amp;B598,Producao!$A:$A,"&lt;"&amp;IF(C598="",TODAY()+1,C598)))</f>
        <v/>
      </c>
    </row>
    <row r="599">
      <c r="A599" s="30" t="n"/>
      <c r="B599" s="31" t="n"/>
      <c r="C599" s="31" t="n"/>
      <c r="D599">
        <f>IF(B599="","",IF(C599="",TODAY(),C599)-B599)</f>
        <v/>
      </c>
      <c r="E599">
        <f>IF(A599="","",IF(COUNTIFS($A:$A,A599,$C:$C,"")&gt;1,"Mais de uma entrada em aberto",IF(AND(C599&lt;&gt;"",C599&lt;B599),"Saída antes da entrada","")))</f>
        <v/>
      </c>
      <c r="F599" s="32">
        <f>IF(OR(A599="",B599=""),"",SUMIFS(Producao!$B:$B,Producao!$A:$A,"&gt;="&amp;B599,Producao!$A:$A,"&lt;"&amp;IF(C599="",TODAY()+1,C599)))</f>
        <v/>
      </c>
    </row>
    <row r="600">
      <c r="A600" s="30" t="n"/>
      <c r="B600" s="31" t="n"/>
      <c r="C600" s="31" t="n"/>
      <c r="D600">
        <f>IF(B600="","",IF(C600="",TODAY(),C600)-B600)</f>
        <v/>
      </c>
      <c r="E600">
        <f>IF(A600="","",IF(COUNTIFS($A:$A,A600,$C:$C,"")&gt;1,"Mais de uma entrada em aberto",IF(AND(C600&lt;&gt;"",C600&lt;B600),"Saída antes da entrada","")))</f>
        <v/>
      </c>
      <c r="F600" s="32">
        <f>IF(OR(A600="",B600=""),"",SUMIFS(Producao!$B:$B,Producao!$A:$A,"&gt;="&amp;B600,Producao!$A:$A,"&lt;"&amp;IF(C600="",TODAY()+1,C600)))</f>
        <v/>
      </c>
    </row>
    <row r="601">
      <c r="A601" s="30" t="n"/>
      <c r="B601" s="31" t="n"/>
      <c r="C601" s="31" t="n"/>
      <c r="D601">
        <f>IF(B601="","",IF(C601="",TODAY(),C601)-B601)</f>
        <v/>
      </c>
      <c r="E601">
        <f>IF(A601="","",IF(COUNTIFS($A:$A,A601,$C:$C,"")&gt;1,"Mais de uma entrada em aberto",IF(AND(C601&lt;&gt;"",C601&lt;B601),"Saída antes da entrada","")))</f>
        <v/>
      </c>
      <c r="F601" s="32">
        <f>IF(OR(A601="",B601=""),"",SUMIFS(Producao!$B:$B,Producao!$A:$A,"&gt;="&amp;B601,Producao!$A:$A,"&lt;"&amp;IF(C601="",TODAY()+1,C601)))</f>
        <v/>
      </c>
    </row>
    <row r="602">
      <c r="A602" s="30" t="n"/>
      <c r="B602" s="31" t="n"/>
      <c r="C602" s="31" t="n"/>
      <c r="D602">
        <f>IF(B602="","",IF(C602="",TODAY(),C602)-B602)</f>
        <v/>
      </c>
      <c r="E602">
        <f>IF(A602="","",IF(COUNTIFS($A:$A,A602,$C:$C,"")&gt;1,"Mais de uma entrada em aberto",IF(AND(C602&lt;&gt;"",C602&lt;B602),"Saída antes da entrada","")))</f>
        <v/>
      </c>
      <c r="F602" s="32">
        <f>IF(OR(A602="",B602=""),"",SUMIFS(Producao!$B:$B,Producao!$A:$A,"&gt;="&amp;B602,Producao!$A:$A,"&lt;"&amp;IF(C602="",TODAY()+1,C602)))</f>
        <v/>
      </c>
    </row>
    <row r="603">
      <c r="A603" s="30" t="n"/>
      <c r="B603" s="31" t="n"/>
      <c r="C603" s="31" t="n"/>
      <c r="D603">
        <f>IF(B603="","",IF(C603="",TODAY(),C603)-B603)</f>
        <v/>
      </c>
      <c r="E603">
        <f>IF(A603="","",IF(COUNTIFS($A:$A,A603,$C:$C,"")&gt;1,"Mais de uma entrada em aberto",IF(AND(C603&lt;&gt;"",C603&lt;B603),"Saída antes da entrada","")))</f>
        <v/>
      </c>
      <c r="F603" s="32">
        <f>IF(OR(A603="",B603=""),"",SUMIFS(Producao!$B:$B,Producao!$A:$A,"&gt;="&amp;B603,Producao!$A:$A,"&lt;"&amp;IF(C603="",TODAY()+1,C603)))</f>
        <v/>
      </c>
    </row>
    <row r="604">
      <c r="A604" s="30" t="n"/>
      <c r="B604" s="31" t="n"/>
      <c r="C604" s="31" t="n"/>
      <c r="D604">
        <f>IF(B604="","",IF(C604="",TODAY(),C604)-B604)</f>
        <v/>
      </c>
      <c r="E604">
        <f>IF(A604="","",IF(COUNTIFS($A:$A,A604,$C:$C,"")&gt;1,"Mais de uma entrada em aberto",IF(AND(C604&lt;&gt;"",C604&lt;B604),"Saída antes da entrada","")))</f>
        <v/>
      </c>
      <c r="F604" s="32">
        <f>IF(OR(A604="",B604=""),"",SUMIFS(Producao!$B:$B,Producao!$A:$A,"&gt;="&amp;B604,Producao!$A:$A,"&lt;"&amp;IF(C604="",TODAY()+1,C604)))</f>
        <v/>
      </c>
    </row>
    <row r="605">
      <c r="A605" s="30" t="n"/>
      <c r="B605" s="31" t="n"/>
      <c r="C605" s="31" t="n"/>
      <c r="D605">
        <f>IF(B605="","",IF(C605="",TODAY(),C605)-B605)</f>
        <v/>
      </c>
      <c r="E605">
        <f>IF(A605="","",IF(COUNTIFS($A:$A,A605,$C:$C,"")&gt;1,"Mais de uma entrada em aberto",IF(AND(C605&lt;&gt;"",C605&lt;B605),"Saída antes da entrada","")))</f>
        <v/>
      </c>
      <c r="F605" s="32">
        <f>IF(OR(A605="",B605=""),"",SUMIFS(Producao!$B:$B,Producao!$A:$A,"&gt;="&amp;B605,Producao!$A:$A,"&lt;"&amp;IF(C605="",TODAY()+1,C605)))</f>
        <v/>
      </c>
    </row>
    <row r="606">
      <c r="A606" s="30" t="n"/>
      <c r="B606" s="31" t="n"/>
      <c r="C606" s="31" t="n"/>
      <c r="D606">
        <f>IF(B606="","",IF(C606="",TODAY(),C606)-B606)</f>
        <v/>
      </c>
      <c r="E606">
        <f>IF(A606="","",IF(COUNTIFS($A:$A,A606,$C:$C,"")&gt;1,"Mais de uma entrada em aberto",IF(AND(C606&lt;&gt;"",C606&lt;B606),"Saída antes da entrada","")))</f>
        <v/>
      </c>
      <c r="F606" s="32">
        <f>IF(OR(A606="",B606=""),"",SUMIFS(Producao!$B:$B,Producao!$A:$A,"&gt;="&amp;B606,Producao!$A:$A,"&lt;"&amp;IF(C606="",TODAY()+1,C606)))</f>
        <v/>
      </c>
    </row>
    <row r="607">
      <c r="A607" s="30" t="n"/>
      <c r="B607" s="31" t="n"/>
      <c r="C607" s="31" t="n"/>
      <c r="D607">
        <f>IF(B607="","",IF(C607="",TODAY(),C607)-B607)</f>
        <v/>
      </c>
      <c r="E607">
        <f>IF(A607="","",IF(COUNTIFS($A:$A,A607,$C:$C,"")&gt;1,"Mais de uma entrada em aberto",IF(AND(C607&lt;&gt;"",C607&lt;B607),"Saída antes da entrada","")))</f>
        <v/>
      </c>
      <c r="F607" s="32">
        <f>IF(OR(A607="",B607=""),"",SUMIFS(Producao!$B:$B,Producao!$A:$A,"&gt;="&amp;B607,Producao!$A:$A,"&lt;"&amp;IF(C607="",TODAY()+1,C607)))</f>
        <v/>
      </c>
    </row>
    <row r="608">
      <c r="A608" s="30" t="n"/>
      <c r="B608" s="31" t="n"/>
      <c r="C608" s="31" t="n"/>
      <c r="D608">
        <f>IF(B608="","",IF(C608="",TODAY(),C608)-B608)</f>
        <v/>
      </c>
      <c r="E608">
        <f>IF(A608="","",IF(COUNTIFS($A:$A,A608,$C:$C,"")&gt;1,"Mais de uma entrada em aberto",IF(AND(C608&lt;&gt;"",C608&lt;B608),"Saída antes da entrada","")))</f>
        <v/>
      </c>
      <c r="F608" s="32">
        <f>IF(OR(A608="",B608=""),"",SUMIFS(Producao!$B:$B,Producao!$A:$A,"&gt;="&amp;B608,Producao!$A:$A,"&lt;"&amp;IF(C608="",TODAY()+1,C608)))</f>
        <v/>
      </c>
    </row>
    <row r="609">
      <c r="A609" s="30" t="n"/>
      <c r="B609" s="31" t="n"/>
      <c r="C609" s="31" t="n"/>
      <c r="D609">
        <f>IF(B609="","",IF(C609="",TODAY(),C609)-B609)</f>
        <v/>
      </c>
      <c r="E609">
        <f>IF(A609="","",IF(COUNTIFS($A:$A,A609,$C:$C,"")&gt;1,"Mais de uma entrada em aberto",IF(AND(C609&lt;&gt;"",C609&lt;B609),"Saída antes da entrada","")))</f>
        <v/>
      </c>
      <c r="F609" s="32">
        <f>IF(OR(A609="",B609=""),"",SUMIFS(Producao!$B:$B,Producao!$A:$A,"&gt;="&amp;B609,Producao!$A:$A,"&lt;"&amp;IF(C609="",TODAY()+1,C609)))</f>
        <v/>
      </c>
    </row>
    <row r="610">
      <c r="A610" s="30" t="n"/>
      <c r="B610" s="31" t="n"/>
      <c r="C610" s="31" t="n"/>
      <c r="D610">
        <f>IF(B610="","",IF(C610="",TODAY(),C610)-B610)</f>
        <v/>
      </c>
      <c r="E610">
        <f>IF(A610="","",IF(COUNTIFS($A:$A,A610,$C:$C,"")&gt;1,"Mais de uma entrada em aberto",IF(AND(C610&lt;&gt;"",C610&lt;B610),"Saída antes da entrada","")))</f>
        <v/>
      </c>
      <c r="F610" s="32">
        <f>IF(OR(A610="",B610=""),"",SUMIFS(Producao!$B:$B,Producao!$A:$A,"&gt;="&amp;B610,Producao!$A:$A,"&lt;"&amp;IF(C610="",TODAY()+1,C610)))</f>
        <v/>
      </c>
    </row>
    <row r="611">
      <c r="A611" s="30" t="n"/>
      <c r="B611" s="31" t="n"/>
      <c r="C611" s="31" t="n"/>
      <c r="D611">
        <f>IF(B611="","",IF(C611="",TODAY(),C611)-B611)</f>
        <v/>
      </c>
      <c r="E611">
        <f>IF(A611="","",IF(COUNTIFS($A:$A,A611,$C:$C,"")&gt;1,"Mais de uma entrada em aberto",IF(AND(C611&lt;&gt;"",C611&lt;B611),"Saída antes da entrada","")))</f>
        <v/>
      </c>
      <c r="F611" s="32">
        <f>IF(OR(A611="",B611=""),"",SUMIFS(Producao!$B:$B,Producao!$A:$A,"&gt;="&amp;B611,Producao!$A:$A,"&lt;"&amp;IF(C611="",TODAY()+1,C611)))</f>
        <v/>
      </c>
    </row>
    <row r="612">
      <c r="A612" s="30" t="n"/>
      <c r="B612" s="31" t="n"/>
      <c r="C612" s="31" t="n"/>
      <c r="D612">
        <f>IF(B612="","",IF(C612="",TODAY(),C612)-B612)</f>
        <v/>
      </c>
      <c r="E612">
        <f>IF(A612="","",IF(COUNTIFS($A:$A,A612,$C:$C,"")&gt;1,"Mais de uma entrada em aberto",IF(AND(C612&lt;&gt;"",C612&lt;B612),"Saída antes da entrada","")))</f>
        <v/>
      </c>
      <c r="F612" s="32">
        <f>IF(OR(A612="",B612=""),"",SUMIFS(Producao!$B:$B,Producao!$A:$A,"&gt;="&amp;B612,Producao!$A:$A,"&lt;"&amp;IF(C612="",TODAY()+1,C612)))</f>
        <v/>
      </c>
    </row>
    <row r="613">
      <c r="A613" s="30" t="n"/>
      <c r="B613" s="31" t="n"/>
      <c r="C613" s="31" t="n"/>
      <c r="D613">
        <f>IF(B613="","",IF(C613="",TODAY(),C613)-B613)</f>
        <v/>
      </c>
      <c r="E613">
        <f>IF(A613="","",IF(COUNTIFS($A:$A,A613,$C:$C,"")&gt;1,"Mais de uma entrada em aberto",IF(AND(C613&lt;&gt;"",C613&lt;B613),"Saída antes da entrada","")))</f>
        <v/>
      </c>
      <c r="F613" s="32">
        <f>IF(OR(A613="",B613=""),"",SUMIFS(Producao!$B:$B,Producao!$A:$A,"&gt;="&amp;B613,Producao!$A:$A,"&lt;"&amp;IF(C613="",TODAY()+1,C613)))</f>
        <v/>
      </c>
    </row>
    <row r="614">
      <c r="A614" s="30" t="n"/>
      <c r="B614" s="31" t="n"/>
      <c r="C614" s="31" t="n"/>
      <c r="D614">
        <f>IF(B614="","",IF(C614="",TODAY(),C614)-B614)</f>
        <v/>
      </c>
      <c r="E614">
        <f>IF(A614="","",IF(COUNTIFS($A:$A,A614,$C:$C,"")&gt;1,"Mais de uma entrada em aberto",IF(AND(C614&lt;&gt;"",C614&lt;B614),"Saída antes da entrada","")))</f>
        <v/>
      </c>
      <c r="F614" s="32">
        <f>IF(OR(A614="",B614=""),"",SUMIFS(Producao!$B:$B,Producao!$A:$A,"&gt;="&amp;B614,Producao!$A:$A,"&lt;"&amp;IF(C614="",TODAY()+1,C614)))</f>
        <v/>
      </c>
    </row>
    <row r="615">
      <c r="A615" s="30" t="n"/>
      <c r="B615" s="31" t="n"/>
      <c r="C615" s="31" t="n"/>
      <c r="D615">
        <f>IF(B615="","",IF(C615="",TODAY(),C615)-B615)</f>
        <v/>
      </c>
      <c r="E615">
        <f>IF(A615="","",IF(COUNTIFS($A:$A,A615,$C:$C,"")&gt;1,"Mais de uma entrada em aberto",IF(AND(C615&lt;&gt;"",C615&lt;B615),"Saída antes da entrada","")))</f>
        <v/>
      </c>
      <c r="F615" s="32">
        <f>IF(OR(A615="",B615=""),"",SUMIFS(Producao!$B:$B,Producao!$A:$A,"&gt;="&amp;B615,Producao!$A:$A,"&lt;"&amp;IF(C615="",TODAY()+1,C615)))</f>
        <v/>
      </c>
    </row>
    <row r="616">
      <c r="A616" s="30" t="n"/>
      <c r="B616" s="31" t="n"/>
      <c r="C616" s="31" t="n"/>
      <c r="D616">
        <f>IF(B616="","",IF(C616="",TODAY(),C616)-B616)</f>
        <v/>
      </c>
      <c r="E616">
        <f>IF(A616="","",IF(COUNTIFS($A:$A,A616,$C:$C,"")&gt;1,"Mais de uma entrada em aberto",IF(AND(C616&lt;&gt;"",C616&lt;B616),"Saída antes da entrada","")))</f>
        <v/>
      </c>
      <c r="F616" s="32">
        <f>IF(OR(A616="",B616=""),"",SUMIFS(Producao!$B:$B,Producao!$A:$A,"&gt;="&amp;B616,Producao!$A:$A,"&lt;"&amp;IF(C616="",TODAY()+1,C616)))</f>
        <v/>
      </c>
    </row>
    <row r="617">
      <c r="A617" s="30" t="n"/>
      <c r="B617" s="31" t="n"/>
      <c r="C617" s="31" t="n"/>
      <c r="D617">
        <f>IF(B617="","",IF(C617="",TODAY(),C617)-B617)</f>
        <v/>
      </c>
      <c r="E617">
        <f>IF(A617="","",IF(COUNTIFS($A:$A,A617,$C:$C,"")&gt;1,"Mais de uma entrada em aberto",IF(AND(C617&lt;&gt;"",C617&lt;B617),"Saída antes da entrada","")))</f>
        <v/>
      </c>
      <c r="F617" s="32">
        <f>IF(OR(A617="",B617=""),"",SUMIFS(Producao!$B:$B,Producao!$A:$A,"&gt;="&amp;B617,Producao!$A:$A,"&lt;"&amp;IF(C617="",TODAY()+1,C617)))</f>
        <v/>
      </c>
    </row>
    <row r="618">
      <c r="A618" s="30" t="n"/>
      <c r="B618" s="31" t="n"/>
      <c r="C618" s="31" t="n"/>
      <c r="D618">
        <f>IF(B618="","",IF(C618="",TODAY(),C618)-B618)</f>
        <v/>
      </c>
      <c r="E618">
        <f>IF(A618="","",IF(COUNTIFS($A:$A,A618,$C:$C,"")&gt;1,"Mais de uma entrada em aberto",IF(AND(C618&lt;&gt;"",C618&lt;B618),"Saída antes da entrada","")))</f>
        <v/>
      </c>
      <c r="F618" s="32">
        <f>IF(OR(A618="",B618=""),"",SUMIFS(Producao!$B:$B,Producao!$A:$A,"&gt;="&amp;B618,Producao!$A:$A,"&lt;"&amp;IF(C618="",TODAY()+1,C618)))</f>
        <v/>
      </c>
    </row>
    <row r="619">
      <c r="A619" s="30" t="n"/>
      <c r="B619" s="31" t="n"/>
      <c r="C619" s="31" t="n"/>
      <c r="D619">
        <f>IF(B619="","",IF(C619="",TODAY(),C619)-B619)</f>
        <v/>
      </c>
      <c r="E619">
        <f>IF(A619="","",IF(COUNTIFS($A:$A,A619,$C:$C,"")&gt;1,"Mais de uma entrada em aberto",IF(AND(C619&lt;&gt;"",C619&lt;B619),"Saída antes da entrada","")))</f>
        <v/>
      </c>
      <c r="F619" s="32">
        <f>IF(OR(A619="",B619=""),"",SUMIFS(Producao!$B:$B,Producao!$A:$A,"&gt;="&amp;B619,Producao!$A:$A,"&lt;"&amp;IF(C619="",TODAY()+1,C619)))</f>
        <v/>
      </c>
    </row>
    <row r="620">
      <c r="A620" s="30" t="n"/>
      <c r="B620" s="31" t="n"/>
      <c r="C620" s="31" t="n"/>
      <c r="D620">
        <f>IF(B620="","",IF(C620="",TODAY(),C620)-B620)</f>
        <v/>
      </c>
      <c r="E620">
        <f>IF(A620="","",IF(COUNTIFS($A:$A,A620,$C:$C,"")&gt;1,"Mais de uma entrada em aberto",IF(AND(C620&lt;&gt;"",C620&lt;B620),"Saída antes da entrada","")))</f>
        <v/>
      </c>
      <c r="F620" s="32">
        <f>IF(OR(A620="",B620=""),"",SUMIFS(Producao!$B:$B,Producao!$A:$A,"&gt;="&amp;B620,Producao!$A:$A,"&lt;"&amp;IF(C620="",TODAY()+1,C620)))</f>
        <v/>
      </c>
    </row>
    <row r="621">
      <c r="A621" s="30" t="n"/>
      <c r="B621" s="31" t="n"/>
      <c r="C621" s="31" t="n"/>
      <c r="D621">
        <f>IF(B621="","",IF(C621="",TODAY(),C621)-B621)</f>
        <v/>
      </c>
      <c r="E621">
        <f>IF(A621="","",IF(COUNTIFS($A:$A,A621,$C:$C,"")&gt;1,"Mais de uma entrada em aberto",IF(AND(C621&lt;&gt;"",C621&lt;B621),"Saída antes da entrada","")))</f>
        <v/>
      </c>
      <c r="F621" s="32">
        <f>IF(OR(A621="",B621=""),"",SUMIFS(Producao!$B:$B,Producao!$A:$A,"&gt;="&amp;B621,Producao!$A:$A,"&lt;"&amp;IF(C621="",TODAY()+1,C621)))</f>
        <v/>
      </c>
    </row>
    <row r="622">
      <c r="A622" s="30" t="n"/>
      <c r="B622" s="31" t="n"/>
      <c r="C622" s="31" t="n"/>
      <c r="D622">
        <f>IF(B622="","",IF(C622="",TODAY(),C622)-B622)</f>
        <v/>
      </c>
      <c r="E622">
        <f>IF(A622="","",IF(COUNTIFS($A:$A,A622,$C:$C,"")&gt;1,"Mais de uma entrada em aberto",IF(AND(C622&lt;&gt;"",C622&lt;B622),"Saída antes da entrada","")))</f>
        <v/>
      </c>
      <c r="F622" s="32">
        <f>IF(OR(A622="",B622=""),"",SUMIFS(Producao!$B:$B,Producao!$A:$A,"&gt;="&amp;B622,Producao!$A:$A,"&lt;"&amp;IF(C622="",TODAY()+1,C622)))</f>
        <v/>
      </c>
    </row>
    <row r="623">
      <c r="A623" s="30" t="n"/>
      <c r="B623" s="31" t="n"/>
      <c r="C623" s="31" t="n"/>
      <c r="D623">
        <f>IF(B623="","",IF(C623="",TODAY(),C623)-B623)</f>
        <v/>
      </c>
      <c r="E623">
        <f>IF(A623="","",IF(COUNTIFS($A:$A,A623,$C:$C,"")&gt;1,"Mais de uma entrada em aberto",IF(AND(C623&lt;&gt;"",C623&lt;B623),"Saída antes da entrada","")))</f>
        <v/>
      </c>
      <c r="F623" s="32">
        <f>IF(OR(A623="",B623=""),"",SUMIFS(Producao!$B:$B,Producao!$A:$A,"&gt;="&amp;B623,Producao!$A:$A,"&lt;"&amp;IF(C623="",TODAY()+1,C623)))</f>
        <v/>
      </c>
    </row>
    <row r="624">
      <c r="A624" s="30" t="n"/>
      <c r="B624" s="31" t="n"/>
      <c r="C624" s="31" t="n"/>
      <c r="D624">
        <f>IF(B624="","",IF(C624="",TODAY(),C624)-B624)</f>
        <v/>
      </c>
      <c r="E624">
        <f>IF(A624="","",IF(COUNTIFS($A:$A,A624,$C:$C,"")&gt;1,"Mais de uma entrada em aberto",IF(AND(C624&lt;&gt;"",C624&lt;B624),"Saída antes da entrada","")))</f>
        <v/>
      </c>
      <c r="F624" s="32">
        <f>IF(OR(A624="",B624=""),"",SUMIFS(Producao!$B:$B,Producao!$A:$A,"&gt;="&amp;B624,Producao!$A:$A,"&lt;"&amp;IF(C624="",TODAY()+1,C624)))</f>
        <v/>
      </c>
    </row>
    <row r="625">
      <c r="A625" s="30" t="n"/>
      <c r="B625" s="31" t="n"/>
      <c r="C625" s="31" t="n"/>
      <c r="D625">
        <f>IF(B625="","",IF(C625="",TODAY(),C625)-B625)</f>
        <v/>
      </c>
      <c r="E625">
        <f>IF(A625="","",IF(COUNTIFS($A:$A,A625,$C:$C,"")&gt;1,"Mais de uma entrada em aberto",IF(AND(C625&lt;&gt;"",C625&lt;B625),"Saída antes da entrada","")))</f>
        <v/>
      </c>
      <c r="F625" s="32">
        <f>IF(OR(A625="",B625=""),"",SUMIFS(Producao!$B:$B,Producao!$A:$A,"&gt;="&amp;B625,Producao!$A:$A,"&lt;"&amp;IF(C625="",TODAY()+1,C625)))</f>
        <v/>
      </c>
    </row>
    <row r="626">
      <c r="A626" s="30" t="n"/>
      <c r="B626" s="31" t="n"/>
      <c r="C626" s="31" t="n"/>
      <c r="D626">
        <f>IF(B626="","",IF(C626="",TODAY(),C626)-B626)</f>
        <v/>
      </c>
      <c r="E626">
        <f>IF(A626="","",IF(COUNTIFS($A:$A,A626,$C:$C,"")&gt;1,"Mais de uma entrada em aberto",IF(AND(C626&lt;&gt;"",C626&lt;B626),"Saída antes da entrada","")))</f>
        <v/>
      </c>
      <c r="F626" s="32">
        <f>IF(OR(A626="",B626=""),"",SUMIFS(Producao!$B:$B,Producao!$A:$A,"&gt;="&amp;B626,Producao!$A:$A,"&lt;"&amp;IF(C626="",TODAY()+1,C626)))</f>
        <v/>
      </c>
    </row>
    <row r="627">
      <c r="A627" s="30" t="n"/>
      <c r="B627" s="31" t="n"/>
      <c r="C627" s="31" t="n"/>
      <c r="D627">
        <f>IF(B627="","",IF(C627="",TODAY(),C627)-B627)</f>
        <v/>
      </c>
      <c r="E627">
        <f>IF(A627="","",IF(COUNTIFS($A:$A,A627,$C:$C,"")&gt;1,"Mais de uma entrada em aberto",IF(AND(C627&lt;&gt;"",C627&lt;B627),"Saída antes da entrada","")))</f>
        <v/>
      </c>
      <c r="F627" s="32">
        <f>IF(OR(A627="",B627=""),"",SUMIFS(Producao!$B:$B,Producao!$A:$A,"&gt;="&amp;B627,Producao!$A:$A,"&lt;"&amp;IF(C627="",TODAY()+1,C627)))</f>
        <v/>
      </c>
    </row>
    <row r="628">
      <c r="A628" s="30" t="n"/>
      <c r="B628" s="31" t="n"/>
      <c r="C628" s="31" t="n"/>
      <c r="D628">
        <f>IF(B628="","",IF(C628="",TODAY(),C628)-B628)</f>
        <v/>
      </c>
      <c r="E628">
        <f>IF(A628="","",IF(COUNTIFS($A:$A,A628,$C:$C,"")&gt;1,"Mais de uma entrada em aberto",IF(AND(C628&lt;&gt;"",C628&lt;B628),"Saída antes da entrada","")))</f>
        <v/>
      </c>
      <c r="F628" s="32">
        <f>IF(OR(A628="",B628=""),"",SUMIFS(Producao!$B:$B,Producao!$A:$A,"&gt;="&amp;B628,Producao!$A:$A,"&lt;"&amp;IF(C628="",TODAY()+1,C628)))</f>
        <v/>
      </c>
    </row>
    <row r="629">
      <c r="A629" s="30" t="n"/>
      <c r="B629" s="31" t="n"/>
      <c r="C629" s="31" t="n"/>
      <c r="D629">
        <f>IF(B629="","",IF(C629="",TODAY(),C629)-B629)</f>
        <v/>
      </c>
      <c r="E629">
        <f>IF(A629="","",IF(COUNTIFS($A:$A,A629,$C:$C,"")&gt;1,"Mais de uma entrada em aberto",IF(AND(C629&lt;&gt;"",C629&lt;B629),"Saída antes da entrada","")))</f>
        <v/>
      </c>
      <c r="F629" s="32">
        <f>IF(OR(A629="",B629=""),"",SUMIFS(Producao!$B:$B,Producao!$A:$A,"&gt;="&amp;B629,Producao!$A:$A,"&lt;"&amp;IF(C629="",TODAY()+1,C629)))</f>
        <v/>
      </c>
    </row>
    <row r="630">
      <c r="A630" s="30" t="n"/>
      <c r="B630" s="31" t="n"/>
      <c r="C630" s="31" t="n"/>
      <c r="D630">
        <f>IF(B630="","",IF(C630="",TODAY(),C630)-B630)</f>
        <v/>
      </c>
      <c r="E630">
        <f>IF(A630="","",IF(COUNTIFS($A:$A,A630,$C:$C,"")&gt;1,"Mais de uma entrada em aberto",IF(AND(C630&lt;&gt;"",C630&lt;B630),"Saída antes da entrada","")))</f>
        <v/>
      </c>
      <c r="F630" s="32">
        <f>IF(OR(A630="",B630=""),"",SUMIFS(Producao!$B:$B,Producao!$A:$A,"&gt;="&amp;B630,Producao!$A:$A,"&lt;"&amp;IF(C630="",TODAY()+1,C630)))</f>
        <v/>
      </c>
    </row>
    <row r="631">
      <c r="A631" s="30" t="n"/>
      <c r="B631" s="31" t="n"/>
      <c r="C631" s="31" t="n"/>
      <c r="D631">
        <f>IF(B631="","",IF(C631="",TODAY(),C631)-B631)</f>
        <v/>
      </c>
      <c r="E631">
        <f>IF(A631="","",IF(COUNTIFS($A:$A,A631,$C:$C,"")&gt;1,"Mais de uma entrada em aberto",IF(AND(C631&lt;&gt;"",C631&lt;B631),"Saída antes da entrada","")))</f>
        <v/>
      </c>
      <c r="F631" s="32">
        <f>IF(OR(A631="",B631=""),"",SUMIFS(Producao!$B:$B,Producao!$A:$A,"&gt;="&amp;B631,Producao!$A:$A,"&lt;"&amp;IF(C631="",TODAY()+1,C631)))</f>
        <v/>
      </c>
    </row>
    <row r="632">
      <c r="A632" s="30" t="n"/>
      <c r="B632" s="31" t="n"/>
      <c r="C632" s="31" t="n"/>
      <c r="D632">
        <f>IF(B632="","",IF(C632="",TODAY(),C632)-B632)</f>
        <v/>
      </c>
      <c r="E632">
        <f>IF(A632="","",IF(COUNTIFS($A:$A,A632,$C:$C,"")&gt;1,"Mais de uma entrada em aberto",IF(AND(C632&lt;&gt;"",C632&lt;B632),"Saída antes da entrada","")))</f>
        <v/>
      </c>
      <c r="F632" s="32">
        <f>IF(OR(A632="",B632=""),"",SUMIFS(Producao!$B:$B,Producao!$A:$A,"&gt;="&amp;B632,Producao!$A:$A,"&lt;"&amp;IF(C632="",TODAY()+1,C632)))</f>
        <v/>
      </c>
    </row>
    <row r="633">
      <c r="A633" s="30" t="n"/>
      <c r="B633" s="31" t="n"/>
      <c r="C633" s="31" t="n"/>
      <c r="D633">
        <f>IF(B633="","",IF(C633="",TODAY(),C633)-B633)</f>
        <v/>
      </c>
      <c r="E633">
        <f>IF(A633="","",IF(COUNTIFS($A:$A,A633,$C:$C,"")&gt;1,"Mais de uma entrada em aberto",IF(AND(C633&lt;&gt;"",C633&lt;B633),"Saída antes da entrada","")))</f>
        <v/>
      </c>
      <c r="F633" s="32">
        <f>IF(OR(A633="",B633=""),"",SUMIFS(Producao!$B:$B,Producao!$A:$A,"&gt;="&amp;B633,Producao!$A:$A,"&lt;"&amp;IF(C633="",TODAY()+1,C633)))</f>
        <v/>
      </c>
    </row>
    <row r="634">
      <c r="A634" s="30" t="n"/>
      <c r="B634" s="31" t="n"/>
      <c r="C634" s="31" t="n"/>
      <c r="D634">
        <f>IF(B634="","",IF(C634="",TODAY(),C634)-B634)</f>
        <v/>
      </c>
      <c r="E634">
        <f>IF(A634="","",IF(COUNTIFS($A:$A,A634,$C:$C,"")&gt;1,"Mais de uma entrada em aberto",IF(AND(C634&lt;&gt;"",C634&lt;B634),"Saída antes da entrada","")))</f>
        <v/>
      </c>
      <c r="F634" s="32">
        <f>IF(OR(A634="",B634=""),"",SUMIFS(Producao!$B:$B,Producao!$A:$A,"&gt;="&amp;B634,Producao!$A:$A,"&lt;"&amp;IF(C634="",TODAY()+1,C634)))</f>
        <v/>
      </c>
    </row>
    <row r="635">
      <c r="A635" s="30" t="n"/>
      <c r="B635" s="31" t="n"/>
      <c r="C635" s="31" t="n"/>
      <c r="D635">
        <f>IF(B635="","",IF(C635="",TODAY(),C635)-B635)</f>
        <v/>
      </c>
      <c r="E635">
        <f>IF(A635="","",IF(COUNTIFS($A:$A,A635,$C:$C,"")&gt;1,"Mais de uma entrada em aberto",IF(AND(C635&lt;&gt;"",C635&lt;B635),"Saída antes da entrada","")))</f>
        <v/>
      </c>
      <c r="F635" s="32">
        <f>IF(OR(A635="",B635=""),"",SUMIFS(Producao!$B:$B,Producao!$A:$A,"&gt;="&amp;B635,Producao!$A:$A,"&lt;"&amp;IF(C635="",TODAY()+1,C635)))</f>
        <v/>
      </c>
    </row>
    <row r="636">
      <c r="A636" s="30" t="n"/>
      <c r="B636" s="31" t="n"/>
      <c r="C636" s="31" t="n"/>
      <c r="D636">
        <f>IF(B636="","",IF(C636="",TODAY(),C636)-B636)</f>
        <v/>
      </c>
      <c r="E636">
        <f>IF(A636="","",IF(COUNTIFS($A:$A,A636,$C:$C,"")&gt;1,"Mais de uma entrada em aberto",IF(AND(C636&lt;&gt;"",C636&lt;B636),"Saída antes da entrada","")))</f>
        <v/>
      </c>
      <c r="F636" s="32">
        <f>IF(OR(A636="",B636=""),"",SUMIFS(Producao!$B:$B,Producao!$A:$A,"&gt;="&amp;B636,Producao!$A:$A,"&lt;"&amp;IF(C636="",TODAY()+1,C636)))</f>
        <v/>
      </c>
    </row>
    <row r="637">
      <c r="A637" s="30" t="n"/>
      <c r="B637" s="31" t="n"/>
      <c r="C637" s="31" t="n"/>
      <c r="D637">
        <f>IF(B637="","",IF(C637="",TODAY(),C637)-B637)</f>
        <v/>
      </c>
      <c r="E637">
        <f>IF(A637="","",IF(COUNTIFS($A:$A,A637,$C:$C,"")&gt;1,"Mais de uma entrada em aberto",IF(AND(C637&lt;&gt;"",C637&lt;B637),"Saída antes da entrada","")))</f>
        <v/>
      </c>
      <c r="F637" s="32">
        <f>IF(OR(A637="",B637=""),"",SUMIFS(Producao!$B:$B,Producao!$A:$A,"&gt;="&amp;B637,Producao!$A:$A,"&lt;"&amp;IF(C637="",TODAY()+1,C637)))</f>
        <v/>
      </c>
    </row>
    <row r="638">
      <c r="A638" s="30" t="n"/>
      <c r="B638" s="31" t="n"/>
      <c r="C638" s="31" t="n"/>
      <c r="D638">
        <f>IF(B638="","",IF(C638="",TODAY(),C638)-B638)</f>
        <v/>
      </c>
      <c r="E638">
        <f>IF(A638="","",IF(COUNTIFS($A:$A,A638,$C:$C,"")&gt;1,"Mais de uma entrada em aberto",IF(AND(C638&lt;&gt;"",C638&lt;B638),"Saída antes da entrada","")))</f>
        <v/>
      </c>
      <c r="F638" s="32">
        <f>IF(OR(A638="",B638=""),"",SUMIFS(Producao!$B:$B,Producao!$A:$A,"&gt;="&amp;B638,Producao!$A:$A,"&lt;"&amp;IF(C638="",TODAY()+1,C638)))</f>
        <v/>
      </c>
    </row>
    <row r="639">
      <c r="A639" s="30" t="n"/>
      <c r="B639" s="31" t="n"/>
      <c r="C639" s="31" t="n"/>
      <c r="D639">
        <f>IF(B639="","",IF(C639="",TODAY(),C639)-B639)</f>
        <v/>
      </c>
      <c r="E639">
        <f>IF(A639="","",IF(COUNTIFS($A:$A,A639,$C:$C,"")&gt;1,"Mais de uma entrada em aberto",IF(AND(C639&lt;&gt;"",C639&lt;B639),"Saída antes da entrada","")))</f>
        <v/>
      </c>
      <c r="F639" s="32">
        <f>IF(OR(A639="",B639=""),"",SUMIFS(Producao!$B:$B,Producao!$A:$A,"&gt;="&amp;B639,Producao!$A:$A,"&lt;"&amp;IF(C639="",TODAY()+1,C639)))</f>
        <v/>
      </c>
    </row>
    <row r="640">
      <c r="A640" s="30" t="n"/>
      <c r="B640" s="31" t="n"/>
      <c r="C640" s="31" t="n"/>
      <c r="D640">
        <f>IF(B640="","",IF(C640="",TODAY(),C640)-B640)</f>
        <v/>
      </c>
      <c r="E640">
        <f>IF(A640="","",IF(COUNTIFS($A:$A,A640,$C:$C,"")&gt;1,"Mais de uma entrada em aberto",IF(AND(C640&lt;&gt;"",C640&lt;B640),"Saída antes da entrada","")))</f>
        <v/>
      </c>
      <c r="F640" s="32">
        <f>IF(OR(A640="",B640=""),"",SUMIFS(Producao!$B:$B,Producao!$A:$A,"&gt;="&amp;B640,Producao!$A:$A,"&lt;"&amp;IF(C640="",TODAY()+1,C640)))</f>
        <v/>
      </c>
    </row>
    <row r="641">
      <c r="A641" s="30" t="n"/>
      <c r="B641" s="31" t="n"/>
      <c r="C641" s="31" t="n"/>
      <c r="D641">
        <f>IF(B641="","",IF(C641="",TODAY(),C641)-B641)</f>
        <v/>
      </c>
      <c r="E641">
        <f>IF(A641="","",IF(COUNTIFS($A:$A,A641,$C:$C,"")&gt;1,"Mais de uma entrada em aberto",IF(AND(C641&lt;&gt;"",C641&lt;B641),"Saída antes da entrada","")))</f>
        <v/>
      </c>
      <c r="F641" s="32">
        <f>IF(OR(A641="",B641=""),"",SUMIFS(Producao!$B:$B,Producao!$A:$A,"&gt;="&amp;B641,Producao!$A:$A,"&lt;"&amp;IF(C641="",TODAY()+1,C641)))</f>
        <v/>
      </c>
    </row>
    <row r="642">
      <c r="A642" s="30" t="n"/>
      <c r="B642" s="31" t="n"/>
      <c r="C642" s="31" t="n"/>
      <c r="D642">
        <f>IF(B642="","",IF(C642="",TODAY(),C642)-B642)</f>
        <v/>
      </c>
      <c r="E642">
        <f>IF(A642="","",IF(COUNTIFS($A:$A,A642,$C:$C,"")&gt;1,"Mais de uma entrada em aberto",IF(AND(C642&lt;&gt;"",C642&lt;B642),"Saída antes da entrada","")))</f>
        <v/>
      </c>
      <c r="F642" s="32">
        <f>IF(OR(A642="",B642=""),"",SUMIFS(Producao!$B:$B,Producao!$A:$A,"&gt;="&amp;B642,Producao!$A:$A,"&lt;"&amp;IF(C642="",TODAY()+1,C642)))</f>
        <v/>
      </c>
    </row>
    <row r="643">
      <c r="A643" s="30" t="n"/>
      <c r="B643" s="31" t="n"/>
      <c r="C643" s="31" t="n"/>
      <c r="D643">
        <f>IF(B643="","",IF(C643="",TODAY(),C643)-B643)</f>
        <v/>
      </c>
      <c r="E643">
        <f>IF(A643="","",IF(COUNTIFS($A:$A,A643,$C:$C,"")&gt;1,"Mais de uma entrada em aberto",IF(AND(C643&lt;&gt;"",C643&lt;B643),"Saída antes da entrada","")))</f>
        <v/>
      </c>
      <c r="F643" s="32">
        <f>IF(OR(A643="",B643=""),"",SUMIFS(Producao!$B:$B,Producao!$A:$A,"&gt;="&amp;B643,Producao!$A:$A,"&lt;"&amp;IF(C643="",TODAY()+1,C643)))</f>
        <v/>
      </c>
    </row>
    <row r="644">
      <c r="A644" s="30" t="n"/>
      <c r="B644" s="31" t="n"/>
      <c r="C644" s="31" t="n"/>
      <c r="D644">
        <f>IF(B644="","",IF(C644="",TODAY(),C644)-B644)</f>
        <v/>
      </c>
      <c r="E644">
        <f>IF(A644="","",IF(COUNTIFS($A:$A,A644,$C:$C,"")&gt;1,"Mais de uma entrada em aberto",IF(AND(C644&lt;&gt;"",C644&lt;B644),"Saída antes da entrada","")))</f>
        <v/>
      </c>
      <c r="F644" s="32">
        <f>IF(OR(A644="",B644=""),"",SUMIFS(Producao!$B:$B,Producao!$A:$A,"&gt;="&amp;B644,Producao!$A:$A,"&lt;"&amp;IF(C644="",TODAY()+1,C644)))</f>
        <v/>
      </c>
    </row>
    <row r="645">
      <c r="A645" s="30" t="n"/>
      <c r="B645" s="31" t="n"/>
      <c r="C645" s="31" t="n"/>
      <c r="D645">
        <f>IF(B645="","",IF(C645="",TODAY(),C645)-B645)</f>
        <v/>
      </c>
      <c r="E645">
        <f>IF(A645="","",IF(COUNTIFS($A:$A,A645,$C:$C,"")&gt;1,"Mais de uma entrada em aberto",IF(AND(C645&lt;&gt;"",C645&lt;B645),"Saída antes da entrada","")))</f>
        <v/>
      </c>
      <c r="F645" s="32">
        <f>IF(OR(A645="",B645=""),"",SUMIFS(Producao!$B:$B,Producao!$A:$A,"&gt;="&amp;B645,Producao!$A:$A,"&lt;"&amp;IF(C645="",TODAY()+1,C645)))</f>
        <v/>
      </c>
    </row>
    <row r="646">
      <c r="A646" s="30" t="n"/>
      <c r="B646" s="31" t="n"/>
      <c r="C646" s="31" t="n"/>
      <c r="D646">
        <f>IF(B646="","",IF(C646="",TODAY(),C646)-B646)</f>
        <v/>
      </c>
      <c r="E646">
        <f>IF(A646="","",IF(COUNTIFS($A:$A,A646,$C:$C,"")&gt;1,"Mais de uma entrada em aberto",IF(AND(C646&lt;&gt;"",C646&lt;B646),"Saída antes da entrada","")))</f>
        <v/>
      </c>
      <c r="F646" s="32">
        <f>IF(OR(A646="",B646=""),"",SUMIFS(Producao!$B:$B,Producao!$A:$A,"&gt;="&amp;B646,Producao!$A:$A,"&lt;"&amp;IF(C646="",TODAY()+1,C646)))</f>
        <v/>
      </c>
    </row>
    <row r="647">
      <c r="A647" s="30" t="n"/>
      <c r="B647" s="31" t="n"/>
      <c r="C647" s="31" t="n"/>
      <c r="D647">
        <f>IF(B647="","",IF(C647="",TODAY(),C647)-B647)</f>
        <v/>
      </c>
      <c r="E647">
        <f>IF(A647="","",IF(COUNTIFS($A:$A,A647,$C:$C,"")&gt;1,"Mais de uma entrada em aberto",IF(AND(C647&lt;&gt;"",C647&lt;B647),"Saída antes da entrada","")))</f>
        <v/>
      </c>
      <c r="F647" s="32">
        <f>IF(OR(A647="",B647=""),"",SUMIFS(Producao!$B:$B,Producao!$A:$A,"&gt;="&amp;B647,Producao!$A:$A,"&lt;"&amp;IF(C647="",TODAY()+1,C647)))</f>
        <v/>
      </c>
    </row>
    <row r="648">
      <c r="A648" s="30" t="n"/>
      <c r="B648" s="31" t="n"/>
      <c r="C648" s="31" t="n"/>
      <c r="D648">
        <f>IF(B648="","",IF(C648="",TODAY(),C648)-B648)</f>
        <v/>
      </c>
      <c r="E648">
        <f>IF(A648="","",IF(COUNTIFS($A:$A,A648,$C:$C,"")&gt;1,"Mais de uma entrada em aberto",IF(AND(C648&lt;&gt;"",C648&lt;B648),"Saída antes da entrada","")))</f>
        <v/>
      </c>
      <c r="F648" s="32">
        <f>IF(OR(A648="",B648=""),"",SUMIFS(Producao!$B:$B,Producao!$A:$A,"&gt;="&amp;B648,Producao!$A:$A,"&lt;"&amp;IF(C648="",TODAY()+1,C648)))</f>
        <v/>
      </c>
    </row>
    <row r="649">
      <c r="A649" s="30" t="n"/>
      <c r="B649" s="31" t="n"/>
      <c r="C649" s="31" t="n"/>
      <c r="D649">
        <f>IF(B649="","",IF(C649="",TODAY(),C649)-B649)</f>
        <v/>
      </c>
      <c r="E649">
        <f>IF(A649="","",IF(COUNTIFS($A:$A,A649,$C:$C,"")&gt;1,"Mais de uma entrada em aberto",IF(AND(C649&lt;&gt;"",C649&lt;B649),"Saída antes da entrada","")))</f>
        <v/>
      </c>
      <c r="F649" s="32">
        <f>IF(OR(A649="",B649=""),"",SUMIFS(Producao!$B:$B,Producao!$A:$A,"&gt;="&amp;B649,Producao!$A:$A,"&lt;"&amp;IF(C649="",TODAY()+1,C649)))</f>
        <v/>
      </c>
    </row>
    <row r="650">
      <c r="A650" s="30" t="n"/>
      <c r="B650" s="31" t="n"/>
      <c r="C650" s="31" t="n"/>
      <c r="D650">
        <f>IF(B650="","",IF(C650="",TODAY(),C650)-B650)</f>
        <v/>
      </c>
      <c r="E650">
        <f>IF(A650="","",IF(COUNTIFS($A:$A,A650,$C:$C,"")&gt;1,"Mais de uma entrada em aberto",IF(AND(C650&lt;&gt;"",C650&lt;B650),"Saída antes da entrada","")))</f>
        <v/>
      </c>
      <c r="F650" s="32">
        <f>IF(OR(A650="",B650=""),"",SUMIFS(Producao!$B:$B,Producao!$A:$A,"&gt;="&amp;B650,Producao!$A:$A,"&lt;"&amp;IF(C650="",TODAY()+1,C650)))</f>
        <v/>
      </c>
    </row>
    <row r="651">
      <c r="A651" s="30" t="n"/>
      <c r="B651" s="31" t="n"/>
      <c r="C651" s="31" t="n"/>
      <c r="D651">
        <f>IF(B651="","",IF(C651="",TODAY(),C651)-B651)</f>
        <v/>
      </c>
      <c r="E651">
        <f>IF(A651="","",IF(COUNTIFS($A:$A,A651,$C:$C,"")&gt;1,"Mais de uma entrada em aberto",IF(AND(C651&lt;&gt;"",C651&lt;B651),"Saída antes da entrada","")))</f>
        <v/>
      </c>
      <c r="F651" s="32">
        <f>IF(OR(A651="",B651=""),"",SUMIFS(Producao!$B:$B,Producao!$A:$A,"&gt;="&amp;B651,Producao!$A:$A,"&lt;"&amp;IF(C651="",TODAY()+1,C651)))</f>
        <v/>
      </c>
    </row>
    <row r="652">
      <c r="A652" s="30" t="n"/>
      <c r="B652" s="31" t="n"/>
      <c r="C652" s="31" t="n"/>
      <c r="D652">
        <f>IF(B652="","",IF(C652="",TODAY(),C652)-B652)</f>
        <v/>
      </c>
      <c r="E652">
        <f>IF(A652="","",IF(COUNTIFS($A:$A,A652,$C:$C,"")&gt;1,"Mais de uma entrada em aberto",IF(AND(C652&lt;&gt;"",C652&lt;B652),"Saída antes da entrada","")))</f>
        <v/>
      </c>
      <c r="F652" s="32">
        <f>IF(OR(A652="",B652=""),"",SUMIFS(Producao!$B:$B,Producao!$A:$A,"&gt;="&amp;B652,Producao!$A:$A,"&lt;"&amp;IF(C652="",TODAY()+1,C652)))</f>
        <v/>
      </c>
    </row>
    <row r="653">
      <c r="A653" s="30" t="n"/>
      <c r="B653" s="31" t="n"/>
      <c r="C653" s="31" t="n"/>
      <c r="D653">
        <f>IF(B653="","",IF(C653="",TODAY(),C653)-B653)</f>
        <v/>
      </c>
      <c r="E653">
        <f>IF(A653="","",IF(COUNTIFS($A:$A,A653,$C:$C,"")&gt;1,"Mais de uma entrada em aberto",IF(AND(C653&lt;&gt;"",C653&lt;B653),"Saída antes da entrada","")))</f>
        <v/>
      </c>
      <c r="F653" s="32">
        <f>IF(OR(A653="",B653=""),"",SUMIFS(Producao!$B:$B,Producao!$A:$A,"&gt;="&amp;B653,Producao!$A:$A,"&lt;"&amp;IF(C653="",TODAY()+1,C653)))</f>
        <v/>
      </c>
    </row>
    <row r="654">
      <c r="A654" s="30" t="n"/>
      <c r="B654" s="31" t="n"/>
      <c r="C654" s="31" t="n"/>
      <c r="D654">
        <f>IF(B654="","",IF(C654="",TODAY(),C654)-B654)</f>
        <v/>
      </c>
      <c r="E654">
        <f>IF(A654="","",IF(COUNTIFS($A:$A,A654,$C:$C,"")&gt;1,"Mais de uma entrada em aberto",IF(AND(C654&lt;&gt;"",C654&lt;B654),"Saída antes da entrada","")))</f>
        <v/>
      </c>
      <c r="F654" s="32">
        <f>IF(OR(A654="",B654=""),"",SUMIFS(Producao!$B:$B,Producao!$A:$A,"&gt;="&amp;B654,Producao!$A:$A,"&lt;"&amp;IF(C654="",TODAY()+1,C654)))</f>
        <v/>
      </c>
    </row>
    <row r="655">
      <c r="A655" s="30" t="n"/>
      <c r="B655" s="31" t="n"/>
      <c r="C655" s="31" t="n"/>
      <c r="D655">
        <f>IF(B655="","",IF(C655="",TODAY(),C655)-B655)</f>
        <v/>
      </c>
      <c r="E655">
        <f>IF(A655="","",IF(COUNTIFS($A:$A,A655,$C:$C,"")&gt;1,"Mais de uma entrada em aberto",IF(AND(C655&lt;&gt;"",C655&lt;B655),"Saída antes da entrada","")))</f>
        <v/>
      </c>
      <c r="F655" s="32">
        <f>IF(OR(A655="",B655=""),"",SUMIFS(Producao!$B:$B,Producao!$A:$A,"&gt;="&amp;B655,Producao!$A:$A,"&lt;"&amp;IF(C655="",TODAY()+1,C655)))</f>
        <v/>
      </c>
    </row>
    <row r="656">
      <c r="A656" s="30" t="n"/>
      <c r="B656" s="31" t="n"/>
      <c r="C656" s="31" t="n"/>
      <c r="D656">
        <f>IF(B656="","",IF(C656="",TODAY(),C656)-B656)</f>
        <v/>
      </c>
      <c r="E656">
        <f>IF(A656="","",IF(COUNTIFS($A:$A,A656,$C:$C,"")&gt;1,"Mais de uma entrada em aberto",IF(AND(C656&lt;&gt;"",C656&lt;B656),"Saída antes da entrada","")))</f>
        <v/>
      </c>
      <c r="F656" s="32">
        <f>IF(OR(A656="",B656=""),"",SUMIFS(Producao!$B:$B,Producao!$A:$A,"&gt;="&amp;B656,Producao!$A:$A,"&lt;"&amp;IF(C656="",TODAY()+1,C656)))</f>
        <v/>
      </c>
    </row>
    <row r="657">
      <c r="A657" s="30" t="n"/>
      <c r="B657" s="31" t="n"/>
      <c r="C657" s="31" t="n"/>
      <c r="D657">
        <f>IF(B657="","",IF(C657="",TODAY(),C657)-B657)</f>
        <v/>
      </c>
      <c r="E657">
        <f>IF(A657="","",IF(COUNTIFS($A:$A,A657,$C:$C,"")&gt;1,"Mais de uma entrada em aberto",IF(AND(C657&lt;&gt;"",C657&lt;B657),"Saída antes da entrada","")))</f>
        <v/>
      </c>
      <c r="F657" s="32">
        <f>IF(OR(A657="",B657=""),"",SUMIFS(Producao!$B:$B,Producao!$A:$A,"&gt;="&amp;B657,Producao!$A:$A,"&lt;"&amp;IF(C657="",TODAY()+1,C657)))</f>
        <v/>
      </c>
    </row>
    <row r="658">
      <c r="A658" s="30" t="n"/>
      <c r="B658" s="31" t="n"/>
      <c r="C658" s="31" t="n"/>
      <c r="D658">
        <f>IF(B658="","",IF(C658="",TODAY(),C658)-B658)</f>
        <v/>
      </c>
      <c r="E658">
        <f>IF(A658="","",IF(COUNTIFS($A:$A,A658,$C:$C,"")&gt;1,"Mais de uma entrada em aberto",IF(AND(C658&lt;&gt;"",C658&lt;B658),"Saída antes da entrada","")))</f>
        <v/>
      </c>
      <c r="F658" s="32">
        <f>IF(OR(A658="",B658=""),"",SUMIFS(Producao!$B:$B,Producao!$A:$A,"&gt;="&amp;B658,Producao!$A:$A,"&lt;"&amp;IF(C658="",TODAY()+1,C658)))</f>
        <v/>
      </c>
    </row>
    <row r="659">
      <c r="A659" s="30" t="n"/>
      <c r="B659" s="31" t="n"/>
      <c r="C659" s="31" t="n"/>
      <c r="D659">
        <f>IF(B659="","",IF(C659="",TODAY(),C659)-B659)</f>
        <v/>
      </c>
      <c r="E659">
        <f>IF(A659="","",IF(COUNTIFS($A:$A,A659,$C:$C,"")&gt;1,"Mais de uma entrada em aberto",IF(AND(C659&lt;&gt;"",C659&lt;B659),"Saída antes da entrada","")))</f>
        <v/>
      </c>
      <c r="F659" s="32">
        <f>IF(OR(A659="",B659=""),"",SUMIFS(Producao!$B:$B,Producao!$A:$A,"&gt;="&amp;B659,Producao!$A:$A,"&lt;"&amp;IF(C659="",TODAY()+1,C659)))</f>
        <v/>
      </c>
    </row>
    <row r="660">
      <c r="A660" s="30" t="n"/>
      <c r="B660" s="31" t="n"/>
      <c r="C660" s="31" t="n"/>
      <c r="D660">
        <f>IF(B660="","",IF(C660="",TODAY(),C660)-B660)</f>
        <v/>
      </c>
      <c r="E660">
        <f>IF(A660="","",IF(COUNTIFS($A:$A,A660,$C:$C,"")&gt;1,"Mais de uma entrada em aberto",IF(AND(C660&lt;&gt;"",C660&lt;B660),"Saída antes da entrada","")))</f>
        <v/>
      </c>
      <c r="F660" s="32">
        <f>IF(OR(A660="",B660=""),"",SUMIFS(Producao!$B:$B,Producao!$A:$A,"&gt;="&amp;B660,Producao!$A:$A,"&lt;"&amp;IF(C660="",TODAY()+1,C660)))</f>
        <v/>
      </c>
    </row>
    <row r="661">
      <c r="A661" s="30" t="n"/>
      <c r="B661" s="31" t="n"/>
      <c r="C661" s="31" t="n"/>
      <c r="D661">
        <f>IF(B661="","",IF(C661="",TODAY(),C661)-B661)</f>
        <v/>
      </c>
      <c r="E661">
        <f>IF(A661="","",IF(COUNTIFS($A:$A,A661,$C:$C,"")&gt;1,"Mais de uma entrada em aberto",IF(AND(C661&lt;&gt;"",C661&lt;B661),"Saída antes da entrada","")))</f>
        <v/>
      </c>
      <c r="F661" s="32">
        <f>IF(OR(A661="",B661=""),"",SUMIFS(Producao!$B:$B,Producao!$A:$A,"&gt;="&amp;B661,Producao!$A:$A,"&lt;"&amp;IF(C661="",TODAY()+1,C661)))</f>
        <v/>
      </c>
    </row>
    <row r="662">
      <c r="A662" s="30" t="n"/>
      <c r="B662" s="31" t="n"/>
      <c r="C662" s="31" t="n"/>
      <c r="D662">
        <f>IF(B662="","",IF(C662="",TODAY(),C662)-B662)</f>
        <v/>
      </c>
      <c r="E662">
        <f>IF(A662="","",IF(COUNTIFS($A:$A,A662,$C:$C,"")&gt;1,"Mais de uma entrada em aberto",IF(AND(C662&lt;&gt;"",C662&lt;B662),"Saída antes da entrada","")))</f>
        <v/>
      </c>
      <c r="F662" s="32">
        <f>IF(OR(A662="",B662=""),"",SUMIFS(Producao!$B:$B,Producao!$A:$A,"&gt;="&amp;B662,Producao!$A:$A,"&lt;"&amp;IF(C662="",TODAY()+1,C662)))</f>
        <v/>
      </c>
    </row>
    <row r="663">
      <c r="A663" s="30" t="n"/>
      <c r="B663" s="31" t="n"/>
      <c r="C663" s="31" t="n"/>
      <c r="D663">
        <f>IF(B663="","",IF(C663="",TODAY(),C663)-B663)</f>
        <v/>
      </c>
      <c r="E663">
        <f>IF(A663="","",IF(COUNTIFS($A:$A,A663,$C:$C,"")&gt;1,"Mais de uma entrada em aberto",IF(AND(C663&lt;&gt;"",C663&lt;B663),"Saída antes da entrada","")))</f>
        <v/>
      </c>
      <c r="F663" s="32">
        <f>IF(OR(A663="",B663=""),"",SUMIFS(Producao!$B:$B,Producao!$A:$A,"&gt;="&amp;B663,Producao!$A:$A,"&lt;"&amp;IF(C663="",TODAY()+1,C663)))</f>
        <v/>
      </c>
    </row>
    <row r="664">
      <c r="A664" s="30" t="n"/>
      <c r="B664" s="31" t="n"/>
      <c r="C664" s="31" t="n"/>
      <c r="D664">
        <f>IF(B664="","",IF(C664="",TODAY(),C664)-B664)</f>
        <v/>
      </c>
      <c r="E664">
        <f>IF(A664="","",IF(COUNTIFS($A:$A,A664,$C:$C,"")&gt;1,"Mais de uma entrada em aberto",IF(AND(C664&lt;&gt;"",C664&lt;B664),"Saída antes da entrada","")))</f>
        <v/>
      </c>
      <c r="F664" s="32">
        <f>IF(OR(A664="",B664=""),"",SUMIFS(Producao!$B:$B,Producao!$A:$A,"&gt;="&amp;B664,Producao!$A:$A,"&lt;"&amp;IF(C664="",TODAY()+1,C664)))</f>
        <v/>
      </c>
    </row>
    <row r="665">
      <c r="A665" s="30" t="n"/>
      <c r="B665" s="31" t="n"/>
      <c r="C665" s="31" t="n"/>
      <c r="D665">
        <f>IF(B665="","",IF(C665="",TODAY(),C665)-B665)</f>
        <v/>
      </c>
      <c r="E665">
        <f>IF(A665="","",IF(COUNTIFS($A:$A,A665,$C:$C,"")&gt;1,"Mais de uma entrada em aberto",IF(AND(C665&lt;&gt;"",C665&lt;B665),"Saída antes da entrada","")))</f>
        <v/>
      </c>
      <c r="F665" s="32">
        <f>IF(OR(A665="",B665=""),"",SUMIFS(Producao!$B:$B,Producao!$A:$A,"&gt;="&amp;B665,Producao!$A:$A,"&lt;"&amp;IF(C665="",TODAY()+1,C665)))</f>
        <v/>
      </c>
    </row>
    <row r="666">
      <c r="A666" s="30" t="n"/>
      <c r="B666" s="31" t="n"/>
      <c r="C666" s="31" t="n"/>
      <c r="D666">
        <f>IF(B666="","",IF(C666="",TODAY(),C666)-B666)</f>
        <v/>
      </c>
      <c r="E666">
        <f>IF(A666="","",IF(COUNTIFS($A:$A,A666,$C:$C,"")&gt;1,"Mais de uma entrada em aberto",IF(AND(C666&lt;&gt;"",C666&lt;B666),"Saída antes da entrada","")))</f>
        <v/>
      </c>
      <c r="F666" s="32">
        <f>IF(OR(A666="",B666=""),"",SUMIFS(Producao!$B:$B,Producao!$A:$A,"&gt;="&amp;B666,Producao!$A:$A,"&lt;"&amp;IF(C666="",TODAY()+1,C666)))</f>
        <v/>
      </c>
    </row>
    <row r="667">
      <c r="A667" s="30" t="n"/>
      <c r="B667" s="31" t="n"/>
      <c r="C667" s="31" t="n"/>
      <c r="D667">
        <f>IF(B667="","",IF(C667="",TODAY(),C667)-B667)</f>
        <v/>
      </c>
      <c r="E667">
        <f>IF(A667="","",IF(COUNTIFS($A:$A,A667,$C:$C,"")&gt;1,"Mais de uma entrada em aberto",IF(AND(C667&lt;&gt;"",C667&lt;B667),"Saída antes da entrada","")))</f>
        <v/>
      </c>
      <c r="F667" s="32">
        <f>IF(OR(A667="",B667=""),"",SUMIFS(Producao!$B:$B,Producao!$A:$A,"&gt;="&amp;B667,Producao!$A:$A,"&lt;"&amp;IF(C667="",TODAY()+1,C667)))</f>
        <v/>
      </c>
    </row>
    <row r="668">
      <c r="A668" s="30" t="n"/>
      <c r="B668" s="31" t="n"/>
      <c r="C668" s="31" t="n"/>
      <c r="D668">
        <f>IF(B668="","",IF(C668="",TODAY(),C668)-B668)</f>
        <v/>
      </c>
      <c r="E668">
        <f>IF(A668="","",IF(COUNTIFS($A:$A,A668,$C:$C,"")&gt;1,"Mais de uma entrada em aberto",IF(AND(C668&lt;&gt;"",C668&lt;B668),"Saída antes da entrada","")))</f>
        <v/>
      </c>
      <c r="F668" s="32">
        <f>IF(OR(A668="",B668=""),"",SUMIFS(Producao!$B:$B,Producao!$A:$A,"&gt;="&amp;B668,Producao!$A:$A,"&lt;"&amp;IF(C668="",TODAY()+1,C668)))</f>
        <v/>
      </c>
    </row>
    <row r="669">
      <c r="A669" s="30" t="n"/>
      <c r="B669" s="31" t="n"/>
      <c r="C669" s="31" t="n"/>
      <c r="D669">
        <f>IF(B669="","",IF(C669="",TODAY(),C669)-B669)</f>
        <v/>
      </c>
      <c r="E669">
        <f>IF(A669="","",IF(COUNTIFS($A:$A,A669,$C:$C,"")&gt;1,"Mais de uma entrada em aberto",IF(AND(C669&lt;&gt;"",C669&lt;B669),"Saída antes da entrada","")))</f>
        <v/>
      </c>
      <c r="F669" s="32">
        <f>IF(OR(A669="",B669=""),"",SUMIFS(Producao!$B:$B,Producao!$A:$A,"&gt;="&amp;B669,Producao!$A:$A,"&lt;"&amp;IF(C669="",TODAY()+1,C669)))</f>
        <v/>
      </c>
    </row>
    <row r="670">
      <c r="A670" s="30" t="n"/>
      <c r="B670" s="31" t="n"/>
      <c r="C670" s="31" t="n"/>
      <c r="D670">
        <f>IF(B670="","",IF(C670="",TODAY(),C670)-B670)</f>
        <v/>
      </c>
      <c r="E670">
        <f>IF(A670="","",IF(COUNTIFS($A:$A,A670,$C:$C,"")&gt;1,"Mais de uma entrada em aberto",IF(AND(C670&lt;&gt;"",C670&lt;B670),"Saída antes da entrada","")))</f>
        <v/>
      </c>
      <c r="F670" s="32">
        <f>IF(OR(A670="",B670=""),"",SUMIFS(Producao!$B:$B,Producao!$A:$A,"&gt;="&amp;B670,Producao!$A:$A,"&lt;"&amp;IF(C670="",TODAY()+1,C670)))</f>
        <v/>
      </c>
    </row>
    <row r="671">
      <c r="A671" s="30" t="n"/>
      <c r="B671" s="31" t="n"/>
      <c r="C671" s="31" t="n"/>
      <c r="D671">
        <f>IF(B671="","",IF(C671="",TODAY(),C671)-B671)</f>
        <v/>
      </c>
      <c r="E671">
        <f>IF(A671="","",IF(COUNTIFS($A:$A,A671,$C:$C,"")&gt;1,"Mais de uma entrada em aberto",IF(AND(C671&lt;&gt;"",C671&lt;B671),"Saída antes da entrada","")))</f>
        <v/>
      </c>
      <c r="F671" s="32">
        <f>IF(OR(A671="",B671=""),"",SUMIFS(Producao!$B:$B,Producao!$A:$A,"&gt;="&amp;B671,Producao!$A:$A,"&lt;"&amp;IF(C671="",TODAY()+1,C671)))</f>
        <v/>
      </c>
    </row>
    <row r="672">
      <c r="A672" s="30" t="n"/>
      <c r="B672" s="31" t="n"/>
      <c r="C672" s="31" t="n"/>
      <c r="D672">
        <f>IF(B672="","",IF(C672="",TODAY(),C672)-B672)</f>
        <v/>
      </c>
      <c r="E672">
        <f>IF(A672="","",IF(COUNTIFS($A:$A,A672,$C:$C,"")&gt;1,"Mais de uma entrada em aberto",IF(AND(C672&lt;&gt;"",C672&lt;B672),"Saída antes da entrada","")))</f>
        <v/>
      </c>
      <c r="F672" s="32">
        <f>IF(OR(A672="",B672=""),"",SUMIFS(Producao!$B:$B,Producao!$A:$A,"&gt;="&amp;B672,Producao!$A:$A,"&lt;"&amp;IF(C672="",TODAY()+1,C672)))</f>
        <v/>
      </c>
    </row>
    <row r="673">
      <c r="A673" s="30" t="n"/>
      <c r="B673" s="31" t="n"/>
      <c r="C673" s="31" t="n"/>
      <c r="D673">
        <f>IF(B673="","",IF(C673="",TODAY(),C673)-B673)</f>
        <v/>
      </c>
      <c r="E673">
        <f>IF(A673="","",IF(COUNTIFS($A:$A,A673,$C:$C,"")&gt;1,"Mais de uma entrada em aberto",IF(AND(C673&lt;&gt;"",C673&lt;B673),"Saída antes da entrada","")))</f>
        <v/>
      </c>
      <c r="F673" s="32">
        <f>IF(OR(A673="",B673=""),"",SUMIFS(Producao!$B:$B,Producao!$A:$A,"&gt;="&amp;B673,Producao!$A:$A,"&lt;"&amp;IF(C673="",TODAY()+1,C673)))</f>
        <v/>
      </c>
    </row>
    <row r="674">
      <c r="A674" s="30" t="n"/>
      <c r="B674" s="31" t="n"/>
      <c r="C674" s="31" t="n"/>
      <c r="D674">
        <f>IF(B674="","",IF(C674="",TODAY(),C674)-B674)</f>
        <v/>
      </c>
      <c r="E674">
        <f>IF(A674="","",IF(COUNTIFS($A:$A,A674,$C:$C,"")&gt;1,"Mais de uma entrada em aberto",IF(AND(C674&lt;&gt;"",C674&lt;B674),"Saída antes da entrada","")))</f>
        <v/>
      </c>
      <c r="F674" s="32">
        <f>IF(OR(A674="",B674=""),"",SUMIFS(Producao!$B:$B,Producao!$A:$A,"&gt;="&amp;B674,Producao!$A:$A,"&lt;"&amp;IF(C674="",TODAY()+1,C674)))</f>
        <v/>
      </c>
    </row>
    <row r="675">
      <c r="A675" s="30" t="n"/>
      <c r="B675" s="31" t="n"/>
      <c r="C675" s="31" t="n"/>
      <c r="D675">
        <f>IF(B675="","",IF(C675="",TODAY(),C675)-B675)</f>
        <v/>
      </c>
      <c r="E675">
        <f>IF(A675="","",IF(COUNTIFS($A:$A,A675,$C:$C,"")&gt;1,"Mais de uma entrada em aberto",IF(AND(C675&lt;&gt;"",C675&lt;B675),"Saída antes da entrada","")))</f>
        <v/>
      </c>
      <c r="F675" s="32">
        <f>IF(OR(A675="",B675=""),"",SUMIFS(Producao!$B:$B,Producao!$A:$A,"&gt;="&amp;B675,Producao!$A:$A,"&lt;"&amp;IF(C675="",TODAY()+1,C675)))</f>
        <v/>
      </c>
    </row>
    <row r="676">
      <c r="A676" s="30" t="n"/>
      <c r="B676" s="31" t="n"/>
      <c r="C676" s="31" t="n"/>
      <c r="D676">
        <f>IF(B676="","",IF(C676="",TODAY(),C676)-B676)</f>
        <v/>
      </c>
      <c r="E676">
        <f>IF(A676="","",IF(COUNTIFS($A:$A,A676,$C:$C,"")&gt;1,"Mais de uma entrada em aberto",IF(AND(C676&lt;&gt;"",C676&lt;B676),"Saída antes da entrada","")))</f>
        <v/>
      </c>
      <c r="F676" s="32">
        <f>IF(OR(A676="",B676=""),"",SUMIFS(Producao!$B:$B,Producao!$A:$A,"&gt;="&amp;B676,Producao!$A:$A,"&lt;"&amp;IF(C676="",TODAY()+1,C676)))</f>
        <v/>
      </c>
    </row>
    <row r="677">
      <c r="A677" s="30" t="n"/>
      <c r="B677" s="31" t="n"/>
      <c r="C677" s="31" t="n"/>
      <c r="D677">
        <f>IF(B677="","",IF(C677="",TODAY(),C677)-B677)</f>
        <v/>
      </c>
      <c r="E677">
        <f>IF(A677="","",IF(COUNTIFS($A:$A,A677,$C:$C,"")&gt;1,"Mais de uma entrada em aberto",IF(AND(C677&lt;&gt;"",C677&lt;B677),"Saída antes da entrada","")))</f>
        <v/>
      </c>
      <c r="F677" s="32">
        <f>IF(OR(A677="",B677=""),"",SUMIFS(Producao!$B:$B,Producao!$A:$A,"&gt;="&amp;B677,Producao!$A:$A,"&lt;"&amp;IF(C677="",TODAY()+1,C677)))</f>
        <v/>
      </c>
    </row>
    <row r="678">
      <c r="A678" s="30" t="n"/>
      <c r="B678" s="31" t="n"/>
      <c r="C678" s="31" t="n"/>
      <c r="D678">
        <f>IF(B678="","",IF(C678="",TODAY(),C678)-B678)</f>
        <v/>
      </c>
      <c r="E678">
        <f>IF(A678="","",IF(COUNTIFS($A:$A,A678,$C:$C,"")&gt;1,"Mais de uma entrada em aberto",IF(AND(C678&lt;&gt;"",C678&lt;B678),"Saída antes da entrada","")))</f>
        <v/>
      </c>
      <c r="F678" s="32">
        <f>IF(OR(A678="",B678=""),"",SUMIFS(Producao!$B:$B,Producao!$A:$A,"&gt;="&amp;B678,Producao!$A:$A,"&lt;"&amp;IF(C678="",TODAY()+1,C678)))</f>
        <v/>
      </c>
    </row>
    <row r="679">
      <c r="A679" s="30" t="n"/>
      <c r="B679" s="31" t="n"/>
      <c r="C679" s="31" t="n"/>
      <c r="D679">
        <f>IF(B679="","",IF(C679="",TODAY(),C679)-B679)</f>
        <v/>
      </c>
      <c r="E679">
        <f>IF(A679="","",IF(COUNTIFS($A:$A,A679,$C:$C,"")&gt;1,"Mais de uma entrada em aberto",IF(AND(C679&lt;&gt;"",C679&lt;B679),"Saída antes da entrada","")))</f>
        <v/>
      </c>
      <c r="F679" s="32">
        <f>IF(OR(A679="",B679=""),"",SUMIFS(Producao!$B:$B,Producao!$A:$A,"&gt;="&amp;B679,Producao!$A:$A,"&lt;"&amp;IF(C679="",TODAY()+1,C679)))</f>
        <v/>
      </c>
    </row>
    <row r="680">
      <c r="A680" s="30" t="n"/>
      <c r="B680" s="31" t="n"/>
      <c r="C680" s="31" t="n"/>
      <c r="D680">
        <f>IF(B680="","",IF(C680="",TODAY(),C680)-B680)</f>
        <v/>
      </c>
      <c r="E680">
        <f>IF(A680="","",IF(COUNTIFS($A:$A,A680,$C:$C,"")&gt;1,"Mais de uma entrada em aberto",IF(AND(C680&lt;&gt;"",C680&lt;B680),"Saída antes da entrada","")))</f>
        <v/>
      </c>
      <c r="F680" s="32">
        <f>IF(OR(A680="",B680=""),"",SUMIFS(Producao!$B:$B,Producao!$A:$A,"&gt;="&amp;B680,Producao!$A:$A,"&lt;"&amp;IF(C680="",TODAY()+1,C680)))</f>
        <v/>
      </c>
    </row>
    <row r="681">
      <c r="A681" s="30" t="n"/>
      <c r="B681" s="31" t="n"/>
      <c r="C681" s="31" t="n"/>
      <c r="D681">
        <f>IF(B681="","",IF(C681="",TODAY(),C681)-B681)</f>
        <v/>
      </c>
      <c r="E681">
        <f>IF(A681="","",IF(COUNTIFS($A:$A,A681,$C:$C,"")&gt;1,"Mais de uma entrada em aberto",IF(AND(C681&lt;&gt;"",C681&lt;B681),"Saída antes da entrada","")))</f>
        <v/>
      </c>
      <c r="F681" s="32">
        <f>IF(OR(A681="",B681=""),"",SUMIFS(Producao!$B:$B,Producao!$A:$A,"&gt;="&amp;B681,Producao!$A:$A,"&lt;"&amp;IF(C681="",TODAY()+1,C681)))</f>
        <v/>
      </c>
    </row>
    <row r="682">
      <c r="A682" s="30" t="n"/>
      <c r="B682" s="31" t="n"/>
      <c r="C682" s="31" t="n"/>
      <c r="D682">
        <f>IF(B682="","",IF(C682="",TODAY(),C682)-B682)</f>
        <v/>
      </c>
      <c r="E682">
        <f>IF(A682="","",IF(COUNTIFS($A:$A,A682,$C:$C,"")&gt;1,"Mais de uma entrada em aberto",IF(AND(C682&lt;&gt;"",C682&lt;B682),"Saída antes da entrada","")))</f>
        <v/>
      </c>
      <c r="F682" s="32">
        <f>IF(OR(A682="",B682=""),"",SUMIFS(Producao!$B:$B,Producao!$A:$A,"&gt;="&amp;B682,Producao!$A:$A,"&lt;"&amp;IF(C682="",TODAY()+1,C682)))</f>
        <v/>
      </c>
    </row>
    <row r="683">
      <c r="A683" s="30" t="n"/>
      <c r="B683" s="31" t="n"/>
      <c r="C683" s="31" t="n"/>
      <c r="D683">
        <f>IF(B683="","",IF(C683="",TODAY(),C683)-B683)</f>
        <v/>
      </c>
      <c r="E683">
        <f>IF(A683="","",IF(COUNTIFS($A:$A,A683,$C:$C,"")&gt;1,"Mais de uma entrada em aberto",IF(AND(C683&lt;&gt;"",C683&lt;B683),"Saída antes da entrada","")))</f>
        <v/>
      </c>
      <c r="F683" s="32">
        <f>IF(OR(A683="",B683=""),"",SUMIFS(Producao!$B:$B,Producao!$A:$A,"&gt;="&amp;B683,Producao!$A:$A,"&lt;"&amp;IF(C683="",TODAY()+1,C683)))</f>
        <v/>
      </c>
    </row>
    <row r="684">
      <c r="A684" s="30" t="n"/>
      <c r="B684" s="31" t="n"/>
      <c r="C684" s="31" t="n"/>
      <c r="D684">
        <f>IF(B684="","",IF(C684="",TODAY(),C684)-B684)</f>
        <v/>
      </c>
      <c r="E684">
        <f>IF(A684="","",IF(COUNTIFS($A:$A,A684,$C:$C,"")&gt;1,"Mais de uma entrada em aberto",IF(AND(C684&lt;&gt;"",C684&lt;B684),"Saída antes da entrada","")))</f>
        <v/>
      </c>
      <c r="F684" s="32">
        <f>IF(OR(A684="",B684=""),"",SUMIFS(Producao!$B:$B,Producao!$A:$A,"&gt;="&amp;B684,Producao!$A:$A,"&lt;"&amp;IF(C684="",TODAY()+1,C684)))</f>
        <v/>
      </c>
    </row>
    <row r="685">
      <c r="A685" s="30" t="n"/>
      <c r="B685" s="31" t="n"/>
      <c r="C685" s="31" t="n"/>
      <c r="D685">
        <f>IF(B685="","",IF(C685="",TODAY(),C685)-B685)</f>
        <v/>
      </c>
      <c r="E685">
        <f>IF(A685="","",IF(COUNTIFS($A:$A,A685,$C:$C,"")&gt;1,"Mais de uma entrada em aberto",IF(AND(C685&lt;&gt;"",C685&lt;B685),"Saída antes da entrada","")))</f>
        <v/>
      </c>
      <c r="F685" s="32">
        <f>IF(OR(A685="",B685=""),"",SUMIFS(Producao!$B:$B,Producao!$A:$A,"&gt;="&amp;B685,Producao!$A:$A,"&lt;"&amp;IF(C685="",TODAY()+1,C685)))</f>
        <v/>
      </c>
    </row>
    <row r="686">
      <c r="A686" s="30" t="n"/>
      <c r="B686" s="31" t="n"/>
      <c r="C686" s="31" t="n"/>
      <c r="D686">
        <f>IF(B686="","",IF(C686="",TODAY(),C686)-B686)</f>
        <v/>
      </c>
      <c r="E686">
        <f>IF(A686="","",IF(COUNTIFS($A:$A,A686,$C:$C,"")&gt;1,"Mais de uma entrada em aberto",IF(AND(C686&lt;&gt;"",C686&lt;B686),"Saída antes da entrada","")))</f>
        <v/>
      </c>
      <c r="F686" s="32">
        <f>IF(OR(A686="",B686=""),"",SUMIFS(Producao!$B:$B,Producao!$A:$A,"&gt;="&amp;B686,Producao!$A:$A,"&lt;"&amp;IF(C686="",TODAY()+1,C686)))</f>
        <v/>
      </c>
    </row>
    <row r="687">
      <c r="A687" s="30" t="n"/>
      <c r="B687" s="31" t="n"/>
      <c r="C687" s="31" t="n"/>
      <c r="D687">
        <f>IF(B687="","",IF(C687="",TODAY(),C687)-B687)</f>
        <v/>
      </c>
      <c r="E687">
        <f>IF(A687="","",IF(COUNTIFS($A:$A,A687,$C:$C,"")&gt;1,"Mais de uma entrada em aberto",IF(AND(C687&lt;&gt;"",C687&lt;B687),"Saída antes da entrada","")))</f>
        <v/>
      </c>
      <c r="F687" s="32">
        <f>IF(OR(A687="",B687=""),"",SUMIFS(Producao!$B:$B,Producao!$A:$A,"&gt;="&amp;B687,Producao!$A:$A,"&lt;"&amp;IF(C687="",TODAY()+1,C687)))</f>
        <v/>
      </c>
    </row>
    <row r="688">
      <c r="A688" s="30" t="n"/>
      <c r="B688" s="31" t="n"/>
      <c r="C688" s="31" t="n"/>
      <c r="D688">
        <f>IF(B688="","",IF(C688="",TODAY(),C688)-B688)</f>
        <v/>
      </c>
      <c r="E688">
        <f>IF(A688="","",IF(COUNTIFS($A:$A,A688,$C:$C,"")&gt;1,"Mais de uma entrada em aberto",IF(AND(C688&lt;&gt;"",C688&lt;B688),"Saída antes da entrada","")))</f>
        <v/>
      </c>
      <c r="F688" s="32">
        <f>IF(OR(A688="",B688=""),"",SUMIFS(Producao!$B:$B,Producao!$A:$A,"&gt;="&amp;B688,Producao!$A:$A,"&lt;"&amp;IF(C688="",TODAY()+1,C688)))</f>
        <v/>
      </c>
    </row>
    <row r="689">
      <c r="A689" s="30" t="n"/>
      <c r="B689" s="31" t="n"/>
      <c r="C689" s="31" t="n"/>
      <c r="D689">
        <f>IF(B689="","",IF(C689="",TODAY(),C689)-B689)</f>
        <v/>
      </c>
      <c r="E689">
        <f>IF(A689="","",IF(COUNTIFS($A:$A,A689,$C:$C,"")&gt;1,"Mais de uma entrada em aberto",IF(AND(C689&lt;&gt;"",C689&lt;B689),"Saída antes da entrada","")))</f>
        <v/>
      </c>
      <c r="F689" s="32">
        <f>IF(OR(A689="",B689=""),"",SUMIFS(Producao!$B:$B,Producao!$A:$A,"&gt;="&amp;B689,Producao!$A:$A,"&lt;"&amp;IF(C689="",TODAY()+1,C689)))</f>
        <v/>
      </c>
    </row>
    <row r="690">
      <c r="A690" s="30" t="n"/>
      <c r="B690" s="31" t="n"/>
      <c r="C690" s="31" t="n"/>
      <c r="D690">
        <f>IF(B690="","",IF(C690="",TODAY(),C690)-B690)</f>
        <v/>
      </c>
      <c r="E690">
        <f>IF(A690="","",IF(COUNTIFS($A:$A,A690,$C:$C,"")&gt;1,"Mais de uma entrada em aberto",IF(AND(C690&lt;&gt;"",C690&lt;B690),"Saída antes da entrada","")))</f>
        <v/>
      </c>
      <c r="F690" s="32">
        <f>IF(OR(A690="",B690=""),"",SUMIFS(Producao!$B:$B,Producao!$A:$A,"&gt;="&amp;B690,Producao!$A:$A,"&lt;"&amp;IF(C690="",TODAY()+1,C690)))</f>
        <v/>
      </c>
    </row>
    <row r="691">
      <c r="A691" s="30" t="n"/>
      <c r="B691" s="31" t="n"/>
      <c r="C691" s="31" t="n"/>
      <c r="D691">
        <f>IF(B691="","",IF(C691="",TODAY(),C691)-B691)</f>
        <v/>
      </c>
      <c r="E691">
        <f>IF(A691="","",IF(COUNTIFS($A:$A,A691,$C:$C,"")&gt;1,"Mais de uma entrada em aberto",IF(AND(C691&lt;&gt;"",C691&lt;B691),"Saída antes da entrada","")))</f>
        <v/>
      </c>
      <c r="F691" s="32">
        <f>IF(OR(A691="",B691=""),"",SUMIFS(Producao!$B:$B,Producao!$A:$A,"&gt;="&amp;B691,Producao!$A:$A,"&lt;"&amp;IF(C691="",TODAY()+1,C691)))</f>
        <v/>
      </c>
    </row>
    <row r="692">
      <c r="A692" s="30" t="n"/>
      <c r="B692" s="31" t="n"/>
      <c r="C692" s="31" t="n"/>
      <c r="D692">
        <f>IF(B692="","",IF(C692="",TODAY(),C692)-B692)</f>
        <v/>
      </c>
      <c r="E692">
        <f>IF(A692="","",IF(COUNTIFS($A:$A,A692,$C:$C,"")&gt;1,"Mais de uma entrada em aberto",IF(AND(C692&lt;&gt;"",C692&lt;B692),"Saída antes da entrada","")))</f>
        <v/>
      </c>
      <c r="F692" s="32">
        <f>IF(OR(A692="",B692=""),"",SUMIFS(Producao!$B:$B,Producao!$A:$A,"&gt;="&amp;B692,Producao!$A:$A,"&lt;"&amp;IF(C692="",TODAY()+1,C692)))</f>
        <v/>
      </c>
    </row>
    <row r="693">
      <c r="A693" s="30" t="n"/>
      <c r="B693" s="31" t="n"/>
      <c r="C693" s="31" t="n"/>
      <c r="D693">
        <f>IF(B693="","",IF(C693="",TODAY(),C693)-B693)</f>
        <v/>
      </c>
      <c r="E693">
        <f>IF(A693="","",IF(COUNTIFS($A:$A,A693,$C:$C,"")&gt;1,"Mais de uma entrada em aberto",IF(AND(C693&lt;&gt;"",C693&lt;B693),"Saída antes da entrada","")))</f>
        <v/>
      </c>
      <c r="F693" s="32">
        <f>IF(OR(A693="",B693=""),"",SUMIFS(Producao!$B:$B,Producao!$A:$A,"&gt;="&amp;B693,Producao!$A:$A,"&lt;"&amp;IF(C693="",TODAY()+1,C693)))</f>
        <v/>
      </c>
    </row>
    <row r="694">
      <c r="A694" s="30" t="n"/>
      <c r="B694" s="31" t="n"/>
      <c r="C694" s="31" t="n"/>
      <c r="D694">
        <f>IF(B694="","",IF(C694="",TODAY(),C694)-B694)</f>
        <v/>
      </c>
      <c r="E694">
        <f>IF(A694="","",IF(COUNTIFS($A:$A,A694,$C:$C,"")&gt;1,"Mais de uma entrada em aberto",IF(AND(C694&lt;&gt;"",C694&lt;B694),"Saída antes da entrada","")))</f>
        <v/>
      </c>
      <c r="F694" s="32">
        <f>IF(OR(A694="",B694=""),"",SUMIFS(Producao!$B:$B,Producao!$A:$A,"&gt;="&amp;B694,Producao!$A:$A,"&lt;"&amp;IF(C694="",TODAY()+1,C694)))</f>
        <v/>
      </c>
    </row>
    <row r="695">
      <c r="A695" s="30" t="n"/>
      <c r="B695" s="31" t="n"/>
      <c r="C695" s="31" t="n"/>
      <c r="D695">
        <f>IF(B695="","",IF(C695="",TODAY(),C695)-B695)</f>
        <v/>
      </c>
      <c r="E695">
        <f>IF(A695="","",IF(COUNTIFS($A:$A,A695,$C:$C,"")&gt;1,"Mais de uma entrada em aberto",IF(AND(C695&lt;&gt;"",C695&lt;B695),"Saída antes da entrada","")))</f>
        <v/>
      </c>
      <c r="F695" s="32">
        <f>IF(OR(A695="",B695=""),"",SUMIFS(Producao!$B:$B,Producao!$A:$A,"&gt;="&amp;B695,Producao!$A:$A,"&lt;"&amp;IF(C695="",TODAY()+1,C695)))</f>
        <v/>
      </c>
    </row>
    <row r="696">
      <c r="A696" s="30" t="n"/>
      <c r="B696" s="31" t="n"/>
      <c r="C696" s="31" t="n"/>
      <c r="D696">
        <f>IF(B696="","",IF(C696="",TODAY(),C696)-B696)</f>
        <v/>
      </c>
      <c r="E696">
        <f>IF(A696="","",IF(COUNTIFS($A:$A,A696,$C:$C,"")&gt;1,"Mais de uma entrada em aberto",IF(AND(C696&lt;&gt;"",C696&lt;B696),"Saída antes da entrada","")))</f>
        <v/>
      </c>
      <c r="F696" s="32">
        <f>IF(OR(A696="",B696=""),"",SUMIFS(Producao!$B:$B,Producao!$A:$A,"&gt;="&amp;B696,Producao!$A:$A,"&lt;"&amp;IF(C696="",TODAY()+1,C696)))</f>
        <v/>
      </c>
    </row>
    <row r="697">
      <c r="A697" s="30" t="n"/>
      <c r="B697" s="31" t="n"/>
      <c r="C697" s="31" t="n"/>
      <c r="D697">
        <f>IF(B697="","",IF(C697="",TODAY(),C697)-B697)</f>
        <v/>
      </c>
      <c r="E697">
        <f>IF(A697="","",IF(COUNTIFS($A:$A,A697,$C:$C,"")&gt;1,"Mais de uma entrada em aberto",IF(AND(C697&lt;&gt;"",C697&lt;B697),"Saída antes da entrada","")))</f>
        <v/>
      </c>
      <c r="F697" s="32">
        <f>IF(OR(A697="",B697=""),"",SUMIFS(Producao!$B:$B,Producao!$A:$A,"&gt;="&amp;B697,Producao!$A:$A,"&lt;"&amp;IF(C697="",TODAY()+1,C697)))</f>
        <v/>
      </c>
    </row>
    <row r="698">
      <c r="A698" s="30" t="n"/>
      <c r="B698" s="31" t="n"/>
      <c r="C698" s="31" t="n"/>
      <c r="D698">
        <f>IF(B698="","",IF(C698="",TODAY(),C698)-B698)</f>
        <v/>
      </c>
      <c r="E698">
        <f>IF(A698="","",IF(COUNTIFS($A:$A,A698,$C:$C,"")&gt;1,"Mais de uma entrada em aberto",IF(AND(C698&lt;&gt;"",C698&lt;B698),"Saída antes da entrada","")))</f>
        <v/>
      </c>
      <c r="F698" s="32">
        <f>IF(OR(A698="",B698=""),"",SUMIFS(Producao!$B:$B,Producao!$A:$A,"&gt;="&amp;B698,Producao!$A:$A,"&lt;"&amp;IF(C698="",TODAY()+1,C698)))</f>
        <v/>
      </c>
    </row>
    <row r="699">
      <c r="A699" s="30" t="n"/>
      <c r="B699" s="31" t="n"/>
      <c r="C699" s="31" t="n"/>
      <c r="D699">
        <f>IF(B699="","",IF(C699="",TODAY(),C699)-B699)</f>
        <v/>
      </c>
      <c r="E699">
        <f>IF(A699="","",IF(COUNTIFS($A:$A,A699,$C:$C,"")&gt;1,"Mais de uma entrada em aberto",IF(AND(C699&lt;&gt;"",C699&lt;B699),"Saída antes da entrada","")))</f>
        <v/>
      </c>
      <c r="F699" s="32">
        <f>IF(OR(A699="",B699=""),"",SUMIFS(Producao!$B:$B,Producao!$A:$A,"&gt;="&amp;B699,Producao!$A:$A,"&lt;"&amp;IF(C699="",TODAY()+1,C699)))</f>
        <v/>
      </c>
    </row>
    <row r="700">
      <c r="A700" s="30" t="n"/>
      <c r="B700" s="31" t="n"/>
      <c r="C700" s="31" t="n"/>
      <c r="D700">
        <f>IF(B700="","",IF(C700="",TODAY(),C700)-B700)</f>
        <v/>
      </c>
      <c r="E700">
        <f>IF(A700="","",IF(COUNTIFS($A:$A,A700,$C:$C,"")&gt;1,"Mais de uma entrada em aberto",IF(AND(C700&lt;&gt;"",C700&lt;B700),"Saída antes da entrada","")))</f>
        <v/>
      </c>
      <c r="F700" s="32">
        <f>IF(OR(A700="",B700=""),"",SUMIFS(Producao!$B:$B,Producao!$A:$A,"&gt;="&amp;B700,Producao!$A:$A,"&lt;"&amp;IF(C700="",TODAY()+1,C700)))</f>
        <v/>
      </c>
    </row>
    <row r="701">
      <c r="A701" s="30" t="n"/>
      <c r="B701" s="31" t="n"/>
      <c r="C701" s="31" t="n"/>
      <c r="D701">
        <f>IF(B701="","",IF(C701="",TODAY(),C701)-B701)</f>
        <v/>
      </c>
      <c r="E701">
        <f>IF(A701="","",IF(COUNTIFS($A:$A,A701,$C:$C,"")&gt;1,"Mais de uma entrada em aberto",IF(AND(C701&lt;&gt;"",C701&lt;B701),"Saída antes da entrada","")))</f>
        <v/>
      </c>
      <c r="F701" s="32">
        <f>IF(OR(A701="",B701=""),"",SUMIFS(Producao!$B:$B,Producao!$A:$A,"&gt;="&amp;B701,Producao!$A:$A,"&lt;"&amp;IF(C701="",TODAY()+1,C701)))</f>
        <v/>
      </c>
    </row>
    <row r="702">
      <c r="A702" s="30" t="n"/>
      <c r="B702" s="31" t="n"/>
      <c r="C702" s="31" t="n"/>
      <c r="D702">
        <f>IF(B702="","",IF(C702="",TODAY(),C702)-B702)</f>
        <v/>
      </c>
      <c r="E702">
        <f>IF(A702="","",IF(COUNTIFS($A:$A,A702,$C:$C,"")&gt;1,"Mais de uma entrada em aberto",IF(AND(C702&lt;&gt;"",C702&lt;B702),"Saída antes da entrada","")))</f>
        <v/>
      </c>
      <c r="F702" s="32">
        <f>IF(OR(A702="",B702=""),"",SUMIFS(Producao!$B:$B,Producao!$A:$A,"&gt;="&amp;B702,Producao!$A:$A,"&lt;"&amp;IF(C702="",TODAY()+1,C702)))</f>
        <v/>
      </c>
    </row>
    <row r="703">
      <c r="A703" s="30" t="n"/>
      <c r="B703" s="31" t="n"/>
      <c r="C703" s="31" t="n"/>
      <c r="D703">
        <f>IF(B703="","",IF(C703="",TODAY(),C703)-B703)</f>
        <v/>
      </c>
      <c r="E703">
        <f>IF(A703="","",IF(COUNTIFS($A:$A,A703,$C:$C,"")&gt;1,"Mais de uma entrada em aberto",IF(AND(C703&lt;&gt;"",C703&lt;B703),"Saída antes da entrada","")))</f>
        <v/>
      </c>
      <c r="F703" s="32">
        <f>IF(OR(A703="",B703=""),"",SUMIFS(Producao!$B:$B,Producao!$A:$A,"&gt;="&amp;B703,Producao!$A:$A,"&lt;"&amp;IF(C703="",TODAY()+1,C703)))</f>
        <v/>
      </c>
    </row>
    <row r="704">
      <c r="A704" s="30" t="n"/>
      <c r="B704" s="31" t="n"/>
      <c r="C704" s="31" t="n"/>
      <c r="D704">
        <f>IF(B704="","",IF(C704="",TODAY(),C704)-B704)</f>
        <v/>
      </c>
      <c r="E704">
        <f>IF(A704="","",IF(COUNTIFS($A:$A,A704,$C:$C,"")&gt;1,"Mais de uma entrada em aberto",IF(AND(C704&lt;&gt;"",C704&lt;B704),"Saída antes da entrada","")))</f>
        <v/>
      </c>
      <c r="F704" s="32">
        <f>IF(OR(A704="",B704=""),"",SUMIFS(Producao!$B:$B,Producao!$A:$A,"&gt;="&amp;B704,Producao!$A:$A,"&lt;"&amp;IF(C704="",TODAY()+1,C704)))</f>
        <v/>
      </c>
    </row>
    <row r="705">
      <c r="A705" s="30" t="n"/>
      <c r="B705" s="31" t="n"/>
      <c r="C705" s="31" t="n"/>
      <c r="D705">
        <f>IF(B705="","",IF(C705="",TODAY(),C705)-B705)</f>
        <v/>
      </c>
      <c r="E705">
        <f>IF(A705="","",IF(COUNTIFS($A:$A,A705,$C:$C,"")&gt;1,"Mais de uma entrada em aberto",IF(AND(C705&lt;&gt;"",C705&lt;B705),"Saída antes da entrada","")))</f>
        <v/>
      </c>
      <c r="F705" s="32">
        <f>IF(OR(A705="",B705=""),"",SUMIFS(Producao!$B:$B,Producao!$A:$A,"&gt;="&amp;B705,Producao!$A:$A,"&lt;"&amp;IF(C705="",TODAY()+1,C705)))</f>
        <v/>
      </c>
    </row>
    <row r="706">
      <c r="A706" s="30" t="n"/>
      <c r="B706" s="31" t="n"/>
      <c r="C706" s="31" t="n"/>
      <c r="D706">
        <f>IF(B706="","",IF(C706="",TODAY(),C706)-B706)</f>
        <v/>
      </c>
      <c r="E706">
        <f>IF(A706="","",IF(COUNTIFS($A:$A,A706,$C:$C,"")&gt;1,"Mais de uma entrada em aberto",IF(AND(C706&lt;&gt;"",C706&lt;B706),"Saída antes da entrada","")))</f>
        <v/>
      </c>
      <c r="F706" s="32">
        <f>IF(OR(A706="",B706=""),"",SUMIFS(Producao!$B:$B,Producao!$A:$A,"&gt;="&amp;B706,Producao!$A:$A,"&lt;"&amp;IF(C706="",TODAY()+1,C706)))</f>
        <v/>
      </c>
    </row>
    <row r="707">
      <c r="A707" s="30" t="n"/>
      <c r="B707" s="31" t="n"/>
      <c r="C707" s="31" t="n"/>
      <c r="D707">
        <f>IF(B707="","",IF(C707="",TODAY(),C707)-B707)</f>
        <v/>
      </c>
      <c r="E707">
        <f>IF(A707="","",IF(COUNTIFS($A:$A,A707,$C:$C,"")&gt;1,"Mais de uma entrada em aberto",IF(AND(C707&lt;&gt;"",C707&lt;B707),"Saída antes da entrada","")))</f>
        <v/>
      </c>
      <c r="F707" s="32">
        <f>IF(OR(A707="",B707=""),"",SUMIFS(Producao!$B:$B,Producao!$A:$A,"&gt;="&amp;B707,Producao!$A:$A,"&lt;"&amp;IF(C707="",TODAY()+1,C707)))</f>
        <v/>
      </c>
    </row>
    <row r="708">
      <c r="A708" s="30" t="n"/>
      <c r="B708" s="31" t="n"/>
      <c r="C708" s="31" t="n"/>
      <c r="D708">
        <f>IF(B708="","",IF(C708="",TODAY(),C708)-B708)</f>
        <v/>
      </c>
      <c r="E708">
        <f>IF(A708="","",IF(COUNTIFS($A:$A,A708,$C:$C,"")&gt;1,"Mais de uma entrada em aberto",IF(AND(C708&lt;&gt;"",C708&lt;B708),"Saída antes da entrada","")))</f>
        <v/>
      </c>
      <c r="F708" s="32">
        <f>IF(OR(A708="",B708=""),"",SUMIFS(Producao!$B:$B,Producao!$A:$A,"&gt;="&amp;B708,Producao!$A:$A,"&lt;"&amp;IF(C708="",TODAY()+1,C708)))</f>
        <v/>
      </c>
    </row>
    <row r="709">
      <c r="A709" s="30" t="n"/>
      <c r="B709" s="31" t="n"/>
      <c r="C709" s="31" t="n"/>
      <c r="D709">
        <f>IF(B709="","",IF(C709="",TODAY(),C709)-B709)</f>
        <v/>
      </c>
      <c r="E709">
        <f>IF(A709="","",IF(COUNTIFS($A:$A,A709,$C:$C,"")&gt;1,"Mais de uma entrada em aberto",IF(AND(C709&lt;&gt;"",C709&lt;B709),"Saída antes da entrada","")))</f>
        <v/>
      </c>
      <c r="F709" s="32">
        <f>IF(OR(A709="",B709=""),"",SUMIFS(Producao!$B:$B,Producao!$A:$A,"&gt;="&amp;B709,Producao!$A:$A,"&lt;"&amp;IF(C709="",TODAY()+1,C709)))</f>
        <v/>
      </c>
    </row>
    <row r="710">
      <c r="A710" s="30" t="n"/>
      <c r="B710" s="31" t="n"/>
      <c r="C710" s="31" t="n"/>
      <c r="D710">
        <f>IF(B710="","",IF(C710="",TODAY(),C710)-B710)</f>
        <v/>
      </c>
      <c r="E710">
        <f>IF(A710="","",IF(COUNTIFS($A:$A,A710,$C:$C,"")&gt;1,"Mais de uma entrada em aberto",IF(AND(C710&lt;&gt;"",C710&lt;B710),"Saída antes da entrada","")))</f>
        <v/>
      </c>
      <c r="F710" s="32">
        <f>IF(OR(A710="",B710=""),"",SUMIFS(Producao!$B:$B,Producao!$A:$A,"&gt;="&amp;B710,Producao!$A:$A,"&lt;"&amp;IF(C710="",TODAY()+1,C710)))</f>
        <v/>
      </c>
    </row>
    <row r="711">
      <c r="A711" s="30" t="n"/>
      <c r="B711" s="31" t="n"/>
      <c r="C711" s="31" t="n"/>
      <c r="D711">
        <f>IF(B711="","",IF(C711="",TODAY(),C711)-B711)</f>
        <v/>
      </c>
      <c r="E711">
        <f>IF(A711="","",IF(COUNTIFS($A:$A,A711,$C:$C,"")&gt;1,"Mais de uma entrada em aberto",IF(AND(C711&lt;&gt;"",C711&lt;B711),"Saída antes da entrada","")))</f>
        <v/>
      </c>
      <c r="F711" s="32">
        <f>IF(OR(A711="",B711=""),"",SUMIFS(Producao!$B:$B,Producao!$A:$A,"&gt;="&amp;B711,Producao!$A:$A,"&lt;"&amp;IF(C711="",TODAY()+1,C711)))</f>
        <v/>
      </c>
    </row>
    <row r="712">
      <c r="A712" s="30" t="n"/>
      <c r="B712" s="31" t="n"/>
      <c r="C712" s="31" t="n"/>
      <c r="D712">
        <f>IF(B712="","",IF(C712="",TODAY(),C712)-B712)</f>
        <v/>
      </c>
      <c r="E712">
        <f>IF(A712="","",IF(COUNTIFS($A:$A,A712,$C:$C,"")&gt;1,"Mais de uma entrada em aberto",IF(AND(C712&lt;&gt;"",C712&lt;B712),"Saída antes da entrada","")))</f>
        <v/>
      </c>
      <c r="F712" s="32">
        <f>IF(OR(A712="",B712=""),"",SUMIFS(Producao!$B:$B,Producao!$A:$A,"&gt;="&amp;B712,Producao!$A:$A,"&lt;"&amp;IF(C712="",TODAY()+1,C712)))</f>
        <v/>
      </c>
    </row>
    <row r="713">
      <c r="A713" s="30" t="n"/>
      <c r="B713" s="31" t="n"/>
      <c r="C713" s="31" t="n"/>
      <c r="D713">
        <f>IF(B713="","",IF(C713="",TODAY(),C713)-B713)</f>
        <v/>
      </c>
      <c r="E713">
        <f>IF(A713="","",IF(COUNTIFS($A:$A,A713,$C:$C,"")&gt;1,"Mais de uma entrada em aberto",IF(AND(C713&lt;&gt;"",C713&lt;B713),"Saída antes da entrada","")))</f>
        <v/>
      </c>
      <c r="F713" s="32">
        <f>IF(OR(A713="",B713=""),"",SUMIFS(Producao!$B:$B,Producao!$A:$A,"&gt;="&amp;B713,Producao!$A:$A,"&lt;"&amp;IF(C713="",TODAY()+1,C713)))</f>
        <v/>
      </c>
    </row>
    <row r="714">
      <c r="A714" s="30" t="n"/>
      <c r="B714" s="31" t="n"/>
      <c r="C714" s="31" t="n"/>
      <c r="D714">
        <f>IF(B714="","",IF(C714="",TODAY(),C714)-B714)</f>
        <v/>
      </c>
      <c r="E714">
        <f>IF(A714="","",IF(COUNTIFS($A:$A,A714,$C:$C,"")&gt;1,"Mais de uma entrada em aberto",IF(AND(C714&lt;&gt;"",C714&lt;B714),"Saída antes da entrada","")))</f>
        <v/>
      </c>
      <c r="F714" s="32">
        <f>IF(OR(A714="",B714=""),"",SUMIFS(Producao!$B:$B,Producao!$A:$A,"&gt;="&amp;B714,Producao!$A:$A,"&lt;"&amp;IF(C714="",TODAY()+1,C714)))</f>
        <v/>
      </c>
    </row>
    <row r="715">
      <c r="A715" s="30" t="n"/>
      <c r="B715" s="31" t="n"/>
      <c r="C715" s="31" t="n"/>
      <c r="D715">
        <f>IF(B715="","",IF(C715="",TODAY(),C715)-B715)</f>
        <v/>
      </c>
      <c r="E715">
        <f>IF(A715="","",IF(COUNTIFS($A:$A,A715,$C:$C,"")&gt;1,"Mais de uma entrada em aberto",IF(AND(C715&lt;&gt;"",C715&lt;B715),"Saída antes da entrada","")))</f>
        <v/>
      </c>
      <c r="F715" s="32">
        <f>IF(OR(A715="",B715=""),"",SUMIFS(Producao!$B:$B,Producao!$A:$A,"&gt;="&amp;B715,Producao!$A:$A,"&lt;"&amp;IF(C715="",TODAY()+1,C715)))</f>
        <v/>
      </c>
    </row>
    <row r="716">
      <c r="A716" s="30" t="n"/>
      <c r="B716" s="31" t="n"/>
      <c r="C716" s="31" t="n"/>
      <c r="D716">
        <f>IF(B716="","",IF(C716="",TODAY(),C716)-B716)</f>
        <v/>
      </c>
      <c r="E716">
        <f>IF(A716="","",IF(COUNTIFS($A:$A,A716,$C:$C,"")&gt;1,"Mais de uma entrada em aberto",IF(AND(C716&lt;&gt;"",C716&lt;B716),"Saída antes da entrada","")))</f>
        <v/>
      </c>
      <c r="F716" s="32">
        <f>IF(OR(A716="",B716=""),"",SUMIFS(Producao!$B:$B,Producao!$A:$A,"&gt;="&amp;B716,Producao!$A:$A,"&lt;"&amp;IF(C716="",TODAY()+1,C716)))</f>
        <v/>
      </c>
    </row>
    <row r="717">
      <c r="A717" s="30" t="n"/>
      <c r="B717" s="31" t="n"/>
      <c r="C717" s="31" t="n"/>
      <c r="D717">
        <f>IF(B717="","",IF(C717="",TODAY(),C717)-B717)</f>
        <v/>
      </c>
      <c r="E717">
        <f>IF(A717="","",IF(COUNTIFS($A:$A,A717,$C:$C,"")&gt;1,"Mais de uma entrada em aberto",IF(AND(C717&lt;&gt;"",C717&lt;B717),"Saída antes da entrada","")))</f>
        <v/>
      </c>
      <c r="F717" s="32">
        <f>IF(OR(A717="",B717=""),"",SUMIFS(Producao!$B:$B,Producao!$A:$A,"&gt;="&amp;B717,Producao!$A:$A,"&lt;"&amp;IF(C717="",TODAY()+1,C717)))</f>
        <v/>
      </c>
    </row>
    <row r="718">
      <c r="A718" s="30" t="n"/>
      <c r="B718" s="31" t="n"/>
      <c r="C718" s="31" t="n"/>
      <c r="D718">
        <f>IF(B718="","",IF(C718="",TODAY(),C718)-B718)</f>
        <v/>
      </c>
      <c r="E718">
        <f>IF(A718="","",IF(COUNTIFS($A:$A,A718,$C:$C,"")&gt;1,"Mais de uma entrada em aberto",IF(AND(C718&lt;&gt;"",C718&lt;B718),"Saída antes da entrada","")))</f>
        <v/>
      </c>
      <c r="F718" s="32">
        <f>IF(OR(A718="",B718=""),"",SUMIFS(Producao!$B:$B,Producao!$A:$A,"&gt;="&amp;B718,Producao!$A:$A,"&lt;"&amp;IF(C718="",TODAY()+1,C718)))</f>
        <v/>
      </c>
    </row>
    <row r="719">
      <c r="A719" s="30" t="n"/>
      <c r="B719" s="31" t="n"/>
      <c r="C719" s="31" t="n"/>
      <c r="D719">
        <f>IF(B719="","",IF(C719="",TODAY(),C719)-B719)</f>
        <v/>
      </c>
      <c r="E719">
        <f>IF(A719="","",IF(COUNTIFS($A:$A,A719,$C:$C,"")&gt;1,"Mais de uma entrada em aberto",IF(AND(C719&lt;&gt;"",C719&lt;B719),"Saída antes da entrada","")))</f>
        <v/>
      </c>
      <c r="F719" s="32">
        <f>IF(OR(A719="",B719=""),"",SUMIFS(Producao!$B:$B,Producao!$A:$A,"&gt;="&amp;B719,Producao!$A:$A,"&lt;"&amp;IF(C719="",TODAY()+1,C719)))</f>
        <v/>
      </c>
    </row>
    <row r="720">
      <c r="A720" s="30" t="n"/>
      <c r="B720" s="31" t="n"/>
      <c r="C720" s="31" t="n"/>
      <c r="D720">
        <f>IF(B720="","",IF(C720="",TODAY(),C720)-B720)</f>
        <v/>
      </c>
      <c r="E720">
        <f>IF(A720="","",IF(COUNTIFS($A:$A,A720,$C:$C,"")&gt;1,"Mais de uma entrada em aberto",IF(AND(C720&lt;&gt;"",C720&lt;B720),"Saída antes da entrada","")))</f>
        <v/>
      </c>
      <c r="F720" s="32">
        <f>IF(OR(A720="",B720=""),"",SUMIFS(Producao!$B:$B,Producao!$A:$A,"&gt;="&amp;B720,Producao!$A:$A,"&lt;"&amp;IF(C720="",TODAY()+1,C720)))</f>
        <v/>
      </c>
    </row>
    <row r="721">
      <c r="A721" s="30" t="n"/>
      <c r="B721" s="31" t="n"/>
      <c r="C721" s="31" t="n"/>
      <c r="D721">
        <f>IF(B721="","",IF(C721="",TODAY(),C721)-B721)</f>
        <v/>
      </c>
      <c r="E721">
        <f>IF(A721="","",IF(COUNTIFS($A:$A,A721,$C:$C,"")&gt;1,"Mais de uma entrada em aberto",IF(AND(C721&lt;&gt;"",C721&lt;B721),"Saída antes da entrada","")))</f>
        <v/>
      </c>
      <c r="F721" s="32">
        <f>IF(OR(A721="",B721=""),"",SUMIFS(Producao!$B:$B,Producao!$A:$A,"&gt;="&amp;B721,Producao!$A:$A,"&lt;"&amp;IF(C721="",TODAY()+1,C721)))</f>
        <v/>
      </c>
    </row>
    <row r="722">
      <c r="A722" s="30" t="n"/>
      <c r="B722" s="31" t="n"/>
      <c r="C722" s="31" t="n"/>
      <c r="D722">
        <f>IF(B722="","",IF(C722="",TODAY(),C722)-B722)</f>
        <v/>
      </c>
      <c r="E722">
        <f>IF(A722="","",IF(COUNTIFS($A:$A,A722,$C:$C,"")&gt;1,"Mais de uma entrada em aberto",IF(AND(C722&lt;&gt;"",C722&lt;B722),"Saída antes da entrada","")))</f>
        <v/>
      </c>
      <c r="F722" s="32">
        <f>IF(OR(A722="",B722=""),"",SUMIFS(Producao!$B:$B,Producao!$A:$A,"&gt;="&amp;B722,Producao!$A:$A,"&lt;"&amp;IF(C722="",TODAY()+1,C722)))</f>
        <v/>
      </c>
    </row>
    <row r="723">
      <c r="A723" s="30" t="n"/>
      <c r="B723" s="31" t="n"/>
      <c r="C723" s="31" t="n"/>
      <c r="D723">
        <f>IF(B723="","",IF(C723="",TODAY(),C723)-B723)</f>
        <v/>
      </c>
      <c r="E723">
        <f>IF(A723="","",IF(COUNTIFS($A:$A,A723,$C:$C,"")&gt;1,"Mais de uma entrada em aberto",IF(AND(C723&lt;&gt;"",C723&lt;B723),"Saída antes da entrada","")))</f>
        <v/>
      </c>
      <c r="F723" s="32">
        <f>IF(OR(A723="",B723=""),"",SUMIFS(Producao!$B:$B,Producao!$A:$A,"&gt;="&amp;B723,Producao!$A:$A,"&lt;"&amp;IF(C723="",TODAY()+1,C723)))</f>
        <v/>
      </c>
    </row>
    <row r="724">
      <c r="A724" s="30" t="n"/>
      <c r="B724" s="31" t="n"/>
      <c r="C724" s="31" t="n"/>
      <c r="D724">
        <f>IF(B724="","",IF(C724="",TODAY(),C724)-B724)</f>
        <v/>
      </c>
      <c r="E724">
        <f>IF(A724="","",IF(COUNTIFS($A:$A,A724,$C:$C,"")&gt;1,"Mais de uma entrada em aberto",IF(AND(C724&lt;&gt;"",C724&lt;B724),"Saída antes da entrada","")))</f>
        <v/>
      </c>
      <c r="F724" s="32">
        <f>IF(OR(A724="",B724=""),"",SUMIFS(Producao!$B:$B,Producao!$A:$A,"&gt;="&amp;B724,Producao!$A:$A,"&lt;"&amp;IF(C724="",TODAY()+1,C724)))</f>
        <v/>
      </c>
    </row>
    <row r="725">
      <c r="A725" s="30" t="n"/>
      <c r="B725" s="31" t="n"/>
      <c r="C725" s="31" t="n"/>
      <c r="D725">
        <f>IF(B725="","",IF(C725="",TODAY(),C725)-B725)</f>
        <v/>
      </c>
      <c r="E725">
        <f>IF(A725="","",IF(COUNTIFS($A:$A,A725,$C:$C,"")&gt;1,"Mais de uma entrada em aberto",IF(AND(C725&lt;&gt;"",C725&lt;B725),"Saída antes da entrada","")))</f>
        <v/>
      </c>
      <c r="F725" s="32">
        <f>IF(OR(A725="",B725=""),"",SUMIFS(Producao!$B:$B,Producao!$A:$A,"&gt;="&amp;B725,Producao!$A:$A,"&lt;"&amp;IF(C725="",TODAY()+1,C725)))</f>
        <v/>
      </c>
    </row>
    <row r="726">
      <c r="A726" s="30" t="n"/>
      <c r="B726" s="31" t="n"/>
      <c r="C726" s="31" t="n"/>
      <c r="D726">
        <f>IF(B726="","",IF(C726="",TODAY(),C726)-B726)</f>
        <v/>
      </c>
      <c r="E726">
        <f>IF(A726="","",IF(COUNTIFS($A:$A,A726,$C:$C,"")&gt;1,"Mais de uma entrada em aberto",IF(AND(C726&lt;&gt;"",C726&lt;B726),"Saída antes da entrada","")))</f>
        <v/>
      </c>
      <c r="F726" s="32">
        <f>IF(OR(A726="",B726=""),"",SUMIFS(Producao!$B:$B,Producao!$A:$A,"&gt;="&amp;B726,Producao!$A:$A,"&lt;"&amp;IF(C726="",TODAY()+1,C726)))</f>
        <v/>
      </c>
    </row>
    <row r="727">
      <c r="A727" s="30" t="n"/>
      <c r="B727" s="31" t="n"/>
      <c r="C727" s="31" t="n"/>
      <c r="D727">
        <f>IF(B727="","",IF(C727="",TODAY(),C727)-B727)</f>
        <v/>
      </c>
      <c r="E727">
        <f>IF(A727="","",IF(COUNTIFS($A:$A,A727,$C:$C,"")&gt;1,"Mais de uma entrada em aberto",IF(AND(C727&lt;&gt;"",C727&lt;B727),"Saída antes da entrada","")))</f>
        <v/>
      </c>
      <c r="F727" s="32">
        <f>IF(OR(A727="",B727=""),"",SUMIFS(Producao!$B:$B,Producao!$A:$A,"&gt;="&amp;B727,Producao!$A:$A,"&lt;"&amp;IF(C727="",TODAY()+1,C727)))</f>
        <v/>
      </c>
    </row>
    <row r="728">
      <c r="A728" s="30" t="n"/>
      <c r="B728" s="31" t="n"/>
      <c r="C728" s="31" t="n"/>
      <c r="D728">
        <f>IF(B728="","",IF(C728="",TODAY(),C728)-B728)</f>
        <v/>
      </c>
      <c r="E728">
        <f>IF(A728="","",IF(COUNTIFS($A:$A,A728,$C:$C,"")&gt;1,"Mais de uma entrada em aberto",IF(AND(C728&lt;&gt;"",C728&lt;B728),"Saída antes da entrada","")))</f>
        <v/>
      </c>
      <c r="F728" s="32">
        <f>IF(OR(A728="",B728=""),"",SUMIFS(Producao!$B:$B,Producao!$A:$A,"&gt;="&amp;B728,Producao!$A:$A,"&lt;"&amp;IF(C728="",TODAY()+1,C728)))</f>
        <v/>
      </c>
    </row>
    <row r="729">
      <c r="A729" s="30" t="n"/>
      <c r="B729" s="31" t="n"/>
      <c r="C729" s="31" t="n"/>
      <c r="D729">
        <f>IF(B729="","",IF(C729="",TODAY(),C729)-B729)</f>
        <v/>
      </c>
      <c r="E729">
        <f>IF(A729="","",IF(COUNTIFS($A:$A,A729,$C:$C,"")&gt;1,"Mais de uma entrada em aberto",IF(AND(C729&lt;&gt;"",C729&lt;B729),"Saída antes da entrada","")))</f>
        <v/>
      </c>
      <c r="F729" s="32">
        <f>IF(OR(A729="",B729=""),"",SUMIFS(Producao!$B:$B,Producao!$A:$A,"&gt;="&amp;B729,Producao!$A:$A,"&lt;"&amp;IF(C729="",TODAY()+1,C729)))</f>
        <v/>
      </c>
    </row>
    <row r="730">
      <c r="A730" s="30" t="n"/>
      <c r="B730" s="31" t="n"/>
      <c r="C730" s="31" t="n"/>
      <c r="D730">
        <f>IF(B730="","",IF(C730="",TODAY(),C730)-B730)</f>
        <v/>
      </c>
      <c r="E730">
        <f>IF(A730="","",IF(COUNTIFS($A:$A,A730,$C:$C,"")&gt;1,"Mais de uma entrada em aberto",IF(AND(C730&lt;&gt;"",C730&lt;B730),"Saída antes da entrada","")))</f>
        <v/>
      </c>
      <c r="F730" s="32">
        <f>IF(OR(A730="",B730=""),"",SUMIFS(Producao!$B:$B,Producao!$A:$A,"&gt;="&amp;B730,Producao!$A:$A,"&lt;"&amp;IF(C730="",TODAY()+1,C730)))</f>
        <v/>
      </c>
    </row>
    <row r="731">
      <c r="A731" s="30" t="n"/>
      <c r="B731" s="31" t="n"/>
      <c r="C731" s="31" t="n"/>
      <c r="D731">
        <f>IF(B731="","",IF(C731="",TODAY(),C731)-B731)</f>
        <v/>
      </c>
      <c r="E731">
        <f>IF(A731="","",IF(COUNTIFS($A:$A,A731,$C:$C,"")&gt;1,"Mais de uma entrada em aberto",IF(AND(C731&lt;&gt;"",C731&lt;B731),"Saída antes da entrada","")))</f>
        <v/>
      </c>
      <c r="F731" s="32">
        <f>IF(OR(A731="",B731=""),"",SUMIFS(Producao!$B:$B,Producao!$A:$A,"&gt;="&amp;B731,Producao!$A:$A,"&lt;"&amp;IF(C731="",TODAY()+1,C731)))</f>
        <v/>
      </c>
    </row>
    <row r="732">
      <c r="A732" s="30" t="n"/>
      <c r="B732" s="31" t="n"/>
      <c r="C732" s="31" t="n"/>
      <c r="D732">
        <f>IF(B732="","",IF(C732="",TODAY(),C732)-B732)</f>
        <v/>
      </c>
      <c r="E732">
        <f>IF(A732="","",IF(COUNTIFS($A:$A,A732,$C:$C,"")&gt;1,"Mais de uma entrada em aberto",IF(AND(C732&lt;&gt;"",C732&lt;B732),"Saída antes da entrada","")))</f>
        <v/>
      </c>
      <c r="F732" s="32">
        <f>IF(OR(A732="",B732=""),"",SUMIFS(Producao!$B:$B,Producao!$A:$A,"&gt;="&amp;B732,Producao!$A:$A,"&lt;"&amp;IF(C732="",TODAY()+1,C732)))</f>
        <v/>
      </c>
    </row>
    <row r="733">
      <c r="A733" s="30" t="n"/>
      <c r="B733" s="31" t="n"/>
      <c r="C733" s="31" t="n"/>
      <c r="D733">
        <f>IF(B733="","",IF(C733="",TODAY(),C733)-B733)</f>
        <v/>
      </c>
      <c r="E733">
        <f>IF(A733="","",IF(COUNTIFS($A:$A,A733,$C:$C,"")&gt;1,"Mais de uma entrada em aberto",IF(AND(C733&lt;&gt;"",C733&lt;B733),"Saída antes da entrada","")))</f>
        <v/>
      </c>
      <c r="F733" s="32">
        <f>IF(OR(A733="",B733=""),"",SUMIFS(Producao!$B:$B,Producao!$A:$A,"&gt;="&amp;B733,Producao!$A:$A,"&lt;"&amp;IF(C733="",TODAY()+1,C733)))</f>
        <v/>
      </c>
    </row>
    <row r="734">
      <c r="A734" s="30" t="n"/>
      <c r="B734" s="31" t="n"/>
      <c r="C734" s="31" t="n"/>
      <c r="D734">
        <f>IF(B734="","",IF(C734="",TODAY(),C734)-B734)</f>
        <v/>
      </c>
      <c r="E734">
        <f>IF(A734="","",IF(COUNTIFS($A:$A,A734,$C:$C,"")&gt;1,"Mais de uma entrada em aberto",IF(AND(C734&lt;&gt;"",C734&lt;B734),"Saída antes da entrada","")))</f>
        <v/>
      </c>
      <c r="F734" s="32">
        <f>IF(OR(A734="",B734=""),"",SUMIFS(Producao!$B:$B,Producao!$A:$A,"&gt;="&amp;B734,Producao!$A:$A,"&lt;"&amp;IF(C734="",TODAY()+1,C734)))</f>
        <v/>
      </c>
    </row>
    <row r="735">
      <c r="A735" s="30" t="n"/>
      <c r="B735" s="31" t="n"/>
      <c r="C735" s="31" t="n"/>
      <c r="D735">
        <f>IF(B735="","",IF(C735="",TODAY(),C735)-B735)</f>
        <v/>
      </c>
      <c r="E735">
        <f>IF(A735="","",IF(COUNTIFS($A:$A,A735,$C:$C,"")&gt;1,"Mais de uma entrada em aberto",IF(AND(C735&lt;&gt;"",C735&lt;B735),"Saída antes da entrada","")))</f>
        <v/>
      </c>
      <c r="F735" s="32">
        <f>IF(OR(A735="",B735=""),"",SUMIFS(Producao!$B:$B,Producao!$A:$A,"&gt;="&amp;B735,Producao!$A:$A,"&lt;"&amp;IF(C735="",TODAY()+1,C735)))</f>
        <v/>
      </c>
    </row>
    <row r="736">
      <c r="A736" s="30" t="n"/>
      <c r="B736" s="31" t="n"/>
      <c r="C736" s="31" t="n"/>
      <c r="D736">
        <f>IF(B736="","",IF(C736="",TODAY(),C736)-B736)</f>
        <v/>
      </c>
      <c r="E736">
        <f>IF(A736="","",IF(COUNTIFS($A:$A,A736,$C:$C,"")&gt;1,"Mais de uma entrada em aberto",IF(AND(C736&lt;&gt;"",C736&lt;B736),"Saída antes da entrada","")))</f>
        <v/>
      </c>
      <c r="F736" s="32">
        <f>IF(OR(A736="",B736=""),"",SUMIFS(Producao!$B:$B,Producao!$A:$A,"&gt;="&amp;B736,Producao!$A:$A,"&lt;"&amp;IF(C736="",TODAY()+1,C736)))</f>
        <v/>
      </c>
    </row>
    <row r="737">
      <c r="A737" s="30" t="n"/>
      <c r="B737" s="31" t="n"/>
      <c r="C737" s="31" t="n"/>
      <c r="D737">
        <f>IF(B737="","",IF(C737="",TODAY(),C737)-B737)</f>
        <v/>
      </c>
      <c r="E737">
        <f>IF(A737="","",IF(COUNTIFS($A:$A,A737,$C:$C,"")&gt;1,"Mais de uma entrada em aberto",IF(AND(C737&lt;&gt;"",C737&lt;B737),"Saída antes da entrada","")))</f>
        <v/>
      </c>
      <c r="F737" s="32">
        <f>IF(OR(A737="",B737=""),"",SUMIFS(Producao!$B:$B,Producao!$A:$A,"&gt;="&amp;B737,Producao!$A:$A,"&lt;"&amp;IF(C737="",TODAY()+1,C737)))</f>
        <v/>
      </c>
    </row>
    <row r="738">
      <c r="A738" s="30" t="n"/>
      <c r="B738" s="31" t="n"/>
      <c r="C738" s="31" t="n"/>
      <c r="D738">
        <f>IF(B738="","",IF(C738="",TODAY(),C738)-B738)</f>
        <v/>
      </c>
      <c r="E738">
        <f>IF(A738="","",IF(COUNTIFS($A:$A,A738,$C:$C,"")&gt;1,"Mais de uma entrada em aberto",IF(AND(C738&lt;&gt;"",C738&lt;B738),"Saída antes da entrada","")))</f>
        <v/>
      </c>
      <c r="F738" s="32">
        <f>IF(OR(A738="",B738=""),"",SUMIFS(Producao!$B:$B,Producao!$A:$A,"&gt;="&amp;B738,Producao!$A:$A,"&lt;"&amp;IF(C738="",TODAY()+1,C738)))</f>
        <v/>
      </c>
    </row>
    <row r="739">
      <c r="A739" s="30" t="n"/>
      <c r="B739" s="31" t="n"/>
      <c r="C739" s="31" t="n"/>
      <c r="D739">
        <f>IF(B739="","",IF(C739="",TODAY(),C739)-B739)</f>
        <v/>
      </c>
      <c r="E739">
        <f>IF(A739="","",IF(COUNTIFS($A:$A,A739,$C:$C,"")&gt;1,"Mais de uma entrada em aberto",IF(AND(C739&lt;&gt;"",C739&lt;B739),"Saída antes da entrada","")))</f>
        <v/>
      </c>
      <c r="F739" s="32">
        <f>IF(OR(A739="",B739=""),"",SUMIFS(Producao!$B:$B,Producao!$A:$A,"&gt;="&amp;B739,Producao!$A:$A,"&lt;"&amp;IF(C739="",TODAY()+1,C739)))</f>
        <v/>
      </c>
    </row>
    <row r="740">
      <c r="A740" s="30" t="n"/>
      <c r="B740" s="31" t="n"/>
      <c r="C740" s="31" t="n"/>
      <c r="D740">
        <f>IF(B740="","",IF(C740="",TODAY(),C740)-B740)</f>
        <v/>
      </c>
      <c r="E740">
        <f>IF(A740="","",IF(COUNTIFS($A:$A,A740,$C:$C,"")&gt;1,"Mais de uma entrada em aberto",IF(AND(C740&lt;&gt;"",C740&lt;B740),"Saída antes da entrada","")))</f>
        <v/>
      </c>
      <c r="F740" s="32">
        <f>IF(OR(A740="",B740=""),"",SUMIFS(Producao!$B:$B,Producao!$A:$A,"&gt;="&amp;B740,Producao!$A:$A,"&lt;"&amp;IF(C740="",TODAY()+1,C740)))</f>
        <v/>
      </c>
    </row>
    <row r="741">
      <c r="A741" s="30" t="n"/>
      <c r="B741" s="31" t="n"/>
      <c r="C741" s="31" t="n"/>
      <c r="D741">
        <f>IF(B741="","",IF(C741="",TODAY(),C741)-B741)</f>
        <v/>
      </c>
      <c r="E741">
        <f>IF(A741="","",IF(COUNTIFS($A:$A,A741,$C:$C,"")&gt;1,"Mais de uma entrada em aberto",IF(AND(C741&lt;&gt;"",C741&lt;B741),"Saída antes da entrada","")))</f>
        <v/>
      </c>
      <c r="F741" s="32">
        <f>IF(OR(A741="",B741=""),"",SUMIFS(Producao!$B:$B,Producao!$A:$A,"&gt;="&amp;B741,Producao!$A:$A,"&lt;"&amp;IF(C741="",TODAY()+1,C741)))</f>
        <v/>
      </c>
    </row>
    <row r="742">
      <c r="A742" s="30" t="n"/>
      <c r="B742" s="31" t="n"/>
      <c r="C742" s="31" t="n"/>
      <c r="D742">
        <f>IF(B742="","",IF(C742="",TODAY(),C742)-B742)</f>
        <v/>
      </c>
      <c r="E742">
        <f>IF(A742="","",IF(COUNTIFS($A:$A,A742,$C:$C,"")&gt;1,"Mais de uma entrada em aberto",IF(AND(C742&lt;&gt;"",C742&lt;B742),"Saída antes da entrada","")))</f>
        <v/>
      </c>
      <c r="F742" s="32">
        <f>IF(OR(A742="",B742=""),"",SUMIFS(Producao!$B:$B,Producao!$A:$A,"&gt;="&amp;B742,Producao!$A:$A,"&lt;"&amp;IF(C742="",TODAY()+1,C742)))</f>
        <v/>
      </c>
    </row>
    <row r="743">
      <c r="A743" s="30" t="n"/>
      <c r="B743" s="31" t="n"/>
      <c r="C743" s="31" t="n"/>
      <c r="D743">
        <f>IF(B743="","",IF(C743="",TODAY(),C743)-B743)</f>
        <v/>
      </c>
      <c r="E743">
        <f>IF(A743="","",IF(COUNTIFS($A:$A,A743,$C:$C,"")&gt;1,"Mais de uma entrada em aberto",IF(AND(C743&lt;&gt;"",C743&lt;B743),"Saída antes da entrada","")))</f>
        <v/>
      </c>
      <c r="F743" s="32">
        <f>IF(OR(A743="",B743=""),"",SUMIFS(Producao!$B:$B,Producao!$A:$A,"&gt;="&amp;B743,Producao!$A:$A,"&lt;"&amp;IF(C743="",TODAY()+1,C743)))</f>
        <v/>
      </c>
    </row>
    <row r="744">
      <c r="A744" s="30" t="n"/>
      <c r="B744" s="31" t="n"/>
      <c r="C744" s="31" t="n"/>
      <c r="D744">
        <f>IF(B744="","",IF(C744="",TODAY(),C744)-B744)</f>
        <v/>
      </c>
      <c r="E744">
        <f>IF(A744="","",IF(COUNTIFS($A:$A,A744,$C:$C,"")&gt;1,"Mais de uma entrada em aberto",IF(AND(C744&lt;&gt;"",C744&lt;B744),"Saída antes da entrada","")))</f>
        <v/>
      </c>
      <c r="F744" s="32">
        <f>IF(OR(A744="",B744=""),"",SUMIFS(Producao!$B:$B,Producao!$A:$A,"&gt;="&amp;B744,Producao!$A:$A,"&lt;"&amp;IF(C744="",TODAY()+1,C744)))</f>
        <v/>
      </c>
    </row>
    <row r="745">
      <c r="A745" s="30" t="n"/>
      <c r="B745" s="31" t="n"/>
      <c r="C745" s="31" t="n"/>
      <c r="D745">
        <f>IF(B745="","",IF(C745="",TODAY(),C745)-B745)</f>
        <v/>
      </c>
      <c r="E745">
        <f>IF(A745="","",IF(COUNTIFS($A:$A,A745,$C:$C,"")&gt;1,"Mais de uma entrada em aberto",IF(AND(C745&lt;&gt;"",C745&lt;B745),"Saída antes da entrada","")))</f>
        <v/>
      </c>
      <c r="F745" s="32">
        <f>IF(OR(A745="",B745=""),"",SUMIFS(Producao!$B:$B,Producao!$A:$A,"&gt;="&amp;B745,Producao!$A:$A,"&lt;"&amp;IF(C745="",TODAY()+1,C745)))</f>
        <v/>
      </c>
    </row>
    <row r="746">
      <c r="A746" s="30" t="n"/>
      <c r="B746" s="31" t="n"/>
      <c r="C746" s="31" t="n"/>
      <c r="D746">
        <f>IF(B746="","",IF(C746="",TODAY(),C746)-B746)</f>
        <v/>
      </c>
      <c r="E746">
        <f>IF(A746="","",IF(COUNTIFS($A:$A,A746,$C:$C,"")&gt;1,"Mais de uma entrada em aberto",IF(AND(C746&lt;&gt;"",C746&lt;B746),"Saída antes da entrada","")))</f>
        <v/>
      </c>
      <c r="F746" s="32">
        <f>IF(OR(A746="",B746=""),"",SUMIFS(Producao!$B:$B,Producao!$A:$A,"&gt;="&amp;B746,Producao!$A:$A,"&lt;"&amp;IF(C746="",TODAY()+1,C746)))</f>
        <v/>
      </c>
    </row>
    <row r="747">
      <c r="A747" s="30" t="n"/>
      <c r="B747" s="31" t="n"/>
      <c r="C747" s="31" t="n"/>
      <c r="D747">
        <f>IF(B747="","",IF(C747="",TODAY(),C747)-B747)</f>
        <v/>
      </c>
      <c r="E747">
        <f>IF(A747="","",IF(COUNTIFS($A:$A,A747,$C:$C,"")&gt;1,"Mais de uma entrada em aberto",IF(AND(C747&lt;&gt;"",C747&lt;B747),"Saída antes da entrada","")))</f>
        <v/>
      </c>
      <c r="F747" s="32">
        <f>IF(OR(A747="",B747=""),"",SUMIFS(Producao!$B:$B,Producao!$A:$A,"&gt;="&amp;B747,Producao!$A:$A,"&lt;"&amp;IF(C747="",TODAY()+1,C747)))</f>
        <v/>
      </c>
    </row>
    <row r="748">
      <c r="A748" s="30" t="n"/>
      <c r="B748" s="31" t="n"/>
      <c r="C748" s="31" t="n"/>
      <c r="D748">
        <f>IF(B748="","",IF(C748="",TODAY(),C748)-B748)</f>
        <v/>
      </c>
      <c r="E748">
        <f>IF(A748="","",IF(COUNTIFS($A:$A,A748,$C:$C,"")&gt;1,"Mais de uma entrada em aberto",IF(AND(C748&lt;&gt;"",C748&lt;B748),"Saída antes da entrada","")))</f>
        <v/>
      </c>
      <c r="F748" s="32">
        <f>IF(OR(A748="",B748=""),"",SUMIFS(Producao!$B:$B,Producao!$A:$A,"&gt;="&amp;B748,Producao!$A:$A,"&lt;"&amp;IF(C748="",TODAY()+1,C748)))</f>
        <v/>
      </c>
    </row>
    <row r="749">
      <c r="A749" s="30" t="n"/>
      <c r="B749" s="31" t="n"/>
      <c r="C749" s="31" t="n"/>
      <c r="D749">
        <f>IF(B749="","",IF(C749="",TODAY(),C749)-B749)</f>
        <v/>
      </c>
      <c r="E749">
        <f>IF(A749="","",IF(COUNTIFS($A:$A,A749,$C:$C,"")&gt;1,"Mais de uma entrada em aberto",IF(AND(C749&lt;&gt;"",C749&lt;B749),"Saída antes da entrada","")))</f>
        <v/>
      </c>
      <c r="F749" s="32">
        <f>IF(OR(A749="",B749=""),"",SUMIFS(Producao!$B:$B,Producao!$A:$A,"&gt;="&amp;B749,Producao!$A:$A,"&lt;"&amp;IF(C749="",TODAY()+1,C749)))</f>
        <v/>
      </c>
    </row>
    <row r="750">
      <c r="A750" s="30" t="n"/>
      <c r="B750" s="31" t="n"/>
      <c r="C750" s="31" t="n"/>
      <c r="D750">
        <f>IF(B750="","",IF(C750="",TODAY(),C750)-B750)</f>
        <v/>
      </c>
      <c r="E750">
        <f>IF(A750="","",IF(COUNTIFS($A:$A,A750,$C:$C,"")&gt;1,"Mais de uma entrada em aberto",IF(AND(C750&lt;&gt;"",C750&lt;B750),"Saída antes da entrada","")))</f>
        <v/>
      </c>
      <c r="F750" s="32">
        <f>IF(OR(A750="",B750=""),"",SUMIFS(Producao!$B:$B,Producao!$A:$A,"&gt;="&amp;B750,Producao!$A:$A,"&lt;"&amp;IF(C750="",TODAY()+1,C750)))</f>
        <v/>
      </c>
    </row>
    <row r="751">
      <c r="A751" s="30" t="n"/>
      <c r="B751" s="31" t="n"/>
      <c r="C751" s="31" t="n"/>
      <c r="D751">
        <f>IF(B751="","",IF(C751="",TODAY(),C751)-B751)</f>
        <v/>
      </c>
      <c r="E751">
        <f>IF(A751="","",IF(COUNTIFS($A:$A,A751,$C:$C,"")&gt;1,"Mais de uma entrada em aberto",IF(AND(C751&lt;&gt;"",C751&lt;B751),"Saída antes da entrada","")))</f>
        <v/>
      </c>
      <c r="F751" s="32">
        <f>IF(OR(A751="",B751=""),"",SUMIFS(Producao!$B:$B,Producao!$A:$A,"&gt;="&amp;B751,Producao!$A:$A,"&lt;"&amp;IF(C751="",TODAY()+1,C751)))</f>
        <v/>
      </c>
    </row>
    <row r="752">
      <c r="A752" s="30" t="n"/>
      <c r="B752" s="31" t="n"/>
      <c r="C752" s="31" t="n"/>
      <c r="D752">
        <f>IF(B752="","",IF(C752="",TODAY(),C752)-B752)</f>
        <v/>
      </c>
      <c r="E752">
        <f>IF(A752="","",IF(COUNTIFS($A:$A,A752,$C:$C,"")&gt;1,"Mais de uma entrada em aberto",IF(AND(C752&lt;&gt;"",C752&lt;B752),"Saída antes da entrada","")))</f>
        <v/>
      </c>
      <c r="F752" s="32">
        <f>IF(OR(A752="",B752=""),"",SUMIFS(Producao!$B:$B,Producao!$A:$A,"&gt;="&amp;B752,Producao!$A:$A,"&lt;"&amp;IF(C752="",TODAY()+1,C752)))</f>
        <v/>
      </c>
    </row>
    <row r="753">
      <c r="A753" s="30" t="n"/>
      <c r="B753" s="31" t="n"/>
      <c r="C753" s="31" t="n"/>
      <c r="D753">
        <f>IF(B753="","",IF(C753="",TODAY(),C753)-B753)</f>
        <v/>
      </c>
      <c r="E753">
        <f>IF(A753="","",IF(COUNTIFS($A:$A,A753,$C:$C,"")&gt;1,"Mais de uma entrada em aberto",IF(AND(C753&lt;&gt;"",C753&lt;B753),"Saída antes da entrada","")))</f>
        <v/>
      </c>
      <c r="F753" s="32">
        <f>IF(OR(A753="",B753=""),"",SUMIFS(Producao!$B:$B,Producao!$A:$A,"&gt;="&amp;B753,Producao!$A:$A,"&lt;"&amp;IF(C753="",TODAY()+1,C753)))</f>
        <v/>
      </c>
    </row>
    <row r="754">
      <c r="A754" s="30" t="n"/>
      <c r="B754" s="31" t="n"/>
      <c r="C754" s="31" t="n"/>
      <c r="D754">
        <f>IF(B754="","",IF(C754="",TODAY(),C754)-B754)</f>
        <v/>
      </c>
      <c r="E754">
        <f>IF(A754="","",IF(COUNTIFS($A:$A,A754,$C:$C,"")&gt;1,"Mais de uma entrada em aberto",IF(AND(C754&lt;&gt;"",C754&lt;B754),"Saída antes da entrada","")))</f>
        <v/>
      </c>
      <c r="F754" s="32">
        <f>IF(OR(A754="",B754=""),"",SUMIFS(Producao!$B:$B,Producao!$A:$A,"&gt;="&amp;B754,Producao!$A:$A,"&lt;"&amp;IF(C754="",TODAY()+1,C754)))</f>
        <v/>
      </c>
    </row>
    <row r="755">
      <c r="A755" s="30" t="n"/>
      <c r="B755" s="31" t="n"/>
      <c r="C755" s="31" t="n"/>
      <c r="D755">
        <f>IF(B755="","",IF(C755="",TODAY(),C755)-B755)</f>
        <v/>
      </c>
      <c r="E755">
        <f>IF(A755="","",IF(COUNTIFS($A:$A,A755,$C:$C,"")&gt;1,"Mais de uma entrada em aberto",IF(AND(C755&lt;&gt;"",C755&lt;B755),"Saída antes da entrada","")))</f>
        <v/>
      </c>
      <c r="F755" s="32">
        <f>IF(OR(A755="",B755=""),"",SUMIFS(Producao!$B:$B,Producao!$A:$A,"&gt;="&amp;B755,Producao!$A:$A,"&lt;"&amp;IF(C755="",TODAY()+1,C755)))</f>
        <v/>
      </c>
    </row>
    <row r="756">
      <c r="A756" s="30" t="n"/>
      <c r="B756" s="31" t="n"/>
      <c r="C756" s="31" t="n"/>
      <c r="D756">
        <f>IF(B756="","",IF(C756="",TODAY(),C756)-B756)</f>
        <v/>
      </c>
      <c r="E756">
        <f>IF(A756="","",IF(COUNTIFS($A:$A,A756,$C:$C,"")&gt;1,"Mais de uma entrada em aberto",IF(AND(C756&lt;&gt;"",C756&lt;B756),"Saída antes da entrada","")))</f>
        <v/>
      </c>
      <c r="F756" s="32">
        <f>IF(OR(A756="",B756=""),"",SUMIFS(Producao!$B:$B,Producao!$A:$A,"&gt;="&amp;B756,Producao!$A:$A,"&lt;"&amp;IF(C756="",TODAY()+1,C756)))</f>
        <v/>
      </c>
    </row>
    <row r="757">
      <c r="A757" s="30" t="n"/>
      <c r="B757" s="31" t="n"/>
      <c r="C757" s="31" t="n"/>
      <c r="D757">
        <f>IF(B757="","",IF(C757="",TODAY(),C757)-B757)</f>
        <v/>
      </c>
      <c r="E757">
        <f>IF(A757="","",IF(COUNTIFS($A:$A,A757,$C:$C,"")&gt;1,"Mais de uma entrada em aberto",IF(AND(C757&lt;&gt;"",C757&lt;B757),"Saída antes da entrada","")))</f>
        <v/>
      </c>
      <c r="F757" s="32">
        <f>IF(OR(A757="",B757=""),"",SUMIFS(Producao!$B:$B,Producao!$A:$A,"&gt;="&amp;B757,Producao!$A:$A,"&lt;"&amp;IF(C757="",TODAY()+1,C757)))</f>
        <v/>
      </c>
    </row>
    <row r="758">
      <c r="A758" s="30" t="n"/>
      <c r="B758" s="31" t="n"/>
      <c r="C758" s="31" t="n"/>
      <c r="D758">
        <f>IF(B758="","",IF(C758="",TODAY(),C758)-B758)</f>
        <v/>
      </c>
      <c r="E758">
        <f>IF(A758="","",IF(COUNTIFS($A:$A,A758,$C:$C,"")&gt;1,"Mais de uma entrada em aberto",IF(AND(C758&lt;&gt;"",C758&lt;B758),"Saída antes da entrada","")))</f>
        <v/>
      </c>
      <c r="F758" s="32">
        <f>IF(OR(A758="",B758=""),"",SUMIFS(Producao!$B:$B,Producao!$A:$A,"&gt;="&amp;B758,Producao!$A:$A,"&lt;"&amp;IF(C758="",TODAY()+1,C758)))</f>
        <v/>
      </c>
    </row>
    <row r="759">
      <c r="A759" s="30" t="n"/>
      <c r="B759" s="31" t="n"/>
      <c r="C759" s="31" t="n"/>
      <c r="D759">
        <f>IF(B759="","",IF(C759="",TODAY(),C759)-B759)</f>
        <v/>
      </c>
      <c r="E759">
        <f>IF(A759="","",IF(COUNTIFS($A:$A,A759,$C:$C,"")&gt;1,"Mais de uma entrada em aberto",IF(AND(C759&lt;&gt;"",C759&lt;B759),"Saída antes da entrada","")))</f>
        <v/>
      </c>
      <c r="F759" s="32">
        <f>IF(OR(A759="",B759=""),"",SUMIFS(Producao!$B:$B,Producao!$A:$A,"&gt;="&amp;B759,Producao!$A:$A,"&lt;"&amp;IF(C759="",TODAY()+1,C759)))</f>
        <v/>
      </c>
    </row>
    <row r="760">
      <c r="A760" s="30" t="n"/>
      <c r="B760" s="31" t="n"/>
      <c r="C760" s="31" t="n"/>
      <c r="D760">
        <f>IF(B760="","",IF(C760="",TODAY(),C760)-B760)</f>
        <v/>
      </c>
      <c r="E760">
        <f>IF(A760="","",IF(COUNTIFS($A:$A,A760,$C:$C,"")&gt;1,"Mais de uma entrada em aberto",IF(AND(C760&lt;&gt;"",C760&lt;B760),"Saída antes da entrada","")))</f>
        <v/>
      </c>
      <c r="F760" s="32">
        <f>IF(OR(A760="",B760=""),"",SUMIFS(Producao!$B:$B,Producao!$A:$A,"&gt;="&amp;B760,Producao!$A:$A,"&lt;"&amp;IF(C760="",TODAY()+1,C760)))</f>
        <v/>
      </c>
    </row>
    <row r="761">
      <c r="A761" s="30" t="n"/>
      <c r="B761" s="31" t="n"/>
      <c r="C761" s="31" t="n"/>
      <c r="D761">
        <f>IF(B761="","",IF(C761="",TODAY(),C761)-B761)</f>
        <v/>
      </c>
      <c r="E761">
        <f>IF(A761="","",IF(COUNTIFS($A:$A,A761,$C:$C,"")&gt;1,"Mais de uma entrada em aberto",IF(AND(C761&lt;&gt;"",C761&lt;B761),"Saída antes da entrada","")))</f>
        <v/>
      </c>
      <c r="F761" s="32">
        <f>IF(OR(A761="",B761=""),"",SUMIFS(Producao!$B:$B,Producao!$A:$A,"&gt;="&amp;B761,Producao!$A:$A,"&lt;"&amp;IF(C761="",TODAY()+1,C761)))</f>
        <v/>
      </c>
    </row>
    <row r="762">
      <c r="A762" s="30" t="n"/>
      <c r="B762" s="31" t="n"/>
      <c r="C762" s="31" t="n"/>
      <c r="D762">
        <f>IF(B762="","",IF(C762="",TODAY(),C762)-B762)</f>
        <v/>
      </c>
      <c r="E762">
        <f>IF(A762="","",IF(COUNTIFS($A:$A,A762,$C:$C,"")&gt;1,"Mais de uma entrada em aberto",IF(AND(C762&lt;&gt;"",C762&lt;B762),"Saída antes da entrada","")))</f>
        <v/>
      </c>
      <c r="F762" s="32">
        <f>IF(OR(A762="",B762=""),"",SUMIFS(Producao!$B:$B,Producao!$A:$A,"&gt;="&amp;B762,Producao!$A:$A,"&lt;"&amp;IF(C762="",TODAY()+1,C762)))</f>
        <v/>
      </c>
    </row>
    <row r="763">
      <c r="A763" s="30" t="n"/>
      <c r="B763" s="31" t="n"/>
      <c r="C763" s="31" t="n"/>
      <c r="D763">
        <f>IF(B763="","",IF(C763="",TODAY(),C763)-B763)</f>
        <v/>
      </c>
      <c r="E763">
        <f>IF(A763="","",IF(COUNTIFS($A:$A,A763,$C:$C,"")&gt;1,"Mais de uma entrada em aberto",IF(AND(C763&lt;&gt;"",C763&lt;B763),"Saída antes da entrada","")))</f>
        <v/>
      </c>
      <c r="F763" s="32">
        <f>IF(OR(A763="",B763=""),"",SUMIFS(Producao!$B:$B,Producao!$A:$A,"&gt;="&amp;B763,Producao!$A:$A,"&lt;"&amp;IF(C763="",TODAY()+1,C763)))</f>
        <v/>
      </c>
    </row>
    <row r="764">
      <c r="A764" s="30" t="n"/>
      <c r="B764" s="31" t="n"/>
      <c r="C764" s="31" t="n"/>
      <c r="D764">
        <f>IF(B764="","",IF(C764="",TODAY(),C764)-B764)</f>
        <v/>
      </c>
      <c r="E764">
        <f>IF(A764="","",IF(COUNTIFS($A:$A,A764,$C:$C,"")&gt;1,"Mais de uma entrada em aberto",IF(AND(C764&lt;&gt;"",C764&lt;B764),"Saída antes da entrada","")))</f>
        <v/>
      </c>
      <c r="F764" s="32">
        <f>IF(OR(A764="",B764=""),"",SUMIFS(Producao!$B:$B,Producao!$A:$A,"&gt;="&amp;B764,Producao!$A:$A,"&lt;"&amp;IF(C764="",TODAY()+1,C764)))</f>
        <v/>
      </c>
    </row>
    <row r="765">
      <c r="A765" s="30" t="n"/>
      <c r="B765" s="31" t="n"/>
      <c r="C765" s="31" t="n"/>
      <c r="D765">
        <f>IF(B765="","",IF(C765="",TODAY(),C765)-B765)</f>
        <v/>
      </c>
      <c r="E765">
        <f>IF(A765="","",IF(COUNTIFS($A:$A,A765,$C:$C,"")&gt;1,"Mais de uma entrada em aberto",IF(AND(C765&lt;&gt;"",C765&lt;B765),"Saída antes da entrada","")))</f>
        <v/>
      </c>
      <c r="F765" s="32">
        <f>IF(OR(A765="",B765=""),"",SUMIFS(Producao!$B:$B,Producao!$A:$A,"&gt;="&amp;B765,Producao!$A:$A,"&lt;"&amp;IF(C765="",TODAY()+1,C765)))</f>
        <v/>
      </c>
    </row>
    <row r="766">
      <c r="A766" s="30" t="n"/>
      <c r="B766" s="31" t="n"/>
      <c r="C766" s="31" t="n"/>
      <c r="D766">
        <f>IF(B766="","",IF(C766="",TODAY(),C766)-B766)</f>
        <v/>
      </c>
      <c r="E766">
        <f>IF(A766="","",IF(COUNTIFS($A:$A,A766,$C:$C,"")&gt;1,"Mais de uma entrada em aberto",IF(AND(C766&lt;&gt;"",C766&lt;B766),"Saída antes da entrada","")))</f>
        <v/>
      </c>
      <c r="F766" s="32">
        <f>IF(OR(A766="",B766=""),"",SUMIFS(Producao!$B:$B,Producao!$A:$A,"&gt;="&amp;B766,Producao!$A:$A,"&lt;"&amp;IF(C766="",TODAY()+1,C766)))</f>
        <v/>
      </c>
    </row>
    <row r="767">
      <c r="A767" s="30" t="n"/>
      <c r="B767" s="31" t="n"/>
      <c r="C767" s="31" t="n"/>
      <c r="D767">
        <f>IF(B767="","",IF(C767="",TODAY(),C767)-B767)</f>
        <v/>
      </c>
      <c r="E767">
        <f>IF(A767="","",IF(COUNTIFS($A:$A,A767,$C:$C,"")&gt;1,"Mais de uma entrada em aberto",IF(AND(C767&lt;&gt;"",C767&lt;B767),"Saída antes da entrada","")))</f>
        <v/>
      </c>
      <c r="F767" s="32">
        <f>IF(OR(A767="",B767=""),"",SUMIFS(Producao!$B:$B,Producao!$A:$A,"&gt;="&amp;B767,Producao!$A:$A,"&lt;"&amp;IF(C767="",TODAY()+1,C767)))</f>
        <v/>
      </c>
    </row>
    <row r="768">
      <c r="A768" s="30" t="n"/>
      <c r="B768" s="31" t="n"/>
      <c r="C768" s="31" t="n"/>
      <c r="D768">
        <f>IF(B768="","",IF(C768="",TODAY(),C768)-B768)</f>
        <v/>
      </c>
      <c r="E768">
        <f>IF(A768="","",IF(COUNTIFS($A:$A,A768,$C:$C,"")&gt;1,"Mais de uma entrada em aberto",IF(AND(C768&lt;&gt;"",C768&lt;B768),"Saída antes da entrada","")))</f>
        <v/>
      </c>
      <c r="F768" s="32">
        <f>IF(OR(A768="",B768=""),"",SUMIFS(Producao!$B:$B,Producao!$A:$A,"&gt;="&amp;B768,Producao!$A:$A,"&lt;"&amp;IF(C768="",TODAY()+1,C768)))</f>
        <v/>
      </c>
    </row>
    <row r="769">
      <c r="A769" s="30" t="n"/>
      <c r="B769" s="31" t="n"/>
      <c r="C769" s="31" t="n"/>
      <c r="D769">
        <f>IF(B769="","",IF(C769="",TODAY(),C769)-B769)</f>
        <v/>
      </c>
      <c r="E769">
        <f>IF(A769="","",IF(COUNTIFS($A:$A,A769,$C:$C,"")&gt;1,"Mais de uma entrada em aberto",IF(AND(C769&lt;&gt;"",C769&lt;B769),"Saída antes da entrada","")))</f>
        <v/>
      </c>
      <c r="F769" s="32">
        <f>IF(OR(A769="",B769=""),"",SUMIFS(Producao!$B:$B,Producao!$A:$A,"&gt;="&amp;B769,Producao!$A:$A,"&lt;"&amp;IF(C769="",TODAY()+1,C769)))</f>
        <v/>
      </c>
    </row>
    <row r="770">
      <c r="A770" s="30" t="n"/>
      <c r="B770" s="31" t="n"/>
      <c r="C770" s="31" t="n"/>
      <c r="D770">
        <f>IF(B770="","",IF(C770="",TODAY(),C770)-B770)</f>
        <v/>
      </c>
      <c r="E770">
        <f>IF(A770="","",IF(COUNTIFS($A:$A,A770,$C:$C,"")&gt;1,"Mais de uma entrada em aberto",IF(AND(C770&lt;&gt;"",C770&lt;B770),"Saída antes da entrada","")))</f>
        <v/>
      </c>
      <c r="F770" s="32">
        <f>IF(OR(A770="",B770=""),"",SUMIFS(Producao!$B:$B,Producao!$A:$A,"&gt;="&amp;B770,Producao!$A:$A,"&lt;"&amp;IF(C770="",TODAY()+1,C770)))</f>
        <v/>
      </c>
    </row>
    <row r="771">
      <c r="A771" s="30" t="n"/>
      <c r="B771" s="31" t="n"/>
      <c r="C771" s="31" t="n"/>
      <c r="D771">
        <f>IF(B771="","",IF(C771="",TODAY(),C771)-B771)</f>
        <v/>
      </c>
      <c r="E771">
        <f>IF(A771="","",IF(COUNTIFS($A:$A,A771,$C:$C,"")&gt;1,"Mais de uma entrada em aberto",IF(AND(C771&lt;&gt;"",C771&lt;B771),"Saída antes da entrada","")))</f>
        <v/>
      </c>
      <c r="F771" s="32">
        <f>IF(OR(A771="",B771=""),"",SUMIFS(Producao!$B:$B,Producao!$A:$A,"&gt;="&amp;B771,Producao!$A:$A,"&lt;"&amp;IF(C771="",TODAY()+1,C771)))</f>
        <v/>
      </c>
    </row>
    <row r="772">
      <c r="A772" s="30" t="n"/>
      <c r="B772" s="31" t="n"/>
      <c r="C772" s="31" t="n"/>
      <c r="D772">
        <f>IF(B772="","",IF(C772="",TODAY(),C772)-B772)</f>
        <v/>
      </c>
      <c r="E772">
        <f>IF(A772="","",IF(COUNTIFS($A:$A,A772,$C:$C,"")&gt;1,"Mais de uma entrada em aberto",IF(AND(C772&lt;&gt;"",C772&lt;B772),"Saída antes da entrada","")))</f>
        <v/>
      </c>
      <c r="F772" s="32">
        <f>IF(OR(A772="",B772=""),"",SUMIFS(Producao!$B:$B,Producao!$A:$A,"&gt;="&amp;B772,Producao!$A:$A,"&lt;"&amp;IF(C772="",TODAY()+1,C772)))</f>
        <v/>
      </c>
    </row>
    <row r="773">
      <c r="A773" s="30" t="n"/>
      <c r="B773" s="31" t="n"/>
      <c r="C773" s="31" t="n"/>
      <c r="D773">
        <f>IF(B773="","",IF(C773="",TODAY(),C773)-B773)</f>
        <v/>
      </c>
      <c r="E773">
        <f>IF(A773="","",IF(COUNTIFS($A:$A,A773,$C:$C,"")&gt;1,"Mais de uma entrada em aberto",IF(AND(C773&lt;&gt;"",C773&lt;B773),"Saída antes da entrada","")))</f>
        <v/>
      </c>
      <c r="F773" s="32">
        <f>IF(OR(A773="",B773=""),"",SUMIFS(Producao!$B:$B,Producao!$A:$A,"&gt;="&amp;B773,Producao!$A:$A,"&lt;"&amp;IF(C773="",TODAY()+1,C773)))</f>
        <v/>
      </c>
    </row>
    <row r="774">
      <c r="A774" s="30" t="n"/>
      <c r="B774" s="31" t="n"/>
      <c r="C774" s="31" t="n"/>
      <c r="D774">
        <f>IF(B774="","",IF(C774="",TODAY(),C774)-B774)</f>
        <v/>
      </c>
      <c r="E774">
        <f>IF(A774="","",IF(COUNTIFS($A:$A,A774,$C:$C,"")&gt;1,"Mais de uma entrada em aberto",IF(AND(C774&lt;&gt;"",C774&lt;B774),"Saída antes da entrada","")))</f>
        <v/>
      </c>
      <c r="F774" s="32">
        <f>IF(OR(A774="",B774=""),"",SUMIFS(Producao!$B:$B,Producao!$A:$A,"&gt;="&amp;B774,Producao!$A:$A,"&lt;"&amp;IF(C774="",TODAY()+1,C774)))</f>
        <v/>
      </c>
    </row>
    <row r="775">
      <c r="A775" s="30" t="n"/>
      <c r="B775" s="31" t="n"/>
      <c r="C775" s="31" t="n"/>
      <c r="D775">
        <f>IF(B775="","",IF(C775="",TODAY(),C775)-B775)</f>
        <v/>
      </c>
      <c r="E775">
        <f>IF(A775="","",IF(COUNTIFS($A:$A,A775,$C:$C,"")&gt;1,"Mais de uma entrada em aberto",IF(AND(C775&lt;&gt;"",C775&lt;B775),"Saída antes da entrada","")))</f>
        <v/>
      </c>
      <c r="F775" s="32">
        <f>IF(OR(A775="",B775=""),"",SUMIFS(Producao!$B:$B,Producao!$A:$A,"&gt;="&amp;B775,Producao!$A:$A,"&lt;"&amp;IF(C775="",TODAY()+1,C775)))</f>
        <v/>
      </c>
    </row>
    <row r="776">
      <c r="A776" s="30" t="n"/>
      <c r="B776" s="31" t="n"/>
      <c r="C776" s="31" t="n"/>
      <c r="D776">
        <f>IF(B776="","",IF(C776="",TODAY(),C776)-B776)</f>
        <v/>
      </c>
      <c r="E776">
        <f>IF(A776="","",IF(COUNTIFS($A:$A,A776,$C:$C,"")&gt;1,"Mais de uma entrada em aberto",IF(AND(C776&lt;&gt;"",C776&lt;B776),"Saída antes da entrada","")))</f>
        <v/>
      </c>
      <c r="F776" s="32">
        <f>IF(OR(A776="",B776=""),"",SUMIFS(Producao!$B:$B,Producao!$A:$A,"&gt;="&amp;B776,Producao!$A:$A,"&lt;"&amp;IF(C776="",TODAY()+1,C776)))</f>
        <v/>
      </c>
    </row>
    <row r="777">
      <c r="A777" s="30" t="n"/>
      <c r="B777" s="31" t="n"/>
      <c r="C777" s="31" t="n"/>
      <c r="D777">
        <f>IF(B777="","",IF(C777="",TODAY(),C777)-B777)</f>
        <v/>
      </c>
      <c r="E777">
        <f>IF(A777="","",IF(COUNTIFS($A:$A,A777,$C:$C,"")&gt;1,"Mais de uma entrada em aberto",IF(AND(C777&lt;&gt;"",C777&lt;B777),"Saída antes da entrada","")))</f>
        <v/>
      </c>
      <c r="F777" s="32">
        <f>IF(OR(A777="",B777=""),"",SUMIFS(Producao!$B:$B,Producao!$A:$A,"&gt;="&amp;B777,Producao!$A:$A,"&lt;"&amp;IF(C777="",TODAY()+1,C777)))</f>
        <v/>
      </c>
    </row>
    <row r="778">
      <c r="A778" s="30" t="n"/>
      <c r="B778" s="31" t="n"/>
      <c r="C778" s="31" t="n"/>
      <c r="D778">
        <f>IF(B778="","",IF(C778="",TODAY(),C778)-B778)</f>
        <v/>
      </c>
      <c r="E778">
        <f>IF(A778="","",IF(COUNTIFS($A:$A,A778,$C:$C,"")&gt;1,"Mais de uma entrada em aberto",IF(AND(C778&lt;&gt;"",C778&lt;B778),"Saída antes da entrada","")))</f>
        <v/>
      </c>
      <c r="F778" s="32">
        <f>IF(OR(A778="",B778=""),"",SUMIFS(Producao!$B:$B,Producao!$A:$A,"&gt;="&amp;B778,Producao!$A:$A,"&lt;"&amp;IF(C778="",TODAY()+1,C778)))</f>
        <v/>
      </c>
    </row>
    <row r="779">
      <c r="A779" s="30" t="n"/>
      <c r="B779" s="31" t="n"/>
      <c r="C779" s="31" t="n"/>
      <c r="D779">
        <f>IF(B779="","",IF(C779="",TODAY(),C779)-B779)</f>
        <v/>
      </c>
      <c r="E779">
        <f>IF(A779="","",IF(COUNTIFS($A:$A,A779,$C:$C,"")&gt;1,"Mais de uma entrada em aberto",IF(AND(C779&lt;&gt;"",C779&lt;B779),"Saída antes da entrada","")))</f>
        <v/>
      </c>
      <c r="F779" s="32">
        <f>IF(OR(A779="",B779=""),"",SUMIFS(Producao!$B:$B,Producao!$A:$A,"&gt;="&amp;B779,Producao!$A:$A,"&lt;"&amp;IF(C779="",TODAY()+1,C779)))</f>
        <v/>
      </c>
    </row>
    <row r="780">
      <c r="A780" s="30" t="n"/>
      <c r="B780" s="31" t="n"/>
      <c r="C780" s="31" t="n"/>
      <c r="D780">
        <f>IF(B780="","",IF(C780="",TODAY(),C780)-B780)</f>
        <v/>
      </c>
      <c r="E780">
        <f>IF(A780="","",IF(COUNTIFS($A:$A,A780,$C:$C,"")&gt;1,"Mais de uma entrada em aberto",IF(AND(C780&lt;&gt;"",C780&lt;B780),"Saída antes da entrada","")))</f>
        <v/>
      </c>
      <c r="F780" s="32">
        <f>IF(OR(A780="",B780=""),"",SUMIFS(Producao!$B:$B,Producao!$A:$A,"&gt;="&amp;B780,Producao!$A:$A,"&lt;"&amp;IF(C780="",TODAY()+1,C780)))</f>
        <v/>
      </c>
    </row>
    <row r="781">
      <c r="A781" s="30" t="n"/>
      <c r="B781" s="31" t="n"/>
      <c r="C781" s="31" t="n"/>
      <c r="D781">
        <f>IF(B781="","",IF(C781="",TODAY(),C781)-B781)</f>
        <v/>
      </c>
      <c r="E781">
        <f>IF(A781="","",IF(COUNTIFS($A:$A,A781,$C:$C,"")&gt;1,"Mais de uma entrada em aberto",IF(AND(C781&lt;&gt;"",C781&lt;B781),"Saída antes da entrada","")))</f>
        <v/>
      </c>
      <c r="F781" s="32">
        <f>IF(OR(A781="",B781=""),"",SUMIFS(Producao!$B:$B,Producao!$A:$A,"&gt;="&amp;B781,Producao!$A:$A,"&lt;"&amp;IF(C781="",TODAY()+1,C781)))</f>
        <v/>
      </c>
    </row>
    <row r="782">
      <c r="A782" s="30" t="n"/>
      <c r="B782" s="31" t="n"/>
      <c r="C782" s="31" t="n"/>
      <c r="D782">
        <f>IF(B782="","",IF(C782="",TODAY(),C782)-B782)</f>
        <v/>
      </c>
      <c r="E782">
        <f>IF(A782="","",IF(COUNTIFS($A:$A,A782,$C:$C,"")&gt;1,"Mais de uma entrada em aberto",IF(AND(C782&lt;&gt;"",C782&lt;B782),"Saída antes da entrada","")))</f>
        <v/>
      </c>
      <c r="F782" s="32">
        <f>IF(OR(A782="",B782=""),"",SUMIFS(Producao!$B:$B,Producao!$A:$A,"&gt;="&amp;B782,Producao!$A:$A,"&lt;"&amp;IF(C782="",TODAY()+1,C782)))</f>
        <v/>
      </c>
    </row>
    <row r="783">
      <c r="A783" s="30" t="n"/>
      <c r="B783" s="31" t="n"/>
      <c r="C783" s="31" t="n"/>
      <c r="D783">
        <f>IF(B783="","",IF(C783="",TODAY(),C783)-B783)</f>
        <v/>
      </c>
      <c r="E783">
        <f>IF(A783="","",IF(COUNTIFS($A:$A,A783,$C:$C,"")&gt;1,"Mais de uma entrada em aberto",IF(AND(C783&lt;&gt;"",C783&lt;B783),"Saída antes da entrada","")))</f>
        <v/>
      </c>
      <c r="F783" s="32">
        <f>IF(OR(A783="",B783=""),"",SUMIFS(Producao!$B:$B,Producao!$A:$A,"&gt;="&amp;B783,Producao!$A:$A,"&lt;"&amp;IF(C783="",TODAY()+1,C783)))</f>
        <v/>
      </c>
    </row>
    <row r="784">
      <c r="A784" s="30" t="n"/>
      <c r="B784" s="31" t="n"/>
      <c r="C784" s="31" t="n"/>
      <c r="D784">
        <f>IF(B784="","",IF(C784="",TODAY(),C784)-B784)</f>
        <v/>
      </c>
      <c r="E784">
        <f>IF(A784="","",IF(COUNTIFS($A:$A,A784,$C:$C,"")&gt;1,"Mais de uma entrada em aberto",IF(AND(C784&lt;&gt;"",C784&lt;B784),"Saída antes da entrada","")))</f>
        <v/>
      </c>
      <c r="F784" s="32">
        <f>IF(OR(A784="",B784=""),"",SUMIFS(Producao!$B:$B,Producao!$A:$A,"&gt;="&amp;B784,Producao!$A:$A,"&lt;"&amp;IF(C784="",TODAY()+1,C784)))</f>
        <v/>
      </c>
    </row>
    <row r="785">
      <c r="A785" s="30" t="n"/>
      <c r="B785" s="31" t="n"/>
      <c r="C785" s="31" t="n"/>
      <c r="D785">
        <f>IF(B785="","",IF(C785="",TODAY(),C785)-B785)</f>
        <v/>
      </c>
      <c r="E785">
        <f>IF(A785="","",IF(COUNTIFS($A:$A,A785,$C:$C,"")&gt;1,"Mais de uma entrada em aberto",IF(AND(C785&lt;&gt;"",C785&lt;B785),"Saída antes da entrada","")))</f>
        <v/>
      </c>
      <c r="F785" s="32">
        <f>IF(OR(A785="",B785=""),"",SUMIFS(Producao!$B:$B,Producao!$A:$A,"&gt;="&amp;B785,Producao!$A:$A,"&lt;"&amp;IF(C785="",TODAY()+1,C785)))</f>
        <v/>
      </c>
    </row>
    <row r="786">
      <c r="A786" s="30" t="n"/>
      <c r="B786" s="31" t="n"/>
      <c r="C786" s="31" t="n"/>
      <c r="D786">
        <f>IF(B786="","",IF(C786="",TODAY(),C786)-B786)</f>
        <v/>
      </c>
      <c r="E786">
        <f>IF(A786="","",IF(COUNTIFS($A:$A,A786,$C:$C,"")&gt;1,"Mais de uma entrada em aberto",IF(AND(C786&lt;&gt;"",C786&lt;B786),"Saída antes da entrada","")))</f>
        <v/>
      </c>
      <c r="F786" s="32">
        <f>IF(OR(A786="",B786=""),"",SUMIFS(Producao!$B:$B,Producao!$A:$A,"&gt;="&amp;B786,Producao!$A:$A,"&lt;"&amp;IF(C786="",TODAY()+1,C786)))</f>
        <v/>
      </c>
    </row>
    <row r="787">
      <c r="A787" s="30" t="n"/>
      <c r="B787" s="31" t="n"/>
      <c r="C787" s="31" t="n"/>
      <c r="D787">
        <f>IF(B787="","",IF(C787="",TODAY(),C787)-B787)</f>
        <v/>
      </c>
      <c r="E787">
        <f>IF(A787="","",IF(COUNTIFS($A:$A,A787,$C:$C,"")&gt;1,"Mais de uma entrada em aberto",IF(AND(C787&lt;&gt;"",C787&lt;B787),"Saída antes da entrada","")))</f>
        <v/>
      </c>
      <c r="F787" s="32">
        <f>IF(OR(A787="",B787=""),"",SUMIFS(Producao!$B:$B,Producao!$A:$A,"&gt;="&amp;B787,Producao!$A:$A,"&lt;"&amp;IF(C787="",TODAY()+1,C787)))</f>
        <v/>
      </c>
    </row>
    <row r="788">
      <c r="A788" s="30" t="n"/>
      <c r="B788" s="31" t="n"/>
      <c r="C788" s="31" t="n"/>
      <c r="D788">
        <f>IF(B788="","",IF(C788="",TODAY(),C788)-B788)</f>
        <v/>
      </c>
      <c r="E788">
        <f>IF(A788="","",IF(COUNTIFS($A:$A,A788,$C:$C,"")&gt;1,"Mais de uma entrada em aberto",IF(AND(C788&lt;&gt;"",C788&lt;B788),"Saída antes da entrada","")))</f>
        <v/>
      </c>
      <c r="F788" s="32">
        <f>IF(OR(A788="",B788=""),"",SUMIFS(Producao!$B:$B,Producao!$A:$A,"&gt;="&amp;B788,Producao!$A:$A,"&lt;"&amp;IF(C788="",TODAY()+1,C788)))</f>
        <v/>
      </c>
    </row>
    <row r="789">
      <c r="A789" s="30" t="n"/>
      <c r="B789" s="31" t="n"/>
      <c r="C789" s="31" t="n"/>
      <c r="D789">
        <f>IF(B789="","",IF(C789="",TODAY(),C789)-B789)</f>
        <v/>
      </c>
      <c r="E789">
        <f>IF(A789="","",IF(COUNTIFS($A:$A,A789,$C:$C,"")&gt;1,"Mais de uma entrada em aberto",IF(AND(C789&lt;&gt;"",C789&lt;B789),"Saída antes da entrada","")))</f>
        <v/>
      </c>
      <c r="F789" s="32">
        <f>IF(OR(A789="",B789=""),"",SUMIFS(Producao!$B:$B,Producao!$A:$A,"&gt;="&amp;B789,Producao!$A:$A,"&lt;"&amp;IF(C789="",TODAY()+1,C789)))</f>
        <v/>
      </c>
    </row>
    <row r="790">
      <c r="A790" s="30" t="n"/>
      <c r="B790" s="31" t="n"/>
      <c r="C790" s="31" t="n"/>
      <c r="D790">
        <f>IF(B790="","",IF(C790="",TODAY(),C790)-B790)</f>
        <v/>
      </c>
      <c r="E790">
        <f>IF(A790="","",IF(COUNTIFS($A:$A,A790,$C:$C,"")&gt;1,"Mais de uma entrada em aberto",IF(AND(C790&lt;&gt;"",C790&lt;B790),"Saída antes da entrada","")))</f>
        <v/>
      </c>
      <c r="F790" s="32">
        <f>IF(OR(A790="",B790=""),"",SUMIFS(Producao!$B:$B,Producao!$A:$A,"&gt;="&amp;B790,Producao!$A:$A,"&lt;"&amp;IF(C790="",TODAY()+1,C790)))</f>
        <v/>
      </c>
    </row>
    <row r="791">
      <c r="A791" s="30" t="n"/>
      <c r="B791" s="31" t="n"/>
      <c r="C791" s="31" t="n"/>
      <c r="D791">
        <f>IF(B791="","",IF(C791="",TODAY(),C791)-B791)</f>
        <v/>
      </c>
      <c r="E791">
        <f>IF(A791="","",IF(COUNTIFS($A:$A,A791,$C:$C,"")&gt;1,"Mais de uma entrada em aberto",IF(AND(C791&lt;&gt;"",C791&lt;B791),"Saída antes da entrada","")))</f>
        <v/>
      </c>
      <c r="F791" s="32">
        <f>IF(OR(A791="",B791=""),"",SUMIFS(Producao!$B:$B,Producao!$A:$A,"&gt;="&amp;B791,Producao!$A:$A,"&lt;"&amp;IF(C791="",TODAY()+1,C791)))</f>
        <v/>
      </c>
    </row>
    <row r="792">
      <c r="A792" s="30" t="n"/>
      <c r="B792" s="31" t="n"/>
      <c r="C792" s="31" t="n"/>
      <c r="D792">
        <f>IF(B792="","",IF(C792="",TODAY(),C792)-B792)</f>
        <v/>
      </c>
      <c r="E792">
        <f>IF(A792="","",IF(COUNTIFS($A:$A,A792,$C:$C,"")&gt;1,"Mais de uma entrada em aberto",IF(AND(C792&lt;&gt;"",C792&lt;B792),"Saída antes da entrada","")))</f>
        <v/>
      </c>
      <c r="F792" s="32">
        <f>IF(OR(A792="",B792=""),"",SUMIFS(Producao!$B:$B,Producao!$A:$A,"&gt;="&amp;B792,Producao!$A:$A,"&lt;"&amp;IF(C792="",TODAY()+1,C792)))</f>
        <v/>
      </c>
    </row>
    <row r="793">
      <c r="A793" s="30" t="n"/>
      <c r="B793" s="31" t="n"/>
      <c r="C793" s="31" t="n"/>
      <c r="D793">
        <f>IF(B793="","",IF(C793="",TODAY(),C793)-B793)</f>
        <v/>
      </c>
      <c r="E793">
        <f>IF(A793="","",IF(COUNTIFS($A:$A,A793,$C:$C,"")&gt;1,"Mais de uma entrada em aberto",IF(AND(C793&lt;&gt;"",C793&lt;B793),"Saída antes da entrada","")))</f>
        <v/>
      </c>
      <c r="F793" s="32">
        <f>IF(OR(A793="",B793=""),"",SUMIFS(Producao!$B:$B,Producao!$A:$A,"&gt;="&amp;B793,Producao!$A:$A,"&lt;"&amp;IF(C793="",TODAY()+1,C793)))</f>
        <v/>
      </c>
    </row>
    <row r="794">
      <c r="A794" s="30" t="n"/>
      <c r="B794" s="31" t="n"/>
      <c r="C794" s="31" t="n"/>
      <c r="D794">
        <f>IF(B794="","",IF(C794="",TODAY(),C794)-B794)</f>
        <v/>
      </c>
      <c r="E794">
        <f>IF(A794="","",IF(COUNTIFS($A:$A,A794,$C:$C,"")&gt;1,"Mais de uma entrada em aberto",IF(AND(C794&lt;&gt;"",C794&lt;B794),"Saída antes da entrada","")))</f>
        <v/>
      </c>
      <c r="F794" s="32">
        <f>IF(OR(A794="",B794=""),"",SUMIFS(Producao!$B:$B,Producao!$A:$A,"&gt;="&amp;B794,Producao!$A:$A,"&lt;"&amp;IF(C794="",TODAY()+1,C794)))</f>
        <v/>
      </c>
    </row>
    <row r="795">
      <c r="A795" s="30" t="n"/>
      <c r="B795" s="31" t="n"/>
      <c r="C795" s="31" t="n"/>
      <c r="D795">
        <f>IF(B795="","",IF(C795="",TODAY(),C795)-B795)</f>
        <v/>
      </c>
      <c r="E795">
        <f>IF(A795="","",IF(COUNTIFS($A:$A,A795,$C:$C,"")&gt;1,"Mais de uma entrada em aberto",IF(AND(C795&lt;&gt;"",C795&lt;B795),"Saída antes da entrada","")))</f>
        <v/>
      </c>
      <c r="F795" s="32">
        <f>IF(OR(A795="",B795=""),"",SUMIFS(Producao!$B:$B,Producao!$A:$A,"&gt;="&amp;B795,Producao!$A:$A,"&lt;"&amp;IF(C795="",TODAY()+1,C795)))</f>
        <v/>
      </c>
    </row>
    <row r="796">
      <c r="A796" s="30" t="n"/>
      <c r="B796" s="31" t="n"/>
      <c r="C796" s="31" t="n"/>
      <c r="D796">
        <f>IF(B796="","",IF(C796="",TODAY(),C796)-B796)</f>
        <v/>
      </c>
      <c r="E796">
        <f>IF(A796="","",IF(COUNTIFS($A:$A,A796,$C:$C,"")&gt;1,"Mais de uma entrada em aberto",IF(AND(C796&lt;&gt;"",C796&lt;B796),"Saída antes da entrada","")))</f>
        <v/>
      </c>
      <c r="F796" s="32">
        <f>IF(OR(A796="",B796=""),"",SUMIFS(Producao!$B:$B,Producao!$A:$A,"&gt;="&amp;B796,Producao!$A:$A,"&lt;"&amp;IF(C796="",TODAY()+1,C796)))</f>
        <v/>
      </c>
    </row>
    <row r="797">
      <c r="A797" s="30" t="n"/>
      <c r="B797" s="31" t="n"/>
      <c r="C797" s="31" t="n"/>
      <c r="D797">
        <f>IF(B797="","",IF(C797="",TODAY(),C797)-B797)</f>
        <v/>
      </c>
      <c r="E797">
        <f>IF(A797="","",IF(COUNTIFS($A:$A,A797,$C:$C,"")&gt;1,"Mais de uma entrada em aberto",IF(AND(C797&lt;&gt;"",C797&lt;B797),"Saída antes da entrada","")))</f>
        <v/>
      </c>
      <c r="F797" s="32">
        <f>IF(OR(A797="",B797=""),"",SUMIFS(Producao!$B:$B,Producao!$A:$A,"&gt;="&amp;B797,Producao!$A:$A,"&lt;"&amp;IF(C797="",TODAY()+1,C797)))</f>
        <v/>
      </c>
    </row>
    <row r="798">
      <c r="A798" s="30" t="n"/>
      <c r="B798" s="31" t="n"/>
      <c r="C798" s="31" t="n"/>
      <c r="D798">
        <f>IF(B798="","",IF(C798="",TODAY(),C798)-B798)</f>
        <v/>
      </c>
      <c r="E798">
        <f>IF(A798="","",IF(COUNTIFS($A:$A,A798,$C:$C,"")&gt;1,"Mais de uma entrada em aberto",IF(AND(C798&lt;&gt;"",C798&lt;B798),"Saída antes da entrada","")))</f>
        <v/>
      </c>
      <c r="F798" s="32">
        <f>IF(OR(A798="",B798=""),"",SUMIFS(Producao!$B:$B,Producao!$A:$A,"&gt;="&amp;B798,Producao!$A:$A,"&lt;"&amp;IF(C798="",TODAY()+1,C798)))</f>
        <v/>
      </c>
    </row>
    <row r="799">
      <c r="A799" s="30" t="n"/>
      <c r="B799" s="31" t="n"/>
      <c r="C799" s="31" t="n"/>
      <c r="D799">
        <f>IF(B799="","",IF(C799="",TODAY(),C799)-B799)</f>
        <v/>
      </c>
      <c r="E799">
        <f>IF(A799="","",IF(COUNTIFS($A:$A,A799,$C:$C,"")&gt;1,"Mais de uma entrada em aberto",IF(AND(C799&lt;&gt;"",C799&lt;B799),"Saída antes da entrada","")))</f>
        <v/>
      </c>
      <c r="F799" s="32">
        <f>IF(OR(A799="",B799=""),"",SUMIFS(Producao!$B:$B,Producao!$A:$A,"&gt;="&amp;B799,Producao!$A:$A,"&lt;"&amp;IF(C799="",TODAY()+1,C799)))</f>
        <v/>
      </c>
    </row>
    <row r="800">
      <c r="A800" s="30" t="n"/>
      <c r="B800" s="31" t="n"/>
      <c r="C800" s="31" t="n"/>
      <c r="D800">
        <f>IF(B800="","",IF(C800="",TODAY(),C800)-B800)</f>
        <v/>
      </c>
      <c r="E800">
        <f>IF(A800="","",IF(COUNTIFS($A:$A,A800,$C:$C,"")&gt;1,"Mais de uma entrada em aberto",IF(AND(C800&lt;&gt;"",C800&lt;B800),"Saída antes da entrada","")))</f>
        <v/>
      </c>
      <c r="F800" s="32">
        <f>IF(OR(A800="",B800=""),"",SUMIFS(Producao!$B:$B,Producao!$A:$A,"&gt;="&amp;B800,Producao!$A:$A,"&lt;"&amp;IF(C800="",TODAY()+1,C800)))</f>
        <v/>
      </c>
    </row>
    <row r="801">
      <c r="A801" s="30" t="n"/>
      <c r="B801" s="31" t="n"/>
      <c r="C801" s="31" t="n"/>
      <c r="D801">
        <f>IF(B801="","",IF(C801="",TODAY(),C801)-B801)</f>
        <v/>
      </c>
      <c r="E801">
        <f>IF(A801="","",IF(COUNTIFS($A:$A,A801,$C:$C,"")&gt;1,"Mais de uma entrada em aberto",IF(AND(C801&lt;&gt;"",C801&lt;B801),"Saída antes da entrada","")))</f>
        <v/>
      </c>
      <c r="F801" s="32">
        <f>IF(OR(A801="",B801=""),"",SUMIFS(Producao!$B:$B,Producao!$A:$A,"&gt;="&amp;B801,Producao!$A:$A,"&lt;"&amp;IF(C801="",TODAY()+1,C801)))</f>
        <v/>
      </c>
    </row>
    <row r="802">
      <c r="A802" s="30" t="n"/>
      <c r="B802" s="31" t="n"/>
      <c r="C802" s="31" t="n"/>
      <c r="D802">
        <f>IF(B802="","",IF(C802="",TODAY(),C802)-B802)</f>
        <v/>
      </c>
      <c r="E802">
        <f>IF(A802="","",IF(COUNTIFS($A:$A,A802,$C:$C,"")&gt;1,"Mais de uma entrada em aberto",IF(AND(C802&lt;&gt;"",C802&lt;B802),"Saída antes da entrada","")))</f>
        <v/>
      </c>
      <c r="F802" s="32">
        <f>IF(OR(A802="",B802=""),"",SUMIFS(Producao!$B:$B,Producao!$A:$A,"&gt;="&amp;B802,Producao!$A:$A,"&lt;"&amp;IF(C802="",TODAY()+1,C802)))</f>
        <v/>
      </c>
    </row>
    <row r="803">
      <c r="A803" s="30" t="n"/>
      <c r="B803" s="31" t="n"/>
      <c r="C803" s="31" t="n"/>
      <c r="D803">
        <f>IF(B803="","",IF(C803="",TODAY(),C803)-B803)</f>
        <v/>
      </c>
      <c r="E803">
        <f>IF(A803="","",IF(COUNTIFS($A:$A,A803,$C:$C,"")&gt;1,"Mais de uma entrada em aberto",IF(AND(C803&lt;&gt;"",C803&lt;B803),"Saída antes da entrada","")))</f>
        <v/>
      </c>
      <c r="F803" s="32">
        <f>IF(OR(A803="",B803=""),"",SUMIFS(Producao!$B:$B,Producao!$A:$A,"&gt;="&amp;B803,Producao!$A:$A,"&lt;"&amp;IF(C803="",TODAY()+1,C803)))</f>
        <v/>
      </c>
    </row>
    <row r="804">
      <c r="A804" s="30" t="n"/>
      <c r="B804" s="31" t="n"/>
      <c r="C804" s="31" t="n"/>
      <c r="D804">
        <f>IF(B804="","",IF(C804="",TODAY(),C804)-B804)</f>
        <v/>
      </c>
      <c r="E804">
        <f>IF(A804="","",IF(COUNTIFS($A:$A,A804,$C:$C,"")&gt;1,"Mais de uma entrada em aberto",IF(AND(C804&lt;&gt;"",C804&lt;B804),"Saída antes da entrada","")))</f>
        <v/>
      </c>
      <c r="F804" s="32">
        <f>IF(OR(A804="",B804=""),"",SUMIFS(Producao!$B:$B,Producao!$A:$A,"&gt;="&amp;B804,Producao!$A:$A,"&lt;"&amp;IF(C804="",TODAY()+1,C804)))</f>
        <v/>
      </c>
    </row>
    <row r="805">
      <c r="A805" s="30" t="n"/>
      <c r="B805" s="31" t="n"/>
      <c r="C805" s="31" t="n"/>
      <c r="D805">
        <f>IF(B805="","",IF(C805="",TODAY(),C805)-B805)</f>
        <v/>
      </c>
      <c r="E805">
        <f>IF(A805="","",IF(COUNTIFS($A:$A,A805,$C:$C,"")&gt;1,"Mais de uma entrada em aberto",IF(AND(C805&lt;&gt;"",C805&lt;B805),"Saída antes da entrada","")))</f>
        <v/>
      </c>
      <c r="F805" s="32">
        <f>IF(OR(A805="",B805=""),"",SUMIFS(Producao!$B:$B,Producao!$A:$A,"&gt;="&amp;B805,Producao!$A:$A,"&lt;"&amp;IF(C805="",TODAY()+1,C805)))</f>
        <v/>
      </c>
    </row>
    <row r="806">
      <c r="A806" s="30" t="n"/>
      <c r="B806" s="31" t="n"/>
      <c r="C806" s="31" t="n"/>
      <c r="D806">
        <f>IF(B806="","",IF(C806="",TODAY(),C806)-B806)</f>
        <v/>
      </c>
      <c r="E806">
        <f>IF(A806="","",IF(COUNTIFS($A:$A,A806,$C:$C,"")&gt;1,"Mais de uma entrada em aberto",IF(AND(C806&lt;&gt;"",C806&lt;B806),"Saída antes da entrada","")))</f>
        <v/>
      </c>
      <c r="F806" s="32">
        <f>IF(OR(A806="",B806=""),"",SUMIFS(Producao!$B:$B,Producao!$A:$A,"&gt;="&amp;B806,Producao!$A:$A,"&lt;"&amp;IF(C806="",TODAY()+1,C806)))</f>
        <v/>
      </c>
    </row>
    <row r="807">
      <c r="A807" s="30" t="n"/>
      <c r="B807" s="31" t="n"/>
      <c r="C807" s="31" t="n"/>
      <c r="D807">
        <f>IF(B807="","",IF(C807="",TODAY(),C807)-B807)</f>
        <v/>
      </c>
      <c r="E807">
        <f>IF(A807="","",IF(COUNTIFS($A:$A,A807,$C:$C,"")&gt;1,"Mais de uma entrada em aberto",IF(AND(C807&lt;&gt;"",C807&lt;B807),"Saída antes da entrada","")))</f>
        <v/>
      </c>
      <c r="F807" s="32">
        <f>IF(OR(A807="",B807=""),"",SUMIFS(Producao!$B:$B,Producao!$A:$A,"&gt;="&amp;B807,Producao!$A:$A,"&lt;"&amp;IF(C807="",TODAY()+1,C807)))</f>
        <v/>
      </c>
    </row>
    <row r="808">
      <c r="A808" s="30" t="n"/>
      <c r="B808" s="31" t="n"/>
      <c r="C808" s="31" t="n"/>
      <c r="D808">
        <f>IF(B808="","",IF(C808="",TODAY(),C808)-B808)</f>
        <v/>
      </c>
      <c r="E808">
        <f>IF(A808="","",IF(COUNTIFS($A:$A,A808,$C:$C,"")&gt;1,"Mais de uma entrada em aberto",IF(AND(C808&lt;&gt;"",C808&lt;B808),"Saída antes da entrada","")))</f>
        <v/>
      </c>
      <c r="F808" s="32">
        <f>IF(OR(A808="",B808=""),"",SUMIFS(Producao!$B:$B,Producao!$A:$A,"&gt;="&amp;B808,Producao!$A:$A,"&lt;"&amp;IF(C808="",TODAY()+1,C808)))</f>
        <v/>
      </c>
    </row>
    <row r="809">
      <c r="A809" s="30" t="n"/>
      <c r="B809" s="31" t="n"/>
      <c r="C809" s="31" t="n"/>
      <c r="D809">
        <f>IF(B809="","",IF(C809="",TODAY(),C809)-B809)</f>
        <v/>
      </c>
      <c r="E809">
        <f>IF(A809="","",IF(COUNTIFS($A:$A,A809,$C:$C,"")&gt;1,"Mais de uma entrada em aberto",IF(AND(C809&lt;&gt;"",C809&lt;B809),"Saída antes da entrada","")))</f>
        <v/>
      </c>
      <c r="F809" s="32">
        <f>IF(OR(A809="",B809=""),"",SUMIFS(Producao!$B:$B,Producao!$A:$A,"&gt;="&amp;B809,Producao!$A:$A,"&lt;"&amp;IF(C809="",TODAY()+1,C809)))</f>
        <v/>
      </c>
    </row>
    <row r="810">
      <c r="A810" s="30" t="n"/>
      <c r="B810" s="31" t="n"/>
      <c r="C810" s="31" t="n"/>
      <c r="D810">
        <f>IF(B810="","",IF(C810="",TODAY(),C810)-B810)</f>
        <v/>
      </c>
      <c r="E810">
        <f>IF(A810="","",IF(COUNTIFS($A:$A,A810,$C:$C,"")&gt;1,"Mais de uma entrada em aberto",IF(AND(C810&lt;&gt;"",C810&lt;B810),"Saída antes da entrada","")))</f>
        <v/>
      </c>
      <c r="F810" s="32">
        <f>IF(OR(A810="",B810=""),"",SUMIFS(Producao!$B:$B,Producao!$A:$A,"&gt;="&amp;B810,Producao!$A:$A,"&lt;"&amp;IF(C810="",TODAY()+1,C810)))</f>
        <v/>
      </c>
    </row>
    <row r="811">
      <c r="A811" s="30" t="n"/>
      <c r="B811" s="31" t="n"/>
      <c r="C811" s="31" t="n"/>
      <c r="D811">
        <f>IF(B811="","",IF(C811="",TODAY(),C811)-B811)</f>
        <v/>
      </c>
      <c r="E811">
        <f>IF(A811="","",IF(COUNTIFS($A:$A,A811,$C:$C,"")&gt;1,"Mais de uma entrada em aberto",IF(AND(C811&lt;&gt;"",C811&lt;B811),"Saída antes da entrada","")))</f>
        <v/>
      </c>
      <c r="F811" s="32">
        <f>IF(OR(A811="",B811=""),"",SUMIFS(Producao!$B:$B,Producao!$A:$A,"&gt;="&amp;B811,Producao!$A:$A,"&lt;"&amp;IF(C811="",TODAY()+1,C811)))</f>
        <v/>
      </c>
    </row>
    <row r="812">
      <c r="A812" s="30" t="n"/>
      <c r="B812" s="31" t="n"/>
      <c r="C812" s="31" t="n"/>
      <c r="D812">
        <f>IF(B812="","",IF(C812="",TODAY(),C812)-B812)</f>
        <v/>
      </c>
      <c r="E812">
        <f>IF(A812="","",IF(COUNTIFS($A:$A,A812,$C:$C,"")&gt;1,"Mais de uma entrada em aberto",IF(AND(C812&lt;&gt;"",C812&lt;B812),"Saída antes da entrada","")))</f>
        <v/>
      </c>
      <c r="F812" s="32">
        <f>IF(OR(A812="",B812=""),"",SUMIFS(Producao!$B:$B,Producao!$A:$A,"&gt;="&amp;B812,Producao!$A:$A,"&lt;"&amp;IF(C812="",TODAY()+1,C812)))</f>
        <v/>
      </c>
    </row>
    <row r="813">
      <c r="A813" s="30" t="n"/>
      <c r="B813" s="31" t="n"/>
      <c r="C813" s="31" t="n"/>
      <c r="D813">
        <f>IF(B813="","",IF(C813="",TODAY(),C813)-B813)</f>
        <v/>
      </c>
      <c r="E813">
        <f>IF(A813="","",IF(COUNTIFS($A:$A,A813,$C:$C,"")&gt;1,"Mais de uma entrada em aberto",IF(AND(C813&lt;&gt;"",C813&lt;B813),"Saída antes da entrada","")))</f>
        <v/>
      </c>
      <c r="F813" s="32">
        <f>IF(OR(A813="",B813=""),"",SUMIFS(Producao!$B:$B,Producao!$A:$A,"&gt;="&amp;B813,Producao!$A:$A,"&lt;"&amp;IF(C813="",TODAY()+1,C813)))</f>
        <v/>
      </c>
    </row>
    <row r="814">
      <c r="A814" s="30" t="n"/>
      <c r="B814" s="31" t="n"/>
      <c r="C814" s="31" t="n"/>
      <c r="D814">
        <f>IF(B814="","",IF(C814="",TODAY(),C814)-B814)</f>
        <v/>
      </c>
      <c r="E814">
        <f>IF(A814="","",IF(COUNTIFS($A:$A,A814,$C:$C,"")&gt;1,"Mais de uma entrada em aberto",IF(AND(C814&lt;&gt;"",C814&lt;B814),"Saída antes da entrada","")))</f>
        <v/>
      </c>
      <c r="F814" s="32">
        <f>IF(OR(A814="",B814=""),"",SUMIFS(Producao!$B:$B,Producao!$A:$A,"&gt;="&amp;B814,Producao!$A:$A,"&lt;"&amp;IF(C814="",TODAY()+1,C814)))</f>
        <v/>
      </c>
    </row>
    <row r="815">
      <c r="A815" s="30" t="n"/>
      <c r="B815" s="31" t="n"/>
      <c r="C815" s="31" t="n"/>
      <c r="D815">
        <f>IF(B815="","",IF(C815="",TODAY(),C815)-B815)</f>
        <v/>
      </c>
      <c r="E815">
        <f>IF(A815="","",IF(COUNTIFS($A:$A,A815,$C:$C,"")&gt;1,"Mais de uma entrada em aberto",IF(AND(C815&lt;&gt;"",C815&lt;B815),"Saída antes da entrada","")))</f>
        <v/>
      </c>
      <c r="F815" s="32">
        <f>IF(OR(A815="",B815=""),"",SUMIFS(Producao!$B:$B,Producao!$A:$A,"&gt;="&amp;B815,Producao!$A:$A,"&lt;"&amp;IF(C815="",TODAY()+1,C815)))</f>
        <v/>
      </c>
    </row>
    <row r="816">
      <c r="A816" s="30" t="n"/>
      <c r="B816" s="31" t="n"/>
      <c r="C816" s="31" t="n"/>
      <c r="D816">
        <f>IF(B816="","",IF(C816="",TODAY(),C816)-B816)</f>
        <v/>
      </c>
      <c r="E816">
        <f>IF(A816="","",IF(COUNTIFS($A:$A,A816,$C:$C,"")&gt;1,"Mais de uma entrada em aberto",IF(AND(C816&lt;&gt;"",C816&lt;B816),"Saída antes da entrada","")))</f>
        <v/>
      </c>
      <c r="F816" s="32">
        <f>IF(OR(A816="",B816=""),"",SUMIFS(Producao!$B:$B,Producao!$A:$A,"&gt;="&amp;B816,Producao!$A:$A,"&lt;"&amp;IF(C816="",TODAY()+1,C816)))</f>
        <v/>
      </c>
    </row>
    <row r="817">
      <c r="A817" s="30" t="n"/>
      <c r="B817" s="31" t="n"/>
      <c r="C817" s="31" t="n"/>
      <c r="D817">
        <f>IF(B817="","",IF(C817="",TODAY(),C817)-B817)</f>
        <v/>
      </c>
      <c r="E817">
        <f>IF(A817="","",IF(COUNTIFS($A:$A,A817,$C:$C,"")&gt;1,"Mais de uma entrada em aberto",IF(AND(C817&lt;&gt;"",C817&lt;B817),"Saída antes da entrada","")))</f>
        <v/>
      </c>
      <c r="F817" s="32">
        <f>IF(OR(A817="",B817=""),"",SUMIFS(Producao!$B:$B,Producao!$A:$A,"&gt;="&amp;B817,Producao!$A:$A,"&lt;"&amp;IF(C817="",TODAY()+1,C817)))</f>
        <v/>
      </c>
    </row>
    <row r="818">
      <c r="A818" s="30" t="n"/>
      <c r="B818" s="31" t="n"/>
      <c r="C818" s="31" t="n"/>
      <c r="D818">
        <f>IF(B818="","",IF(C818="",TODAY(),C818)-B818)</f>
        <v/>
      </c>
      <c r="E818">
        <f>IF(A818="","",IF(COUNTIFS($A:$A,A818,$C:$C,"")&gt;1,"Mais de uma entrada em aberto",IF(AND(C818&lt;&gt;"",C818&lt;B818),"Saída antes da entrada","")))</f>
        <v/>
      </c>
      <c r="F818" s="32">
        <f>IF(OR(A818="",B818=""),"",SUMIFS(Producao!$B:$B,Producao!$A:$A,"&gt;="&amp;B818,Producao!$A:$A,"&lt;"&amp;IF(C818="",TODAY()+1,C818)))</f>
        <v/>
      </c>
    </row>
    <row r="819">
      <c r="A819" s="30" t="n"/>
      <c r="B819" s="31" t="n"/>
      <c r="C819" s="31" t="n"/>
      <c r="D819">
        <f>IF(B819="","",IF(C819="",TODAY(),C819)-B819)</f>
        <v/>
      </c>
      <c r="E819">
        <f>IF(A819="","",IF(COUNTIFS($A:$A,A819,$C:$C,"")&gt;1,"Mais de uma entrada em aberto",IF(AND(C819&lt;&gt;"",C819&lt;B819),"Saída antes da entrada","")))</f>
        <v/>
      </c>
      <c r="F819" s="32">
        <f>IF(OR(A819="",B819=""),"",SUMIFS(Producao!$B:$B,Producao!$A:$A,"&gt;="&amp;B819,Producao!$A:$A,"&lt;"&amp;IF(C819="",TODAY()+1,C819)))</f>
        <v/>
      </c>
    </row>
    <row r="820">
      <c r="A820" s="30" t="n"/>
      <c r="B820" s="31" t="n"/>
      <c r="C820" s="31" t="n"/>
      <c r="D820">
        <f>IF(B820="","",IF(C820="",TODAY(),C820)-B820)</f>
        <v/>
      </c>
      <c r="E820">
        <f>IF(A820="","",IF(COUNTIFS($A:$A,A820,$C:$C,"")&gt;1,"Mais de uma entrada em aberto",IF(AND(C820&lt;&gt;"",C820&lt;B820),"Saída antes da entrada","")))</f>
        <v/>
      </c>
      <c r="F820" s="32">
        <f>IF(OR(A820="",B820=""),"",SUMIFS(Producao!$B:$B,Producao!$A:$A,"&gt;="&amp;B820,Producao!$A:$A,"&lt;"&amp;IF(C820="",TODAY()+1,C820)))</f>
        <v/>
      </c>
    </row>
    <row r="821">
      <c r="A821" s="30" t="n"/>
      <c r="B821" s="31" t="n"/>
      <c r="C821" s="31" t="n"/>
      <c r="D821">
        <f>IF(B821="","",IF(C821="",TODAY(),C821)-B821)</f>
        <v/>
      </c>
      <c r="E821">
        <f>IF(A821="","",IF(COUNTIFS($A:$A,A821,$C:$C,"")&gt;1,"Mais de uma entrada em aberto",IF(AND(C821&lt;&gt;"",C821&lt;B821),"Saída antes da entrada","")))</f>
        <v/>
      </c>
      <c r="F821" s="32">
        <f>IF(OR(A821="",B821=""),"",SUMIFS(Producao!$B:$B,Producao!$A:$A,"&gt;="&amp;B821,Producao!$A:$A,"&lt;"&amp;IF(C821="",TODAY()+1,C821)))</f>
        <v/>
      </c>
    </row>
    <row r="822">
      <c r="A822" s="30" t="n"/>
      <c r="B822" s="31" t="n"/>
      <c r="C822" s="31" t="n"/>
      <c r="D822">
        <f>IF(B822="","",IF(C822="",TODAY(),C822)-B822)</f>
        <v/>
      </c>
      <c r="E822">
        <f>IF(A822="","",IF(COUNTIFS($A:$A,A822,$C:$C,"")&gt;1,"Mais de uma entrada em aberto",IF(AND(C822&lt;&gt;"",C822&lt;B822),"Saída antes da entrada","")))</f>
        <v/>
      </c>
      <c r="F822" s="32">
        <f>IF(OR(A822="",B822=""),"",SUMIFS(Producao!$B:$B,Producao!$A:$A,"&gt;="&amp;B822,Producao!$A:$A,"&lt;"&amp;IF(C822="",TODAY()+1,C822)))</f>
        <v/>
      </c>
    </row>
    <row r="823">
      <c r="A823" s="30" t="n"/>
      <c r="B823" s="31" t="n"/>
      <c r="C823" s="31" t="n"/>
      <c r="D823">
        <f>IF(B823="","",IF(C823="",TODAY(),C823)-B823)</f>
        <v/>
      </c>
      <c r="E823">
        <f>IF(A823="","",IF(COUNTIFS($A:$A,A823,$C:$C,"")&gt;1,"Mais de uma entrada em aberto",IF(AND(C823&lt;&gt;"",C823&lt;B823),"Saída antes da entrada","")))</f>
        <v/>
      </c>
      <c r="F823" s="32">
        <f>IF(OR(A823="",B823=""),"",SUMIFS(Producao!$B:$B,Producao!$A:$A,"&gt;="&amp;B823,Producao!$A:$A,"&lt;"&amp;IF(C823="",TODAY()+1,C823)))</f>
        <v/>
      </c>
    </row>
    <row r="824">
      <c r="A824" s="30" t="n"/>
      <c r="B824" s="31" t="n"/>
      <c r="C824" s="31" t="n"/>
      <c r="D824">
        <f>IF(B824="","",IF(C824="",TODAY(),C824)-B824)</f>
        <v/>
      </c>
      <c r="E824">
        <f>IF(A824="","",IF(COUNTIFS($A:$A,A824,$C:$C,"")&gt;1,"Mais de uma entrada em aberto",IF(AND(C824&lt;&gt;"",C824&lt;B824),"Saída antes da entrada","")))</f>
        <v/>
      </c>
      <c r="F824" s="32">
        <f>IF(OR(A824="",B824=""),"",SUMIFS(Producao!$B:$B,Producao!$A:$A,"&gt;="&amp;B824,Producao!$A:$A,"&lt;"&amp;IF(C824="",TODAY()+1,C824)))</f>
        <v/>
      </c>
    </row>
    <row r="825">
      <c r="A825" s="30" t="n"/>
      <c r="B825" s="31" t="n"/>
      <c r="C825" s="31" t="n"/>
      <c r="D825">
        <f>IF(B825="","",IF(C825="",TODAY(),C825)-B825)</f>
        <v/>
      </c>
      <c r="E825">
        <f>IF(A825="","",IF(COUNTIFS($A:$A,A825,$C:$C,"")&gt;1,"Mais de uma entrada em aberto",IF(AND(C825&lt;&gt;"",C825&lt;B825),"Saída antes da entrada","")))</f>
        <v/>
      </c>
      <c r="F825" s="32">
        <f>IF(OR(A825="",B825=""),"",SUMIFS(Producao!$B:$B,Producao!$A:$A,"&gt;="&amp;B825,Producao!$A:$A,"&lt;"&amp;IF(C825="",TODAY()+1,C825)))</f>
        <v/>
      </c>
    </row>
    <row r="826">
      <c r="A826" s="30" t="n"/>
      <c r="B826" s="31" t="n"/>
      <c r="C826" s="31" t="n"/>
      <c r="D826">
        <f>IF(B826="","",IF(C826="",TODAY(),C826)-B826)</f>
        <v/>
      </c>
      <c r="E826">
        <f>IF(A826="","",IF(COUNTIFS($A:$A,A826,$C:$C,"")&gt;1,"Mais de uma entrada em aberto",IF(AND(C826&lt;&gt;"",C826&lt;B826),"Saída antes da entrada","")))</f>
        <v/>
      </c>
      <c r="F826" s="32">
        <f>IF(OR(A826="",B826=""),"",SUMIFS(Producao!$B:$B,Producao!$A:$A,"&gt;="&amp;B826,Producao!$A:$A,"&lt;"&amp;IF(C826="",TODAY()+1,C826)))</f>
        <v/>
      </c>
    </row>
    <row r="827">
      <c r="A827" s="30" t="n"/>
      <c r="B827" s="31" t="n"/>
      <c r="C827" s="31" t="n"/>
      <c r="D827">
        <f>IF(B827="","",IF(C827="",TODAY(),C827)-B827)</f>
        <v/>
      </c>
      <c r="E827">
        <f>IF(A827="","",IF(COUNTIFS($A:$A,A827,$C:$C,"")&gt;1,"Mais de uma entrada em aberto",IF(AND(C827&lt;&gt;"",C827&lt;B827),"Saída antes da entrada","")))</f>
        <v/>
      </c>
      <c r="F827" s="32">
        <f>IF(OR(A827="",B827=""),"",SUMIFS(Producao!$B:$B,Producao!$A:$A,"&gt;="&amp;B827,Producao!$A:$A,"&lt;"&amp;IF(C827="",TODAY()+1,C827)))</f>
        <v/>
      </c>
    </row>
    <row r="828">
      <c r="A828" s="30" t="n"/>
      <c r="B828" s="31" t="n"/>
      <c r="C828" s="31" t="n"/>
      <c r="D828">
        <f>IF(B828="","",IF(C828="",TODAY(),C828)-B828)</f>
        <v/>
      </c>
      <c r="E828">
        <f>IF(A828="","",IF(COUNTIFS($A:$A,A828,$C:$C,"")&gt;1,"Mais de uma entrada em aberto",IF(AND(C828&lt;&gt;"",C828&lt;B828),"Saída antes da entrada","")))</f>
        <v/>
      </c>
      <c r="F828" s="32">
        <f>IF(OR(A828="",B828=""),"",SUMIFS(Producao!$B:$B,Producao!$A:$A,"&gt;="&amp;B828,Producao!$A:$A,"&lt;"&amp;IF(C828="",TODAY()+1,C828)))</f>
        <v/>
      </c>
    </row>
    <row r="829">
      <c r="A829" s="30" t="n"/>
      <c r="B829" s="31" t="n"/>
      <c r="C829" s="31" t="n"/>
      <c r="D829">
        <f>IF(B829="","",IF(C829="",TODAY(),C829)-B829)</f>
        <v/>
      </c>
      <c r="E829">
        <f>IF(A829="","",IF(COUNTIFS($A:$A,A829,$C:$C,"")&gt;1,"Mais de uma entrada em aberto",IF(AND(C829&lt;&gt;"",C829&lt;B829),"Saída antes da entrada","")))</f>
        <v/>
      </c>
      <c r="F829" s="32">
        <f>IF(OR(A829="",B829=""),"",SUMIFS(Producao!$B:$B,Producao!$A:$A,"&gt;="&amp;B829,Producao!$A:$A,"&lt;"&amp;IF(C829="",TODAY()+1,C829)))</f>
        <v/>
      </c>
    </row>
    <row r="830">
      <c r="A830" s="30" t="n"/>
      <c r="B830" s="31" t="n"/>
      <c r="C830" s="31" t="n"/>
      <c r="D830">
        <f>IF(B830="","",IF(C830="",TODAY(),C830)-B830)</f>
        <v/>
      </c>
      <c r="E830">
        <f>IF(A830="","",IF(COUNTIFS($A:$A,A830,$C:$C,"")&gt;1,"Mais de uma entrada em aberto",IF(AND(C830&lt;&gt;"",C830&lt;B830),"Saída antes da entrada","")))</f>
        <v/>
      </c>
      <c r="F830" s="32">
        <f>IF(OR(A830="",B830=""),"",SUMIFS(Producao!$B:$B,Producao!$A:$A,"&gt;="&amp;B830,Producao!$A:$A,"&lt;"&amp;IF(C830="",TODAY()+1,C830)))</f>
        <v/>
      </c>
    </row>
    <row r="831">
      <c r="A831" s="30" t="n"/>
      <c r="B831" s="31" t="n"/>
      <c r="C831" s="31" t="n"/>
      <c r="D831">
        <f>IF(B831="","",IF(C831="",TODAY(),C831)-B831)</f>
        <v/>
      </c>
      <c r="E831">
        <f>IF(A831="","",IF(COUNTIFS($A:$A,A831,$C:$C,"")&gt;1,"Mais de uma entrada em aberto",IF(AND(C831&lt;&gt;"",C831&lt;B831),"Saída antes da entrada","")))</f>
        <v/>
      </c>
      <c r="F831" s="32">
        <f>IF(OR(A831="",B831=""),"",SUMIFS(Producao!$B:$B,Producao!$A:$A,"&gt;="&amp;B831,Producao!$A:$A,"&lt;"&amp;IF(C831="",TODAY()+1,C831)))</f>
        <v/>
      </c>
    </row>
    <row r="832">
      <c r="A832" s="30" t="n"/>
      <c r="B832" s="31" t="n"/>
      <c r="C832" s="31" t="n"/>
      <c r="D832">
        <f>IF(B832="","",IF(C832="",TODAY(),C832)-B832)</f>
        <v/>
      </c>
      <c r="E832">
        <f>IF(A832="","",IF(COUNTIFS($A:$A,A832,$C:$C,"")&gt;1,"Mais de uma entrada em aberto",IF(AND(C832&lt;&gt;"",C832&lt;B832),"Saída antes da entrada","")))</f>
        <v/>
      </c>
      <c r="F832" s="32">
        <f>IF(OR(A832="",B832=""),"",SUMIFS(Producao!$B:$B,Producao!$A:$A,"&gt;="&amp;B832,Producao!$A:$A,"&lt;"&amp;IF(C832="",TODAY()+1,C832)))</f>
        <v/>
      </c>
    </row>
    <row r="833">
      <c r="A833" s="30" t="n"/>
      <c r="B833" s="31" t="n"/>
      <c r="C833" s="31" t="n"/>
      <c r="D833">
        <f>IF(B833="","",IF(C833="",TODAY(),C833)-B833)</f>
        <v/>
      </c>
      <c r="E833">
        <f>IF(A833="","",IF(COUNTIFS($A:$A,A833,$C:$C,"")&gt;1,"Mais de uma entrada em aberto",IF(AND(C833&lt;&gt;"",C833&lt;B833),"Saída antes da entrada","")))</f>
        <v/>
      </c>
      <c r="F833" s="32">
        <f>IF(OR(A833="",B833=""),"",SUMIFS(Producao!$B:$B,Producao!$A:$A,"&gt;="&amp;B833,Producao!$A:$A,"&lt;"&amp;IF(C833="",TODAY()+1,C833)))</f>
        <v/>
      </c>
    </row>
    <row r="834">
      <c r="A834" s="30" t="n"/>
      <c r="B834" s="31" t="n"/>
      <c r="C834" s="31" t="n"/>
      <c r="D834">
        <f>IF(B834="","",IF(C834="",TODAY(),C834)-B834)</f>
        <v/>
      </c>
      <c r="E834">
        <f>IF(A834="","",IF(COUNTIFS($A:$A,A834,$C:$C,"")&gt;1,"Mais de uma entrada em aberto",IF(AND(C834&lt;&gt;"",C834&lt;B834),"Saída antes da entrada","")))</f>
        <v/>
      </c>
      <c r="F834" s="32">
        <f>IF(OR(A834="",B834=""),"",SUMIFS(Producao!$B:$B,Producao!$A:$A,"&gt;="&amp;B834,Producao!$A:$A,"&lt;"&amp;IF(C834="",TODAY()+1,C834)))</f>
        <v/>
      </c>
    </row>
    <row r="835">
      <c r="A835" s="30" t="n"/>
      <c r="B835" s="31" t="n"/>
      <c r="C835" s="31" t="n"/>
      <c r="D835">
        <f>IF(B835="","",IF(C835="",TODAY(),C835)-B835)</f>
        <v/>
      </c>
      <c r="E835">
        <f>IF(A835="","",IF(COUNTIFS($A:$A,A835,$C:$C,"")&gt;1,"Mais de uma entrada em aberto",IF(AND(C835&lt;&gt;"",C835&lt;B835),"Saída antes da entrada","")))</f>
        <v/>
      </c>
      <c r="F835" s="32">
        <f>IF(OR(A835="",B835=""),"",SUMIFS(Producao!$B:$B,Producao!$A:$A,"&gt;="&amp;B835,Producao!$A:$A,"&lt;"&amp;IF(C835="",TODAY()+1,C835)))</f>
        <v/>
      </c>
    </row>
    <row r="836">
      <c r="A836" s="30" t="n"/>
      <c r="B836" s="31" t="n"/>
      <c r="C836" s="31" t="n"/>
      <c r="D836">
        <f>IF(B836="","",IF(C836="",TODAY(),C836)-B836)</f>
        <v/>
      </c>
      <c r="E836">
        <f>IF(A836="","",IF(COUNTIFS($A:$A,A836,$C:$C,"")&gt;1,"Mais de uma entrada em aberto",IF(AND(C836&lt;&gt;"",C836&lt;B836),"Saída antes da entrada","")))</f>
        <v/>
      </c>
      <c r="F836" s="32">
        <f>IF(OR(A836="",B836=""),"",SUMIFS(Producao!$B:$B,Producao!$A:$A,"&gt;="&amp;B836,Producao!$A:$A,"&lt;"&amp;IF(C836="",TODAY()+1,C836)))</f>
        <v/>
      </c>
    </row>
    <row r="837">
      <c r="A837" s="30" t="n"/>
      <c r="B837" s="31" t="n"/>
      <c r="C837" s="31" t="n"/>
      <c r="D837">
        <f>IF(B837="","",IF(C837="",TODAY(),C837)-B837)</f>
        <v/>
      </c>
      <c r="E837">
        <f>IF(A837="","",IF(COUNTIFS($A:$A,A837,$C:$C,"")&gt;1,"Mais de uma entrada em aberto",IF(AND(C837&lt;&gt;"",C837&lt;B837),"Saída antes da entrada","")))</f>
        <v/>
      </c>
      <c r="F837" s="32">
        <f>IF(OR(A837="",B837=""),"",SUMIFS(Producao!$B:$B,Producao!$A:$A,"&gt;="&amp;B837,Producao!$A:$A,"&lt;"&amp;IF(C837="",TODAY()+1,C837)))</f>
        <v/>
      </c>
    </row>
    <row r="838">
      <c r="A838" s="30" t="n"/>
      <c r="B838" s="31" t="n"/>
      <c r="C838" s="31" t="n"/>
      <c r="D838">
        <f>IF(B838="","",IF(C838="",TODAY(),C838)-B838)</f>
        <v/>
      </c>
      <c r="E838">
        <f>IF(A838="","",IF(COUNTIFS($A:$A,A838,$C:$C,"")&gt;1,"Mais de uma entrada em aberto",IF(AND(C838&lt;&gt;"",C838&lt;B838),"Saída antes da entrada","")))</f>
        <v/>
      </c>
      <c r="F838" s="32">
        <f>IF(OR(A838="",B838=""),"",SUMIFS(Producao!$B:$B,Producao!$A:$A,"&gt;="&amp;B838,Producao!$A:$A,"&lt;"&amp;IF(C838="",TODAY()+1,C838)))</f>
        <v/>
      </c>
    </row>
    <row r="839">
      <c r="A839" s="30" t="n"/>
      <c r="B839" s="31" t="n"/>
      <c r="C839" s="31" t="n"/>
      <c r="D839">
        <f>IF(B839="","",IF(C839="",TODAY(),C839)-B839)</f>
        <v/>
      </c>
      <c r="E839">
        <f>IF(A839="","",IF(COUNTIFS($A:$A,A839,$C:$C,"")&gt;1,"Mais de uma entrada em aberto",IF(AND(C839&lt;&gt;"",C839&lt;B839),"Saída antes da entrada","")))</f>
        <v/>
      </c>
      <c r="F839" s="32">
        <f>IF(OR(A839="",B839=""),"",SUMIFS(Producao!$B:$B,Producao!$A:$A,"&gt;="&amp;B839,Producao!$A:$A,"&lt;"&amp;IF(C839="",TODAY()+1,C839)))</f>
        <v/>
      </c>
    </row>
    <row r="840">
      <c r="A840" s="30" t="n"/>
      <c r="B840" s="31" t="n"/>
      <c r="C840" s="31" t="n"/>
      <c r="D840">
        <f>IF(B840="","",IF(C840="",TODAY(),C840)-B840)</f>
        <v/>
      </c>
      <c r="E840">
        <f>IF(A840="","",IF(COUNTIFS($A:$A,A840,$C:$C,"")&gt;1,"Mais de uma entrada em aberto",IF(AND(C840&lt;&gt;"",C840&lt;B840),"Saída antes da entrada","")))</f>
        <v/>
      </c>
      <c r="F840" s="32">
        <f>IF(OR(A840="",B840=""),"",SUMIFS(Producao!$B:$B,Producao!$A:$A,"&gt;="&amp;B840,Producao!$A:$A,"&lt;"&amp;IF(C840="",TODAY()+1,C840)))</f>
        <v/>
      </c>
    </row>
    <row r="841">
      <c r="A841" s="30" t="n"/>
      <c r="B841" s="31" t="n"/>
      <c r="C841" s="31" t="n"/>
      <c r="D841">
        <f>IF(B841="","",IF(C841="",TODAY(),C841)-B841)</f>
        <v/>
      </c>
      <c r="E841">
        <f>IF(A841="","",IF(COUNTIFS($A:$A,A841,$C:$C,"")&gt;1,"Mais de uma entrada em aberto",IF(AND(C841&lt;&gt;"",C841&lt;B841),"Saída antes da entrada","")))</f>
        <v/>
      </c>
      <c r="F841" s="32">
        <f>IF(OR(A841="",B841=""),"",SUMIFS(Producao!$B:$B,Producao!$A:$A,"&gt;="&amp;B841,Producao!$A:$A,"&lt;"&amp;IF(C841="",TODAY()+1,C841)))</f>
        <v/>
      </c>
    </row>
    <row r="842">
      <c r="A842" s="30" t="n"/>
      <c r="B842" s="31" t="n"/>
      <c r="C842" s="31" t="n"/>
      <c r="D842">
        <f>IF(B842="","",IF(C842="",TODAY(),C842)-B842)</f>
        <v/>
      </c>
      <c r="E842">
        <f>IF(A842="","",IF(COUNTIFS($A:$A,A842,$C:$C,"")&gt;1,"Mais de uma entrada em aberto",IF(AND(C842&lt;&gt;"",C842&lt;B842),"Saída antes da entrada","")))</f>
        <v/>
      </c>
      <c r="F842" s="32">
        <f>IF(OR(A842="",B842=""),"",SUMIFS(Producao!$B:$B,Producao!$A:$A,"&gt;="&amp;B842,Producao!$A:$A,"&lt;"&amp;IF(C842="",TODAY()+1,C842)))</f>
        <v/>
      </c>
    </row>
    <row r="843">
      <c r="A843" s="30" t="n"/>
      <c r="B843" s="31" t="n"/>
      <c r="C843" s="31" t="n"/>
      <c r="D843">
        <f>IF(B843="","",IF(C843="",TODAY(),C843)-B843)</f>
        <v/>
      </c>
      <c r="E843">
        <f>IF(A843="","",IF(COUNTIFS($A:$A,A843,$C:$C,"")&gt;1,"Mais de uma entrada em aberto",IF(AND(C843&lt;&gt;"",C843&lt;B843),"Saída antes da entrada","")))</f>
        <v/>
      </c>
      <c r="F843" s="32">
        <f>IF(OR(A843="",B843=""),"",SUMIFS(Producao!$B:$B,Producao!$A:$A,"&gt;="&amp;B843,Producao!$A:$A,"&lt;"&amp;IF(C843="",TODAY()+1,C843)))</f>
        <v/>
      </c>
    </row>
    <row r="844">
      <c r="A844" s="30" t="n"/>
      <c r="B844" s="31" t="n"/>
      <c r="C844" s="31" t="n"/>
      <c r="D844">
        <f>IF(B844="","",IF(C844="",TODAY(),C844)-B844)</f>
        <v/>
      </c>
      <c r="E844">
        <f>IF(A844="","",IF(COUNTIFS($A:$A,A844,$C:$C,"")&gt;1,"Mais de uma entrada em aberto",IF(AND(C844&lt;&gt;"",C844&lt;B844),"Saída antes da entrada","")))</f>
        <v/>
      </c>
      <c r="F844" s="32">
        <f>IF(OR(A844="",B844=""),"",SUMIFS(Producao!$B:$B,Producao!$A:$A,"&gt;="&amp;B844,Producao!$A:$A,"&lt;"&amp;IF(C844="",TODAY()+1,C844)))</f>
        <v/>
      </c>
    </row>
    <row r="845">
      <c r="A845" s="30" t="n"/>
      <c r="B845" s="31" t="n"/>
      <c r="C845" s="31" t="n"/>
      <c r="D845">
        <f>IF(B845="","",IF(C845="",TODAY(),C845)-B845)</f>
        <v/>
      </c>
      <c r="E845">
        <f>IF(A845="","",IF(COUNTIFS($A:$A,A845,$C:$C,"")&gt;1,"Mais de uma entrada em aberto",IF(AND(C845&lt;&gt;"",C845&lt;B845),"Saída antes da entrada","")))</f>
        <v/>
      </c>
      <c r="F845" s="32">
        <f>IF(OR(A845="",B845=""),"",SUMIFS(Producao!$B:$B,Producao!$A:$A,"&gt;="&amp;B845,Producao!$A:$A,"&lt;"&amp;IF(C845="",TODAY()+1,C845)))</f>
        <v/>
      </c>
    </row>
    <row r="846">
      <c r="A846" s="30" t="n"/>
      <c r="B846" s="31" t="n"/>
      <c r="C846" s="31" t="n"/>
      <c r="D846">
        <f>IF(B846="","",IF(C846="",TODAY(),C846)-B846)</f>
        <v/>
      </c>
      <c r="E846">
        <f>IF(A846="","",IF(COUNTIFS($A:$A,A846,$C:$C,"")&gt;1,"Mais de uma entrada em aberto",IF(AND(C846&lt;&gt;"",C846&lt;B846),"Saída antes da entrada","")))</f>
        <v/>
      </c>
      <c r="F846" s="32">
        <f>IF(OR(A846="",B846=""),"",SUMIFS(Producao!$B:$B,Producao!$A:$A,"&gt;="&amp;B846,Producao!$A:$A,"&lt;"&amp;IF(C846="",TODAY()+1,C846)))</f>
        <v/>
      </c>
    </row>
    <row r="847">
      <c r="A847" s="30" t="n"/>
      <c r="B847" s="31" t="n"/>
      <c r="C847" s="31" t="n"/>
      <c r="D847">
        <f>IF(B847="","",IF(C847="",TODAY(),C847)-B847)</f>
        <v/>
      </c>
      <c r="E847">
        <f>IF(A847="","",IF(COUNTIFS($A:$A,A847,$C:$C,"")&gt;1,"Mais de uma entrada em aberto",IF(AND(C847&lt;&gt;"",C847&lt;B847),"Saída antes da entrada","")))</f>
        <v/>
      </c>
      <c r="F847" s="32">
        <f>IF(OR(A847="",B847=""),"",SUMIFS(Producao!$B:$B,Producao!$A:$A,"&gt;="&amp;B847,Producao!$A:$A,"&lt;"&amp;IF(C847="",TODAY()+1,C847)))</f>
        <v/>
      </c>
    </row>
    <row r="848">
      <c r="A848" s="30" t="n"/>
      <c r="B848" s="31" t="n"/>
      <c r="C848" s="31" t="n"/>
      <c r="D848">
        <f>IF(B848="","",IF(C848="",TODAY(),C848)-B848)</f>
        <v/>
      </c>
      <c r="E848">
        <f>IF(A848="","",IF(COUNTIFS($A:$A,A848,$C:$C,"")&gt;1,"Mais de uma entrada em aberto",IF(AND(C848&lt;&gt;"",C848&lt;B848),"Saída antes da entrada","")))</f>
        <v/>
      </c>
      <c r="F848" s="32">
        <f>IF(OR(A848="",B848=""),"",SUMIFS(Producao!$B:$B,Producao!$A:$A,"&gt;="&amp;B848,Producao!$A:$A,"&lt;"&amp;IF(C848="",TODAY()+1,C848)))</f>
        <v/>
      </c>
    </row>
    <row r="849">
      <c r="A849" s="30" t="n"/>
      <c r="B849" s="31" t="n"/>
      <c r="C849" s="31" t="n"/>
      <c r="D849">
        <f>IF(B849="","",IF(C849="",TODAY(),C849)-B849)</f>
        <v/>
      </c>
      <c r="E849">
        <f>IF(A849="","",IF(COUNTIFS($A:$A,A849,$C:$C,"")&gt;1,"Mais de uma entrada em aberto",IF(AND(C849&lt;&gt;"",C849&lt;B849),"Saída antes da entrada","")))</f>
        <v/>
      </c>
      <c r="F849" s="32">
        <f>IF(OR(A849="",B849=""),"",SUMIFS(Producao!$B:$B,Producao!$A:$A,"&gt;="&amp;B849,Producao!$A:$A,"&lt;"&amp;IF(C849="",TODAY()+1,C849)))</f>
        <v/>
      </c>
    </row>
    <row r="850">
      <c r="A850" s="30" t="n"/>
      <c r="B850" s="31" t="n"/>
      <c r="C850" s="31" t="n"/>
      <c r="D850">
        <f>IF(B850="","",IF(C850="",TODAY(),C850)-B850)</f>
        <v/>
      </c>
      <c r="E850">
        <f>IF(A850="","",IF(COUNTIFS($A:$A,A850,$C:$C,"")&gt;1,"Mais de uma entrada em aberto",IF(AND(C850&lt;&gt;"",C850&lt;B850),"Saída antes da entrada","")))</f>
        <v/>
      </c>
      <c r="F850" s="32">
        <f>IF(OR(A850="",B850=""),"",SUMIFS(Producao!$B:$B,Producao!$A:$A,"&gt;="&amp;B850,Producao!$A:$A,"&lt;"&amp;IF(C850="",TODAY()+1,C850)))</f>
        <v/>
      </c>
    </row>
    <row r="851">
      <c r="A851" s="30" t="n"/>
      <c r="B851" s="31" t="n"/>
      <c r="C851" s="31" t="n"/>
      <c r="D851">
        <f>IF(B851="","",IF(C851="",TODAY(),C851)-B851)</f>
        <v/>
      </c>
      <c r="E851">
        <f>IF(A851="","",IF(COUNTIFS($A:$A,A851,$C:$C,"")&gt;1,"Mais de uma entrada em aberto",IF(AND(C851&lt;&gt;"",C851&lt;B851),"Saída antes da entrada","")))</f>
        <v/>
      </c>
      <c r="F851" s="32">
        <f>IF(OR(A851="",B851=""),"",SUMIFS(Producao!$B:$B,Producao!$A:$A,"&gt;="&amp;B851,Producao!$A:$A,"&lt;"&amp;IF(C851="",TODAY()+1,C851)))</f>
        <v/>
      </c>
    </row>
    <row r="852">
      <c r="A852" s="30" t="n"/>
      <c r="B852" s="31" t="n"/>
      <c r="C852" s="31" t="n"/>
      <c r="D852">
        <f>IF(B852="","",IF(C852="",TODAY(),C852)-B852)</f>
        <v/>
      </c>
      <c r="E852">
        <f>IF(A852="","",IF(COUNTIFS($A:$A,A852,$C:$C,"")&gt;1,"Mais de uma entrada em aberto",IF(AND(C852&lt;&gt;"",C852&lt;B852),"Saída antes da entrada","")))</f>
        <v/>
      </c>
      <c r="F852" s="32">
        <f>IF(OR(A852="",B852=""),"",SUMIFS(Producao!$B:$B,Producao!$A:$A,"&gt;="&amp;B852,Producao!$A:$A,"&lt;"&amp;IF(C852="",TODAY()+1,C852)))</f>
        <v/>
      </c>
    </row>
    <row r="853">
      <c r="A853" s="30" t="n"/>
      <c r="B853" s="31" t="n"/>
      <c r="C853" s="31" t="n"/>
      <c r="D853">
        <f>IF(B853="","",IF(C853="",TODAY(),C853)-B853)</f>
        <v/>
      </c>
      <c r="E853">
        <f>IF(A853="","",IF(COUNTIFS($A:$A,A853,$C:$C,"")&gt;1,"Mais de uma entrada em aberto",IF(AND(C853&lt;&gt;"",C853&lt;B853),"Saída antes da entrada","")))</f>
        <v/>
      </c>
      <c r="F853" s="32">
        <f>IF(OR(A853="",B853=""),"",SUMIFS(Producao!$B:$B,Producao!$A:$A,"&gt;="&amp;B853,Producao!$A:$A,"&lt;"&amp;IF(C853="",TODAY()+1,C853)))</f>
        <v/>
      </c>
    </row>
    <row r="854">
      <c r="A854" s="30" t="n"/>
      <c r="B854" s="31" t="n"/>
      <c r="C854" s="31" t="n"/>
      <c r="D854">
        <f>IF(B854="","",IF(C854="",TODAY(),C854)-B854)</f>
        <v/>
      </c>
      <c r="E854">
        <f>IF(A854="","",IF(COUNTIFS($A:$A,A854,$C:$C,"")&gt;1,"Mais de uma entrada em aberto",IF(AND(C854&lt;&gt;"",C854&lt;B854),"Saída antes da entrada","")))</f>
        <v/>
      </c>
      <c r="F854" s="32">
        <f>IF(OR(A854="",B854=""),"",SUMIFS(Producao!$B:$B,Producao!$A:$A,"&gt;="&amp;B854,Producao!$A:$A,"&lt;"&amp;IF(C854="",TODAY()+1,C854)))</f>
        <v/>
      </c>
    </row>
    <row r="855">
      <c r="A855" s="30" t="n"/>
      <c r="B855" s="31" t="n"/>
      <c r="C855" s="31" t="n"/>
      <c r="D855">
        <f>IF(B855="","",IF(C855="",TODAY(),C855)-B855)</f>
        <v/>
      </c>
      <c r="E855">
        <f>IF(A855="","",IF(COUNTIFS($A:$A,A855,$C:$C,"")&gt;1,"Mais de uma entrada em aberto",IF(AND(C855&lt;&gt;"",C855&lt;B855),"Saída antes da entrada","")))</f>
        <v/>
      </c>
      <c r="F855" s="32">
        <f>IF(OR(A855="",B855=""),"",SUMIFS(Producao!$B:$B,Producao!$A:$A,"&gt;="&amp;B855,Producao!$A:$A,"&lt;"&amp;IF(C855="",TODAY()+1,C855)))</f>
        <v/>
      </c>
    </row>
    <row r="856">
      <c r="A856" s="30" t="n"/>
      <c r="B856" s="31" t="n"/>
      <c r="C856" s="31" t="n"/>
      <c r="D856">
        <f>IF(B856="","",IF(C856="",TODAY(),C856)-B856)</f>
        <v/>
      </c>
      <c r="E856">
        <f>IF(A856="","",IF(COUNTIFS($A:$A,A856,$C:$C,"")&gt;1,"Mais de uma entrada em aberto",IF(AND(C856&lt;&gt;"",C856&lt;B856),"Saída antes da entrada","")))</f>
        <v/>
      </c>
      <c r="F856" s="32">
        <f>IF(OR(A856="",B856=""),"",SUMIFS(Producao!$B:$B,Producao!$A:$A,"&gt;="&amp;B856,Producao!$A:$A,"&lt;"&amp;IF(C856="",TODAY()+1,C856)))</f>
        <v/>
      </c>
    </row>
    <row r="857">
      <c r="A857" s="30" t="n"/>
      <c r="B857" s="31" t="n"/>
      <c r="C857" s="31" t="n"/>
      <c r="D857">
        <f>IF(B857="","",IF(C857="",TODAY(),C857)-B857)</f>
        <v/>
      </c>
      <c r="E857">
        <f>IF(A857="","",IF(COUNTIFS($A:$A,A857,$C:$C,"")&gt;1,"Mais de uma entrada em aberto",IF(AND(C857&lt;&gt;"",C857&lt;B857),"Saída antes da entrada","")))</f>
        <v/>
      </c>
      <c r="F857" s="32">
        <f>IF(OR(A857="",B857=""),"",SUMIFS(Producao!$B:$B,Producao!$A:$A,"&gt;="&amp;B857,Producao!$A:$A,"&lt;"&amp;IF(C857="",TODAY()+1,C857)))</f>
        <v/>
      </c>
    </row>
    <row r="858">
      <c r="A858" s="30" t="n"/>
      <c r="B858" s="31" t="n"/>
      <c r="C858" s="31" t="n"/>
      <c r="D858">
        <f>IF(B858="","",IF(C858="",TODAY(),C858)-B858)</f>
        <v/>
      </c>
      <c r="E858">
        <f>IF(A858="","",IF(COUNTIFS($A:$A,A858,$C:$C,"")&gt;1,"Mais de uma entrada em aberto",IF(AND(C858&lt;&gt;"",C858&lt;B858),"Saída antes da entrada","")))</f>
        <v/>
      </c>
      <c r="F858" s="32">
        <f>IF(OR(A858="",B858=""),"",SUMIFS(Producao!$B:$B,Producao!$A:$A,"&gt;="&amp;B858,Producao!$A:$A,"&lt;"&amp;IF(C858="",TODAY()+1,C858)))</f>
        <v/>
      </c>
    </row>
    <row r="859">
      <c r="A859" s="30" t="n"/>
      <c r="B859" s="31" t="n"/>
      <c r="C859" s="31" t="n"/>
      <c r="D859">
        <f>IF(B859="","",IF(C859="",TODAY(),C859)-B859)</f>
        <v/>
      </c>
      <c r="E859">
        <f>IF(A859="","",IF(COUNTIFS($A:$A,A859,$C:$C,"")&gt;1,"Mais de uma entrada em aberto",IF(AND(C859&lt;&gt;"",C859&lt;B859),"Saída antes da entrada","")))</f>
        <v/>
      </c>
      <c r="F859" s="32">
        <f>IF(OR(A859="",B859=""),"",SUMIFS(Producao!$B:$B,Producao!$A:$A,"&gt;="&amp;B859,Producao!$A:$A,"&lt;"&amp;IF(C859="",TODAY()+1,C859)))</f>
        <v/>
      </c>
    </row>
    <row r="860">
      <c r="A860" s="30" t="n"/>
      <c r="B860" s="31" t="n"/>
      <c r="C860" s="31" t="n"/>
      <c r="D860">
        <f>IF(B860="","",IF(C860="",TODAY(),C860)-B860)</f>
        <v/>
      </c>
      <c r="E860">
        <f>IF(A860="","",IF(COUNTIFS($A:$A,A860,$C:$C,"")&gt;1,"Mais de uma entrada em aberto",IF(AND(C860&lt;&gt;"",C860&lt;B860),"Saída antes da entrada","")))</f>
        <v/>
      </c>
      <c r="F860" s="32">
        <f>IF(OR(A860="",B860=""),"",SUMIFS(Producao!$B:$B,Producao!$A:$A,"&gt;="&amp;B860,Producao!$A:$A,"&lt;"&amp;IF(C860="",TODAY()+1,C860)))</f>
        <v/>
      </c>
    </row>
    <row r="861">
      <c r="A861" s="30" t="n"/>
      <c r="B861" s="31" t="n"/>
      <c r="C861" s="31" t="n"/>
      <c r="D861">
        <f>IF(B861="","",IF(C861="",TODAY(),C861)-B861)</f>
        <v/>
      </c>
      <c r="E861">
        <f>IF(A861="","",IF(COUNTIFS($A:$A,A861,$C:$C,"")&gt;1,"Mais de uma entrada em aberto",IF(AND(C861&lt;&gt;"",C861&lt;B861),"Saída antes da entrada","")))</f>
        <v/>
      </c>
      <c r="F861" s="32">
        <f>IF(OR(A861="",B861=""),"",SUMIFS(Producao!$B:$B,Producao!$A:$A,"&gt;="&amp;B861,Producao!$A:$A,"&lt;"&amp;IF(C861="",TODAY()+1,C861)))</f>
        <v/>
      </c>
    </row>
    <row r="862">
      <c r="A862" s="30" t="n"/>
      <c r="B862" s="31" t="n"/>
      <c r="C862" s="31" t="n"/>
      <c r="D862">
        <f>IF(B862="","",IF(C862="",TODAY(),C862)-B862)</f>
        <v/>
      </c>
      <c r="E862">
        <f>IF(A862="","",IF(COUNTIFS($A:$A,A862,$C:$C,"")&gt;1,"Mais de uma entrada em aberto",IF(AND(C862&lt;&gt;"",C862&lt;B862),"Saída antes da entrada","")))</f>
        <v/>
      </c>
      <c r="F862" s="32">
        <f>IF(OR(A862="",B862=""),"",SUMIFS(Producao!$B:$B,Producao!$A:$A,"&gt;="&amp;B862,Producao!$A:$A,"&lt;"&amp;IF(C862="",TODAY()+1,C862)))</f>
        <v/>
      </c>
    </row>
    <row r="863">
      <c r="A863" s="30" t="n"/>
      <c r="B863" s="31" t="n"/>
      <c r="C863" s="31" t="n"/>
      <c r="D863">
        <f>IF(B863="","",IF(C863="",TODAY(),C863)-B863)</f>
        <v/>
      </c>
      <c r="E863">
        <f>IF(A863="","",IF(COUNTIFS($A:$A,A863,$C:$C,"")&gt;1,"Mais de uma entrada em aberto",IF(AND(C863&lt;&gt;"",C863&lt;B863),"Saída antes da entrada","")))</f>
        <v/>
      </c>
      <c r="F863" s="32">
        <f>IF(OR(A863="",B863=""),"",SUMIFS(Producao!$B:$B,Producao!$A:$A,"&gt;="&amp;B863,Producao!$A:$A,"&lt;"&amp;IF(C863="",TODAY()+1,C863)))</f>
        <v/>
      </c>
    </row>
    <row r="864">
      <c r="A864" s="30" t="n"/>
      <c r="B864" s="31" t="n"/>
      <c r="C864" s="31" t="n"/>
      <c r="D864">
        <f>IF(B864="","",IF(C864="",TODAY(),C864)-B864)</f>
        <v/>
      </c>
      <c r="E864">
        <f>IF(A864="","",IF(COUNTIFS($A:$A,A864,$C:$C,"")&gt;1,"Mais de uma entrada em aberto",IF(AND(C864&lt;&gt;"",C864&lt;B864),"Saída antes da entrada","")))</f>
        <v/>
      </c>
      <c r="F864" s="32">
        <f>IF(OR(A864="",B864=""),"",SUMIFS(Producao!$B:$B,Producao!$A:$A,"&gt;="&amp;B864,Producao!$A:$A,"&lt;"&amp;IF(C864="",TODAY()+1,C864)))</f>
        <v/>
      </c>
    </row>
    <row r="865">
      <c r="A865" s="30" t="n"/>
      <c r="B865" s="31" t="n"/>
      <c r="C865" s="31" t="n"/>
      <c r="D865">
        <f>IF(B865="","",IF(C865="",TODAY(),C865)-B865)</f>
        <v/>
      </c>
      <c r="E865">
        <f>IF(A865="","",IF(COUNTIFS($A:$A,A865,$C:$C,"")&gt;1,"Mais de uma entrada em aberto",IF(AND(C865&lt;&gt;"",C865&lt;B865),"Saída antes da entrada","")))</f>
        <v/>
      </c>
      <c r="F865" s="32">
        <f>IF(OR(A865="",B865=""),"",SUMIFS(Producao!$B:$B,Producao!$A:$A,"&gt;="&amp;B865,Producao!$A:$A,"&lt;"&amp;IF(C865="",TODAY()+1,C865)))</f>
        <v/>
      </c>
    </row>
    <row r="866">
      <c r="A866" s="30" t="n"/>
      <c r="B866" s="31" t="n"/>
      <c r="C866" s="31" t="n"/>
      <c r="D866">
        <f>IF(B866="","",IF(C866="",TODAY(),C866)-B866)</f>
        <v/>
      </c>
      <c r="E866">
        <f>IF(A866="","",IF(COUNTIFS($A:$A,A866,$C:$C,"")&gt;1,"Mais de uma entrada em aberto",IF(AND(C866&lt;&gt;"",C866&lt;B866),"Saída antes da entrada","")))</f>
        <v/>
      </c>
      <c r="F866" s="32">
        <f>IF(OR(A866="",B866=""),"",SUMIFS(Producao!$B:$B,Producao!$A:$A,"&gt;="&amp;B866,Producao!$A:$A,"&lt;"&amp;IF(C866="",TODAY()+1,C866)))</f>
        <v/>
      </c>
    </row>
    <row r="867">
      <c r="A867" s="30" t="n"/>
      <c r="B867" s="31" t="n"/>
      <c r="C867" s="31" t="n"/>
      <c r="D867">
        <f>IF(B867="","",IF(C867="",TODAY(),C867)-B867)</f>
        <v/>
      </c>
      <c r="E867">
        <f>IF(A867="","",IF(COUNTIFS($A:$A,A867,$C:$C,"")&gt;1,"Mais de uma entrada em aberto",IF(AND(C867&lt;&gt;"",C867&lt;B867),"Saída antes da entrada","")))</f>
        <v/>
      </c>
      <c r="F867" s="32">
        <f>IF(OR(A867="",B867=""),"",SUMIFS(Producao!$B:$B,Producao!$A:$A,"&gt;="&amp;B867,Producao!$A:$A,"&lt;"&amp;IF(C867="",TODAY()+1,C867)))</f>
        <v/>
      </c>
    </row>
    <row r="868">
      <c r="A868" s="30" t="n"/>
      <c r="B868" s="31" t="n"/>
      <c r="C868" s="31" t="n"/>
      <c r="D868">
        <f>IF(B868="","",IF(C868="",TODAY(),C868)-B868)</f>
        <v/>
      </c>
      <c r="E868">
        <f>IF(A868="","",IF(COUNTIFS($A:$A,A868,$C:$C,"")&gt;1,"Mais de uma entrada em aberto",IF(AND(C868&lt;&gt;"",C868&lt;B868),"Saída antes da entrada","")))</f>
        <v/>
      </c>
      <c r="F868" s="32">
        <f>IF(OR(A868="",B868=""),"",SUMIFS(Producao!$B:$B,Producao!$A:$A,"&gt;="&amp;B868,Producao!$A:$A,"&lt;"&amp;IF(C868="",TODAY()+1,C868)))</f>
        <v/>
      </c>
    </row>
    <row r="869">
      <c r="A869" s="30" t="n"/>
      <c r="B869" s="31" t="n"/>
      <c r="C869" s="31" t="n"/>
      <c r="D869">
        <f>IF(B869="","",IF(C869="",TODAY(),C869)-B869)</f>
        <v/>
      </c>
      <c r="E869">
        <f>IF(A869="","",IF(COUNTIFS($A:$A,A869,$C:$C,"")&gt;1,"Mais de uma entrada em aberto",IF(AND(C869&lt;&gt;"",C869&lt;B869),"Saída antes da entrada","")))</f>
        <v/>
      </c>
      <c r="F869" s="32">
        <f>IF(OR(A869="",B869=""),"",SUMIFS(Producao!$B:$B,Producao!$A:$A,"&gt;="&amp;B869,Producao!$A:$A,"&lt;"&amp;IF(C869="",TODAY()+1,C869)))</f>
        <v/>
      </c>
    </row>
    <row r="870">
      <c r="A870" s="30" t="n"/>
      <c r="B870" s="31" t="n"/>
      <c r="C870" s="31" t="n"/>
      <c r="D870">
        <f>IF(B870="","",IF(C870="",TODAY(),C870)-B870)</f>
        <v/>
      </c>
      <c r="E870">
        <f>IF(A870="","",IF(COUNTIFS($A:$A,A870,$C:$C,"")&gt;1,"Mais de uma entrada em aberto",IF(AND(C870&lt;&gt;"",C870&lt;B870),"Saída antes da entrada","")))</f>
        <v/>
      </c>
      <c r="F870" s="32">
        <f>IF(OR(A870="",B870=""),"",SUMIFS(Producao!$B:$B,Producao!$A:$A,"&gt;="&amp;B870,Producao!$A:$A,"&lt;"&amp;IF(C870="",TODAY()+1,C870)))</f>
        <v/>
      </c>
    </row>
    <row r="871">
      <c r="A871" s="30" t="n"/>
      <c r="B871" s="31" t="n"/>
      <c r="C871" s="31" t="n"/>
      <c r="D871">
        <f>IF(B871="","",IF(C871="",TODAY(),C871)-B871)</f>
        <v/>
      </c>
      <c r="E871">
        <f>IF(A871="","",IF(COUNTIFS($A:$A,A871,$C:$C,"")&gt;1,"Mais de uma entrada em aberto",IF(AND(C871&lt;&gt;"",C871&lt;B871),"Saída antes da entrada","")))</f>
        <v/>
      </c>
      <c r="F871" s="32">
        <f>IF(OR(A871="",B871=""),"",SUMIFS(Producao!$B:$B,Producao!$A:$A,"&gt;="&amp;B871,Producao!$A:$A,"&lt;"&amp;IF(C871="",TODAY()+1,C871)))</f>
        <v/>
      </c>
    </row>
    <row r="872">
      <c r="A872" s="30" t="n"/>
      <c r="B872" s="31" t="n"/>
      <c r="C872" s="31" t="n"/>
      <c r="D872">
        <f>IF(B872="","",IF(C872="",TODAY(),C872)-B872)</f>
        <v/>
      </c>
      <c r="E872">
        <f>IF(A872="","",IF(COUNTIFS($A:$A,A872,$C:$C,"")&gt;1,"Mais de uma entrada em aberto",IF(AND(C872&lt;&gt;"",C872&lt;B872),"Saída antes da entrada","")))</f>
        <v/>
      </c>
      <c r="F872" s="32">
        <f>IF(OR(A872="",B872=""),"",SUMIFS(Producao!$B:$B,Producao!$A:$A,"&gt;="&amp;B872,Producao!$A:$A,"&lt;"&amp;IF(C872="",TODAY()+1,C872)))</f>
        <v/>
      </c>
    </row>
    <row r="873">
      <c r="A873" s="30" t="n"/>
      <c r="B873" s="31" t="n"/>
      <c r="C873" s="31" t="n"/>
      <c r="D873">
        <f>IF(B873="","",IF(C873="",TODAY(),C873)-B873)</f>
        <v/>
      </c>
      <c r="E873">
        <f>IF(A873="","",IF(COUNTIFS($A:$A,A873,$C:$C,"")&gt;1,"Mais de uma entrada em aberto",IF(AND(C873&lt;&gt;"",C873&lt;B873),"Saída antes da entrada","")))</f>
        <v/>
      </c>
      <c r="F873" s="32">
        <f>IF(OR(A873="",B873=""),"",SUMIFS(Producao!$B:$B,Producao!$A:$A,"&gt;="&amp;B873,Producao!$A:$A,"&lt;"&amp;IF(C873="",TODAY()+1,C873)))</f>
        <v/>
      </c>
    </row>
    <row r="874">
      <c r="A874" s="30" t="n"/>
      <c r="B874" s="31" t="n"/>
      <c r="C874" s="31" t="n"/>
      <c r="D874">
        <f>IF(B874="","",IF(C874="",TODAY(),C874)-B874)</f>
        <v/>
      </c>
      <c r="E874">
        <f>IF(A874="","",IF(COUNTIFS($A:$A,A874,$C:$C,"")&gt;1,"Mais de uma entrada em aberto",IF(AND(C874&lt;&gt;"",C874&lt;B874),"Saída antes da entrada","")))</f>
        <v/>
      </c>
      <c r="F874" s="32">
        <f>IF(OR(A874="",B874=""),"",SUMIFS(Producao!$B:$B,Producao!$A:$A,"&gt;="&amp;B874,Producao!$A:$A,"&lt;"&amp;IF(C874="",TODAY()+1,C874)))</f>
        <v/>
      </c>
    </row>
    <row r="875">
      <c r="A875" s="30" t="n"/>
      <c r="B875" s="31" t="n"/>
      <c r="C875" s="31" t="n"/>
      <c r="D875">
        <f>IF(B875="","",IF(C875="",TODAY(),C875)-B875)</f>
        <v/>
      </c>
      <c r="E875">
        <f>IF(A875="","",IF(COUNTIFS($A:$A,A875,$C:$C,"")&gt;1,"Mais de uma entrada em aberto",IF(AND(C875&lt;&gt;"",C875&lt;B875),"Saída antes da entrada","")))</f>
        <v/>
      </c>
      <c r="F875" s="32">
        <f>IF(OR(A875="",B875=""),"",SUMIFS(Producao!$B:$B,Producao!$A:$A,"&gt;="&amp;B875,Producao!$A:$A,"&lt;"&amp;IF(C875="",TODAY()+1,C875)))</f>
        <v/>
      </c>
    </row>
    <row r="876">
      <c r="A876" s="30" t="n"/>
      <c r="B876" s="31" t="n"/>
      <c r="C876" s="31" t="n"/>
      <c r="D876">
        <f>IF(B876="","",IF(C876="",TODAY(),C876)-B876)</f>
        <v/>
      </c>
      <c r="E876">
        <f>IF(A876="","",IF(COUNTIFS($A:$A,A876,$C:$C,"")&gt;1,"Mais de uma entrada em aberto",IF(AND(C876&lt;&gt;"",C876&lt;B876),"Saída antes da entrada","")))</f>
        <v/>
      </c>
      <c r="F876" s="32">
        <f>IF(OR(A876="",B876=""),"",SUMIFS(Producao!$B:$B,Producao!$A:$A,"&gt;="&amp;B876,Producao!$A:$A,"&lt;"&amp;IF(C876="",TODAY()+1,C876)))</f>
        <v/>
      </c>
    </row>
    <row r="877">
      <c r="A877" s="30" t="n"/>
      <c r="B877" s="31" t="n"/>
      <c r="C877" s="31" t="n"/>
      <c r="D877">
        <f>IF(B877="","",IF(C877="",TODAY(),C877)-B877)</f>
        <v/>
      </c>
      <c r="E877">
        <f>IF(A877="","",IF(COUNTIFS($A:$A,A877,$C:$C,"")&gt;1,"Mais de uma entrada em aberto",IF(AND(C877&lt;&gt;"",C877&lt;B877),"Saída antes da entrada","")))</f>
        <v/>
      </c>
      <c r="F877" s="32">
        <f>IF(OR(A877="",B877=""),"",SUMIFS(Producao!$B:$B,Producao!$A:$A,"&gt;="&amp;B877,Producao!$A:$A,"&lt;"&amp;IF(C877="",TODAY()+1,C877)))</f>
        <v/>
      </c>
    </row>
    <row r="878">
      <c r="A878" s="30" t="n"/>
      <c r="B878" s="31" t="n"/>
      <c r="C878" s="31" t="n"/>
      <c r="D878">
        <f>IF(B878="","",IF(C878="",TODAY(),C878)-B878)</f>
        <v/>
      </c>
      <c r="E878">
        <f>IF(A878="","",IF(COUNTIFS($A:$A,A878,$C:$C,"")&gt;1,"Mais de uma entrada em aberto",IF(AND(C878&lt;&gt;"",C878&lt;B878),"Saída antes da entrada","")))</f>
        <v/>
      </c>
      <c r="F878" s="32">
        <f>IF(OR(A878="",B878=""),"",SUMIFS(Producao!$B:$B,Producao!$A:$A,"&gt;="&amp;B878,Producao!$A:$A,"&lt;"&amp;IF(C878="",TODAY()+1,C878)))</f>
        <v/>
      </c>
    </row>
    <row r="879">
      <c r="A879" s="30" t="n"/>
      <c r="B879" s="31" t="n"/>
      <c r="C879" s="31" t="n"/>
      <c r="D879">
        <f>IF(B879="","",IF(C879="",TODAY(),C879)-B879)</f>
        <v/>
      </c>
      <c r="E879">
        <f>IF(A879="","",IF(COUNTIFS($A:$A,A879,$C:$C,"")&gt;1,"Mais de uma entrada em aberto",IF(AND(C879&lt;&gt;"",C879&lt;B879),"Saída antes da entrada","")))</f>
        <v/>
      </c>
      <c r="F879" s="32">
        <f>IF(OR(A879="",B879=""),"",SUMIFS(Producao!$B:$B,Producao!$A:$A,"&gt;="&amp;B879,Producao!$A:$A,"&lt;"&amp;IF(C879="",TODAY()+1,C879)))</f>
        <v/>
      </c>
    </row>
    <row r="880">
      <c r="A880" s="30" t="n"/>
      <c r="B880" s="31" t="n"/>
      <c r="C880" s="31" t="n"/>
      <c r="D880">
        <f>IF(B880="","",IF(C880="",TODAY(),C880)-B880)</f>
        <v/>
      </c>
      <c r="E880">
        <f>IF(A880="","",IF(COUNTIFS($A:$A,A880,$C:$C,"")&gt;1,"Mais de uma entrada em aberto",IF(AND(C880&lt;&gt;"",C880&lt;B880),"Saída antes da entrada","")))</f>
        <v/>
      </c>
      <c r="F880" s="32">
        <f>IF(OR(A880="",B880=""),"",SUMIFS(Producao!$B:$B,Producao!$A:$A,"&gt;="&amp;B880,Producao!$A:$A,"&lt;"&amp;IF(C880="",TODAY()+1,C880)))</f>
        <v/>
      </c>
    </row>
    <row r="881">
      <c r="A881" s="30" t="n"/>
      <c r="B881" s="31" t="n"/>
      <c r="C881" s="31" t="n"/>
      <c r="D881">
        <f>IF(B881="","",IF(C881="",TODAY(),C881)-B881)</f>
        <v/>
      </c>
      <c r="E881">
        <f>IF(A881="","",IF(COUNTIFS($A:$A,A881,$C:$C,"")&gt;1,"Mais de uma entrada em aberto",IF(AND(C881&lt;&gt;"",C881&lt;B881),"Saída antes da entrada","")))</f>
        <v/>
      </c>
      <c r="F881" s="32">
        <f>IF(OR(A881="",B881=""),"",SUMIFS(Producao!$B:$B,Producao!$A:$A,"&gt;="&amp;B881,Producao!$A:$A,"&lt;"&amp;IF(C881="",TODAY()+1,C881)))</f>
        <v/>
      </c>
    </row>
    <row r="882">
      <c r="A882" s="30" t="n"/>
      <c r="B882" s="31" t="n"/>
      <c r="C882" s="31" t="n"/>
      <c r="D882">
        <f>IF(B882="","",IF(C882="",TODAY(),C882)-B882)</f>
        <v/>
      </c>
      <c r="E882">
        <f>IF(A882="","",IF(COUNTIFS($A:$A,A882,$C:$C,"")&gt;1,"Mais de uma entrada em aberto",IF(AND(C882&lt;&gt;"",C882&lt;B882),"Saída antes da entrada","")))</f>
        <v/>
      </c>
      <c r="F882" s="32">
        <f>IF(OR(A882="",B882=""),"",SUMIFS(Producao!$B:$B,Producao!$A:$A,"&gt;="&amp;B882,Producao!$A:$A,"&lt;"&amp;IF(C882="",TODAY()+1,C882)))</f>
        <v/>
      </c>
    </row>
    <row r="883">
      <c r="A883" s="30" t="n"/>
      <c r="B883" s="31" t="n"/>
      <c r="C883" s="31" t="n"/>
      <c r="D883">
        <f>IF(B883="","",IF(C883="",TODAY(),C883)-B883)</f>
        <v/>
      </c>
      <c r="E883">
        <f>IF(A883="","",IF(COUNTIFS($A:$A,A883,$C:$C,"")&gt;1,"Mais de uma entrada em aberto",IF(AND(C883&lt;&gt;"",C883&lt;B883),"Saída antes da entrada","")))</f>
        <v/>
      </c>
      <c r="F883" s="32">
        <f>IF(OR(A883="",B883=""),"",SUMIFS(Producao!$B:$B,Producao!$A:$A,"&gt;="&amp;B883,Producao!$A:$A,"&lt;"&amp;IF(C883="",TODAY()+1,C883)))</f>
        <v/>
      </c>
    </row>
    <row r="884">
      <c r="A884" s="30" t="n"/>
      <c r="B884" s="31" t="n"/>
      <c r="C884" s="31" t="n"/>
      <c r="D884">
        <f>IF(B884="","",IF(C884="",TODAY(),C884)-B884)</f>
        <v/>
      </c>
      <c r="E884">
        <f>IF(A884="","",IF(COUNTIFS($A:$A,A884,$C:$C,"")&gt;1,"Mais de uma entrada em aberto",IF(AND(C884&lt;&gt;"",C884&lt;B884),"Saída antes da entrada","")))</f>
        <v/>
      </c>
      <c r="F884" s="32">
        <f>IF(OR(A884="",B884=""),"",SUMIFS(Producao!$B:$B,Producao!$A:$A,"&gt;="&amp;B884,Producao!$A:$A,"&lt;"&amp;IF(C884="",TODAY()+1,C884)))</f>
        <v/>
      </c>
    </row>
    <row r="885">
      <c r="A885" s="30" t="n"/>
      <c r="B885" s="31" t="n"/>
      <c r="C885" s="31" t="n"/>
      <c r="D885">
        <f>IF(B885="","",IF(C885="",TODAY(),C885)-B885)</f>
        <v/>
      </c>
      <c r="E885">
        <f>IF(A885="","",IF(COUNTIFS($A:$A,A885,$C:$C,"")&gt;1,"Mais de uma entrada em aberto",IF(AND(C885&lt;&gt;"",C885&lt;B885),"Saída antes da entrada","")))</f>
        <v/>
      </c>
      <c r="F885" s="32">
        <f>IF(OR(A885="",B885=""),"",SUMIFS(Producao!$B:$B,Producao!$A:$A,"&gt;="&amp;B885,Producao!$A:$A,"&lt;"&amp;IF(C885="",TODAY()+1,C885)))</f>
        <v/>
      </c>
    </row>
    <row r="886">
      <c r="A886" s="30" t="n"/>
      <c r="B886" s="31" t="n"/>
      <c r="C886" s="31" t="n"/>
      <c r="D886">
        <f>IF(B886="","",IF(C886="",TODAY(),C886)-B886)</f>
        <v/>
      </c>
      <c r="E886">
        <f>IF(A886="","",IF(COUNTIFS($A:$A,A886,$C:$C,"")&gt;1,"Mais de uma entrada em aberto",IF(AND(C886&lt;&gt;"",C886&lt;B886),"Saída antes da entrada","")))</f>
        <v/>
      </c>
      <c r="F886" s="32">
        <f>IF(OR(A886="",B886=""),"",SUMIFS(Producao!$B:$B,Producao!$A:$A,"&gt;="&amp;B886,Producao!$A:$A,"&lt;"&amp;IF(C886="",TODAY()+1,C886)))</f>
        <v/>
      </c>
    </row>
    <row r="887">
      <c r="A887" s="30" t="n"/>
      <c r="B887" s="31" t="n"/>
      <c r="C887" s="31" t="n"/>
      <c r="D887">
        <f>IF(B887="","",IF(C887="",TODAY(),C887)-B887)</f>
        <v/>
      </c>
      <c r="E887">
        <f>IF(A887="","",IF(COUNTIFS($A:$A,A887,$C:$C,"")&gt;1,"Mais de uma entrada em aberto",IF(AND(C887&lt;&gt;"",C887&lt;B887),"Saída antes da entrada","")))</f>
        <v/>
      </c>
      <c r="F887" s="32">
        <f>IF(OR(A887="",B887=""),"",SUMIFS(Producao!$B:$B,Producao!$A:$A,"&gt;="&amp;B887,Producao!$A:$A,"&lt;"&amp;IF(C887="",TODAY()+1,C887)))</f>
        <v/>
      </c>
    </row>
    <row r="888">
      <c r="A888" s="30" t="n"/>
      <c r="B888" s="31" t="n"/>
      <c r="C888" s="31" t="n"/>
      <c r="D888">
        <f>IF(B888="","",IF(C888="",TODAY(),C888)-B888)</f>
        <v/>
      </c>
      <c r="E888">
        <f>IF(A888="","",IF(COUNTIFS($A:$A,A888,$C:$C,"")&gt;1,"Mais de uma entrada em aberto",IF(AND(C888&lt;&gt;"",C888&lt;B888),"Saída antes da entrada","")))</f>
        <v/>
      </c>
      <c r="F888" s="32">
        <f>IF(OR(A888="",B888=""),"",SUMIFS(Producao!$B:$B,Producao!$A:$A,"&gt;="&amp;B888,Producao!$A:$A,"&lt;"&amp;IF(C888="",TODAY()+1,C888)))</f>
        <v/>
      </c>
    </row>
    <row r="889">
      <c r="A889" s="30" t="n"/>
      <c r="B889" s="31" t="n"/>
      <c r="C889" s="31" t="n"/>
      <c r="D889">
        <f>IF(B889="","",IF(C889="",TODAY(),C889)-B889)</f>
        <v/>
      </c>
      <c r="E889">
        <f>IF(A889="","",IF(COUNTIFS($A:$A,A889,$C:$C,"")&gt;1,"Mais de uma entrada em aberto",IF(AND(C889&lt;&gt;"",C889&lt;B889),"Saída antes da entrada","")))</f>
        <v/>
      </c>
      <c r="F889" s="32">
        <f>IF(OR(A889="",B889=""),"",SUMIFS(Producao!$B:$B,Producao!$A:$A,"&gt;="&amp;B889,Producao!$A:$A,"&lt;"&amp;IF(C889="",TODAY()+1,C889)))</f>
        <v/>
      </c>
    </row>
    <row r="890">
      <c r="A890" s="30" t="n"/>
      <c r="B890" s="31" t="n"/>
      <c r="C890" s="31" t="n"/>
      <c r="D890">
        <f>IF(B890="","",IF(C890="",TODAY(),C890)-B890)</f>
        <v/>
      </c>
      <c r="E890">
        <f>IF(A890="","",IF(COUNTIFS($A:$A,A890,$C:$C,"")&gt;1,"Mais de uma entrada em aberto",IF(AND(C890&lt;&gt;"",C890&lt;B890),"Saída antes da entrada","")))</f>
        <v/>
      </c>
      <c r="F890" s="32">
        <f>IF(OR(A890="",B890=""),"",SUMIFS(Producao!$B:$B,Producao!$A:$A,"&gt;="&amp;B890,Producao!$A:$A,"&lt;"&amp;IF(C890="",TODAY()+1,C890)))</f>
        <v/>
      </c>
    </row>
    <row r="891">
      <c r="A891" s="30" t="n"/>
      <c r="B891" s="31" t="n"/>
      <c r="C891" s="31" t="n"/>
      <c r="D891">
        <f>IF(B891="","",IF(C891="",TODAY(),C891)-B891)</f>
        <v/>
      </c>
      <c r="E891">
        <f>IF(A891="","",IF(COUNTIFS($A:$A,A891,$C:$C,"")&gt;1,"Mais de uma entrada em aberto",IF(AND(C891&lt;&gt;"",C891&lt;B891),"Saída antes da entrada","")))</f>
        <v/>
      </c>
      <c r="F891" s="32">
        <f>IF(OR(A891="",B891=""),"",SUMIFS(Producao!$B:$B,Producao!$A:$A,"&gt;="&amp;B891,Producao!$A:$A,"&lt;"&amp;IF(C891="",TODAY()+1,C891)))</f>
        <v/>
      </c>
    </row>
    <row r="892">
      <c r="A892" s="30" t="n"/>
      <c r="B892" s="31" t="n"/>
      <c r="C892" s="31" t="n"/>
      <c r="D892">
        <f>IF(B892="","",IF(C892="",TODAY(),C892)-B892)</f>
        <v/>
      </c>
      <c r="E892">
        <f>IF(A892="","",IF(COUNTIFS($A:$A,A892,$C:$C,"")&gt;1,"Mais de uma entrada em aberto",IF(AND(C892&lt;&gt;"",C892&lt;B892),"Saída antes da entrada","")))</f>
        <v/>
      </c>
      <c r="F892" s="32">
        <f>IF(OR(A892="",B892=""),"",SUMIFS(Producao!$B:$B,Producao!$A:$A,"&gt;="&amp;B892,Producao!$A:$A,"&lt;"&amp;IF(C892="",TODAY()+1,C892)))</f>
        <v/>
      </c>
    </row>
    <row r="893">
      <c r="A893" s="30" t="n"/>
      <c r="B893" s="31" t="n"/>
      <c r="C893" s="31" t="n"/>
      <c r="D893">
        <f>IF(B893="","",IF(C893="",TODAY(),C893)-B893)</f>
        <v/>
      </c>
      <c r="E893">
        <f>IF(A893="","",IF(COUNTIFS($A:$A,A893,$C:$C,"")&gt;1,"Mais de uma entrada em aberto",IF(AND(C893&lt;&gt;"",C893&lt;B893),"Saída antes da entrada","")))</f>
        <v/>
      </c>
      <c r="F893" s="32">
        <f>IF(OR(A893="",B893=""),"",SUMIFS(Producao!$B:$B,Producao!$A:$A,"&gt;="&amp;B893,Producao!$A:$A,"&lt;"&amp;IF(C893="",TODAY()+1,C893)))</f>
        <v/>
      </c>
    </row>
    <row r="894">
      <c r="A894" s="30" t="n"/>
      <c r="B894" s="31" t="n"/>
      <c r="C894" s="31" t="n"/>
      <c r="D894">
        <f>IF(B894="","",IF(C894="",TODAY(),C894)-B894)</f>
        <v/>
      </c>
      <c r="E894">
        <f>IF(A894="","",IF(COUNTIFS($A:$A,A894,$C:$C,"")&gt;1,"Mais de uma entrada em aberto",IF(AND(C894&lt;&gt;"",C894&lt;B894),"Saída antes da entrada","")))</f>
        <v/>
      </c>
      <c r="F894" s="32">
        <f>IF(OR(A894="",B894=""),"",SUMIFS(Producao!$B:$B,Producao!$A:$A,"&gt;="&amp;B894,Producao!$A:$A,"&lt;"&amp;IF(C894="",TODAY()+1,C894)))</f>
        <v/>
      </c>
    </row>
    <row r="895">
      <c r="A895" s="30" t="n"/>
      <c r="B895" s="31" t="n"/>
      <c r="C895" s="31" t="n"/>
      <c r="D895">
        <f>IF(B895="","",IF(C895="",TODAY(),C895)-B895)</f>
        <v/>
      </c>
      <c r="E895">
        <f>IF(A895="","",IF(COUNTIFS($A:$A,A895,$C:$C,"")&gt;1,"Mais de uma entrada em aberto",IF(AND(C895&lt;&gt;"",C895&lt;B895),"Saída antes da entrada","")))</f>
        <v/>
      </c>
      <c r="F895" s="32">
        <f>IF(OR(A895="",B895=""),"",SUMIFS(Producao!$B:$B,Producao!$A:$A,"&gt;="&amp;B895,Producao!$A:$A,"&lt;"&amp;IF(C895="",TODAY()+1,C895)))</f>
        <v/>
      </c>
    </row>
    <row r="896">
      <c r="A896" s="30" t="n"/>
      <c r="B896" s="31" t="n"/>
      <c r="C896" s="31" t="n"/>
      <c r="D896">
        <f>IF(B896="","",IF(C896="",TODAY(),C896)-B896)</f>
        <v/>
      </c>
      <c r="E896">
        <f>IF(A896="","",IF(COUNTIFS($A:$A,A896,$C:$C,"")&gt;1,"Mais de uma entrada em aberto",IF(AND(C896&lt;&gt;"",C896&lt;B896),"Saída antes da entrada","")))</f>
        <v/>
      </c>
      <c r="F896" s="32">
        <f>IF(OR(A896="",B896=""),"",SUMIFS(Producao!$B:$B,Producao!$A:$A,"&gt;="&amp;B896,Producao!$A:$A,"&lt;"&amp;IF(C896="",TODAY()+1,C896)))</f>
        <v/>
      </c>
    </row>
    <row r="897">
      <c r="A897" s="30" t="n"/>
      <c r="B897" s="31" t="n"/>
      <c r="C897" s="31" t="n"/>
      <c r="D897">
        <f>IF(B897="","",IF(C897="",TODAY(),C897)-B897)</f>
        <v/>
      </c>
      <c r="E897">
        <f>IF(A897="","",IF(COUNTIFS($A:$A,A897,$C:$C,"")&gt;1,"Mais de uma entrada em aberto",IF(AND(C897&lt;&gt;"",C897&lt;B897),"Saída antes da entrada","")))</f>
        <v/>
      </c>
      <c r="F897" s="32">
        <f>IF(OR(A897="",B897=""),"",SUMIFS(Producao!$B:$B,Producao!$A:$A,"&gt;="&amp;B897,Producao!$A:$A,"&lt;"&amp;IF(C897="",TODAY()+1,C897)))</f>
        <v/>
      </c>
    </row>
    <row r="898">
      <c r="A898" s="30" t="n"/>
      <c r="B898" s="31" t="n"/>
      <c r="C898" s="31" t="n"/>
      <c r="D898">
        <f>IF(B898="","",IF(C898="",TODAY(),C898)-B898)</f>
        <v/>
      </c>
      <c r="E898">
        <f>IF(A898="","",IF(COUNTIFS($A:$A,A898,$C:$C,"")&gt;1,"Mais de uma entrada em aberto",IF(AND(C898&lt;&gt;"",C898&lt;B898),"Saída antes da entrada","")))</f>
        <v/>
      </c>
      <c r="F898" s="32">
        <f>IF(OR(A898="",B898=""),"",SUMIFS(Producao!$B:$B,Producao!$A:$A,"&gt;="&amp;B898,Producao!$A:$A,"&lt;"&amp;IF(C898="",TODAY()+1,C898)))</f>
        <v/>
      </c>
    </row>
    <row r="899">
      <c r="A899" s="30" t="n"/>
      <c r="B899" s="31" t="n"/>
      <c r="C899" s="31" t="n"/>
      <c r="D899">
        <f>IF(B899="","",IF(C899="",TODAY(),C899)-B899)</f>
        <v/>
      </c>
      <c r="E899">
        <f>IF(A899="","",IF(COUNTIFS($A:$A,A899,$C:$C,"")&gt;1,"Mais de uma entrada em aberto",IF(AND(C899&lt;&gt;"",C899&lt;B899),"Saída antes da entrada","")))</f>
        <v/>
      </c>
      <c r="F899" s="32">
        <f>IF(OR(A899="",B899=""),"",SUMIFS(Producao!$B:$B,Producao!$A:$A,"&gt;="&amp;B899,Producao!$A:$A,"&lt;"&amp;IF(C899="",TODAY()+1,C899)))</f>
        <v/>
      </c>
    </row>
    <row r="900">
      <c r="A900" s="30" t="n"/>
      <c r="B900" s="31" t="n"/>
      <c r="C900" s="31" t="n"/>
      <c r="D900">
        <f>IF(B900="","",IF(C900="",TODAY(),C900)-B900)</f>
        <v/>
      </c>
      <c r="E900">
        <f>IF(A900="","",IF(COUNTIFS($A:$A,A900,$C:$C,"")&gt;1,"Mais de uma entrada em aberto",IF(AND(C900&lt;&gt;"",C900&lt;B900),"Saída antes da entrada","")))</f>
        <v/>
      </c>
      <c r="F900" s="32">
        <f>IF(OR(A900="",B900=""),"",SUMIFS(Producao!$B:$B,Producao!$A:$A,"&gt;="&amp;B900,Producao!$A:$A,"&lt;"&amp;IF(C900="",TODAY()+1,C900)))</f>
        <v/>
      </c>
    </row>
    <row r="901">
      <c r="A901" s="30" t="n"/>
      <c r="B901" s="31" t="n"/>
      <c r="C901" s="31" t="n"/>
      <c r="D901">
        <f>IF(B901="","",IF(C901="",TODAY(),C901)-B901)</f>
        <v/>
      </c>
      <c r="E901">
        <f>IF(A901="","",IF(COUNTIFS($A:$A,A901,$C:$C,"")&gt;1,"Mais de uma entrada em aberto",IF(AND(C901&lt;&gt;"",C901&lt;B901),"Saída antes da entrada","")))</f>
        <v/>
      </c>
      <c r="F901" s="32">
        <f>IF(OR(A901="",B901=""),"",SUMIFS(Producao!$B:$B,Producao!$A:$A,"&gt;="&amp;B901,Producao!$A:$A,"&lt;"&amp;IF(C901="",TODAY()+1,C901)))</f>
        <v/>
      </c>
    </row>
    <row r="902">
      <c r="A902" s="30" t="n"/>
      <c r="B902" s="31" t="n"/>
      <c r="C902" s="31" t="n"/>
      <c r="D902">
        <f>IF(B902="","",IF(C902="",TODAY(),C902)-B902)</f>
        <v/>
      </c>
      <c r="E902">
        <f>IF(A902="","",IF(COUNTIFS($A:$A,A902,$C:$C,"")&gt;1,"Mais de uma entrada em aberto",IF(AND(C902&lt;&gt;"",C902&lt;B902),"Saída antes da entrada","")))</f>
        <v/>
      </c>
      <c r="F902" s="32">
        <f>IF(OR(A902="",B902=""),"",SUMIFS(Producao!$B:$B,Producao!$A:$A,"&gt;="&amp;B902,Producao!$A:$A,"&lt;"&amp;IF(C902="",TODAY()+1,C902)))</f>
        <v/>
      </c>
    </row>
    <row r="903">
      <c r="A903" s="30" t="n"/>
      <c r="B903" s="31" t="n"/>
      <c r="C903" s="31" t="n"/>
      <c r="D903">
        <f>IF(B903="","",IF(C903="",TODAY(),C903)-B903)</f>
        <v/>
      </c>
      <c r="E903">
        <f>IF(A903="","",IF(COUNTIFS($A:$A,A903,$C:$C,"")&gt;1,"Mais de uma entrada em aberto",IF(AND(C903&lt;&gt;"",C903&lt;B903),"Saída antes da entrada","")))</f>
        <v/>
      </c>
      <c r="F903" s="32">
        <f>IF(OR(A903="",B903=""),"",SUMIFS(Producao!$B:$B,Producao!$A:$A,"&gt;="&amp;B903,Producao!$A:$A,"&lt;"&amp;IF(C903="",TODAY()+1,C903)))</f>
        <v/>
      </c>
    </row>
    <row r="904">
      <c r="A904" s="30" t="n"/>
      <c r="B904" s="31" t="n"/>
      <c r="C904" s="31" t="n"/>
      <c r="D904">
        <f>IF(B904="","",IF(C904="",TODAY(),C904)-B904)</f>
        <v/>
      </c>
      <c r="E904">
        <f>IF(A904="","",IF(COUNTIFS($A:$A,A904,$C:$C,"")&gt;1,"Mais de uma entrada em aberto",IF(AND(C904&lt;&gt;"",C904&lt;B904),"Saída antes da entrada","")))</f>
        <v/>
      </c>
      <c r="F904" s="32">
        <f>IF(OR(A904="",B904=""),"",SUMIFS(Producao!$B:$B,Producao!$A:$A,"&gt;="&amp;B904,Producao!$A:$A,"&lt;"&amp;IF(C904="",TODAY()+1,C904)))</f>
        <v/>
      </c>
    </row>
    <row r="905">
      <c r="A905" s="30" t="n"/>
      <c r="B905" s="31" t="n"/>
      <c r="C905" s="31" t="n"/>
      <c r="D905">
        <f>IF(B905="","",IF(C905="",TODAY(),C905)-B905)</f>
        <v/>
      </c>
      <c r="E905">
        <f>IF(A905="","",IF(COUNTIFS($A:$A,A905,$C:$C,"")&gt;1,"Mais de uma entrada em aberto",IF(AND(C905&lt;&gt;"",C905&lt;B905),"Saída antes da entrada","")))</f>
        <v/>
      </c>
      <c r="F905" s="32">
        <f>IF(OR(A905="",B905=""),"",SUMIFS(Producao!$B:$B,Producao!$A:$A,"&gt;="&amp;B905,Producao!$A:$A,"&lt;"&amp;IF(C905="",TODAY()+1,C905)))</f>
        <v/>
      </c>
    </row>
    <row r="906">
      <c r="A906" s="30" t="n"/>
      <c r="B906" s="31" t="n"/>
      <c r="C906" s="31" t="n"/>
      <c r="D906">
        <f>IF(B906="","",IF(C906="",TODAY(),C906)-B906)</f>
        <v/>
      </c>
      <c r="E906">
        <f>IF(A906="","",IF(COUNTIFS($A:$A,A906,$C:$C,"")&gt;1,"Mais de uma entrada em aberto",IF(AND(C906&lt;&gt;"",C906&lt;B906),"Saída antes da entrada","")))</f>
        <v/>
      </c>
      <c r="F906" s="32">
        <f>IF(OR(A906="",B906=""),"",SUMIFS(Producao!$B:$B,Producao!$A:$A,"&gt;="&amp;B906,Producao!$A:$A,"&lt;"&amp;IF(C906="",TODAY()+1,C906)))</f>
        <v/>
      </c>
    </row>
    <row r="907">
      <c r="A907" s="30" t="n"/>
      <c r="B907" s="31" t="n"/>
      <c r="C907" s="31" t="n"/>
      <c r="D907">
        <f>IF(B907="","",IF(C907="",TODAY(),C907)-B907)</f>
        <v/>
      </c>
      <c r="E907">
        <f>IF(A907="","",IF(COUNTIFS($A:$A,A907,$C:$C,"")&gt;1,"Mais de uma entrada em aberto",IF(AND(C907&lt;&gt;"",C907&lt;B907),"Saída antes da entrada","")))</f>
        <v/>
      </c>
      <c r="F907" s="32">
        <f>IF(OR(A907="",B907=""),"",SUMIFS(Producao!$B:$B,Producao!$A:$A,"&gt;="&amp;B907,Producao!$A:$A,"&lt;"&amp;IF(C907="",TODAY()+1,C907)))</f>
        <v/>
      </c>
    </row>
    <row r="908">
      <c r="A908" s="30" t="n"/>
      <c r="B908" s="31" t="n"/>
      <c r="C908" s="31" t="n"/>
      <c r="D908">
        <f>IF(B908="","",IF(C908="",TODAY(),C908)-B908)</f>
        <v/>
      </c>
      <c r="E908">
        <f>IF(A908="","",IF(COUNTIFS($A:$A,A908,$C:$C,"")&gt;1,"Mais de uma entrada em aberto",IF(AND(C908&lt;&gt;"",C908&lt;B908),"Saída antes da entrada","")))</f>
        <v/>
      </c>
      <c r="F908" s="32">
        <f>IF(OR(A908="",B908=""),"",SUMIFS(Producao!$B:$B,Producao!$A:$A,"&gt;="&amp;B908,Producao!$A:$A,"&lt;"&amp;IF(C908="",TODAY()+1,C908)))</f>
        <v/>
      </c>
    </row>
    <row r="909">
      <c r="A909" s="30" t="n"/>
      <c r="B909" s="31" t="n"/>
      <c r="C909" s="31" t="n"/>
      <c r="D909">
        <f>IF(B909="","",IF(C909="",TODAY(),C909)-B909)</f>
        <v/>
      </c>
      <c r="E909">
        <f>IF(A909="","",IF(COUNTIFS($A:$A,A909,$C:$C,"")&gt;1,"Mais de uma entrada em aberto",IF(AND(C909&lt;&gt;"",C909&lt;B909),"Saída antes da entrada","")))</f>
        <v/>
      </c>
      <c r="F909" s="32">
        <f>IF(OR(A909="",B909=""),"",SUMIFS(Producao!$B:$B,Producao!$A:$A,"&gt;="&amp;B909,Producao!$A:$A,"&lt;"&amp;IF(C909="",TODAY()+1,C909)))</f>
        <v/>
      </c>
    </row>
    <row r="910">
      <c r="A910" s="30" t="n"/>
      <c r="B910" s="31" t="n"/>
      <c r="C910" s="31" t="n"/>
      <c r="D910">
        <f>IF(B910="","",IF(C910="",TODAY(),C910)-B910)</f>
        <v/>
      </c>
      <c r="E910">
        <f>IF(A910="","",IF(COUNTIFS($A:$A,A910,$C:$C,"")&gt;1,"Mais de uma entrada em aberto",IF(AND(C910&lt;&gt;"",C910&lt;B910),"Saída antes da entrada","")))</f>
        <v/>
      </c>
      <c r="F910" s="32">
        <f>IF(OR(A910="",B910=""),"",SUMIFS(Producao!$B:$B,Producao!$A:$A,"&gt;="&amp;B910,Producao!$A:$A,"&lt;"&amp;IF(C910="",TODAY()+1,C910)))</f>
        <v/>
      </c>
    </row>
    <row r="911">
      <c r="A911" s="30" t="n"/>
      <c r="B911" s="31" t="n"/>
      <c r="C911" s="31" t="n"/>
      <c r="D911">
        <f>IF(B911="","",IF(C911="",TODAY(),C911)-B911)</f>
        <v/>
      </c>
      <c r="E911">
        <f>IF(A911="","",IF(COUNTIFS($A:$A,A911,$C:$C,"")&gt;1,"Mais de uma entrada em aberto",IF(AND(C911&lt;&gt;"",C911&lt;B911),"Saída antes da entrada","")))</f>
        <v/>
      </c>
      <c r="F911" s="32">
        <f>IF(OR(A911="",B911=""),"",SUMIFS(Producao!$B:$B,Producao!$A:$A,"&gt;="&amp;B911,Producao!$A:$A,"&lt;"&amp;IF(C911="",TODAY()+1,C911)))</f>
        <v/>
      </c>
    </row>
    <row r="912">
      <c r="A912" s="30" t="n"/>
      <c r="B912" s="31" t="n"/>
      <c r="C912" s="31" t="n"/>
      <c r="D912">
        <f>IF(B912="","",IF(C912="",TODAY(),C912)-B912)</f>
        <v/>
      </c>
      <c r="E912">
        <f>IF(A912="","",IF(COUNTIFS($A:$A,A912,$C:$C,"")&gt;1,"Mais de uma entrada em aberto",IF(AND(C912&lt;&gt;"",C912&lt;B912),"Saída antes da entrada","")))</f>
        <v/>
      </c>
      <c r="F912" s="32">
        <f>IF(OR(A912="",B912=""),"",SUMIFS(Producao!$B:$B,Producao!$A:$A,"&gt;="&amp;B912,Producao!$A:$A,"&lt;"&amp;IF(C912="",TODAY()+1,C912)))</f>
        <v/>
      </c>
    </row>
    <row r="913">
      <c r="A913" s="30" t="n"/>
      <c r="B913" s="31" t="n"/>
      <c r="C913" s="31" t="n"/>
      <c r="D913">
        <f>IF(B913="","",IF(C913="",TODAY(),C913)-B913)</f>
        <v/>
      </c>
      <c r="E913">
        <f>IF(A913="","",IF(COUNTIFS($A:$A,A913,$C:$C,"")&gt;1,"Mais de uma entrada em aberto",IF(AND(C913&lt;&gt;"",C913&lt;B913),"Saída antes da entrada","")))</f>
        <v/>
      </c>
      <c r="F913" s="32">
        <f>IF(OR(A913="",B913=""),"",SUMIFS(Producao!$B:$B,Producao!$A:$A,"&gt;="&amp;B913,Producao!$A:$A,"&lt;"&amp;IF(C913="",TODAY()+1,C913)))</f>
        <v/>
      </c>
    </row>
    <row r="914">
      <c r="A914" s="30" t="n"/>
      <c r="B914" s="31" t="n"/>
      <c r="C914" s="31" t="n"/>
      <c r="D914">
        <f>IF(B914="","",IF(C914="",TODAY(),C914)-B914)</f>
        <v/>
      </c>
      <c r="E914">
        <f>IF(A914="","",IF(COUNTIFS($A:$A,A914,$C:$C,"")&gt;1,"Mais de uma entrada em aberto",IF(AND(C914&lt;&gt;"",C914&lt;B914),"Saída antes da entrada","")))</f>
        <v/>
      </c>
      <c r="F914" s="32">
        <f>IF(OR(A914="",B914=""),"",SUMIFS(Producao!$B:$B,Producao!$A:$A,"&gt;="&amp;B914,Producao!$A:$A,"&lt;"&amp;IF(C914="",TODAY()+1,C914)))</f>
        <v/>
      </c>
    </row>
    <row r="915">
      <c r="A915" s="30" t="n"/>
      <c r="B915" s="31" t="n"/>
      <c r="C915" s="31" t="n"/>
      <c r="D915">
        <f>IF(B915="","",IF(C915="",TODAY(),C915)-B915)</f>
        <v/>
      </c>
      <c r="E915">
        <f>IF(A915="","",IF(COUNTIFS($A:$A,A915,$C:$C,"")&gt;1,"Mais de uma entrada em aberto",IF(AND(C915&lt;&gt;"",C915&lt;B915),"Saída antes da entrada","")))</f>
        <v/>
      </c>
      <c r="F915" s="32">
        <f>IF(OR(A915="",B915=""),"",SUMIFS(Producao!$B:$B,Producao!$A:$A,"&gt;="&amp;B915,Producao!$A:$A,"&lt;"&amp;IF(C915="",TODAY()+1,C915)))</f>
        <v/>
      </c>
    </row>
    <row r="916">
      <c r="A916" s="30" t="n"/>
      <c r="B916" s="31" t="n"/>
      <c r="C916" s="31" t="n"/>
      <c r="D916">
        <f>IF(B916="","",IF(C916="",TODAY(),C916)-B916)</f>
        <v/>
      </c>
      <c r="E916">
        <f>IF(A916="","",IF(COUNTIFS($A:$A,A916,$C:$C,"")&gt;1,"Mais de uma entrada em aberto",IF(AND(C916&lt;&gt;"",C916&lt;B916),"Saída antes da entrada","")))</f>
        <v/>
      </c>
      <c r="F916" s="32">
        <f>IF(OR(A916="",B916=""),"",SUMIFS(Producao!$B:$B,Producao!$A:$A,"&gt;="&amp;B916,Producao!$A:$A,"&lt;"&amp;IF(C916="",TODAY()+1,C916)))</f>
        <v/>
      </c>
    </row>
    <row r="917">
      <c r="A917" s="30" t="n"/>
      <c r="B917" s="31" t="n"/>
      <c r="C917" s="31" t="n"/>
      <c r="D917">
        <f>IF(B917="","",IF(C917="",TODAY(),C917)-B917)</f>
        <v/>
      </c>
      <c r="E917">
        <f>IF(A917="","",IF(COUNTIFS($A:$A,A917,$C:$C,"")&gt;1,"Mais de uma entrada em aberto",IF(AND(C917&lt;&gt;"",C917&lt;B917),"Saída antes da entrada","")))</f>
        <v/>
      </c>
      <c r="F917" s="32">
        <f>IF(OR(A917="",B917=""),"",SUMIFS(Producao!$B:$B,Producao!$A:$A,"&gt;="&amp;B917,Producao!$A:$A,"&lt;"&amp;IF(C917="",TODAY()+1,C917)))</f>
        <v/>
      </c>
    </row>
    <row r="918">
      <c r="A918" s="30" t="n"/>
      <c r="B918" s="31" t="n"/>
      <c r="C918" s="31" t="n"/>
      <c r="D918">
        <f>IF(B918="","",IF(C918="",TODAY(),C918)-B918)</f>
        <v/>
      </c>
      <c r="E918">
        <f>IF(A918="","",IF(COUNTIFS($A:$A,A918,$C:$C,"")&gt;1,"Mais de uma entrada em aberto",IF(AND(C918&lt;&gt;"",C918&lt;B918),"Saída antes da entrada","")))</f>
        <v/>
      </c>
      <c r="F918" s="32">
        <f>IF(OR(A918="",B918=""),"",SUMIFS(Producao!$B:$B,Producao!$A:$A,"&gt;="&amp;B918,Producao!$A:$A,"&lt;"&amp;IF(C918="",TODAY()+1,C918)))</f>
        <v/>
      </c>
    </row>
    <row r="919">
      <c r="A919" s="30" t="n"/>
      <c r="B919" s="31" t="n"/>
      <c r="C919" s="31" t="n"/>
      <c r="D919">
        <f>IF(B919="","",IF(C919="",TODAY(),C919)-B919)</f>
        <v/>
      </c>
      <c r="E919">
        <f>IF(A919="","",IF(COUNTIFS($A:$A,A919,$C:$C,"")&gt;1,"Mais de uma entrada em aberto",IF(AND(C919&lt;&gt;"",C919&lt;B919),"Saída antes da entrada","")))</f>
        <v/>
      </c>
      <c r="F919" s="32">
        <f>IF(OR(A919="",B919=""),"",SUMIFS(Producao!$B:$B,Producao!$A:$A,"&gt;="&amp;B919,Producao!$A:$A,"&lt;"&amp;IF(C919="",TODAY()+1,C919)))</f>
        <v/>
      </c>
    </row>
    <row r="920">
      <c r="A920" s="30" t="n"/>
      <c r="B920" s="31" t="n"/>
      <c r="C920" s="31" t="n"/>
      <c r="D920">
        <f>IF(B920="","",IF(C920="",TODAY(),C920)-B920)</f>
        <v/>
      </c>
      <c r="E920">
        <f>IF(A920="","",IF(COUNTIFS($A:$A,A920,$C:$C,"")&gt;1,"Mais de uma entrada em aberto",IF(AND(C920&lt;&gt;"",C920&lt;B920),"Saída antes da entrada","")))</f>
        <v/>
      </c>
      <c r="F920" s="32">
        <f>IF(OR(A920="",B920=""),"",SUMIFS(Producao!$B:$B,Producao!$A:$A,"&gt;="&amp;B920,Producao!$A:$A,"&lt;"&amp;IF(C920="",TODAY()+1,C920)))</f>
        <v/>
      </c>
    </row>
    <row r="921">
      <c r="A921" s="30" t="n"/>
      <c r="B921" s="31" t="n"/>
      <c r="C921" s="31" t="n"/>
      <c r="D921">
        <f>IF(B921="","",IF(C921="",TODAY(),C921)-B921)</f>
        <v/>
      </c>
      <c r="E921">
        <f>IF(A921="","",IF(COUNTIFS($A:$A,A921,$C:$C,"")&gt;1,"Mais de uma entrada em aberto",IF(AND(C921&lt;&gt;"",C921&lt;B921),"Saída antes da entrada","")))</f>
        <v/>
      </c>
      <c r="F921" s="32">
        <f>IF(OR(A921="",B921=""),"",SUMIFS(Producao!$B:$B,Producao!$A:$A,"&gt;="&amp;B921,Producao!$A:$A,"&lt;"&amp;IF(C921="",TODAY()+1,C921)))</f>
        <v/>
      </c>
    </row>
    <row r="922">
      <c r="A922" s="30" t="n"/>
      <c r="B922" s="31" t="n"/>
      <c r="C922" s="31" t="n"/>
      <c r="D922">
        <f>IF(B922="","",IF(C922="",TODAY(),C922)-B922)</f>
        <v/>
      </c>
      <c r="E922">
        <f>IF(A922="","",IF(COUNTIFS($A:$A,A922,$C:$C,"")&gt;1,"Mais de uma entrada em aberto",IF(AND(C922&lt;&gt;"",C922&lt;B922),"Saída antes da entrada","")))</f>
        <v/>
      </c>
      <c r="F922" s="32">
        <f>IF(OR(A922="",B922=""),"",SUMIFS(Producao!$B:$B,Producao!$A:$A,"&gt;="&amp;B922,Producao!$A:$A,"&lt;"&amp;IF(C922="",TODAY()+1,C922)))</f>
        <v/>
      </c>
    </row>
    <row r="923">
      <c r="A923" s="30" t="n"/>
      <c r="B923" s="31" t="n"/>
      <c r="C923" s="31" t="n"/>
      <c r="D923">
        <f>IF(B923="","",IF(C923="",TODAY(),C923)-B923)</f>
        <v/>
      </c>
      <c r="E923">
        <f>IF(A923="","",IF(COUNTIFS($A:$A,A923,$C:$C,"")&gt;1,"Mais de uma entrada em aberto",IF(AND(C923&lt;&gt;"",C923&lt;B923),"Saída antes da entrada","")))</f>
        <v/>
      </c>
      <c r="F923" s="32">
        <f>IF(OR(A923="",B923=""),"",SUMIFS(Producao!$B:$B,Producao!$A:$A,"&gt;="&amp;B923,Producao!$A:$A,"&lt;"&amp;IF(C923="",TODAY()+1,C923)))</f>
        <v/>
      </c>
    </row>
    <row r="924">
      <c r="A924" s="30" t="n"/>
      <c r="B924" s="31" t="n"/>
      <c r="C924" s="31" t="n"/>
      <c r="D924">
        <f>IF(B924="","",IF(C924="",TODAY(),C924)-B924)</f>
        <v/>
      </c>
      <c r="E924">
        <f>IF(A924="","",IF(COUNTIFS($A:$A,A924,$C:$C,"")&gt;1,"Mais de uma entrada em aberto",IF(AND(C924&lt;&gt;"",C924&lt;B924),"Saída antes da entrada","")))</f>
        <v/>
      </c>
      <c r="F924" s="32">
        <f>IF(OR(A924="",B924=""),"",SUMIFS(Producao!$B:$B,Producao!$A:$A,"&gt;="&amp;B924,Producao!$A:$A,"&lt;"&amp;IF(C924="",TODAY()+1,C924)))</f>
        <v/>
      </c>
    </row>
    <row r="925">
      <c r="A925" s="30" t="n"/>
      <c r="B925" s="31" t="n"/>
      <c r="C925" s="31" t="n"/>
      <c r="D925">
        <f>IF(B925="","",IF(C925="",TODAY(),C925)-B925)</f>
        <v/>
      </c>
      <c r="E925">
        <f>IF(A925="","",IF(COUNTIFS($A:$A,A925,$C:$C,"")&gt;1,"Mais de uma entrada em aberto",IF(AND(C925&lt;&gt;"",C925&lt;B925),"Saída antes da entrada","")))</f>
        <v/>
      </c>
      <c r="F925" s="32">
        <f>IF(OR(A925="",B925=""),"",SUMIFS(Producao!$B:$B,Producao!$A:$A,"&gt;="&amp;B925,Producao!$A:$A,"&lt;"&amp;IF(C925="",TODAY()+1,C925)))</f>
        <v/>
      </c>
    </row>
    <row r="926">
      <c r="A926" s="30" t="n"/>
      <c r="B926" s="31" t="n"/>
      <c r="C926" s="31" t="n"/>
      <c r="D926">
        <f>IF(B926="","",IF(C926="",TODAY(),C926)-B926)</f>
        <v/>
      </c>
      <c r="E926">
        <f>IF(A926="","",IF(COUNTIFS($A:$A,A926,$C:$C,"")&gt;1,"Mais de uma entrada em aberto",IF(AND(C926&lt;&gt;"",C926&lt;B926),"Saída antes da entrada","")))</f>
        <v/>
      </c>
      <c r="F926" s="32">
        <f>IF(OR(A926="",B926=""),"",SUMIFS(Producao!$B:$B,Producao!$A:$A,"&gt;="&amp;B926,Producao!$A:$A,"&lt;"&amp;IF(C926="",TODAY()+1,C926)))</f>
        <v/>
      </c>
    </row>
    <row r="927">
      <c r="A927" s="30" t="n"/>
      <c r="B927" s="31" t="n"/>
      <c r="C927" s="31" t="n"/>
      <c r="D927">
        <f>IF(B927="","",IF(C927="",TODAY(),C927)-B927)</f>
        <v/>
      </c>
      <c r="E927">
        <f>IF(A927="","",IF(COUNTIFS($A:$A,A927,$C:$C,"")&gt;1,"Mais de uma entrada em aberto",IF(AND(C927&lt;&gt;"",C927&lt;B927),"Saída antes da entrada","")))</f>
        <v/>
      </c>
      <c r="F927" s="32">
        <f>IF(OR(A927="",B927=""),"",SUMIFS(Producao!$B:$B,Producao!$A:$A,"&gt;="&amp;B927,Producao!$A:$A,"&lt;"&amp;IF(C927="",TODAY()+1,C927)))</f>
        <v/>
      </c>
    </row>
    <row r="928">
      <c r="A928" s="30" t="n"/>
      <c r="B928" s="31" t="n"/>
      <c r="C928" s="31" t="n"/>
      <c r="D928">
        <f>IF(B928="","",IF(C928="",TODAY(),C928)-B928)</f>
        <v/>
      </c>
      <c r="E928">
        <f>IF(A928="","",IF(COUNTIFS($A:$A,A928,$C:$C,"")&gt;1,"Mais de uma entrada em aberto",IF(AND(C928&lt;&gt;"",C928&lt;B928),"Saída antes da entrada","")))</f>
        <v/>
      </c>
      <c r="F928" s="32">
        <f>IF(OR(A928="",B928=""),"",SUMIFS(Producao!$B:$B,Producao!$A:$A,"&gt;="&amp;B928,Producao!$A:$A,"&lt;"&amp;IF(C928="",TODAY()+1,C928)))</f>
        <v/>
      </c>
    </row>
    <row r="929">
      <c r="A929" s="30" t="n"/>
      <c r="B929" s="31" t="n"/>
      <c r="C929" s="31" t="n"/>
      <c r="D929">
        <f>IF(B929="","",IF(C929="",TODAY(),C929)-B929)</f>
        <v/>
      </c>
      <c r="E929">
        <f>IF(A929="","",IF(COUNTIFS($A:$A,A929,$C:$C,"")&gt;1,"Mais de uma entrada em aberto",IF(AND(C929&lt;&gt;"",C929&lt;B929),"Saída antes da entrada","")))</f>
        <v/>
      </c>
      <c r="F929" s="32">
        <f>IF(OR(A929="",B929=""),"",SUMIFS(Producao!$B:$B,Producao!$A:$A,"&gt;="&amp;B929,Producao!$A:$A,"&lt;"&amp;IF(C929="",TODAY()+1,C929)))</f>
        <v/>
      </c>
    </row>
    <row r="930">
      <c r="A930" s="30" t="n"/>
      <c r="B930" s="31" t="n"/>
      <c r="C930" s="31" t="n"/>
      <c r="D930">
        <f>IF(B930="","",IF(C930="",TODAY(),C930)-B930)</f>
        <v/>
      </c>
      <c r="E930">
        <f>IF(A930="","",IF(COUNTIFS($A:$A,A930,$C:$C,"")&gt;1,"Mais de uma entrada em aberto",IF(AND(C930&lt;&gt;"",C930&lt;B930),"Saída antes da entrada","")))</f>
        <v/>
      </c>
      <c r="F930" s="32">
        <f>IF(OR(A930="",B930=""),"",SUMIFS(Producao!$B:$B,Producao!$A:$A,"&gt;="&amp;B930,Producao!$A:$A,"&lt;"&amp;IF(C930="",TODAY()+1,C930)))</f>
        <v/>
      </c>
    </row>
    <row r="931">
      <c r="A931" s="30" t="n"/>
      <c r="B931" s="31" t="n"/>
      <c r="C931" s="31" t="n"/>
      <c r="D931">
        <f>IF(B931="","",IF(C931="",TODAY(),C931)-B931)</f>
        <v/>
      </c>
      <c r="E931">
        <f>IF(A931="","",IF(COUNTIFS($A:$A,A931,$C:$C,"")&gt;1,"Mais de uma entrada em aberto",IF(AND(C931&lt;&gt;"",C931&lt;B931),"Saída antes da entrada","")))</f>
        <v/>
      </c>
      <c r="F931" s="32">
        <f>IF(OR(A931="",B931=""),"",SUMIFS(Producao!$B:$B,Producao!$A:$A,"&gt;="&amp;B931,Producao!$A:$A,"&lt;"&amp;IF(C931="",TODAY()+1,C931)))</f>
        <v/>
      </c>
    </row>
    <row r="932">
      <c r="A932" s="30" t="n"/>
      <c r="B932" s="31" t="n"/>
      <c r="C932" s="31" t="n"/>
      <c r="D932">
        <f>IF(B932="","",IF(C932="",TODAY(),C932)-B932)</f>
        <v/>
      </c>
      <c r="E932">
        <f>IF(A932="","",IF(COUNTIFS($A:$A,A932,$C:$C,"")&gt;1,"Mais de uma entrada em aberto",IF(AND(C932&lt;&gt;"",C932&lt;B932),"Saída antes da entrada","")))</f>
        <v/>
      </c>
      <c r="F932" s="32">
        <f>IF(OR(A932="",B932=""),"",SUMIFS(Producao!$B:$B,Producao!$A:$A,"&gt;="&amp;B932,Producao!$A:$A,"&lt;"&amp;IF(C932="",TODAY()+1,C932)))</f>
        <v/>
      </c>
    </row>
    <row r="933">
      <c r="A933" s="30" t="n"/>
      <c r="B933" s="31" t="n"/>
      <c r="C933" s="31" t="n"/>
      <c r="D933">
        <f>IF(B933="","",IF(C933="",TODAY(),C933)-B933)</f>
        <v/>
      </c>
      <c r="E933">
        <f>IF(A933="","",IF(COUNTIFS($A:$A,A933,$C:$C,"")&gt;1,"Mais de uma entrada em aberto",IF(AND(C933&lt;&gt;"",C933&lt;B933),"Saída antes da entrada","")))</f>
        <v/>
      </c>
      <c r="F933" s="32">
        <f>IF(OR(A933="",B933=""),"",SUMIFS(Producao!$B:$B,Producao!$A:$A,"&gt;="&amp;B933,Producao!$A:$A,"&lt;"&amp;IF(C933="",TODAY()+1,C933)))</f>
        <v/>
      </c>
    </row>
    <row r="934">
      <c r="A934" s="30" t="n"/>
      <c r="B934" s="31" t="n"/>
      <c r="C934" s="31" t="n"/>
      <c r="D934">
        <f>IF(B934="","",IF(C934="",TODAY(),C934)-B934)</f>
        <v/>
      </c>
      <c r="E934">
        <f>IF(A934="","",IF(COUNTIFS($A:$A,A934,$C:$C,"")&gt;1,"Mais de uma entrada em aberto",IF(AND(C934&lt;&gt;"",C934&lt;B934),"Saída antes da entrada","")))</f>
        <v/>
      </c>
      <c r="F934" s="32">
        <f>IF(OR(A934="",B934=""),"",SUMIFS(Producao!$B:$B,Producao!$A:$A,"&gt;="&amp;B934,Producao!$A:$A,"&lt;"&amp;IF(C934="",TODAY()+1,C934)))</f>
        <v/>
      </c>
    </row>
    <row r="935">
      <c r="A935" s="30" t="n"/>
      <c r="B935" s="31" t="n"/>
      <c r="C935" s="31" t="n"/>
      <c r="D935">
        <f>IF(B935="","",IF(C935="",TODAY(),C935)-B935)</f>
        <v/>
      </c>
      <c r="E935">
        <f>IF(A935="","",IF(COUNTIFS($A:$A,A935,$C:$C,"")&gt;1,"Mais de uma entrada em aberto",IF(AND(C935&lt;&gt;"",C935&lt;B935),"Saída antes da entrada","")))</f>
        <v/>
      </c>
      <c r="F935" s="32">
        <f>IF(OR(A935="",B935=""),"",SUMIFS(Producao!$B:$B,Producao!$A:$A,"&gt;="&amp;B935,Producao!$A:$A,"&lt;"&amp;IF(C935="",TODAY()+1,C935)))</f>
        <v/>
      </c>
    </row>
    <row r="936">
      <c r="A936" s="30" t="n"/>
      <c r="B936" s="31" t="n"/>
      <c r="C936" s="31" t="n"/>
      <c r="D936">
        <f>IF(B936="","",IF(C936="",TODAY(),C936)-B936)</f>
        <v/>
      </c>
      <c r="E936">
        <f>IF(A936="","",IF(COUNTIFS($A:$A,A936,$C:$C,"")&gt;1,"Mais de uma entrada em aberto",IF(AND(C936&lt;&gt;"",C936&lt;B936),"Saída antes da entrada","")))</f>
        <v/>
      </c>
      <c r="F936" s="32">
        <f>IF(OR(A936="",B936=""),"",SUMIFS(Producao!$B:$B,Producao!$A:$A,"&gt;="&amp;B936,Producao!$A:$A,"&lt;"&amp;IF(C936="",TODAY()+1,C936)))</f>
        <v/>
      </c>
    </row>
    <row r="937">
      <c r="A937" s="30" t="n"/>
      <c r="B937" s="31" t="n"/>
      <c r="C937" s="31" t="n"/>
      <c r="D937">
        <f>IF(B937="","",IF(C937="",TODAY(),C937)-B937)</f>
        <v/>
      </c>
      <c r="E937">
        <f>IF(A937="","",IF(COUNTIFS($A:$A,A937,$C:$C,"")&gt;1,"Mais de uma entrada em aberto",IF(AND(C937&lt;&gt;"",C937&lt;B937),"Saída antes da entrada","")))</f>
        <v/>
      </c>
      <c r="F937" s="32">
        <f>IF(OR(A937="",B937=""),"",SUMIFS(Producao!$B:$B,Producao!$A:$A,"&gt;="&amp;B937,Producao!$A:$A,"&lt;"&amp;IF(C937="",TODAY()+1,C937)))</f>
        <v/>
      </c>
    </row>
    <row r="938">
      <c r="A938" s="30" t="n"/>
      <c r="B938" s="31" t="n"/>
      <c r="C938" s="31" t="n"/>
      <c r="D938">
        <f>IF(B938="","",IF(C938="",TODAY(),C938)-B938)</f>
        <v/>
      </c>
      <c r="E938">
        <f>IF(A938="","",IF(COUNTIFS($A:$A,A938,$C:$C,"")&gt;1,"Mais de uma entrada em aberto",IF(AND(C938&lt;&gt;"",C938&lt;B938),"Saída antes da entrada","")))</f>
        <v/>
      </c>
      <c r="F938" s="32">
        <f>IF(OR(A938="",B938=""),"",SUMIFS(Producao!$B:$B,Producao!$A:$A,"&gt;="&amp;B938,Producao!$A:$A,"&lt;"&amp;IF(C938="",TODAY()+1,C938)))</f>
        <v/>
      </c>
    </row>
    <row r="939">
      <c r="A939" s="30" t="n"/>
      <c r="B939" s="31" t="n"/>
      <c r="C939" s="31" t="n"/>
      <c r="D939">
        <f>IF(B939="","",IF(C939="",TODAY(),C939)-B939)</f>
        <v/>
      </c>
      <c r="E939">
        <f>IF(A939="","",IF(COUNTIFS($A:$A,A939,$C:$C,"")&gt;1,"Mais de uma entrada em aberto",IF(AND(C939&lt;&gt;"",C939&lt;B939),"Saída antes da entrada","")))</f>
        <v/>
      </c>
      <c r="F939" s="32">
        <f>IF(OR(A939="",B939=""),"",SUMIFS(Producao!$B:$B,Producao!$A:$A,"&gt;="&amp;B939,Producao!$A:$A,"&lt;"&amp;IF(C939="",TODAY()+1,C939)))</f>
        <v/>
      </c>
    </row>
    <row r="940">
      <c r="A940" s="30" t="n"/>
      <c r="B940" s="31" t="n"/>
      <c r="C940" s="31" t="n"/>
      <c r="D940">
        <f>IF(B940="","",IF(C940="",TODAY(),C940)-B940)</f>
        <v/>
      </c>
      <c r="E940">
        <f>IF(A940="","",IF(COUNTIFS($A:$A,A940,$C:$C,"")&gt;1,"Mais de uma entrada em aberto",IF(AND(C940&lt;&gt;"",C940&lt;B940),"Saída antes da entrada","")))</f>
        <v/>
      </c>
      <c r="F940" s="32">
        <f>IF(OR(A940="",B940=""),"",SUMIFS(Producao!$B:$B,Producao!$A:$A,"&gt;="&amp;B940,Producao!$A:$A,"&lt;"&amp;IF(C940="",TODAY()+1,C940)))</f>
        <v/>
      </c>
    </row>
    <row r="941">
      <c r="A941" s="30" t="n"/>
      <c r="B941" s="31" t="n"/>
      <c r="C941" s="31" t="n"/>
      <c r="D941">
        <f>IF(B941="","",IF(C941="",TODAY(),C941)-B941)</f>
        <v/>
      </c>
      <c r="E941">
        <f>IF(A941="","",IF(COUNTIFS($A:$A,A941,$C:$C,"")&gt;1,"Mais de uma entrada em aberto",IF(AND(C941&lt;&gt;"",C941&lt;B941),"Saída antes da entrada","")))</f>
        <v/>
      </c>
      <c r="F941" s="32">
        <f>IF(OR(A941="",B941=""),"",SUMIFS(Producao!$B:$B,Producao!$A:$A,"&gt;="&amp;B941,Producao!$A:$A,"&lt;"&amp;IF(C941="",TODAY()+1,C941)))</f>
        <v/>
      </c>
    </row>
    <row r="942">
      <c r="A942" s="30" t="n"/>
      <c r="B942" s="31" t="n"/>
      <c r="C942" s="31" t="n"/>
      <c r="D942">
        <f>IF(B942="","",IF(C942="",TODAY(),C942)-B942)</f>
        <v/>
      </c>
      <c r="E942">
        <f>IF(A942="","",IF(COUNTIFS($A:$A,A942,$C:$C,"")&gt;1,"Mais de uma entrada em aberto",IF(AND(C942&lt;&gt;"",C942&lt;B942),"Saída antes da entrada","")))</f>
        <v/>
      </c>
      <c r="F942" s="32">
        <f>IF(OR(A942="",B942=""),"",SUMIFS(Producao!$B:$B,Producao!$A:$A,"&gt;="&amp;B942,Producao!$A:$A,"&lt;"&amp;IF(C942="",TODAY()+1,C942)))</f>
        <v/>
      </c>
    </row>
    <row r="943">
      <c r="A943" s="30" t="n"/>
      <c r="B943" s="31" t="n"/>
      <c r="C943" s="31" t="n"/>
      <c r="D943">
        <f>IF(B943="","",IF(C943="",TODAY(),C943)-B943)</f>
        <v/>
      </c>
      <c r="E943">
        <f>IF(A943="","",IF(COUNTIFS($A:$A,A943,$C:$C,"")&gt;1,"Mais de uma entrada em aberto",IF(AND(C943&lt;&gt;"",C943&lt;B943),"Saída antes da entrada","")))</f>
        <v/>
      </c>
      <c r="F943" s="32">
        <f>IF(OR(A943="",B943=""),"",SUMIFS(Producao!$B:$B,Producao!$A:$A,"&gt;="&amp;B943,Producao!$A:$A,"&lt;"&amp;IF(C943="",TODAY()+1,C943)))</f>
        <v/>
      </c>
    </row>
    <row r="944">
      <c r="A944" s="30" t="n"/>
      <c r="B944" s="31" t="n"/>
      <c r="C944" s="31" t="n"/>
      <c r="D944">
        <f>IF(B944="","",IF(C944="",TODAY(),C944)-B944)</f>
        <v/>
      </c>
      <c r="E944">
        <f>IF(A944="","",IF(COUNTIFS($A:$A,A944,$C:$C,"")&gt;1,"Mais de uma entrada em aberto",IF(AND(C944&lt;&gt;"",C944&lt;B944),"Saída antes da entrada","")))</f>
        <v/>
      </c>
      <c r="F944" s="32">
        <f>IF(OR(A944="",B944=""),"",SUMIFS(Producao!$B:$B,Producao!$A:$A,"&gt;="&amp;B944,Producao!$A:$A,"&lt;"&amp;IF(C944="",TODAY()+1,C944)))</f>
        <v/>
      </c>
    </row>
    <row r="945">
      <c r="A945" s="30" t="n"/>
      <c r="B945" s="31" t="n"/>
      <c r="C945" s="31" t="n"/>
      <c r="D945">
        <f>IF(B945="","",IF(C945="",TODAY(),C945)-B945)</f>
        <v/>
      </c>
      <c r="E945">
        <f>IF(A945="","",IF(COUNTIFS($A:$A,A945,$C:$C,"")&gt;1,"Mais de uma entrada em aberto",IF(AND(C945&lt;&gt;"",C945&lt;B945),"Saída antes da entrada","")))</f>
        <v/>
      </c>
      <c r="F945" s="32">
        <f>IF(OR(A945="",B945=""),"",SUMIFS(Producao!$B:$B,Producao!$A:$A,"&gt;="&amp;B945,Producao!$A:$A,"&lt;"&amp;IF(C945="",TODAY()+1,C945)))</f>
        <v/>
      </c>
    </row>
    <row r="946">
      <c r="A946" s="30" t="n"/>
      <c r="B946" s="31" t="n"/>
      <c r="C946" s="31" t="n"/>
      <c r="D946">
        <f>IF(B946="","",IF(C946="",TODAY(),C946)-B946)</f>
        <v/>
      </c>
      <c r="E946">
        <f>IF(A946="","",IF(COUNTIFS($A:$A,A946,$C:$C,"")&gt;1,"Mais de uma entrada em aberto",IF(AND(C946&lt;&gt;"",C946&lt;B946),"Saída antes da entrada","")))</f>
        <v/>
      </c>
      <c r="F946" s="32">
        <f>IF(OR(A946="",B946=""),"",SUMIFS(Producao!$B:$B,Producao!$A:$A,"&gt;="&amp;B946,Producao!$A:$A,"&lt;"&amp;IF(C946="",TODAY()+1,C946)))</f>
        <v/>
      </c>
    </row>
    <row r="947">
      <c r="A947" s="30" t="n"/>
      <c r="B947" s="31" t="n"/>
      <c r="C947" s="31" t="n"/>
      <c r="D947">
        <f>IF(B947="","",IF(C947="",TODAY(),C947)-B947)</f>
        <v/>
      </c>
      <c r="E947">
        <f>IF(A947="","",IF(COUNTIFS($A:$A,A947,$C:$C,"")&gt;1,"Mais de uma entrada em aberto",IF(AND(C947&lt;&gt;"",C947&lt;B947),"Saída antes da entrada","")))</f>
        <v/>
      </c>
      <c r="F947" s="32">
        <f>IF(OR(A947="",B947=""),"",SUMIFS(Producao!$B:$B,Producao!$A:$A,"&gt;="&amp;B947,Producao!$A:$A,"&lt;"&amp;IF(C947="",TODAY()+1,C947)))</f>
        <v/>
      </c>
    </row>
    <row r="948">
      <c r="A948" s="30" t="n"/>
      <c r="B948" s="31" t="n"/>
      <c r="C948" s="31" t="n"/>
      <c r="D948">
        <f>IF(B948="","",IF(C948="",TODAY(),C948)-B948)</f>
        <v/>
      </c>
      <c r="E948">
        <f>IF(A948="","",IF(COUNTIFS($A:$A,A948,$C:$C,"")&gt;1,"Mais de uma entrada em aberto",IF(AND(C948&lt;&gt;"",C948&lt;B948),"Saída antes da entrada","")))</f>
        <v/>
      </c>
      <c r="F948" s="32">
        <f>IF(OR(A948="",B948=""),"",SUMIFS(Producao!$B:$B,Producao!$A:$A,"&gt;="&amp;B948,Producao!$A:$A,"&lt;"&amp;IF(C948="",TODAY()+1,C948)))</f>
        <v/>
      </c>
    </row>
    <row r="949">
      <c r="A949" s="30" t="n"/>
      <c r="B949" s="31" t="n"/>
      <c r="C949" s="31" t="n"/>
      <c r="D949">
        <f>IF(B949="","",IF(C949="",TODAY(),C949)-B949)</f>
        <v/>
      </c>
      <c r="E949">
        <f>IF(A949="","",IF(COUNTIFS($A:$A,A949,$C:$C,"")&gt;1,"Mais de uma entrada em aberto",IF(AND(C949&lt;&gt;"",C949&lt;B949),"Saída antes da entrada","")))</f>
        <v/>
      </c>
      <c r="F949" s="32">
        <f>IF(OR(A949="",B949=""),"",SUMIFS(Producao!$B:$B,Producao!$A:$A,"&gt;="&amp;B949,Producao!$A:$A,"&lt;"&amp;IF(C949="",TODAY()+1,C949)))</f>
        <v/>
      </c>
    </row>
    <row r="950">
      <c r="A950" s="30" t="n"/>
      <c r="B950" s="31" t="n"/>
      <c r="C950" s="31" t="n"/>
      <c r="D950">
        <f>IF(B950="","",IF(C950="",TODAY(),C950)-B950)</f>
        <v/>
      </c>
      <c r="E950">
        <f>IF(A950="","",IF(COUNTIFS($A:$A,A950,$C:$C,"")&gt;1,"Mais de uma entrada em aberto",IF(AND(C950&lt;&gt;"",C950&lt;B950),"Saída antes da entrada","")))</f>
        <v/>
      </c>
      <c r="F950" s="32">
        <f>IF(OR(A950="",B950=""),"",SUMIFS(Producao!$B:$B,Producao!$A:$A,"&gt;="&amp;B950,Producao!$A:$A,"&lt;"&amp;IF(C950="",TODAY()+1,C950)))</f>
        <v/>
      </c>
    </row>
    <row r="951">
      <c r="A951" s="30" t="n"/>
      <c r="B951" s="31" t="n"/>
      <c r="C951" s="31" t="n"/>
      <c r="D951">
        <f>IF(B951="","",IF(C951="",TODAY(),C951)-B951)</f>
        <v/>
      </c>
      <c r="E951">
        <f>IF(A951="","",IF(COUNTIFS($A:$A,A951,$C:$C,"")&gt;1,"Mais de uma entrada em aberto",IF(AND(C951&lt;&gt;"",C951&lt;B951),"Saída antes da entrada","")))</f>
        <v/>
      </c>
      <c r="F951" s="32">
        <f>IF(OR(A951="",B951=""),"",SUMIFS(Producao!$B:$B,Producao!$A:$A,"&gt;="&amp;B951,Producao!$A:$A,"&lt;"&amp;IF(C951="",TODAY()+1,C951)))</f>
        <v/>
      </c>
    </row>
    <row r="952">
      <c r="A952" s="30" t="n"/>
      <c r="B952" s="31" t="n"/>
      <c r="C952" s="31" t="n"/>
      <c r="D952">
        <f>IF(B952="","",IF(C952="",TODAY(),C952)-B952)</f>
        <v/>
      </c>
      <c r="E952">
        <f>IF(A952="","",IF(COUNTIFS($A:$A,A952,$C:$C,"")&gt;1,"Mais de uma entrada em aberto",IF(AND(C952&lt;&gt;"",C952&lt;B952),"Saída antes da entrada","")))</f>
        <v/>
      </c>
      <c r="F952" s="32">
        <f>IF(OR(A952="",B952=""),"",SUMIFS(Producao!$B:$B,Producao!$A:$A,"&gt;="&amp;B952,Producao!$A:$A,"&lt;"&amp;IF(C952="",TODAY()+1,C952)))</f>
        <v/>
      </c>
    </row>
    <row r="953">
      <c r="A953" s="30" t="n"/>
      <c r="B953" s="31" t="n"/>
      <c r="C953" s="31" t="n"/>
      <c r="D953">
        <f>IF(B953="","",IF(C953="",TODAY(),C953)-B953)</f>
        <v/>
      </c>
      <c r="E953">
        <f>IF(A953="","",IF(COUNTIFS($A:$A,A953,$C:$C,"")&gt;1,"Mais de uma entrada em aberto",IF(AND(C953&lt;&gt;"",C953&lt;B953),"Saída antes da entrada","")))</f>
        <v/>
      </c>
      <c r="F953" s="32">
        <f>IF(OR(A953="",B953=""),"",SUMIFS(Producao!$B:$B,Producao!$A:$A,"&gt;="&amp;B953,Producao!$A:$A,"&lt;"&amp;IF(C953="",TODAY()+1,C953)))</f>
        <v/>
      </c>
    </row>
    <row r="954">
      <c r="A954" s="30" t="n"/>
      <c r="B954" s="31" t="n"/>
      <c r="C954" s="31" t="n"/>
      <c r="D954">
        <f>IF(B954="","",IF(C954="",TODAY(),C954)-B954)</f>
        <v/>
      </c>
      <c r="E954">
        <f>IF(A954="","",IF(COUNTIFS($A:$A,A954,$C:$C,"")&gt;1,"Mais de uma entrada em aberto",IF(AND(C954&lt;&gt;"",C954&lt;B954),"Saída antes da entrada","")))</f>
        <v/>
      </c>
      <c r="F954" s="32">
        <f>IF(OR(A954="",B954=""),"",SUMIFS(Producao!$B:$B,Producao!$A:$A,"&gt;="&amp;B954,Producao!$A:$A,"&lt;"&amp;IF(C954="",TODAY()+1,C954)))</f>
        <v/>
      </c>
    </row>
    <row r="955">
      <c r="A955" s="30" t="n"/>
      <c r="B955" s="31" t="n"/>
      <c r="C955" s="31" t="n"/>
      <c r="D955">
        <f>IF(B955="","",IF(C955="",TODAY(),C955)-B955)</f>
        <v/>
      </c>
      <c r="E955">
        <f>IF(A955="","",IF(COUNTIFS($A:$A,A955,$C:$C,"")&gt;1,"Mais de uma entrada em aberto",IF(AND(C955&lt;&gt;"",C955&lt;B955),"Saída antes da entrada","")))</f>
        <v/>
      </c>
      <c r="F955" s="32">
        <f>IF(OR(A955="",B955=""),"",SUMIFS(Producao!$B:$B,Producao!$A:$A,"&gt;="&amp;B955,Producao!$A:$A,"&lt;"&amp;IF(C955="",TODAY()+1,C955)))</f>
        <v/>
      </c>
    </row>
    <row r="956">
      <c r="A956" s="30" t="n"/>
      <c r="B956" s="31" t="n"/>
      <c r="C956" s="31" t="n"/>
      <c r="D956">
        <f>IF(B956="","",IF(C956="",TODAY(),C956)-B956)</f>
        <v/>
      </c>
      <c r="E956">
        <f>IF(A956="","",IF(COUNTIFS($A:$A,A956,$C:$C,"")&gt;1,"Mais de uma entrada em aberto",IF(AND(C956&lt;&gt;"",C956&lt;B956),"Saída antes da entrada","")))</f>
        <v/>
      </c>
      <c r="F956" s="32">
        <f>IF(OR(A956="",B956=""),"",SUMIFS(Producao!$B:$B,Producao!$A:$A,"&gt;="&amp;B956,Producao!$A:$A,"&lt;"&amp;IF(C956="",TODAY()+1,C956)))</f>
        <v/>
      </c>
    </row>
    <row r="957">
      <c r="A957" s="30" t="n"/>
      <c r="B957" s="31" t="n"/>
      <c r="C957" s="31" t="n"/>
      <c r="D957">
        <f>IF(B957="","",IF(C957="",TODAY(),C957)-B957)</f>
        <v/>
      </c>
      <c r="E957">
        <f>IF(A957="","",IF(COUNTIFS($A:$A,A957,$C:$C,"")&gt;1,"Mais de uma entrada em aberto",IF(AND(C957&lt;&gt;"",C957&lt;B957),"Saída antes da entrada","")))</f>
        <v/>
      </c>
      <c r="F957" s="32">
        <f>IF(OR(A957="",B957=""),"",SUMIFS(Producao!$B:$B,Producao!$A:$A,"&gt;="&amp;B957,Producao!$A:$A,"&lt;"&amp;IF(C957="",TODAY()+1,C957)))</f>
        <v/>
      </c>
    </row>
    <row r="958">
      <c r="A958" s="30" t="n"/>
      <c r="B958" s="31" t="n"/>
      <c r="C958" s="31" t="n"/>
      <c r="D958">
        <f>IF(B958="","",IF(C958="",TODAY(),C958)-B958)</f>
        <v/>
      </c>
      <c r="E958">
        <f>IF(A958="","",IF(COUNTIFS($A:$A,A958,$C:$C,"")&gt;1,"Mais de uma entrada em aberto",IF(AND(C958&lt;&gt;"",C958&lt;B958),"Saída antes da entrada","")))</f>
        <v/>
      </c>
      <c r="F958" s="32">
        <f>IF(OR(A958="",B958=""),"",SUMIFS(Producao!$B:$B,Producao!$A:$A,"&gt;="&amp;B958,Producao!$A:$A,"&lt;"&amp;IF(C958="",TODAY()+1,C958)))</f>
        <v/>
      </c>
    </row>
    <row r="959">
      <c r="A959" s="30" t="n"/>
      <c r="B959" s="31" t="n"/>
      <c r="C959" s="31" t="n"/>
      <c r="D959">
        <f>IF(B959="","",IF(C959="",TODAY(),C959)-B959)</f>
        <v/>
      </c>
      <c r="E959">
        <f>IF(A959="","",IF(COUNTIFS($A:$A,A959,$C:$C,"")&gt;1,"Mais de uma entrada em aberto",IF(AND(C959&lt;&gt;"",C959&lt;B959),"Saída antes da entrada","")))</f>
        <v/>
      </c>
      <c r="F959" s="32">
        <f>IF(OR(A959="",B959=""),"",SUMIFS(Producao!$B:$B,Producao!$A:$A,"&gt;="&amp;B959,Producao!$A:$A,"&lt;"&amp;IF(C959="",TODAY()+1,C959)))</f>
        <v/>
      </c>
    </row>
    <row r="960">
      <c r="A960" s="30" t="n"/>
      <c r="B960" s="31" t="n"/>
      <c r="C960" s="31" t="n"/>
      <c r="D960">
        <f>IF(B960="","",IF(C960="",TODAY(),C960)-B960)</f>
        <v/>
      </c>
      <c r="E960">
        <f>IF(A960="","",IF(COUNTIFS($A:$A,A960,$C:$C,"")&gt;1,"Mais de uma entrada em aberto",IF(AND(C960&lt;&gt;"",C960&lt;B960),"Saída antes da entrada","")))</f>
        <v/>
      </c>
      <c r="F960" s="32">
        <f>IF(OR(A960="",B960=""),"",SUMIFS(Producao!$B:$B,Producao!$A:$A,"&gt;="&amp;B960,Producao!$A:$A,"&lt;"&amp;IF(C960="",TODAY()+1,C960)))</f>
        <v/>
      </c>
    </row>
    <row r="961">
      <c r="A961" s="30" t="n"/>
      <c r="B961" s="31" t="n"/>
      <c r="C961" s="31" t="n"/>
      <c r="D961">
        <f>IF(B961="","",IF(C961="",TODAY(),C961)-B961)</f>
        <v/>
      </c>
      <c r="E961">
        <f>IF(A961="","",IF(COUNTIFS($A:$A,A961,$C:$C,"")&gt;1,"Mais de uma entrada em aberto",IF(AND(C961&lt;&gt;"",C961&lt;B961),"Saída antes da entrada","")))</f>
        <v/>
      </c>
      <c r="F961" s="32">
        <f>IF(OR(A961="",B961=""),"",SUMIFS(Producao!$B:$B,Producao!$A:$A,"&gt;="&amp;B961,Producao!$A:$A,"&lt;"&amp;IF(C961="",TODAY()+1,C961)))</f>
        <v/>
      </c>
    </row>
    <row r="962">
      <c r="A962" s="30" t="n"/>
      <c r="B962" s="31" t="n"/>
      <c r="C962" s="31" t="n"/>
      <c r="D962">
        <f>IF(B962="","",IF(C962="",TODAY(),C962)-B962)</f>
        <v/>
      </c>
      <c r="E962">
        <f>IF(A962="","",IF(COUNTIFS($A:$A,A962,$C:$C,"")&gt;1,"Mais de uma entrada em aberto",IF(AND(C962&lt;&gt;"",C962&lt;B962),"Saída antes da entrada","")))</f>
        <v/>
      </c>
      <c r="F962" s="32">
        <f>IF(OR(A962="",B962=""),"",SUMIFS(Producao!$B:$B,Producao!$A:$A,"&gt;="&amp;B962,Producao!$A:$A,"&lt;"&amp;IF(C962="",TODAY()+1,C962)))</f>
        <v/>
      </c>
    </row>
    <row r="963">
      <c r="A963" s="30" t="n"/>
      <c r="B963" s="31" t="n"/>
      <c r="C963" s="31" t="n"/>
      <c r="D963">
        <f>IF(B963="","",IF(C963="",TODAY(),C963)-B963)</f>
        <v/>
      </c>
      <c r="E963">
        <f>IF(A963="","",IF(COUNTIFS($A:$A,A963,$C:$C,"")&gt;1,"Mais de uma entrada em aberto",IF(AND(C963&lt;&gt;"",C963&lt;B963),"Saída antes da entrada","")))</f>
        <v/>
      </c>
      <c r="F963" s="32">
        <f>IF(OR(A963="",B963=""),"",SUMIFS(Producao!$B:$B,Producao!$A:$A,"&gt;="&amp;B963,Producao!$A:$A,"&lt;"&amp;IF(C963="",TODAY()+1,C963)))</f>
        <v/>
      </c>
    </row>
    <row r="964">
      <c r="A964" s="30" t="n"/>
      <c r="B964" s="31" t="n"/>
      <c r="C964" s="31" t="n"/>
      <c r="D964">
        <f>IF(B964="","",IF(C964="",TODAY(),C964)-B964)</f>
        <v/>
      </c>
      <c r="E964">
        <f>IF(A964="","",IF(COUNTIFS($A:$A,A964,$C:$C,"")&gt;1,"Mais de uma entrada em aberto",IF(AND(C964&lt;&gt;"",C964&lt;B964),"Saída antes da entrada","")))</f>
        <v/>
      </c>
      <c r="F964" s="32">
        <f>IF(OR(A964="",B964=""),"",SUMIFS(Producao!$B:$B,Producao!$A:$A,"&gt;="&amp;B964,Producao!$A:$A,"&lt;"&amp;IF(C964="",TODAY()+1,C964)))</f>
        <v/>
      </c>
    </row>
    <row r="965">
      <c r="A965" s="30" t="n"/>
      <c r="B965" s="31" t="n"/>
      <c r="C965" s="31" t="n"/>
      <c r="D965">
        <f>IF(B965="","",IF(C965="",TODAY(),C965)-B965)</f>
        <v/>
      </c>
      <c r="E965">
        <f>IF(A965="","",IF(COUNTIFS($A:$A,A965,$C:$C,"")&gt;1,"Mais de uma entrada em aberto",IF(AND(C965&lt;&gt;"",C965&lt;B965),"Saída antes da entrada","")))</f>
        <v/>
      </c>
      <c r="F965" s="32">
        <f>IF(OR(A965="",B965=""),"",SUMIFS(Producao!$B:$B,Producao!$A:$A,"&gt;="&amp;B965,Producao!$A:$A,"&lt;"&amp;IF(C965="",TODAY()+1,C965)))</f>
        <v/>
      </c>
    </row>
    <row r="966">
      <c r="A966" s="30" t="n"/>
      <c r="B966" s="31" t="n"/>
      <c r="C966" s="31" t="n"/>
      <c r="D966">
        <f>IF(B966="","",IF(C966="",TODAY(),C966)-B966)</f>
        <v/>
      </c>
      <c r="E966">
        <f>IF(A966="","",IF(COUNTIFS($A:$A,A966,$C:$C,"")&gt;1,"Mais de uma entrada em aberto",IF(AND(C966&lt;&gt;"",C966&lt;B966),"Saída antes da entrada","")))</f>
        <v/>
      </c>
      <c r="F966" s="32">
        <f>IF(OR(A966="",B966=""),"",SUMIFS(Producao!$B:$B,Producao!$A:$A,"&gt;="&amp;B966,Producao!$A:$A,"&lt;"&amp;IF(C966="",TODAY()+1,C966)))</f>
        <v/>
      </c>
    </row>
    <row r="967">
      <c r="A967" s="30" t="n"/>
      <c r="B967" s="31" t="n"/>
      <c r="C967" s="31" t="n"/>
      <c r="D967">
        <f>IF(B967="","",IF(C967="",TODAY(),C967)-B967)</f>
        <v/>
      </c>
      <c r="E967">
        <f>IF(A967="","",IF(COUNTIFS($A:$A,A967,$C:$C,"")&gt;1,"Mais de uma entrada em aberto",IF(AND(C967&lt;&gt;"",C967&lt;B967),"Saída antes da entrada","")))</f>
        <v/>
      </c>
      <c r="F967" s="32">
        <f>IF(OR(A967="",B967=""),"",SUMIFS(Producao!$B:$B,Producao!$A:$A,"&gt;="&amp;B967,Producao!$A:$A,"&lt;"&amp;IF(C967="",TODAY()+1,C967)))</f>
        <v/>
      </c>
    </row>
    <row r="968">
      <c r="A968" s="30" t="n"/>
      <c r="B968" s="31" t="n"/>
      <c r="C968" s="31" t="n"/>
      <c r="D968">
        <f>IF(B968="","",IF(C968="",TODAY(),C968)-B968)</f>
        <v/>
      </c>
      <c r="E968">
        <f>IF(A968="","",IF(COUNTIFS($A:$A,A968,$C:$C,"")&gt;1,"Mais de uma entrada em aberto",IF(AND(C968&lt;&gt;"",C968&lt;B968),"Saída antes da entrada","")))</f>
        <v/>
      </c>
      <c r="F968" s="32">
        <f>IF(OR(A968="",B968=""),"",SUMIFS(Producao!$B:$B,Producao!$A:$A,"&gt;="&amp;B968,Producao!$A:$A,"&lt;"&amp;IF(C968="",TODAY()+1,C968)))</f>
        <v/>
      </c>
    </row>
    <row r="969">
      <c r="A969" s="30" t="n"/>
      <c r="B969" s="31" t="n"/>
      <c r="C969" s="31" t="n"/>
      <c r="D969">
        <f>IF(B969="","",IF(C969="",TODAY(),C969)-B969)</f>
        <v/>
      </c>
      <c r="E969">
        <f>IF(A969="","",IF(COUNTIFS($A:$A,A969,$C:$C,"")&gt;1,"Mais de uma entrada em aberto",IF(AND(C969&lt;&gt;"",C969&lt;B969),"Saída antes da entrada","")))</f>
        <v/>
      </c>
      <c r="F969" s="32">
        <f>IF(OR(A969="",B969=""),"",SUMIFS(Producao!$B:$B,Producao!$A:$A,"&gt;="&amp;B969,Producao!$A:$A,"&lt;"&amp;IF(C969="",TODAY()+1,C969)))</f>
        <v/>
      </c>
    </row>
    <row r="970">
      <c r="A970" s="30" t="n"/>
      <c r="B970" s="31" t="n"/>
      <c r="C970" s="31" t="n"/>
      <c r="D970">
        <f>IF(B970="","",IF(C970="",TODAY(),C970)-B970)</f>
        <v/>
      </c>
      <c r="E970">
        <f>IF(A970="","",IF(COUNTIFS($A:$A,A970,$C:$C,"")&gt;1,"Mais de uma entrada em aberto",IF(AND(C970&lt;&gt;"",C970&lt;B970),"Saída antes da entrada","")))</f>
        <v/>
      </c>
      <c r="F970" s="32">
        <f>IF(OR(A970="",B970=""),"",SUMIFS(Producao!$B:$B,Producao!$A:$A,"&gt;="&amp;B970,Producao!$A:$A,"&lt;"&amp;IF(C970="",TODAY()+1,C970)))</f>
        <v/>
      </c>
    </row>
    <row r="971">
      <c r="A971" s="30" t="n"/>
      <c r="B971" s="31" t="n"/>
      <c r="C971" s="31" t="n"/>
      <c r="D971">
        <f>IF(B971="","",IF(C971="",TODAY(),C971)-B971)</f>
        <v/>
      </c>
      <c r="E971">
        <f>IF(A971="","",IF(COUNTIFS($A:$A,A971,$C:$C,"")&gt;1,"Mais de uma entrada em aberto",IF(AND(C971&lt;&gt;"",C971&lt;B971),"Saída antes da entrada","")))</f>
        <v/>
      </c>
      <c r="F971" s="32">
        <f>IF(OR(A971="",B971=""),"",SUMIFS(Producao!$B:$B,Producao!$A:$A,"&gt;="&amp;B971,Producao!$A:$A,"&lt;"&amp;IF(C971="",TODAY()+1,C971)))</f>
        <v/>
      </c>
    </row>
    <row r="972">
      <c r="A972" s="30" t="n"/>
      <c r="B972" s="31" t="n"/>
      <c r="C972" s="31" t="n"/>
      <c r="D972">
        <f>IF(B972="","",IF(C972="",TODAY(),C972)-B972)</f>
        <v/>
      </c>
      <c r="E972">
        <f>IF(A972="","",IF(COUNTIFS($A:$A,A972,$C:$C,"")&gt;1,"Mais de uma entrada em aberto",IF(AND(C972&lt;&gt;"",C972&lt;B972),"Saída antes da entrada","")))</f>
        <v/>
      </c>
      <c r="F972" s="32">
        <f>IF(OR(A972="",B972=""),"",SUMIFS(Producao!$B:$B,Producao!$A:$A,"&gt;="&amp;B972,Producao!$A:$A,"&lt;"&amp;IF(C972="",TODAY()+1,C972)))</f>
        <v/>
      </c>
    </row>
    <row r="973">
      <c r="A973" s="30" t="n"/>
      <c r="B973" s="31" t="n"/>
      <c r="C973" s="31" t="n"/>
      <c r="D973">
        <f>IF(B973="","",IF(C973="",TODAY(),C973)-B973)</f>
        <v/>
      </c>
      <c r="E973">
        <f>IF(A973="","",IF(COUNTIFS($A:$A,A973,$C:$C,"")&gt;1,"Mais de uma entrada em aberto",IF(AND(C973&lt;&gt;"",C973&lt;B973),"Saída antes da entrada","")))</f>
        <v/>
      </c>
      <c r="F973" s="32">
        <f>IF(OR(A973="",B973=""),"",SUMIFS(Producao!$B:$B,Producao!$A:$A,"&gt;="&amp;B973,Producao!$A:$A,"&lt;"&amp;IF(C973="",TODAY()+1,C973)))</f>
        <v/>
      </c>
    </row>
    <row r="974">
      <c r="A974" s="30" t="n"/>
      <c r="B974" s="31" t="n"/>
      <c r="C974" s="31" t="n"/>
      <c r="D974">
        <f>IF(B974="","",IF(C974="",TODAY(),C974)-B974)</f>
        <v/>
      </c>
      <c r="E974">
        <f>IF(A974="","",IF(COUNTIFS($A:$A,A974,$C:$C,"")&gt;1,"Mais de uma entrada em aberto",IF(AND(C974&lt;&gt;"",C974&lt;B974),"Saída antes da entrada","")))</f>
        <v/>
      </c>
      <c r="F974" s="32">
        <f>IF(OR(A974="",B974=""),"",SUMIFS(Producao!$B:$B,Producao!$A:$A,"&gt;="&amp;B974,Producao!$A:$A,"&lt;"&amp;IF(C974="",TODAY()+1,C974)))</f>
        <v/>
      </c>
    </row>
    <row r="975">
      <c r="A975" s="30" t="n"/>
      <c r="B975" s="31" t="n"/>
      <c r="C975" s="31" t="n"/>
      <c r="D975">
        <f>IF(B975="","",IF(C975="",TODAY(),C975)-B975)</f>
        <v/>
      </c>
      <c r="E975">
        <f>IF(A975="","",IF(COUNTIFS($A:$A,A975,$C:$C,"")&gt;1,"Mais de uma entrada em aberto",IF(AND(C975&lt;&gt;"",C975&lt;B975),"Saída antes da entrada","")))</f>
        <v/>
      </c>
      <c r="F975" s="32">
        <f>IF(OR(A975="",B975=""),"",SUMIFS(Producao!$B:$B,Producao!$A:$A,"&gt;="&amp;B975,Producao!$A:$A,"&lt;"&amp;IF(C975="",TODAY()+1,C975)))</f>
        <v/>
      </c>
    </row>
    <row r="976">
      <c r="A976" s="30" t="n"/>
      <c r="B976" s="31" t="n"/>
      <c r="C976" s="31" t="n"/>
      <c r="D976">
        <f>IF(B976="","",IF(C976="",TODAY(),C976)-B976)</f>
        <v/>
      </c>
      <c r="E976">
        <f>IF(A976="","",IF(COUNTIFS($A:$A,A976,$C:$C,"")&gt;1,"Mais de uma entrada em aberto",IF(AND(C976&lt;&gt;"",C976&lt;B976),"Saída antes da entrada","")))</f>
        <v/>
      </c>
      <c r="F976" s="32">
        <f>IF(OR(A976="",B976=""),"",SUMIFS(Producao!$B:$B,Producao!$A:$A,"&gt;="&amp;B976,Producao!$A:$A,"&lt;"&amp;IF(C976="",TODAY()+1,C976)))</f>
        <v/>
      </c>
    </row>
    <row r="977">
      <c r="A977" s="30" t="n"/>
      <c r="B977" s="31" t="n"/>
      <c r="C977" s="31" t="n"/>
      <c r="D977">
        <f>IF(B977="","",IF(C977="",TODAY(),C977)-B977)</f>
        <v/>
      </c>
      <c r="E977">
        <f>IF(A977="","",IF(COUNTIFS($A:$A,A977,$C:$C,"")&gt;1,"Mais de uma entrada em aberto",IF(AND(C977&lt;&gt;"",C977&lt;B977),"Saída antes da entrada","")))</f>
        <v/>
      </c>
      <c r="F977" s="32">
        <f>IF(OR(A977="",B977=""),"",SUMIFS(Producao!$B:$B,Producao!$A:$A,"&gt;="&amp;B977,Producao!$A:$A,"&lt;"&amp;IF(C977="",TODAY()+1,C977)))</f>
        <v/>
      </c>
    </row>
    <row r="978">
      <c r="A978" s="30" t="n"/>
      <c r="B978" s="31" t="n"/>
      <c r="C978" s="31" t="n"/>
      <c r="D978">
        <f>IF(B978="","",IF(C978="",TODAY(),C978)-B978)</f>
        <v/>
      </c>
      <c r="E978">
        <f>IF(A978="","",IF(COUNTIFS($A:$A,A978,$C:$C,"")&gt;1,"Mais de uma entrada em aberto",IF(AND(C978&lt;&gt;"",C978&lt;B978),"Saída antes da entrada","")))</f>
        <v/>
      </c>
      <c r="F978" s="32">
        <f>IF(OR(A978="",B978=""),"",SUMIFS(Producao!$B:$B,Producao!$A:$A,"&gt;="&amp;B978,Producao!$A:$A,"&lt;"&amp;IF(C978="",TODAY()+1,C978)))</f>
        <v/>
      </c>
    </row>
    <row r="979">
      <c r="A979" s="30" t="n"/>
      <c r="B979" s="31" t="n"/>
      <c r="C979" s="31" t="n"/>
      <c r="D979">
        <f>IF(B979="","",IF(C979="",TODAY(),C979)-B979)</f>
        <v/>
      </c>
      <c r="E979">
        <f>IF(A979="","",IF(COUNTIFS($A:$A,A979,$C:$C,"")&gt;1,"Mais de uma entrada em aberto",IF(AND(C979&lt;&gt;"",C979&lt;B979),"Saída antes da entrada","")))</f>
        <v/>
      </c>
      <c r="F979" s="32">
        <f>IF(OR(A979="",B979=""),"",SUMIFS(Producao!$B:$B,Producao!$A:$A,"&gt;="&amp;B979,Producao!$A:$A,"&lt;"&amp;IF(C979="",TODAY()+1,C979)))</f>
        <v/>
      </c>
    </row>
    <row r="980">
      <c r="A980" s="30" t="n"/>
      <c r="B980" s="31" t="n"/>
      <c r="C980" s="31" t="n"/>
      <c r="D980">
        <f>IF(B980="","",IF(C980="",TODAY(),C980)-B980)</f>
        <v/>
      </c>
      <c r="E980">
        <f>IF(A980="","",IF(COUNTIFS($A:$A,A980,$C:$C,"")&gt;1,"Mais de uma entrada em aberto",IF(AND(C980&lt;&gt;"",C980&lt;B980),"Saída antes da entrada","")))</f>
        <v/>
      </c>
      <c r="F980" s="32">
        <f>IF(OR(A980="",B980=""),"",SUMIFS(Producao!$B:$B,Producao!$A:$A,"&gt;="&amp;B980,Producao!$A:$A,"&lt;"&amp;IF(C980="",TODAY()+1,C980)))</f>
        <v/>
      </c>
    </row>
    <row r="981">
      <c r="A981" s="30" t="n"/>
      <c r="B981" s="31" t="n"/>
      <c r="C981" s="31" t="n"/>
      <c r="D981">
        <f>IF(B981="","",IF(C981="",TODAY(),C981)-B981)</f>
        <v/>
      </c>
      <c r="E981">
        <f>IF(A981="","",IF(COUNTIFS($A:$A,A981,$C:$C,"")&gt;1,"Mais de uma entrada em aberto",IF(AND(C981&lt;&gt;"",C981&lt;B981),"Saída antes da entrada","")))</f>
        <v/>
      </c>
      <c r="F981" s="32">
        <f>IF(OR(A981="",B981=""),"",SUMIFS(Producao!$B:$B,Producao!$A:$A,"&gt;="&amp;B981,Producao!$A:$A,"&lt;"&amp;IF(C981="",TODAY()+1,C981)))</f>
        <v/>
      </c>
    </row>
    <row r="982">
      <c r="A982" s="30" t="n"/>
      <c r="B982" s="31" t="n"/>
      <c r="C982" s="31" t="n"/>
      <c r="D982">
        <f>IF(B982="","",IF(C982="",TODAY(),C982)-B982)</f>
        <v/>
      </c>
      <c r="E982">
        <f>IF(A982="","",IF(COUNTIFS($A:$A,A982,$C:$C,"")&gt;1,"Mais de uma entrada em aberto",IF(AND(C982&lt;&gt;"",C982&lt;B982),"Saída antes da entrada","")))</f>
        <v/>
      </c>
      <c r="F982" s="32">
        <f>IF(OR(A982="",B982=""),"",SUMIFS(Producao!$B:$B,Producao!$A:$A,"&gt;="&amp;B982,Producao!$A:$A,"&lt;"&amp;IF(C982="",TODAY()+1,C982)))</f>
        <v/>
      </c>
    </row>
    <row r="983">
      <c r="A983" s="30" t="n"/>
      <c r="B983" s="31" t="n"/>
      <c r="C983" s="31" t="n"/>
      <c r="D983">
        <f>IF(B983="","",IF(C983="",TODAY(),C983)-B983)</f>
        <v/>
      </c>
      <c r="E983">
        <f>IF(A983="","",IF(COUNTIFS($A:$A,A983,$C:$C,"")&gt;1,"Mais de uma entrada em aberto",IF(AND(C983&lt;&gt;"",C983&lt;B983),"Saída antes da entrada","")))</f>
        <v/>
      </c>
      <c r="F983" s="32">
        <f>IF(OR(A983="",B983=""),"",SUMIFS(Producao!$B:$B,Producao!$A:$A,"&gt;="&amp;B983,Producao!$A:$A,"&lt;"&amp;IF(C983="",TODAY()+1,C983)))</f>
        <v/>
      </c>
    </row>
    <row r="984">
      <c r="A984" s="30" t="n"/>
      <c r="B984" s="31" t="n"/>
      <c r="C984" s="31" t="n"/>
      <c r="D984">
        <f>IF(B984="","",IF(C984="",TODAY(),C984)-B984)</f>
        <v/>
      </c>
      <c r="E984">
        <f>IF(A984="","",IF(COUNTIFS($A:$A,A984,$C:$C,"")&gt;1,"Mais de uma entrada em aberto",IF(AND(C984&lt;&gt;"",C984&lt;B984),"Saída antes da entrada","")))</f>
        <v/>
      </c>
      <c r="F984" s="32">
        <f>IF(OR(A984="",B984=""),"",SUMIFS(Producao!$B:$B,Producao!$A:$A,"&gt;="&amp;B984,Producao!$A:$A,"&lt;"&amp;IF(C984="",TODAY()+1,C984)))</f>
        <v/>
      </c>
    </row>
    <row r="985">
      <c r="A985" s="30" t="n"/>
      <c r="B985" s="31" t="n"/>
      <c r="C985" s="31" t="n"/>
      <c r="D985">
        <f>IF(B985="","",IF(C985="",TODAY(),C985)-B985)</f>
        <v/>
      </c>
      <c r="E985">
        <f>IF(A985="","",IF(COUNTIFS($A:$A,A985,$C:$C,"")&gt;1,"Mais de uma entrada em aberto",IF(AND(C985&lt;&gt;"",C985&lt;B985),"Saída antes da entrada","")))</f>
        <v/>
      </c>
      <c r="F985" s="32">
        <f>IF(OR(A985="",B985=""),"",SUMIFS(Producao!$B:$B,Producao!$A:$A,"&gt;="&amp;B985,Producao!$A:$A,"&lt;"&amp;IF(C985="",TODAY()+1,C985)))</f>
        <v/>
      </c>
    </row>
    <row r="986">
      <c r="A986" s="30" t="n"/>
      <c r="B986" s="31" t="n"/>
      <c r="C986" s="31" t="n"/>
      <c r="D986">
        <f>IF(B986="","",IF(C986="",TODAY(),C986)-B986)</f>
        <v/>
      </c>
      <c r="E986">
        <f>IF(A986="","",IF(COUNTIFS($A:$A,A986,$C:$C,"")&gt;1,"Mais de uma entrada em aberto",IF(AND(C986&lt;&gt;"",C986&lt;B986),"Saída antes da entrada","")))</f>
        <v/>
      </c>
      <c r="F986" s="32">
        <f>IF(OR(A986="",B986=""),"",SUMIFS(Producao!$B:$B,Producao!$A:$A,"&gt;="&amp;B986,Producao!$A:$A,"&lt;"&amp;IF(C986="",TODAY()+1,C986)))</f>
        <v/>
      </c>
    </row>
    <row r="987">
      <c r="A987" s="30" t="n"/>
      <c r="B987" s="31" t="n"/>
      <c r="C987" s="31" t="n"/>
      <c r="D987">
        <f>IF(B987="","",IF(C987="",TODAY(),C987)-B987)</f>
        <v/>
      </c>
      <c r="E987">
        <f>IF(A987="","",IF(COUNTIFS($A:$A,A987,$C:$C,"")&gt;1,"Mais de uma entrada em aberto",IF(AND(C987&lt;&gt;"",C987&lt;B987),"Saída antes da entrada","")))</f>
        <v/>
      </c>
      <c r="F987" s="32">
        <f>IF(OR(A987="",B987=""),"",SUMIFS(Producao!$B:$B,Producao!$A:$A,"&gt;="&amp;B987,Producao!$A:$A,"&lt;"&amp;IF(C987="",TODAY()+1,C987)))</f>
        <v/>
      </c>
    </row>
    <row r="988">
      <c r="A988" s="30" t="n"/>
      <c r="B988" s="31" t="n"/>
      <c r="C988" s="31" t="n"/>
      <c r="D988">
        <f>IF(B988="","",IF(C988="",TODAY(),C988)-B988)</f>
        <v/>
      </c>
      <c r="E988">
        <f>IF(A988="","",IF(COUNTIFS($A:$A,A988,$C:$C,"")&gt;1,"Mais de uma entrada em aberto",IF(AND(C988&lt;&gt;"",C988&lt;B988),"Saída antes da entrada","")))</f>
        <v/>
      </c>
      <c r="F988" s="32">
        <f>IF(OR(A988="",B988=""),"",SUMIFS(Producao!$B:$B,Producao!$A:$A,"&gt;="&amp;B988,Producao!$A:$A,"&lt;"&amp;IF(C988="",TODAY()+1,C988)))</f>
        <v/>
      </c>
    </row>
    <row r="989">
      <c r="A989" s="30" t="n"/>
      <c r="B989" s="31" t="n"/>
      <c r="C989" s="31" t="n"/>
      <c r="D989">
        <f>IF(B989="","",IF(C989="",TODAY(),C989)-B989)</f>
        <v/>
      </c>
      <c r="E989">
        <f>IF(A989="","",IF(COUNTIFS($A:$A,A989,$C:$C,"")&gt;1,"Mais de uma entrada em aberto",IF(AND(C989&lt;&gt;"",C989&lt;B989),"Saída antes da entrada","")))</f>
        <v/>
      </c>
      <c r="F989" s="32">
        <f>IF(OR(A989="",B989=""),"",SUMIFS(Producao!$B:$B,Producao!$A:$A,"&gt;="&amp;B989,Producao!$A:$A,"&lt;"&amp;IF(C989="",TODAY()+1,C989)))</f>
        <v/>
      </c>
    </row>
    <row r="990">
      <c r="A990" s="30" t="n"/>
      <c r="B990" s="31" t="n"/>
      <c r="C990" s="31" t="n"/>
      <c r="D990">
        <f>IF(B990="","",IF(C990="",TODAY(),C990)-B990)</f>
        <v/>
      </c>
      <c r="E990">
        <f>IF(A990="","",IF(COUNTIFS($A:$A,A990,$C:$C,"")&gt;1,"Mais de uma entrada em aberto",IF(AND(C990&lt;&gt;"",C990&lt;B990),"Saída antes da entrada","")))</f>
        <v/>
      </c>
      <c r="F990" s="32">
        <f>IF(OR(A990="",B990=""),"",SUMIFS(Producao!$B:$B,Producao!$A:$A,"&gt;="&amp;B990,Producao!$A:$A,"&lt;"&amp;IF(C990="",TODAY()+1,C990)))</f>
        <v/>
      </c>
    </row>
    <row r="991">
      <c r="A991" s="30" t="n"/>
      <c r="B991" s="31" t="n"/>
      <c r="C991" s="31" t="n"/>
      <c r="D991">
        <f>IF(B991="","",IF(C991="",TODAY(),C991)-B991)</f>
        <v/>
      </c>
      <c r="E991">
        <f>IF(A991="","",IF(COUNTIFS($A:$A,A991,$C:$C,"")&gt;1,"Mais de uma entrada em aberto",IF(AND(C991&lt;&gt;"",C991&lt;B991),"Saída antes da entrada","")))</f>
        <v/>
      </c>
      <c r="F991" s="32">
        <f>IF(OR(A991="",B991=""),"",SUMIFS(Producao!$B:$B,Producao!$A:$A,"&gt;="&amp;B991,Producao!$A:$A,"&lt;"&amp;IF(C991="",TODAY()+1,C991)))</f>
        <v/>
      </c>
    </row>
    <row r="992">
      <c r="A992" s="30" t="n"/>
      <c r="B992" s="31" t="n"/>
      <c r="C992" s="31" t="n"/>
      <c r="D992">
        <f>IF(B992="","",IF(C992="",TODAY(),C992)-B992)</f>
        <v/>
      </c>
      <c r="E992">
        <f>IF(A992="","",IF(COUNTIFS($A:$A,A992,$C:$C,"")&gt;1,"Mais de uma entrada em aberto",IF(AND(C992&lt;&gt;"",C992&lt;B992),"Saída antes da entrada","")))</f>
        <v/>
      </c>
      <c r="F992" s="32">
        <f>IF(OR(A992="",B992=""),"",SUMIFS(Producao!$B:$B,Producao!$A:$A,"&gt;="&amp;B992,Producao!$A:$A,"&lt;"&amp;IF(C992="",TODAY()+1,C992)))</f>
        <v/>
      </c>
    </row>
    <row r="993">
      <c r="A993" s="30" t="n"/>
      <c r="B993" s="31" t="n"/>
      <c r="C993" s="31" t="n"/>
      <c r="D993">
        <f>IF(B993="","",IF(C993="",TODAY(),C993)-B993)</f>
        <v/>
      </c>
      <c r="E993">
        <f>IF(A993="","",IF(COUNTIFS($A:$A,A993,$C:$C,"")&gt;1,"Mais de uma entrada em aberto",IF(AND(C993&lt;&gt;"",C993&lt;B993),"Saída antes da entrada","")))</f>
        <v/>
      </c>
      <c r="F993" s="32">
        <f>IF(OR(A993="",B993=""),"",SUMIFS(Producao!$B:$B,Producao!$A:$A,"&gt;="&amp;B993,Producao!$A:$A,"&lt;"&amp;IF(C993="",TODAY()+1,C993)))</f>
        <v/>
      </c>
    </row>
    <row r="994">
      <c r="A994" s="30" t="n"/>
      <c r="B994" s="31" t="n"/>
      <c r="C994" s="31" t="n"/>
      <c r="D994">
        <f>IF(B994="","",IF(C994="",TODAY(),C994)-B994)</f>
        <v/>
      </c>
      <c r="E994">
        <f>IF(A994="","",IF(COUNTIFS($A:$A,A994,$C:$C,"")&gt;1,"Mais de uma entrada em aberto",IF(AND(C994&lt;&gt;"",C994&lt;B994),"Saída antes da entrada","")))</f>
        <v/>
      </c>
      <c r="F994" s="32">
        <f>IF(OR(A994="",B994=""),"",SUMIFS(Producao!$B:$B,Producao!$A:$A,"&gt;="&amp;B994,Producao!$A:$A,"&lt;"&amp;IF(C994="",TODAY()+1,C994)))</f>
        <v/>
      </c>
    </row>
    <row r="995">
      <c r="A995" s="30" t="n"/>
      <c r="B995" s="31" t="n"/>
      <c r="C995" s="31" t="n"/>
      <c r="D995">
        <f>IF(B995="","",IF(C995="",TODAY(),C995)-B995)</f>
        <v/>
      </c>
      <c r="E995">
        <f>IF(A995="","",IF(COUNTIFS($A:$A,A995,$C:$C,"")&gt;1,"Mais de uma entrada em aberto",IF(AND(C995&lt;&gt;"",C995&lt;B995),"Saída antes da entrada","")))</f>
        <v/>
      </c>
      <c r="F995" s="32">
        <f>IF(OR(A995="",B995=""),"",SUMIFS(Producao!$B:$B,Producao!$A:$A,"&gt;="&amp;B995,Producao!$A:$A,"&lt;"&amp;IF(C995="",TODAY()+1,C995)))</f>
        <v/>
      </c>
    </row>
    <row r="996">
      <c r="A996" s="30" t="n"/>
      <c r="B996" s="31" t="n"/>
      <c r="C996" s="31" t="n"/>
      <c r="D996">
        <f>IF(B996="","",IF(C996="",TODAY(),C996)-B996)</f>
        <v/>
      </c>
      <c r="E996">
        <f>IF(A996="","",IF(COUNTIFS($A:$A,A996,$C:$C,"")&gt;1,"Mais de uma entrada em aberto",IF(AND(C996&lt;&gt;"",C996&lt;B996),"Saída antes da entrada","")))</f>
        <v/>
      </c>
      <c r="F996" s="32">
        <f>IF(OR(A996="",B996=""),"",SUMIFS(Producao!$B:$B,Producao!$A:$A,"&gt;="&amp;B996,Producao!$A:$A,"&lt;"&amp;IF(C996="",TODAY()+1,C996)))</f>
        <v/>
      </c>
    </row>
    <row r="997">
      <c r="A997" s="30" t="n"/>
      <c r="B997" s="31" t="n"/>
      <c r="C997" s="31" t="n"/>
      <c r="D997">
        <f>IF(B997="","",IF(C997="",TODAY(),C997)-B997)</f>
        <v/>
      </c>
      <c r="E997">
        <f>IF(A997="","",IF(COUNTIFS($A:$A,A997,$C:$C,"")&gt;1,"Mais de uma entrada em aberto",IF(AND(C997&lt;&gt;"",C997&lt;B997),"Saída antes da entrada","")))</f>
        <v/>
      </c>
      <c r="F997" s="32">
        <f>IF(OR(A997="",B997=""),"",SUMIFS(Producao!$B:$B,Producao!$A:$A,"&gt;="&amp;B997,Producao!$A:$A,"&lt;"&amp;IF(C997="",TODAY()+1,C997)))</f>
        <v/>
      </c>
    </row>
    <row r="998">
      <c r="A998" s="30" t="n"/>
      <c r="B998" s="31" t="n"/>
      <c r="C998" s="31" t="n"/>
      <c r="D998">
        <f>IF(B998="","",IF(C998="",TODAY(),C998)-B998)</f>
        <v/>
      </c>
      <c r="E998">
        <f>IF(A998="","",IF(COUNTIFS($A:$A,A998,$C:$C,"")&gt;1,"Mais de uma entrada em aberto",IF(AND(C998&lt;&gt;"",C998&lt;B998),"Saída antes da entrada","")))</f>
        <v/>
      </c>
      <c r="F998" s="32">
        <f>IF(OR(A998="",B998=""),"",SUMIFS(Producao!$B:$B,Producao!$A:$A,"&gt;="&amp;B998,Producao!$A:$A,"&lt;"&amp;IF(C998="",TODAY()+1,C998)))</f>
        <v/>
      </c>
    </row>
    <row r="999">
      <c r="A999" s="30" t="n"/>
      <c r="B999" s="31" t="n"/>
      <c r="C999" s="31" t="n"/>
      <c r="D999">
        <f>IF(B999="","",IF(C999="",TODAY(),C999)-B999)</f>
        <v/>
      </c>
      <c r="E999">
        <f>IF(A999="","",IF(COUNTIFS($A:$A,A999,$C:$C,"")&gt;1,"Mais de uma entrada em aberto",IF(AND(C999&lt;&gt;"",C999&lt;B999),"Saída antes da entrada","")))</f>
        <v/>
      </c>
      <c r="F999" s="32">
        <f>IF(OR(A999="",B999=""),"",SUMIFS(Producao!$B:$B,Producao!$A:$A,"&gt;="&amp;B999,Producao!$A:$A,"&lt;"&amp;IF(C999="",TODAY()+1,C999)))</f>
        <v/>
      </c>
    </row>
    <row r="1000">
      <c r="A1000" s="30" t="n"/>
      <c r="B1000" s="31" t="n"/>
      <c r="C1000" s="31" t="n"/>
      <c r="D1000">
        <f>IF(B1000="","",IF(C1000="",TODAY(),C1000)-B1000)</f>
        <v/>
      </c>
      <c r="E1000">
        <f>IF(A1000="","",IF(COUNTIFS($A:$A,A1000,$C:$C,"")&gt;1,"Mais de uma entrada em aberto",IF(AND(C1000&lt;&gt;"",C1000&lt;B1000),"Saída antes da entrada","")))</f>
        <v/>
      </c>
      <c r="F1000" s="32">
        <f>IF(OR(A1000="",B1000=""),"",SUMIFS(Producao!$B:$B,Producao!$A:$A,"&gt;="&amp;B1000,Producao!$A:$A,"&lt;"&amp;IF(C1000="",TODAY()+1,C1000)))</f>
        <v/>
      </c>
    </row>
  </sheetData>
  <conditionalFormatting sqref="E2:E1000">
    <cfRule type="expression" priority="1" dxfId="3">
      <formula>LEN($E2)&gt;0</formula>
    </cfRule>
  </conditionalFormatting>
  <dataValidations count="2">
    <dataValidation sqref="A2:A1000" showDropDown="0" showInputMessage="0" showErrorMessage="0" allowBlank="1" type="list">
      <formula1>=Resumo!$A$2:$A$200</formula1>
    </dataValidation>
    <dataValidation sqref="B2:C1000" showDropDown="0" showInputMessage="0" showErrorMessage="0" allowBlank="1" errorTitle="Data inválida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45" customWidth="1" min="4" max="4"/>
    <col width="13" customWidth="1" min="5" max="5"/>
    <col width="40" customWidth="1" min="6" max="6"/>
  </cols>
  <sheetData>
    <row r="1" ht="32" customHeight="1">
      <c r="A1" s="29" t="inlineStr">
        <is>
          <t>Início</t>
        </is>
      </c>
      <c r="B1" s="29" t="inlineStr">
        <is>
          <t>Fim</t>
        </is>
      </c>
      <c r="C1" s="29" t="inlineStr">
        <is>
          <t>Veio / equipamento</t>
        </is>
      </c>
      <c r="D1" s="29" t="inlineStr">
        <is>
          <t>Motivo</t>
        </is>
      </c>
      <c r="E1" s="29" t="inlineStr">
        <is>
          <t>Dias parado</t>
        </is>
      </c>
      <c r="F1" s="29" t="inlineStr">
        <is>
          <t>Observação</t>
        </is>
      </c>
    </row>
    <row r="2">
      <c r="A2" s="31" t="n"/>
      <c r="B2" s="31" t="n"/>
      <c r="C2" s="30" t="n"/>
      <c r="D2" s="30" t="n"/>
      <c r="E2">
        <f>IF(OR(A2="",B2=""),"",B2-A2)</f>
        <v/>
      </c>
      <c r="F2" s="30" t="n"/>
    </row>
    <row r="3">
      <c r="A3" s="31" t="n"/>
      <c r="B3" s="31" t="n"/>
      <c r="C3" s="30" t="n"/>
      <c r="D3" s="30" t="n"/>
      <c r="E3">
        <f>IF(OR(A3="",B3=""),"",B3-A3)</f>
        <v/>
      </c>
      <c r="F3" s="30" t="n"/>
    </row>
    <row r="4">
      <c r="A4" s="31" t="n"/>
      <c r="B4" s="31" t="n"/>
      <c r="C4" s="30" t="n"/>
      <c r="D4" s="30" t="n"/>
      <c r="E4">
        <f>IF(OR(A4="",B4=""),"",B4-A4)</f>
        <v/>
      </c>
      <c r="F4" s="30" t="n"/>
    </row>
    <row r="5">
      <c r="A5" s="31" t="n"/>
      <c r="B5" s="31" t="n"/>
      <c r="C5" s="30" t="n"/>
      <c r="D5" s="30" t="n"/>
      <c r="E5">
        <f>IF(OR(A5="",B5=""),"",B5-A5)</f>
        <v/>
      </c>
      <c r="F5" s="30" t="n"/>
    </row>
    <row r="6">
      <c r="A6" s="31" t="n"/>
      <c r="B6" s="31" t="n"/>
      <c r="C6" s="30" t="n"/>
      <c r="D6" s="30" t="n"/>
      <c r="E6">
        <f>IF(OR(A6="",B6=""),"",B6-A6)</f>
        <v/>
      </c>
      <c r="F6" s="30" t="n"/>
    </row>
    <row r="7">
      <c r="A7" s="31" t="n"/>
      <c r="B7" s="31" t="n"/>
      <c r="C7" s="30" t="n"/>
      <c r="D7" s="30" t="n"/>
      <c r="E7">
        <f>IF(OR(A7="",B7=""),"",B7-A7)</f>
        <v/>
      </c>
      <c r="F7" s="30" t="n"/>
    </row>
    <row r="8">
      <c r="A8" s="31" t="n"/>
      <c r="B8" s="31" t="n"/>
      <c r="C8" s="30" t="n"/>
      <c r="D8" s="30" t="n"/>
      <c r="E8">
        <f>IF(OR(A8="",B8=""),"",B8-A8)</f>
        <v/>
      </c>
      <c r="F8" s="30" t="n"/>
    </row>
    <row r="9">
      <c r="A9" s="31" t="n"/>
      <c r="B9" s="31" t="n"/>
      <c r="C9" s="30" t="n"/>
      <c r="D9" s="30" t="n"/>
      <c r="E9">
        <f>IF(OR(A9="",B9=""),"",B9-A9)</f>
        <v/>
      </c>
      <c r="F9" s="30" t="n"/>
    </row>
    <row r="10">
      <c r="A10" s="31" t="n"/>
      <c r="B10" s="31" t="n"/>
      <c r="C10" s="30" t="n"/>
      <c r="D10" s="30" t="n"/>
      <c r="E10">
        <f>IF(OR(A10="",B10=""),"",B10-A10)</f>
        <v/>
      </c>
      <c r="F10" s="30" t="n"/>
    </row>
    <row r="11">
      <c r="A11" s="31" t="n"/>
      <c r="B11" s="31" t="n"/>
      <c r="C11" s="30" t="n"/>
      <c r="D11" s="30" t="n"/>
      <c r="E11">
        <f>IF(OR(A11="",B11=""),"",B11-A11)</f>
        <v/>
      </c>
      <c r="F11" s="30" t="n"/>
    </row>
    <row r="12">
      <c r="A12" s="31" t="n"/>
      <c r="B12" s="31" t="n"/>
      <c r="C12" s="30" t="n"/>
      <c r="D12" s="30" t="n"/>
      <c r="E12">
        <f>IF(OR(A12="",B12=""),"",B12-A12)</f>
        <v/>
      </c>
      <c r="F12" s="30" t="n"/>
    </row>
    <row r="13">
      <c r="A13" s="31" t="n"/>
      <c r="B13" s="31" t="n"/>
      <c r="C13" s="30" t="n"/>
      <c r="D13" s="30" t="n"/>
      <c r="E13">
        <f>IF(OR(A13="",B13=""),"",B13-A13)</f>
        <v/>
      </c>
      <c r="F13" s="30" t="n"/>
    </row>
    <row r="14">
      <c r="A14" s="31" t="n"/>
      <c r="B14" s="31" t="n"/>
      <c r="C14" s="30" t="n"/>
      <c r="D14" s="30" t="n"/>
      <c r="E14">
        <f>IF(OR(A14="",B14=""),"",B14-A14)</f>
        <v/>
      </c>
      <c r="F14" s="30" t="n"/>
    </row>
    <row r="15">
      <c r="A15" s="31" t="n"/>
      <c r="B15" s="31" t="n"/>
      <c r="C15" s="30" t="n"/>
      <c r="D15" s="30" t="n"/>
      <c r="E15">
        <f>IF(OR(A15="",B15=""),"",B15-A15)</f>
        <v/>
      </c>
      <c r="F15" s="30" t="n"/>
    </row>
    <row r="16">
      <c r="A16" s="31" t="n"/>
      <c r="B16" s="31" t="n"/>
      <c r="C16" s="30" t="n"/>
      <c r="D16" s="30" t="n"/>
      <c r="E16">
        <f>IF(OR(A16="",B16=""),"",B16-A16)</f>
        <v/>
      </c>
      <c r="F16" s="30" t="n"/>
    </row>
    <row r="17">
      <c r="A17" s="31" t="n"/>
      <c r="B17" s="31" t="n"/>
      <c r="C17" s="30" t="n"/>
      <c r="D17" s="30" t="n"/>
      <c r="E17">
        <f>IF(OR(A17="",B17=""),"",B17-A17)</f>
        <v/>
      </c>
      <c r="F17" s="30" t="n"/>
    </row>
    <row r="18">
      <c r="A18" s="31" t="n"/>
      <c r="B18" s="31" t="n"/>
      <c r="C18" s="30" t="n"/>
      <c r="D18" s="30" t="n"/>
      <c r="E18">
        <f>IF(OR(A18="",B18=""),"",B18-A18)</f>
        <v/>
      </c>
      <c r="F18" s="30" t="n"/>
    </row>
    <row r="19">
      <c r="A19" s="31" t="n"/>
      <c r="B19" s="31" t="n"/>
      <c r="C19" s="30" t="n"/>
      <c r="D19" s="30" t="n"/>
      <c r="E19">
        <f>IF(OR(A19="",B19=""),"",B19-A19)</f>
        <v/>
      </c>
      <c r="F19" s="30" t="n"/>
    </row>
    <row r="20">
      <c r="A20" s="31" t="n"/>
      <c r="B20" s="31" t="n"/>
      <c r="C20" s="30" t="n"/>
      <c r="D20" s="30" t="n"/>
      <c r="E20">
        <f>IF(OR(A20="",B20=""),"",B20-A20)</f>
        <v/>
      </c>
      <c r="F20" s="30" t="n"/>
    </row>
    <row r="21">
      <c r="A21" s="31" t="n"/>
      <c r="B21" s="31" t="n"/>
      <c r="C21" s="30" t="n"/>
      <c r="D21" s="30" t="n"/>
      <c r="E21">
        <f>IF(OR(A21="",B21=""),"",B21-A21)</f>
        <v/>
      </c>
      <c r="F21" s="30" t="n"/>
    </row>
    <row r="22">
      <c r="A22" s="31" t="n"/>
      <c r="B22" s="31" t="n"/>
      <c r="C22" s="30" t="n"/>
      <c r="D22" s="30" t="n"/>
      <c r="E22">
        <f>IF(OR(A22="",B22=""),"",B22-A22)</f>
        <v/>
      </c>
      <c r="F22" s="30" t="n"/>
    </row>
    <row r="23">
      <c r="A23" s="31" t="n"/>
      <c r="B23" s="31" t="n"/>
      <c r="C23" s="30" t="n"/>
      <c r="D23" s="30" t="n"/>
      <c r="E23">
        <f>IF(OR(A23="",B23=""),"",B23-A23)</f>
        <v/>
      </c>
      <c r="F23" s="30" t="n"/>
    </row>
    <row r="24">
      <c r="A24" s="31" t="n"/>
      <c r="B24" s="31" t="n"/>
      <c r="C24" s="30" t="n"/>
      <c r="D24" s="30" t="n"/>
      <c r="E24">
        <f>IF(OR(A24="",B24=""),"",B24-A24)</f>
        <v/>
      </c>
      <c r="F24" s="30" t="n"/>
    </row>
    <row r="25">
      <c r="A25" s="31" t="n"/>
      <c r="B25" s="31" t="n"/>
      <c r="C25" s="30" t="n"/>
      <c r="D25" s="30" t="n"/>
      <c r="E25">
        <f>IF(OR(A25="",B25=""),"",B25-A25)</f>
        <v/>
      </c>
      <c r="F25" s="30" t="n"/>
    </row>
    <row r="26">
      <c r="A26" s="31" t="n"/>
      <c r="B26" s="31" t="n"/>
      <c r="C26" s="30" t="n"/>
      <c r="D26" s="30" t="n"/>
      <c r="E26">
        <f>IF(OR(A26="",B26=""),"",B26-A26)</f>
        <v/>
      </c>
      <c r="F26" s="30" t="n"/>
    </row>
    <row r="27">
      <c r="A27" s="31" t="n"/>
      <c r="B27" s="31" t="n"/>
      <c r="C27" s="30" t="n"/>
      <c r="D27" s="30" t="n"/>
      <c r="E27">
        <f>IF(OR(A27="",B27=""),"",B27-A27)</f>
        <v/>
      </c>
      <c r="F27" s="30" t="n"/>
    </row>
    <row r="28">
      <c r="A28" s="31" t="n"/>
      <c r="B28" s="31" t="n"/>
      <c r="C28" s="30" t="n"/>
      <c r="D28" s="30" t="n"/>
      <c r="E28">
        <f>IF(OR(A28="",B28=""),"",B28-A28)</f>
        <v/>
      </c>
      <c r="F28" s="30" t="n"/>
    </row>
    <row r="29">
      <c r="A29" s="31" t="n"/>
      <c r="B29" s="31" t="n"/>
      <c r="C29" s="30" t="n"/>
      <c r="D29" s="30" t="n"/>
      <c r="E29">
        <f>IF(OR(A29="",B29=""),"",B29-A29)</f>
        <v/>
      </c>
      <c r="F29" s="30" t="n"/>
    </row>
    <row r="30">
      <c r="A30" s="31" t="n"/>
      <c r="B30" s="31" t="n"/>
      <c r="C30" s="30" t="n"/>
      <c r="D30" s="30" t="n"/>
      <c r="E30">
        <f>IF(OR(A30="",B30=""),"",B30-A30)</f>
        <v/>
      </c>
      <c r="F30" s="30" t="n"/>
    </row>
    <row r="31">
      <c r="A31" s="31" t="n"/>
      <c r="B31" s="31" t="n"/>
      <c r="C31" s="30" t="n"/>
      <c r="D31" s="30" t="n"/>
      <c r="E31">
        <f>IF(OR(A31="",B31=""),"",B31-A31)</f>
        <v/>
      </c>
      <c r="F31" s="30" t="n"/>
    </row>
    <row r="32">
      <c r="A32" s="31" t="n"/>
      <c r="B32" s="31" t="n"/>
      <c r="C32" s="30" t="n"/>
      <c r="D32" s="30" t="n"/>
      <c r="E32">
        <f>IF(OR(A32="",B32=""),"",B32-A32)</f>
        <v/>
      </c>
      <c r="F32" s="30" t="n"/>
    </row>
    <row r="33">
      <c r="A33" s="31" t="n"/>
      <c r="B33" s="31" t="n"/>
      <c r="C33" s="30" t="n"/>
      <c r="D33" s="30" t="n"/>
      <c r="E33">
        <f>IF(OR(A33="",B33=""),"",B33-A33)</f>
        <v/>
      </c>
      <c r="F33" s="30" t="n"/>
    </row>
    <row r="34">
      <c r="A34" s="31" t="n"/>
      <c r="B34" s="31" t="n"/>
      <c r="C34" s="30" t="n"/>
      <c r="D34" s="30" t="n"/>
      <c r="E34">
        <f>IF(OR(A34="",B34=""),"",B34-A34)</f>
        <v/>
      </c>
      <c r="F34" s="30" t="n"/>
    </row>
    <row r="35">
      <c r="A35" s="31" t="n"/>
      <c r="B35" s="31" t="n"/>
      <c r="C35" s="30" t="n"/>
      <c r="D35" s="30" t="n"/>
      <c r="E35">
        <f>IF(OR(A35="",B35=""),"",B35-A35)</f>
        <v/>
      </c>
      <c r="F35" s="30" t="n"/>
    </row>
    <row r="36">
      <c r="A36" s="31" t="n"/>
      <c r="B36" s="31" t="n"/>
      <c r="C36" s="30" t="n"/>
      <c r="D36" s="30" t="n"/>
      <c r="E36">
        <f>IF(OR(A36="",B36=""),"",B36-A36)</f>
        <v/>
      </c>
      <c r="F36" s="30" t="n"/>
    </row>
    <row r="37">
      <c r="A37" s="31" t="n"/>
      <c r="B37" s="31" t="n"/>
      <c r="C37" s="30" t="n"/>
      <c r="D37" s="30" t="n"/>
      <c r="E37">
        <f>IF(OR(A37="",B37=""),"",B37-A37)</f>
        <v/>
      </c>
      <c r="F37" s="30" t="n"/>
    </row>
    <row r="38">
      <c r="A38" s="31" t="n"/>
      <c r="B38" s="31" t="n"/>
      <c r="C38" s="30" t="n"/>
      <c r="D38" s="30" t="n"/>
      <c r="E38">
        <f>IF(OR(A38="",B38=""),"",B38-A38)</f>
        <v/>
      </c>
      <c r="F38" s="30" t="n"/>
    </row>
    <row r="39">
      <c r="A39" s="31" t="n"/>
      <c r="B39" s="31" t="n"/>
      <c r="C39" s="30" t="n"/>
      <c r="D39" s="30" t="n"/>
      <c r="E39">
        <f>IF(OR(A39="",B39=""),"",B39-A39)</f>
        <v/>
      </c>
      <c r="F39" s="30" t="n"/>
    </row>
    <row r="40">
      <c r="A40" s="31" t="n"/>
      <c r="B40" s="31" t="n"/>
      <c r="C40" s="30" t="n"/>
      <c r="D40" s="30" t="n"/>
      <c r="E40">
        <f>IF(OR(A40="",B40=""),"",B40-A40)</f>
        <v/>
      </c>
      <c r="F40" s="30" t="n"/>
    </row>
    <row r="41">
      <c r="A41" s="31" t="n"/>
      <c r="B41" s="31" t="n"/>
      <c r="C41" s="30" t="n"/>
      <c r="D41" s="30" t="n"/>
      <c r="E41">
        <f>IF(OR(A41="",B41=""),"",B41-A41)</f>
        <v/>
      </c>
      <c r="F41" s="30" t="n"/>
    </row>
    <row r="42">
      <c r="A42" s="31" t="n"/>
      <c r="B42" s="31" t="n"/>
      <c r="C42" s="30" t="n"/>
      <c r="D42" s="30" t="n"/>
      <c r="E42">
        <f>IF(OR(A42="",B42=""),"",B42-A42)</f>
        <v/>
      </c>
      <c r="F42" s="30" t="n"/>
    </row>
    <row r="43">
      <c r="A43" s="31" t="n"/>
      <c r="B43" s="31" t="n"/>
      <c r="C43" s="30" t="n"/>
      <c r="D43" s="30" t="n"/>
      <c r="E43">
        <f>IF(OR(A43="",B43=""),"",B43-A43)</f>
        <v/>
      </c>
      <c r="F43" s="30" t="n"/>
    </row>
    <row r="44">
      <c r="A44" s="31" t="n"/>
      <c r="B44" s="31" t="n"/>
      <c r="C44" s="30" t="n"/>
      <c r="D44" s="30" t="n"/>
      <c r="E44">
        <f>IF(OR(A44="",B44=""),"",B44-A44)</f>
        <v/>
      </c>
      <c r="F44" s="30" t="n"/>
    </row>
    <row r="45">
      <c r="A45" s="31" t="n"/>
      <c r="B45" s="31" t="n"/>
      <c r="C45" s="30" t="n"/>
      <c r="D45" s="30" t="n"/>
      <c r="E45">
        <f>IF(OR(A45="",B45=""),"",B45-A45)</f>
        <v/>
      </c>
      <c r="F45" s="30" t="n"/>
    </row>
    <row r="46">
      <c r="A46" s="31" t="n"/>
      <c r="B46" s="31" t="n"/>
      <c r="C46" s="30" t="n"/>
      <c r="D46" s="30" t="n"/>
      <c r="E46">
        <f>IF(OR(A46="",B46=""),"",B46-A46)</f>
        <v/>
      </c>
      <c r="F46" s="30" t="n"/>
    </row>
    <row r="47">
      <c r="A47" s="31" t="n"/>
      <c r="B47" s="31" t="n"/>
      <c r="C47" s="30" t="n"/>
      <c r="D47" s="30" t="n"/>
      <c r="E47">
        <f>IF(OR(A47="",B47=""),"",B47-A47)</f>
        <v/>
      </c>
      <c r="F47" s="30" t="n"/>
    </row>
    <row r="48">
      <c r="A48" s="31" t="n"/>
      <c r="B48" s="31" t="n"/>
      <c r="C48" s="30" t="n"/>
      <c r="D48" s="30" t="n"/>
      <c r="E48">
        <f>IF(OR(A48="",B48=""),"",B48-A48)</f>
        <v/>
      </c>
      <c r="F48" s="30" t="n"/>
    </row>
    <row r="49">
      <c r="A49" s="31" t="n"/>
      <c r="B49" s="31" t="n"/>
      <c r="C49" s="30" t="n"/>
      <c r="D49" s="30" t="n"/>
      <c r="E49">
        <f>IF(OR(A49="",B49=""),"",B49-A49)</f>
        <v/>
      </c>
      <c r="F49" s="30" t="n"/>
    </row>
    <row r="50">
      <c r="A50" s="31" t="n"/>
      <c r="B50" s="31" t="n"/>
      <c r="C50" s="30" t="n"/>
      <c r="D50" s="30" t="n"/>
      <c r="E50">
        <f>IF(OR(A50="",B50=""),"",B50-A50)</f>
        <v/>
      </c>
      <c r="F50" s="30" t="n"/>
    </row>
    <row r="51">
      <c r="A51" s="31" t="n"/>
      <c r="B51" s="31" t="n"/>
      <c r="C51" s="30" t="n"/>
      <c r="D51" s="30" t="n"/>
      <c r="E51">
        <f>IF(OR(A51="",B51=""),"",B51-A51)</f>
        <v/>
      </c>
      <c r="F51" s="30" t="n"/>
    </row>
    <row r="52">
      <c r="A52" s="31" t="n"/>
      <c r="B52" s="31" t="n"/>
      <c r="C52" s="30" t="n"/>
      <c r="D52" s="30" t="n"/>
      <c r="E52">
        <f>IF(OR(A52="",B52=""),"",B52-A52)</f>
        <v/>
      </c>
      <c r="F52" s="30" t="n"/>
    </row>
    <row r="53">
      <c r="A53" s="31" t="n"/>
      <c r="B53" s="31" t="n"/>
      <c r="C53" s="30" t="n"/>
      <c r="D53" s="30" t="n"/>
      <c r="E53">
        <f>IF(OR(A53="",B53=""),"",B53-A53)</f>
        <v/>
      </c>
      <c r="F53" s="30" t="n"/>
    </row>
    <row r="54">
      <c r="A54" s="31" t="n"/>
      <c r="B54" s="31" t="n"/>
      <c r="C54" s="30" t="n"/>
      <c r="D54" s="30" t="n"/>
      <c r="E54">
        <f>IF(OR(A54="",B54=""),"",B54-A54)</f>
        <v/>
      </c>
      <c r="F54" s="30" t="n"/>
    </row>
    <row r="55">
      <c r="A55" s="31" t="n"/>
      <c r="B55" s="31" t="n"/>
      <c r="C55" s="30" t="n"/>
      <c r="D55" s="30" t="n"/>
      <c r="E55">
        <f>IF(OR(A55="",B55=""),"",B55-A55)</f>
        <v/>
      </c>
      <c r="F55" s="30" t="n"/>
    </row>
    <row r="56">
      <c r="A56" s="31" t="n"/>
      <c r="B56" s="31" t="n"/>
      <c r="C56" s="30" t="n"/>
      <c r="D56" s="30" t="n"/>
      <c r="E56">
        <f>IF(OR(A56="",B56=""),"",B56-A56)</f>
        <v/>
      </c>
      <c r="F56" s="30" t="n"/>
    </row>
    <row r="57">
      <c r="A57" s="31" t="n"/>
      <c r="B57" s="31" t="n"/>
      <c r="C57" s="30" t="n"/>
      <c r="D57" s="30" t="n"/>
      <c r="E57">
        <f>IF(OR(A57="",B57=""),"",B57-A57)</f>
        <v/>
      </c>
      <c r="F57" s="30" t="n"/>
    </row>
    <row r="58">
      <c r="A58" s="31" t="n"/>
      <c r="B58" s="31" t="n"/>
      <c r="C58" s="30" t="n"/>
      <c r="D58" s="30" t="n"/>
      <c r="E58">
        <f>IF(OR(A58="",B58=""),"",B58-A58)</f>
        <v/>
      </c>
      <c r="F58" s="30" t="n"/>
    </row>
    <row r="59">
      <c r="A59" s="31" t="n"/>
      <c r="B59" s="31" t="n"/>
      <c r="C59" s="30" t="n"/>
      <c r="D59" s="30" t="n"/>
      <c r="E59">
        <f>IF(OR(A59="",B59=""),"",B59-A59)</f>
        <v/>
      </c>
      <c r="F59" s="30" t="n"/>
    </row>
    <row r="60">
      <c r="A60" s="31" t="n"/>
      <c r="B60" s="31" t="n"/>
      <c r="C60" s="30" t="n"/>
      <c r="D60" s="30" t="n"/>
      <c r="E60">
        <f>IF(OR(A60="",B60=""),"",B60-A60)</f>
        <v/>
      </c>
      <c r="F60" s="30" t="n"/>
    </row>
    <row r="61">
      <c r="A61" s="31" t="n"/>
      <c r="B61" s="31" t="n"/>
      <c r="C61" s="30" t="n"/>
      <c r="D61" s="30" t="n"/>
      <c r="E61">
        <f>IF(OR(A61="",B61=""),"",B61-A61)</f>
        <v/>
      </c>
      <c r="F61" s="30" t="n"/>
    </row>
    <row r="62">
      <c r="A62" s="31" t="n"/>
      <c r="B62" s="31" t="n"/>
      <c r="C62" s="30" t="n"/>
      <c r="D62" s="30" t="n"/>
      <c r="E62">
        <f>IF(OR(A62="",B62=""),"",B62-A62)</f>
        <v/>
      </c>
      <c r="F62" s="30" t="n"/>
    </row>
    <row r="63">
      <c r="A63" s="31" t="n"/>
      <c r="B63" s="31" t="n"/>
      <c r="C63" s="30" t="n"/>
      <c r="D63" s="30" t="n"/>
      <c r="E63">
        <f>IF(OR(A63="",B63=""),"",B63-A63)</f>
        <v/>
      </c>
      <c r="F63" s="30" t="n"/>
    </row>
    <row r="64">
      <c r="A64" s="31" t="n"/>
      <c r="B64" s="31" t="n"/>
      <c r="C64" s="30" t="n"/>
      <c r="D64" s="30" t="n"/>
      <c r="E64">
        <f>IF(OR(A64="",B64=""),"",B64-A64)</f>
        <v/>
      </c>
      <c r="F64" s="30" t="n"/>
    </row>
    <row r="65">
      <c r="A65" s="31" t="n"/>
      <c r="B65" s="31" t="n"/>
      <c r="C65" s="30" t="n"/>
      <c r="D65" s="30" t="n"/>
      <c r="E65">
        <f>IF(OR(A65="",B65=""),"",B65-A65)</f>
        <v/>
      </c>
      <c r="F65" s="30" t="n"/>
    </row>
    <row r="66">
      <c r="A66" s="31" t="n"/>
      <c r="B66" s="31" t="n"/>
      <c r="C66" s="30" t="n"/>
      <c r="D66" s="30" t="n"/>
      <c r="E66">
        <f>IF(OR(A66="",B66=""),"",B66-A66)</f>
        <v/>
      </c>
      <c r="F66" s="30" t="n"/>
    </row>
    <row r="67">
      <c r="A67" s="31" t="n"/>
      <c r="B67" s="31" t="n"/>
      <c r="C67" s="30" t="n"/>
      <c r="D67" s="30" t="n"/>
      <c r="E67">
        <f>IF(OR(A67="",B67=""),"",B67-A67)</f>
        <v/>
      </c>
      <c r="F67" s="30" t="n"/>
    </row>
    <row r="68">
      <c r="A68" s="31" t="n"/>
      <c r="B68" s="31" t="n"/>
      <c r="C68" s="30" t="n"/>
      <c r="D68" s="30" t="n"/>
      <c r="E68">
        <f>IF(OR(A68="",B68=""),"",B68-A68)</f>
        <v/>
      </c>
      <c r="F68" s="30" t="n"/>
    </row>
    <row r="69">
      <c r="A69" s="31" t="n"/>
      <c r="B69" s="31" t="n"/>
      <c r="C69" s="30" t="n"/>
      <c r="D69" s="30" t="n"/>
      <c r="E69">
        <f>IF(OR(A69="",B69=""),"",B69-A69)</f>
        <v/>
      </c>
      <c r="F69" s="30" t="n"/>
    </row>
    <row r="70">
      <c r="A70" s="31" t="n"/>
      <c r="B70" s="31" t="n"/>
      <c r="C70" s="30" t="n"/>
      <c r="D70" s="30" t="n"/>
      <c r="E70">
        <f>IF(OR(A70="",B70=""),"",B70-A70)</f>
        <v/>
      </c>
      <c r="F70" s="30" t="n"/>
    </row>
    <row r="71">
      <c r="A71" s="31" t="n"/>
      <c r="B71" s="31" t="n"/>
      <c r="C71" s="30" t="n"/>
      <c r="D71" s="30" t="n"/>
      <c r="E71">
        <f>IF(OR(A71="",B71=""),"",B71-A71)</f>
        <v/>
      </c>
      <c r="F71" s="30" t="n"/>
    </row>
    <row r="72">
      <c r="A72" s="31" t="n"/>
      <c r="B72" s="31" t="n"/>
      <c r="C72" s="30" t="n"/>
      <c r="D72" s="30" t="n"/>
      <c r="E72">
        <f>IF(OR(A72="",B72=""),"",B72-A72)</f>
        <v/>
      </c>
      <c r="F72" s="30" t="n"/>
    </row>
    <row r="73">
      <c r="A73" s="31" t="n"/>
      <c r="B73" s="31" t="n"/>
      <c r="C73" s="30" t="n"/>
      <c r="D73" s="30" t="n"/>
      <c r="E73">
        <f>IF(OR(A73="",B73=""),"",B73-A73)</f>
        <v/>
      </c>
      <c r="F73" s="30" t="n"/>
    </row>
    <row r="74">
      <c r="A74" s="31" t="n"/>
      <c r="B74" s="31" t="n"/>
      <c r="C74" s="30" t="n"/>
      <c r="D74" s="30" t="n"/>
      <c r="E74">
        <f>IF(OR(A74="",B74=""),"",B74-A74)</f>
        <v/>
      </c>
      <c r="F74" s="30" t="n"/>
    </row>
    <row r="75">
      <c r="A75" s="31" t="n"/>
      <c r="B75" s="31" t="n"/>
      <c r="C75" s="30" t="n"/>
      <c r="D75" s="30" t="n"/>
      <c r="E75">
        <f>IF(OR(A75="",B75=""),"",B75-A75)</f>
        <v/>
      </c>
      <c r="F75" s="30" t="n"/>
    </row>
    <row r="76">
      <c r="A76" s="31" t="n"/>
      <c r="B76" s="31" t="n"/>
      <c r="C76" s="30" t="n"/>
      <c r="D76" s="30" t="n"/>
      <c r="E76">
        <f>IF(OR(A76="",B76=""),"",B76-A76)</f>
        <v/>
      </c>
      <c r="F76" s="30" t="n"/>
    </row>
    <row r="77">
      <c r="A77" s="31" t="n"/>
      <c r="B77" s="31" t="n"/>
      <c r="C77" s="30" t="n"/>
      <c r="D77" s="30" t="n"/>
      <c r="E77">
        <f>IF(OR(A77="",B77=""),"",B77-A77)</f>
        <v/>
      </c>
      <c r="F77" s="30" t="n"/>
    </row>
    <row r="78">
      <c r="A78" s="31" t="n"/>
      <c r="B78" s="31" t="n"/>
      <c r="C78" s="30" t="n"/>
      <c r="D78" s="30" t="n"/>
      <c r="E78">
        <f>IF(OR(A78="",B78=""),"",B78-A78)</f>
        <v/>
      </c>
      <c r="F78" s="30" t="n"/>
    </row>
    <row r="79">
      <c r="A79" s="31" t="n"/>
      <c r="B79" s="31" t="n"/>
      <c r="C79" s="30" t="n"/>
      <c r="D79" s="30" t="n"/>
      <c r="E79">
        <f>IF(OR(A79="",B79=""),"",B79-A79)</f>
        <v/>
      </c>
      <c r="F79" s="30" t="n"/>
    </row>
    <row r="80">
      <c r="A80" s="31" t="n"/>
      <c r="B80" s="31" t="n"/>
      <c r="C80" s="30" t="n"/>
      <c r="D80" s="30" t="n"/>
      <c r="E80">
        <f>IF(OR(A80="",B80=""),"",B80-A80)</f>
        <v/>
      </c>
      <c r="F80" s="30" t="n"/>
    </row>
    <row r="81">
      <c r="A81" s="31" t="n"/>
      <c r="B81" s="31" t="n"/>
      <c r="C81" s="30" t="n"/>
      <c r="D81" s="30" t="n"/>
      <c r="E81">
        <f>IF(OR(A81="",B81=""),"",B81-A81)</f>
        <v/>
      </c>
      <c r="F81" s="30" t="n"/>
    </row>
    <row r="82">
      <c r="A82" s="31" t="n"/>
      <c r="B82" s="31" t="n"/>
      <c r="C82" s="30" t="n"/>
      <c r="D82" s="30" t="n"/>
      <c r="E82">
        <f>IF(OR(A82="",B82=""),"",B82-A82)</f>
        <v/>
      </c>
      <c r="F82" s="30" t="n"/>
    </row>
    <row r="83">
      <c r="A83" s="31" t="n"/>
      <c r="B83" s="31" t="n"/>
      <c r="C83" s="30" t="n"/>
      <c r="D83" s="30" t="n"/>
      <c r="E83">
        <f>IF(OR(A83="",B83=""),"",B83-A83)</f>
        <v/>
      </c>
      <c r="F83" s="30" t="n"/>
    </row>
    <row r="84">
      <c r="A84" s="31" t="n"/>
      <c r="B84" s="31" t="n"/>
      <c r="C84" s="30" t="n"/>
      <c r="D84" s="30" t="n"/>
      <c r="E84">
        <f>IF(OR(A84="",B84=""),"",B84-A84)</f>
        <v/>
      </c>
      <c r="F84" s="30" t="n"/>
    </row>
    <row r="85">
      <c r="A85" s="31" t="n"/>
      <c r="B85" s="31" t="n"/>
      <c r="C85" s="30" t="n"/>
      <c r="D85" s="30" t="n"/>
      <c r="E85">
        <f>IF(OR(A85="",B85=""),"",B85-A85)</f>
        <v/>
      </c>
      <c r="F85" s="30" t="n"/>
    </row>
    <row r="86">
      <c r="A86" s="31" t="n"/>
      <c r="B86" s="31" t="n"/>
      <c r="C86" s="30" t="n"/>
      <c r="D86" s="30" t="n"/>
      <c r="E86">
        <f>IF(OR(A86="",B86=""),"",B86-A86)</f>
        <v/>
      </c>
      <c r="F86" s="30" t="n"/>
    </row>
    <row r="87">
      <c r="A87" s="31" t="n"/>
      <c r="B87" s="31" t="n"/>
      <c r="C87" s="30" t="n"/>
      <c r="D87" s="30" t="n"/>
      <c r="E87">
        <f>IF(OR(A87="",B87=""),"",B87-A87)</f>
        <v/>
      </c>
      <c r="F87" s="30" t="n"/>
    </row>
    <row r="88">
      <c r="A88" s="31" t="n"/>
      <c r="B88" s="31" t="n"/>
      <c r="C88" s="30" t="n"/>
      <c r="D88" s="30" t="n"/>
      <c r="E88">
        <f>IF(OR(A88="",B88=""),"",B88-A88)</f>
        <v/>
      </c>
      <c r="F88" s="30" t="n"/>
    </row>
    <row r="89">
      <c r="A89" s="31" t="n"/>
      <c r="B89" s="31" t="n"/>
      <c r="C89" s="30" t="n"/>
      <c r="D89" s="30" t="n"/>
      <c r="E89">
        <f>IF(OR(A89="",B89=""),"",B89-A89)</f>
        <v/>
      </c>
      <c r="F89" s="30" t="n"/>
    </row>
    <row r="90">
      <c r="A90" s="31" t="n"/>
      <c r="B90" s="31" t="n"/>
      <c r="C90" s="30" t="n"/>
      <c r="D90" s="30" t="n"/>
      <c r="E90">
        <f>IF(OR(A90="",B90=""),"",B90-A90)</f>
        <v/>
      </c>
      <c r="F90" s="30" t="n"/>
    </row>
    <row r="91">
      <c r="A91" s="31" t="n"/>
      <c r="B91" s="31" t="n"/>
      <c r="C91" s="30" t="n"/>
      <c r="D91" s="30" t="n"/>
      <c r="E91">
        <f>IF(OR(A91="",B91=""),"",B91-A91)</f>
        <v/>
      </c>
      <c r="F91" s="30" t="n"/>
    </row>
    <row r="92">
      <c r="A92" s="31" t="n"/>
      <c r="B92" s="31" t="n"/>
      <c r="C92" s="30" t="n"/>
      <c r="D92" s="30" t="n"/>
      <c r="E92">
        <f>IF(OR(A92="",B92=""),"",B92-A92)</f>
        <v/>
      </c>
      <c r="F92" s="30" t="n"/>
    </row>
    <row r="93">
      <c r="A93" s="31" t="n"/>
      <c r="B93" s="31" t="n"/>
      <c r="C93" s="30" t="n"/>
      <c r="D93" s="30" t="n"/>
      <c r="E93">
        <f>IF(OR(A93="",B93=""),"",B93-A93)</f>
        <v/>
      </c>
      <c r="F93" s="30" t="n"/>
    </row>
    <row r="94">
      <c r="A94" s="31" t="n"/>
      <c r="B94" s="31" t="n"/>
      <c r="C94" s="30" t="n"/>
      <c r="D94" s="30" t="n"/>
      <c r="E94">
        <f>IF(OR(A94="",B94=""),"",B94-A94)</f>
        <v/>
      </c>
      <c r="F94" s="30" t="n"/>
    </row>
    <row r="95">
      <c r="A95" s="31" t="n"/>
      <c r="B95" s="31" t="n"/>
      <c r="C95" s="30" t="n"/>
      <c r="D95" s="30" t="n"/>
      <c r="E95">
        <f>IF(OR(A95="",B95=""),"",B95-A95)</f>
        <v/>
      </c>
      <c r="F95" s="30" t="n"/>
    </row>
    <row r="96">
      <c r="A96" s="31" t="n"/>
      <c r="B96" s="31" t="n"/>
      <c r="C96" s="30" t="n"/>
      <c r="D96" s="30" t="n"/>
      <c r="E96">
        <f>IF(OR(A96="",B96=""),"",B96-A96)</f>
        <v/>
      </c>
      <c r="F96" s="30" t="n"/>
    </row>
    <row r="97">
      <c r="A97" s="31" t="n"/>
      <c r="B97" s="31" t="n"/>
      <c r="C97" s="30" t="n"/>
      <c r="D97" s="30" t="n"/>
      <c r="E97">
        <f>IF(OR(A97="",B97=""),"",B97-A97)</f>
        <v/>
      </c>
      <c r="F97" s="30" t="n"/>
    </row>
    <row r="98">
      <c r="A98" s="31" t="n"/>
      <c r="B98" s="31" t="n"/>
      <c r="C98" s="30" t="n"/>
      <c r="D98" s="30" t="n"/>
      <c r="E98">
        <f>IF(OR(A98="",B98=""),"",B98-A98)</f>
        <v/>
      </c>
      <c r="F98" s="30" t="n"/>
    </row>
    <row r="99">
      <c r="A99" s="31" t="n"/>
      <c r="B99" s="31" t="n"/>
      <c r="C99" s="30" t="n"/>
      <c r="D99" s="30" t="n"/>
      <c r="E99">
        <f>IF(OR(A99="",B99=""),"",B99-A99)</f>
        <v/>
      </c>
      <c r="F99" s="30" t="n"/>
    </row>
    <row r="100">
      <c r="A100" s="31" t="n"/>
      <c r="B100" s="31" t="n"/>
      <c r="C100" s="30" t="n"/>
      <c r="D100" s="30" t="n"/>
      <c r="E100">
        <f>IF(OR(A100="",B100=""),"",B100-A100)</f>
        <v/>
      </c>
      <c r="F100" s="30" t="n"/>
    </row>
    <row r="101">
      <c r="A101" s="31" t="n"/>
      <c r="B101" s="31" t="n"/>
      <c r="C101" s="30" t="n"/>
      <c r="D101" s="30" t="n"/>
      <c r="E101">
        <f>IF(OR(A101="",B101=""),"",B101-A101)</f>
        <v/>
      </c>
      <c r="F101" s="30" t="n"/>
    </row>
    <row r="102">
      <c r="A102" s="31" t="n"/>
      <c r="B102" s="31" t="n"/>
      <c r="C102" s="30" t="n"/>
      <c r="D102" s="30" t="n"/>
      <c r="E102">
        <f>IF(OR(A102="",B102=""),"",B102-A102)</f>
        <v/>
      </c>
      <c r="F102" s="30" t="n"/>
    </row>
    <row r="103">
      <c r="A103" s="31" t="n"/>
      <c r="B103" s="31" t="n"/>
      <c r="C103" s="30" t="n"/>
      <c r="D103" s="30" t="n"/>
      <c r="E103">
        <f>IF(OR(A103="",B103=""),"",B103-A103)</f>
        <v/>
      </c>
      <c r="F103" s="30" t="n"/>
    </row>
    <row r="104">
      <c r="A104" s="31" t="n"/>
      <c r="B104" s="31" t="n"/>
      <c r="C104" s="30" t="n"/>
      <c r="D104" s="30" t="n"/>
      <c r="E104">
        <f>IF(OR(A104="",B104=""),"",B104-A104)</f>
        <v/>
      </c>
      <c r="F104" s="30" t="n"/>
    </row>
    <row r="105">
      <c r="A105" s="31" t="n"/>
      <c r="B105" s="31" t="n"/>
      <c r="C105" s="30" t="n"/>
      <c r="D105" s="30" t="n"/>
      <c r="E105">
        <f>IF(OR(A105="",B105=""),"",B105-A105)</f>
        <v/>
      </c>
      <c r="F105" s="30" t="n"/>
    </row>
    <row r="106">
      <c r="A106" s="31" t="n"/>
      <c r="B106" s="31" t="n"/>
      <c r="C106" s="30" t="n"/>
      <c r="D106" s="30" t="n"/>
      <c r="E106">
        <f>IF(OR(A106="",B106=""),"",B106-A106)</f>
        <v/>
      </c>
      <c r="F106" s="30" t="n"/>
    </row>
    <row r="107">
      <c r="A107" s="31" t="n"/>
      <c r="B107" s="31" t="n"/>
      <c r="C107" s="30" t="n"/>
      <c r="D107" s="30" t="n"/>
      <c r="E107">
        <f>IF(OR(A107="",B107=""),"",B107-A107)</f>
        <v/>
      </c>
      <c r="F107" s="30" t="n"/>
    </row>
    <row r="108">
      <c r="A108" s="31" t="n"/>
      <c r="B108" s="31" t="n"/>
      <c r="C108" s="30" t="n"/>
      <c r="D108" s="30" t="n"/>
      <c r="E108">
        <f>IF(OR(A108="",B108=""),"",B108-A108)</f>
        <v/>
      </c>
      <c r="F108" s="30" t="n"/>
    </row>
    <row r="109">
      <c r="A109" s="31" t="n"/>
      <c r="B109" s="31" t="n"/>
      <c r="C109" s="30" t="n"/>
      <c r="D109" s="30" t="n"/>
      <c r="E109">
        <f>IF(OR(A109="",B109=""),"",B109-A109)</f>
        <v/>
      </c>
      <c r="F109" s="30" t="n"/>
    </row>
    <row r="110">
      <c r="A110" s="31" t="n"/>
      <c r="B110" s="31" t="n"/>
      <c r="C110" s="30" t="n"/>
      <c r="D110" s="30" t="n"/>
      <c r="E110">
        <f>IF(OR(A110="",B110=""),"",B110-A110)</f>
        <v/>
      </c>
      <c r="F110" s="30" t="n"/>
    </row>
    <row r="111">
      <c r="A111" s="31" t="n"/>
      <c r="B111" s="31" t="n"/>
      <c r="C111" s="30" t="n"/>
      <c r="D111" s="30" t="n"/>
      <c r="E111">
        <f>IF(OR(A111="",B111=""),"",B111-A111)</f>
        <v/>
      </c>
      <c r="F111" s="30" t="n"/>
    </row>
    <row r="112">
      <c r="A112" s="31" t="n"/>
      <c r="B112" s="31" t="n"/>
      <c r="C112" s="30" t="n"/>
      <c r="D112" s="30" t="n"/>
      <c r="E112">
        <f>IF(OR(A112="",B112=""),"",B112-A112)</f>
        <v/>
      </c>
      <c r="F112" s="30" t="n"/>
    </row>
    <row r="113">
      <c r="A113" s="31" t="n"/>
      <c r="B113" s="31" t="n"/>
      <c r="C113" s="30" t="n"/>
      <c r="D113" s="30" t="n"/>
      <c r="E113">
        <f>IF(OR(A113="",B113=""),"",B113-A113)</f>
        <v/>
      </c>
      <c r="F113" s="30" t="n"/>
    </row>
    <row r="114">
      <c r="A114" s="31" t="n"/>
      <c r="B114" s="31" t="n"/>
      <c r="C114" s="30" t="n"/>
      <c r="D114" s="30" t="n"/>
      <c r="E114">
        <f>IF(OR(A114="",B114=""),"",B114-A114)</f>
        <v/>
      </c>
      <c r="F114" s="30" t="n"/>
    </row>
    <row r="115">
      <c r="A115" s="31" t="n"/>
      <c r="B115" s="31" t="n"/>
      <c r="C115" s="30" t="n"/>
      <c r="D115" s="30" t="n"/>
      <c r="E115">
        <f>IF(OR(A115="",B115=""),"",B115-A115)</f>
        <v/>
      </c>
      <c r="F115" s="30" t="n"/>
    </row>
    <row r="116">
      <c r="A116" s="31" t="n"/>
      <c r="B116" s="31" t="n"/>
      <c r="C116" s="30" t="n"/>
      <c r="D116" s="30" t="n"/>
      <c r="E116">
        <f>IF(OR(A116="",B116=""),"",B116-A116)</f>
        <v/>
      </c>
      <c r="F116" s="30" t="n"/>
    </row>
    <row r="117">
      <c r="A117" s="31" t="n"/>
      <c r="B117" s="31" t="n"/>
      <c r="C117" s="30" t="n"/>
      <c r="D117" s="30" t="n"/>
      <c r="E117">
        <f>IF(OR(A117="",B117=""),"",B117-A117)</f>
        <v/>
      </c>
      <c r="F117" s="30" t="n"/>
    </row>
    <row r="118">
      <c r="A118" s="31" t="n"/>
      <c r="B118" s="31" t="n"/>
      <c r="C118" s="30" t="n"/>
      <c r="D118" s="30" t="n"/>
      <c r="E118">
        <f>IF(OR(A118="",B118=""),"",B118-A118)</f>
        <v/>
      </c>
      <c r="F118" s="30" t="n"/>
    </row>
    <row r="119">
      <c r="A119" s="31" t="n"/>
      <c r="B119" s="31" t="n"/>
      <c r="C119" s="30" t="n"/>
      <c r="D119" s="30" t="n"/>
      <c r="E119">
        <f>IF(OR(A119="",B119=""),"",B119-A119)</f>
        <v/>
      </c>
      <c r="F119" s="30" t="n"/>
    </row>
    <row r="120">
      <c r="A120" s="31" t="n"/>
      <c r="B120" s="31" t="n"/>
      <c r="C120" s="30" t="n"/>
      <c r="D120" s="30" t="n"/>
      <c r="E120">
        <f>IF(OR(A120="",B120=""),"",B120-A120)</f>
        <v/>
      </c>
      <c r="F120" s="30" t="n"/>
    </row>
    <row r="121">
      <c r="A121" s="31" t="n"/>
      <c r="B121" s="31" t="n"/>
      <c r="C121" s="30" t="n"/>
      <c r="D121" s="30" t="n"/>
      <c r="E121">
        <f>IF(OR(A121="",B121=""),"",B121-A121)</f>
        <v/>
      </c>
      <c r="F121" s="30" t="n"/>
    </row>
    <row r="122">
      <c r="A122" s="31" t="n"/>
      <c r="B122" s="31" t="n"/>
      <c r="C122" s="30" t="n"/>
      <c r="D122" s="30" t="n"/>
      <c r="E122">
        <f>IF(OR(A122="",B122=""),"",B122-A122)</f>
        <v/>
      </c>
      <c r="F122" s="30" t="n"/>
    </row>
    <row r="123">
      <c r="A123" s="31" t="n"/>
      <c r="B123" s="31" t="n"/>
      <c r="C123" s="30" t="n"/>
      <c r="D123" s="30" t="n"/>
      <c r="E123">
        <f>IF(OR(A123="",B123=""),"",B123-A123)</f>
        <v/>
      </c>
      <c r="F123" s="30" t="n"/>
    </row>
    <row r="124">
      <c r="A124" s="31" t="n"/>
      <c r="B124" s="31" t="n"/>
      <c r="C124" s="30" t="n"/>
      <c r="D124" s="30" t="n"/>
      <c r="E124">
        <f>IF(OR(A124="",B124=""),"",B124-A124)</f>
        <v/>
      </c>
      <c r="F124" s="30" t="n"/>
    </row>
    <row r="125">
      <c r="A125" s="31" t="n"/>
      <c r="B125" s="31" t="n"/>
      <c r="C125" s="30" t="n"/>
      <c r="D125" s="30" t="n"/>
      <c r="E125">
        <f>IF(OR(A125="",B125=""),"",B125-A125)</f>
        <v/>
      </c>
      <c r="F125" s="30" t="n"/>
    </row>
    <row r="126">
      <c r="A126" s="31" t="n"/>
      <c r="B126" s="31" t="n"/>
      <c r="C126" s="30" t="n"/>
      <c r="D126" s="30" t="n"/>
      <c r="E126">
        <f>IF(OR(A126="",B126=""),"",B126-A126)</f>
        <v/>
      </c>
      <c r="F126" s="30" t="n"/>
    </row>
    <row r="127">
      <c r="A127" s="31" t="n"/>
      <c r="B127" s="31" t="n"/>
      <c r="C127" s="30" t="n"/>
      <c r="D127" s="30" t="n"/>
      <c r="E127">
        <f>IF(OR(A127="",B127=""),"",B127-A127)</f>
        <v/>
      </c>
      <c r="F127" s="30" t="n"/>
    </row>
    <row r="128">
      <c r="A128" s="31" t="n"/>
      <c r="B128" s="31" t="n"/>
      <c r="C128" s="30" t="n"/>
      <c r="D128" s="30" t="n"/>
      <c r="E128">
        <f>IF(OR(A128="",B128=""),"",B128-A128)</f>
        <v/>
      </c>
      <c r="F128" s="30" t="n"/>
    </row>
    <row r="129">
      <c r="A129" s="31" t="n"/>
      <c r="B129" s="31" t="n"/>
      <c r="C129" s="30" t="n"/>
      <c r="D129" s="30" t="n"/>
      <c r="E129">
        <f>IF(OR(A129="",B129=""),"",B129-A129)</f>
        <v/>
      </c>
      <c r="F129" s="30" t="n"/>
    </row>
    <row r="130">
      <c r="A130" s="31" t="n"/>
      <c r="B130" s="31" t="n"/>
      <c r="C130" s="30" t="n"/>
      <c r="D130" s="30" t="n"/>
      <c r="E130">
        <f>IF(OR(A130="",B130=""),"",B130-A130)</f>
        <v/>
      </c>
      <c r="F130" s="30" t="n"/>
    </row>
    <row r="131">
      <c r="A131" s="31" t="n"/>
      <c r="B131" s="31" t="n"/>
      <c r="C131" s="30" t="n"/>
      <c r="D131" s="30" t="n"/>
      <c r="E131">
        <f>IF(OR(A131="",B131=""),"",B131-A131)</f>
        <v/>
      </c>
      <c r="F131" s="30" t="n"/>
    </row>
    <row r="132">
      <c r="A132" s="31" t="n"/>
      <c r="B132" s="31" t="n"/>
      <c r="C132" s="30" t="n"/>
      <c r="D132" s="30" t="n"/>
      <c r="E132">
        <f>IF(OR(A132="",B132=""),"",B132-A132)</f>
        <v/>
      </c>
      <c r="F132" s="30" t="n"/>
    </row>
    <row r="133">
      <c r="A133" s="31" t="n"/>
      <c r="B133" s="31" t="n"/>
      <c r="C133" s="30" t="n"/>
      <c r="D133" s="30" t="n"/>
      <c r="E133">
        <f>IF(OR(A133="",B133=""),"",B133-A133)</f>
        <v/>
      </c>
      <c r="F133" s="30" t="n"/>
    </row>
    <row r="134">
      <c r="A134" s="31" t="n"/>
      <c r="B134" s="31" t="n"/>
      <c r="C134" s="30" t="n"/>
      <c r="D134" s="30" t="n"/>
      <c r="E134">
        <f>IF(OR(A134="",B134=""),"",B134-A134)</f>
        <v/>
      </c>
      <c r="F134" s="30" t="n"/>
    </row>
    <row r="135">
      <c r="A135" s="31" t="n"/>
      <c r="B135" s="31" t="n"/>
      <c r="C135" s="30" t="n"/>
      <c r="D135" s="30" t="n"/>
      <c r="E135">
        <f>IF(OR(A135="",B135=""),"",B135-A135)</f>
        <v/>
      </c>
      <c r="F135" s="30" t="n"/>
    </row>
    <row r="136">
      <c r="A136" s="31" t="n"/>
      <c r="B136" s="31" t="n"/>
      <c r="C136" s="30" t="n"/>
      <c r="D136" s="30" t="n"/>
      <c r="E136">
        <f>IF(OR(A136="",B136=""),"",B136-A136)</f>
        <v/>
      </c>
      <c r="F136" s="30" t="n"/>
    </row>
    <row r="137">
      <c r="A137" s="31" t="n"/>
      <c r="B137" s="31" t="n"/>
      <c r="C137" s="30" t="n"/>
      <c r="D137" s="30" t="n"/>
      <c r="E137">
        <f>IF(OR(A137="",B137=""),"",B137-A137)</f>
        <v/>
      </c>
      <c r="F137" s="30" t="n"/>
    </row>
    <row r="138">
      <c r="A138" s="31" t="n"/>
      <c r="B138" s="31" t="n"/>
      <c r="C138" s="30" t="n"/>
      <c r="D138" s="30" t="n"/>
      <c r="E138">
        <f>IF(OR(A138="",B138=""),"",B138-A138)</f>
        <v/>
      </c>
      <c r="F138" s="30" t="n"/>
    </row>
    <row r="139">
      <c r="A139" s="31" t="n"/>
      <c r="B139" s="31" t="n"/>
      <c r="C139" s="30" t="n"/>
      <c r="D139" s="30" t="n"/>
      <c r="E139">
        <f>IF(OR(A139="",B139=""),"",B139-A139)</f>
        <v/>
      </c>
      <c r="F139" s="30" t="n"/>
    </row>
    <row r="140">
      <c r="A140" s="31" t="n"/>
      <c r="B140" s="31" t="n"/>
      <c r="C140" s="30" t="n"/>
      <c r="D140" s="30" t="n"/>
      <c r="E140">
        <f>IF(OR(A140="",B140=""),"",B140-A140)</f>
        <v/>
      </c>
      <c r="F140" s="30" t="n"/>
    </row>
    <row r="141">
      <c r="A141" s="31" t="n"/>
      <c r="B141" s="31" t="n"/>
      <c r="C141" s="30" t="n"/>
      <c r="D141" s="30" t="n"/>
      <c r="E141">
        <f>IF(OR(A141="",B141=""),"",B141-A141)</f>
        <v/>
      </c>
      <c r="F141" s="30" t="n"/>
    </row>
    <row r="142">
      <c r="A142" s="31" t="n"/>
      <c r="B142" s="31" t="n"/>
      <c r="C142" s="30" t="n"/>
      <c r="D142" s="30" t="n"/>
      <c r="E142">
        <f>IF(OR(A142="",B142=""),"",B142-A142)</f>
        <v/>
      </c>
      <c r="F142" s="30" t="n"/>
    </row>
    <row r="143">
      <c r="A143" s="31" t="n"/>
      <c r="B143" s="31" t="n"/>
      <c r="C143" s="30" t="n"/>
      <c r="D143" s="30" t="n"/>
      <c r="E143">
        <f>IF(OR(A143="",B143=""),"",B143-A143)</f>
        <v/>
      </c>
      <c r="F143" s="30" t="n"/>
    </row>
    <row r="144">
      <c r="A144" s="31" t="n"/>
      <c r="B144" s="31" t="n"/>
      <c r="C144" s="30" t="n"/>
      <c r="D144" s="30" t="n"/>
      <c r="E144">
        <f>IF(OR(A144="",B144=""),"",B144-A144)</f>
        <v/>
      </c>
      <c r="F144" s="30" t="n"/>
    </row>
    <row r="145">
      <c r="A145" s="31" t="n"/>
      <c r="B145" s="31" t="n"/>
      <c r="C145" s="30" t="n"/>
      <c r="D145" s="30" t="n"/>
      <c r="E145">
        <f>IF(OR(A145="",B145=""),"",B145-A145)</f>
        <v/>
      </c>
      <c r="F145" s="30" t="n"/>
    </row>
    <row r="146">
      <c r="A146" s="31" t="n"/>
      <c r="B146" s="31" t="n"/>
      <c r="C146" s="30" t="n"/>
      <c r="D146" s="30" t="n"/>
      <c r="E146">
        <f>IF(OR(A146="",B146=""),"",B146-A146)</f>
        <v/>
      </c>
      <c r="F146" s="30" t="n"/>
    </row>
    <row r="147">
      <c r="A147" s="31" t="n"/>
      <c r="B147" s="31" t="n"/>
      <c r="C147" s="30" t="n"/>
      <c r="D147" s="30" t="n"/>
      <c r="E147">
        <f>IF(OR(A147="",B147=""),"",B147-A147)</f>
        <v/>
      </c>
      <c r="F147" s="30" t="n"/>
    </row>
    <row r="148">
      <c r="A148" s="31" t="n"/>
      <c r="B148" s="31" t="n"/>
      <c r="C148" s="30" t="n"/>
      <c r="D148" s="30" t="n"/>
      <c r="E148">
        <f>IF(OR(A148="",B148=""),"",B148-A148)</f>
        <v/>
      </c>
      <c r="F148" s="30" t="n"/>
    </row>
    <row r="149">
      <c r="A149" s="31" t="n"/>
      <c r="B149" s="31" t="n"/>
      <c r="C149" s="30" t="n"/>
      <c r="D149" s="30" t="n"/>
      <c r="E149">
        <f>IF(OR(A149="",B149=""),"",B149-A149)</f>
        <v/>
      </c>
      <c r="F149" s="30" t="n"/>
    </row>
    <row r="150">
      <c r="A150" s="31" t="n"/>
      <c r="B150" s="31" t="n"/>
      <c r="C150" s="30" t="n"/>
      <c r="D150" s="30" t="n"/>
      <c r="E150">
        <f>IF(OR(A150="",B150=""),"",B150-A150)</f>
        <v/>
      </c>
      <c r="F150" s="30" t="n"/>
    </row>
    <row r="151">
      <c r="A151" s="31" t="n"/>
      <c r="B151" s="31" t="n"/>
      <c r="C151" s="30" t="n"/>
      <c r="D151" s="30" t="n"/>
      <c r="E151">
        <f>IF(OR(A151="",B151=""),"",B151-A151)</f>
        <v/>
      </c>
      <c r="F151" s="30" t="n"/>
    </row>
    <row r="152">
      <c r="A152" s="31" t="n"/>
      <c r="B152" s="31" t="n"/>
      <c r="C152" s="30" t="n"/>
      <c r="D152" s="30" t="n"/>
      <c r="E152">
        <f>IF(OR(A152="",B152=""),"",B152-A152)</f>
        <v/>
      </c>
      <c r="F152" s="30" t="n"/>
    </row>
    <row r="153">
      <c r="A153" s="31" t="n"/>
      <c r="B153" s="31" t="n"/>
      <c r="C153" s="30" t="n"/>
      <c r="D153" s="30" t="n"/>
      <c r="E153">
        <f>IF(OR(A153="",B153=""),"",B153-A153)</f>
        <v/>
      </c>
      <c r="F153" s="30" t="n"/>
    </row>
    <row r="154">
      <c r="A154" s="31" t="n"/>
      <c r="B154" s="31" t="n"/>
      <c r="C154" s="30" t="n"/>
      <c r="D154" s="30" t="n"/>
      <c r="E154">
        <f>IF(OR(A154="",B154=""),"",B154-A154)</f>
        <v/>
      </c>
      <c r="F154" s="30" t="n"/>
    </row>
    <row r="155">
      <c r="A155" s="31" t="n"/>
      <c r="B155" s="31" t="n"/>
      <c r="C155" s="30" t="n"/>
      <c r="D155" s="30" t="n"/>
      <c r="E155">
        <f>IF(OR(A155="",B155=""),"",B155-A155)</f>
        <v/>
      </c>
      <c r="F155" s="30" t="n"/>
    </row>
    <row r="156">
      <c r="A156" s="31" t="n"/>
      <c r="B156" s="31" t="n"/>
      <c r="C156" s="30" t="n"/>
      <c r="D156" s="30" t="n"/>
      <c r="E156">
        <f>IF(OR(A156="",B156=""),"",B156-A156)</f>
        <v/>
      </c>
      <c r="F156" s="30" t="n"/>
    </row>
    <row r="157">
      <c r="A157" s="31" t="n"/>
      <c r="B157" s="31" t="n"/>
      <c r="C157" s="30" t="n"/>
      <c r="D157" s="30" t="n"/>
      <c r="E157">
        <f>IF(OR(A157="",B157=""),"",B157-A157)</f>
        <v/>
      </c>
      <c r="F157" s="30" t="n"/>
    </row>
    <row r="158">
      <c r="A158" s="31" t="n"/>
      <c r="B158" s="31" t="n"/>
      <c r="C158" s="30" t="n"/>
      <c r="D158" s="30" t="n"/>
      <c r="E158">
        <f>IF(OR(A158="",B158=""),"",B158-A158)</f>
        <v/>
      </c>
      <c r="F158" s="30" t="n"/>
    </row>
    <row r="159">
      <c r="A159" s="31" t="n"/>
      <c r="B159" s="31" t="n"/>
      <c r="C159" s="30" t="n"/>
      <c r="D159" s="30" t="n"/>
      <c r="E159">
        <f>IF(OR(A159="",B159=""),"",B159-A159)</f>
        <v/>
      </c>
      <c r="F159" s="30" t="n"/>
    </row>
    <row r="160">
      <c r="A160" s="31" t="n"/>
      <c r="B160" s="31" t="n"/>
      <c r="C160" s="30" t="n"/>
      <c r="D160" s="30" t="n"/>
      <c r="E160">
        <f>IF(OR(A160="",B160=""),"",B160-A160)</f>
        <v/>
      </c>
      <c r="F160" s="30" t="n"/>
    </row>
    <row r="161">
      <c r="A161" s="31" t="n"/>
      <c r="B161" s="31" t="n"/>
      <c r="C161" s="30" t="n"/>
      <c r="D161" s="30" t="n"/>
      <c r="E161">
        <f>IF(OR(A161="",B161=""),"",B161-A161)</f>
        <v/>
      </c>
      <c r="F161" s="30" t="n"/>
    </row>
    <row r="162">
      <c r="A162" s="31" t="n"/>
      <c r="B162" s="31" t="n"/>
      <c r="C162" s="30" t="n"/>
      <c r="D162" s="30" t="n"/>
      <c r="E162">
        <f>IF(OR(A162="",B162=""),"",B162-A162)</f>
        <v/>
      </c>
      <c r="F162" s="30" t="n"/>
    </row>
    <row r="163">
      <c r="A163" s="31" t="n"/>
      <c r="B163" s="31" t="n"/>
      <c r="C163" s="30" t="n"/>
      <c r="D163" s="30" t="n"/>
      <c r="E163">
        <f>IF(OR(A163="",B163=""),"",B163-A163)</f>
        <v/>
      </c>
      <c r="F163" s="30" t="n"/>
    </row>
    <row r="164">
      <c r="A164" s="31" t="n"/>
      <c r="B164" s="31" t="n"/>
      <c r="C164" s="30" t="n"/>
      <c r="D164" s="30" t="n"/>
      <c r="E164">
        <f>IF(OR(A164="",B164=""),"",B164-A164)</f>
        <v/>
      </c>
      <c r="F164" s="30" t="n"/>
    </row>
    <row r="165">
      <c r="A165" s="31" t="n"/>
      <c r="B165" s="31" t="n"/>
      <c r="C165" s="30" t="n"/>
      <c r="D165" s="30" t="n"/>
      <c r="E165">
        <f>IF(OR(A165="",B165=""),"",B165-A165)</f>
        <v/>
      </c>
      <c r="F165" s="30" t="n"/>
    </row>
    <row r="166">
      <c r="A166" s="31" t="n"/>
      <c r="B166" s="31" t="n"/>
      <c r="C166" s="30" t="n"/>
      <c r="D166" s="30" t="n"/>
      <c r="E166">
        <f>IF(OR(A166="",B166=""),"",B166-A166)</f>
        <v/>
      </c>
      <c r="F166" s="30" t="n"/>
    </row>
    <row r="167">
      <c r="A167" s="31" t="n"/>
      <c r="B167" s="31" t="n"/>
      <c r="C167" s="30" t="n"/>
      <c r="D167" s="30" t="n"/>
      <c r="E167">
        <f>IF(OR(A167="",B167=""),"",B167-A167)</f>
        <v/>
      </c>
      <c r="F167" s="30" t="n"/>
    </row>
    <row r="168">
      <c r="A168" s="31" t="n"/>
      <c r="B168" s="31" t="n"/>
      <c r="C168" s="30" t="n"/>
      <c r="D168" s="30" t="n"/>
      <c r="E168">
        <f>IF(OR(A168="",B168=""),"",B168-A168)</f>
        <v/>
      </c>
      <c r="F168" s="30" t="n"/>
    </row>
    <row r="169">
      <c r="A169" s="31" t="n"/>
      <c r="B169" s="31" t="n"/>
      <c r="C169" s="30" t="n"/>
      <c r="D169" s="30" t="n"/>
      <c r="E169">
        <f>IF(OR(A169="",B169=""),"",B169-A169)</f>
        <v/>
      </c>
      <c r="F169" s="30" t="n"/>
    </row>
    <row r="170">
      <c r="A170" s="31" t="n"/>
      <c r="B170" s="31" t="n"/>
      <c r="C170" s="30" t="n"/>
      <c r="D170" s="30" t="n"/>
      <c r="E170">
        <f>IF(OR(A170="",B170=""),"",B170-A170)</f>
        <v/>
      </c>
      <c r="F170" s="30" t="n"/>
    </row>
    <row r="171">
      <c r="A171" s="31" t="n"/>
      <c r="B171" s="31" t="n"/>
      <c r="C171" s="30" t="n"/>
      <c r="D171" s="30" t="n"/>
      <c r="E171">
        <f>IF(OR(A171="",B171=""),"",B171-A171)</f>
        <v/>
      </c>
      <c r="F171" s="30" t="n"/>
    </row>
    <row r="172">
      <c r="A172" s="31" t="n"/>
      <c r="B172" s="31" t="n"/>
      <c r="C172" s="30" t="n"/>
      <c r="D172" s="30" t="n"/>
      <c r="E172">
        <f>IF(OR(A172="",B172=""),"",B172-A172)</f>
        <v/>
      </c>
      <c r="F172" s="30" t="n"/>
    </row>
    <row r="173">
      <c r="A173" s="31" t="n"/>
      <c r="B173" s="31" t="n"/>
      <c r="C173" s="30" t="n"/>
      <c r="D173" s="30" t="n"/>
      <c r="E173">
        <f>IF(OR(A173="",B173=""),"",B173-A173)</f>
        <v/>
      </c>
      <c r="F173" s="30" t="n"/>
    </row>
    <row r="174">
      <c r="A174" s="31" t="n"/>
      <c r="B174" s="31" t="n"/>
      <c r="C174" s="30" t="n"/>
      <c r="D174" s="30" t="n"/>
      <c r="E174">
        <f>IF(OR(A174="",B174=""),"",B174-A174)</f>
        <v/>
      </c>
      <c r="F174" s="30" t="n"/>
    </row>
    <row r="175">
      <c r="A175" s="31" t="n"/>
      <c r="B175" s="31" t="n"/>
      <c r="C175" s="30" t="n"/>
      <c r="D175" s="30" t="n"/>
      <c r="E175">
        <f>IF(OR(A175="",B175=""),"",B175-A175)</f>
        <v/>
      </c>
      <c r="F175" s="30" t="n"/>
    </row>
    <row r="176">
      <c r="A176" s="31" t="n"/>
      <c r="B176" s="31" t="n"/>
      <c r="C176" s="30" t="n"/>
      <c r="D176" s="30" t="n"/>
      <c r="E176">
        <f>IF(OR(A176="",B176=""),"",B176-A176)</f>
        <v/>
      </c>
      <c r="F176" s="30" t="n"/>
    </row>
    <row r="177">
      <c r="A177" s="31" t="n"/>
      <c r="B177" s="31" t="n"/>
      <c r="C177" s="30" t="n"/>
      <c r="D177" s="30" t="n"/>
      <c r="E177">
        <f>IF(OR(A177="",B177=""),"",B177-A177)</f>
        <v/>
      </c>
      <c r="F177" s="30" t="n"/>
    </row>
    <row r="178">
      <c r="A178" s="31" t="n"/>
      <c r="B178" s="31" t="n"/>
      <c r="C178" s="30" t="n"/>
      <c r="D178" s="30" t="n"/>
      <c r="E178">
        <f>IF(OR(A178="",B178=""),"",B178-A178)</f>
        <v/>
      </c>
      <c r="F178" s="30" t="n"/>
    </row>
    <row r="179">
      <c r="A179" s="31" t="n"/>
      <c r="B179" s="31" t="n"/>
      <c r="C179" s="30" t="n"/>
      <c r="D179" s="30" t="n"/>
      <c r="E179">
        <f>IF(OR(A179="",B179=""),"",B179-A179)</f>
        <v/>
      </c>
      <c r="F179" s="30" t="n"/>
    </row>
    <row r="180">
      <c r="A180" s="31" t="n"/>
      <c r="B180" s="31" t="n"/>
      <c r="C180" s="30" t="n"/>
      <c r="D180" s="30" t="n"/>
      <c r="E180">
        <f>IF(OR(A180="",B180=""),"",B180-A180)</f>
        <v/>
      </c>
      <c r="F180" s="30" t="n"/>
    </row>
    <row r="181">
      <c r="A181" s="31" t="n"/>
      <c r="B181" s="31" t="n"/>
      <c r="C181" s="30" t="n"/>
      <c r="D181" s="30" t="n"/>
      <c r="E181">
        <f>IF(OR(A181="",B181=""),"",B181-A181)</f>
        <v/>
      </c>
      <c r="F181" s="30" t="n"/>
    </row>
    <row r="182">
      <c r="A182" s="31" t="n"/>
      <c r="B182" s="31" t="n"/>
      <c r="C182" s="30" t="n"/>
      <c r="D182" s="30" t="n"/>
      <c r="E182">
        <f>IF(OR(A182="",B182=""),"",B182-A182)</f>
        <v/>
      </c>
      <c r="F182" s="30" t="n"/>
    </row>
    <row r="183">
      <c r="A183" s="31" t="n"/>
      <c r="B183" s="31" t="n"/>
      <c r="C183" s="30" t="n"/>
      <c r="D183" s="30" t="n"/>
      <c r="E183">
        <f>IF(OR(A183="",B183=""),"",B183-A183)</f>
        <v/>
      </c>
      <c r="F183" s="30" t="n"/>
    </row>
    <row r="184">
      <c r="A184" s="31" t="n"/>
      <c r="B184" s="31" t="n"/>
      <c r="C184" s="30" t="n"/>
      <c r="D184" s="30" t="n"/>
      <c r="E184">
        <f>IF(OR(A184="",B184=""),"",B184-A184)</f>
        <v/>
      </c>
      <c r="F184" s="30" t="n"/>
    </row>
    <row r="185">
      <c r="A185" s="31" t="n"/>
      <c r="B185" s="31" t="n"/>
      <c r="C185" s="30" t="n"/>
      <c r="D185" s="30" t="n"/>
      <c r="E185">
        <f>IF(OR(A185="",B185=""),"",B185-A185)</f>
        <v/>
      </c>
      <c r="F185" s="30" t="n"/>
    </row>
    <row r="186">
      <c r="A186" s="31" t="n"/>
      <c r="B186" s="31" t="n"/>
      <c r="C186" s="30" t="n"/>
      <c r="D186" s="30" t="n"/>
      <c r="E186">
        <f>IF(OR(A186="",B186=""),"",B186-A186)</f>
        <v/>
      </c>
      <c r="F186" s="30" t="n"/>
    </row>
    <row r="187">
      <c r="A187" s="31" t="n"/>
      <c r="B187" s="31" t="n"/>
      <c r="C187" s="30" t="n"/>
      <c r="D187" s="30" t="n"/>
      <c r="E187">
        <f>IF(OR(A187="",B187=""),"",B187-A187)</f>
        <v/>
      </c>
      <c r="F187" s="30" t="n"/>
    </row>
    <row r="188">
      <c r="A188" s="31" t="n"/>
      <c r="B188" s="31" t="n"/>
      <c r="C188" s="30" t="n"/>
      <c r="D188" s="30" t="n"/>
      <c r="E188">
        <f>IF(OR(A188="",B188=""),"",B188-A188)</f>
        <v/>
      </c>
      <c r="F188" s="30" t="n"/>
    </row>
    <row r="189">
      <c r="A189" s="31" t="n"/>
      <c r="B189" s="31" t="n"/>
      <c r="C189" s="30" t="n"/>
      <c r="D189" s="30" t="n"/>
      <c r="E189">
        <f>IF(OR(A189="",B189=""),"",B189-A189)</f>
        <v/>
      </c>
      <c r="F189" s="30" t="n"/>
    </row>
    <row r="190">
      <c r="A190" s="31" t="n"/>
      <c r="B190" s="31" t="n"/>
      <c r="C190" s="30" t="n"/>
      <c r="D190" s="30" t="n"/>
      <c r="E190">
        <f>IF(OR(A190="",B190=""),"",B190-A190)</f>
        <v/>
      </c>
      <c r="F190" s="30" t="n"/>
    </row>
    <row r="191">
      <c r="A191" s="31" t="n"/>
      <c r="B191" s="31" t="n"/>
      <c r="C191" s="30" t="n"/>
      <c r="D191" s="30" t="n"/>
      <c r="E191">
        <f>IF(OR(A191="",B191=""),"",B191-A191)</f>
        <v/>
      </c>
      <c r="F191" s="30" t="n"/>
    </row>
    <row r="192">
      <c r="A192" s="31" t="n"/>
      <c r="B192" s="31" t="n"/>
      <c r="C192" s="30" t="n"/>
      <c r="D192" s="30" t="n"/>
      <c r="E192">
        <f>IF(OR(A192="",B192=""),"",B192-A192)</f>
        <v/>
      </c>
      <c r="F192" s="30" t="n"/>
    </row>
    <row r="193">
      <c r="A193" s="31" t="n"/>
      <c r="B193" s="31" t="n"/>
      <c r="C193" s="30" t="n"/>
      <c r="D193" s="30" t="n"/>
      <c r="E193">
        <f>IF(OR(A193="",B193=""),"",B193-A193)</f>
        <v/>
      </c>
      <c r="F193" s="30" t="n"/>
    </row>
    <row r="194">
      <c r="A194" s="31" t="n"/>
      <c r="B194" s="31" t="n"/>
      <c r="C194" s="30" t="n"/>
      <c r="D194" s="30" t="n"/>
      <c r="E194">
        <f>IF(OR(A194="",B194=""),"",B194-A194)</f>
        <v/>
      </c>
      <c r="F194" s="30" t="n"/>
    </row>
    <row r="195">
      <c r="A195" s="31" t="n"/>
      <c r="B195" s="31" t="n"/>
      <c r="C195" s="30" t="n"/>
      <c r="D195" s="30" t="n"/>
      <c r="E195">
        <f>IF(OR(A195="",B195=""),"",B195-A195)</f>
        <v/>
      </c>
      <c r="F195" s="30" t="n"/>
    </row>
    <row r="196">
      <c r="A196" s="31" t="n"/>
      <c r="B196" s="31" t="n"/>
      <c r="C196" s="30" t="n"/>
      <c r="D196" s="30" t="n"/>
      <c r="E196">
        <f>IF(OR(A196="",B196=""),"",B196-A196)</f>
        <v/>
      </c>
      <c r="F196" s="30" t="n"/>
    </row>
    <row r="197">
      <c r="A197" s="31" t="n"/>
      <c r="B197" s="31" t="n"/>
      <c r="C197" s="30" t="n"/>
      <c r="D197" s="30" t="n"/>
      <c r="E197">
        <f>IF(OR(A197="",B197=""),"",B197-A197)</f>
        <v/>
      </c>
      <c r="F197" s="30" t="n"/>
    </row>
    <row r="198">
      <c r="A198" s="31" t="n"/>
      <c r="B198" s="31" t="n"/>
      <c r="C198" s="30" t="n"/>
      <c r="D198" s="30" t="n"/>
      <c r="E198">
        <f>IF(OR(A198="",B198=""),"",B198-A198)</f>
        <v/>
      </c>
      <c r="F198" s="30" t="n"/>
    </row>
    <row r="199">
      <c r="A199" s="31" t="n"/>
      <c r="B199" s="31" t="n"/>
      <c r="C199" s="30" t="n"/>
      <c r="D199" s="30" t="n"/>
      <c r="E199">
        <f>IF(OR(A199="",B199=""),"",B199-A199)</f>
        <v/>
      </c>
      <c r="F199" s="30" t="n"/>
    </row>
    <row r="200">
      <c r="A200" s="31" t="n"/>
      <c r="B200" s="31" t="n"/>
      <c r="C200" s="30" t="n"/>
      <c r="D200" s="30" t="n"/>
      <c r="E200">
        <f>IF(OR(A200="",B200=""),"",B200-A200)</f>
        <v/>
      </c>
      <c r="F200" s="30" t="n"/>
    </row>
    <row r="201">
      <c r="A201" s="31" t="n"/>
      <c r="B201" s="31" t="n"/>
      <c r="C201" s="30" t="n"/>
      <c r="D201" s="30" t="n"/>
      <c r="E201">
        <f>IF(OR(A201="",B201=""),"",B201-A201)</f>
        <v/>
      </c>
      <c r="F201" s="30" t="n"/>
    </row>
    <row r="202">
      <c r="A202" s="31" t="n"/>
      <c r="B202" s="31" t="n"/>
      <c r="C202" s="30" t="n"/>
      <c r="D202" s="30" t="n"/>
      <c r="E202">
        <f>IF(OR(A202="",B202=""),"",B202-A202)</f>
        <v/>
      </c>
      <c r="F202" s="30" t="n"/>
    </row>
    <row r="203">
      <c r="A203" s="31" t="n"/>
      <c r="B203" s="31" t="n"/>
      <c r="C203" s="30" t="n"/>
      <c r="D203" s="30" t="n"/>
      <c r="E203">
        <f>IF(OR(A203="",B203=""),"",B203-A203)</f>
        <v/>
      </c>
      <c r="F203" s="30" t="n"/>
    </row>
    <row r="204">
      <c r="A204" s="31" t="n"/>
      <c r="B204" s="31" t="n"/>
      <c r="C204" s="30" t="n"/>
      <c r="D204" s="30" t="n"/>
      <c r="E204">
        <f>IF(OR(A204="",B204=""),"",B204-A204)</f>
        <v/>
      </c>
      <c r="F204" s="30" t="n"/>
    </row>
    <row r="205">
      <c r="A205" s="31" t="n"/>
      <c r="B205" s="31" t="n"/>
      <c r="C205" s="30" t="n"/>
      <c r="D205" s="30" t="n"/>
      <c r="E205">
        <f>IF(OR(A205="",B205=""),"",B205-A205)</f>
        <v/>
      </c>
      <c r="F205" s="30" t="n"/>
    </row>
    <row r="206">
      <c r="A206" s="31" t="n"/>
      <c r="B206" s="31" t="n"/>
      <c r="C206" s="30" t="n"/>
      <c r="D206" s="30" t="n"/>
      <c r="E206">
        <f>IF(OR(A206="",B206=""),"",B206-A206)</f>
        <v/>
      </c>
      <c r="F206" s="30" t="n"/>
    </row>
    <row r="207">
      <c r="A207" s="31" t="n"/>
      <c r="B207" s="31" t="n"/>
      <c r="C207" s="30" t="n"/>
      <c r="D207" s="30" t="n"/>
      <c r="E207">
        <f>IF(OR(A207="",B207=""),"",B207-A207)</f>
        <v/>
      </c>
      <c r="F207" s="30" t="n"/>
    </row>
    <row r="208">
      <c r="A208" s="31" t="n"/>
      <c r="B208" s="31" t="n"/>
      <c r="C208" s="30" t="n"/>
      <c r="D208" s="30" t="n"/>
      <c r="E208">
        <f>IF(OR(A208="",B208=""),"",B208-A208)</f>
        <v/>
      </c>
      <c r="F208" s="30" t="n"/>
    </row>
    <row r="209">
      <c r="A209" s="31" t="n"/>
      <c r="B209" s="31" t="n"/>
      <c r="C209" s="30" t="n"/>
      <c r="D209" s="30" t="n"/>
      <c r="E209">
        <f>IF(OR(A209="",B209=""),"",B209-A209)</f>
        <v/>
      </c>
      <c r="F209" s="30" t="n"/>
    </row>
    <row r="210">
      <c r="A210" s="31" t="n"/>
      <c r="B210" s="31" t="n"/>
      <c r="C210" s="30" t="n"/>
      <c r="D210" s="30" t="n"/>
      <c r="E210">
        <f>IF(OR(A210="",B210=""),"",B210-A210)</f>
        <v/>
      </c>
      <c r="F210" s="30" t="n"/>
    </row>
    <row r="211">
      <c r="A211" s="31" t="n"/>
      <c r="B211" s="31" t="n"/>
      <c r="C211" s="30" t="n"/>
      <c r="D211" s="30" t="n"/>
      <c r="E211">
        <f>IF(OR(A211="",B211=""),"",B211-A211)</f>
        <v/>
      </c>
      <c r="F211" s="30" t="n"/>
    </row>
    <row r="212">
      <c r="A212" s="31" t="n"/>
      <c r="B212" s="31" t="n"/>
      <c r="C212" s="30" t="n"/>
      <c r="D212" s="30" t="n"/>
      <c r="E212">
        <f>IF(OR(A212="",B212=""),"",B212-A212)</f>
        <v/>
      </c>
      <c r="F212" s="30" t="n"/>
    </row>
    <row r="213">
      <c r="A213" s="31" t="n"/>
      <c r="B213" s="31" t="n"/>
      <c r="C213" s="30" t="n"/>
      <c r="D213" s="30" t="n"/>
      <c r="E213">
        <f>IF(OR(A213="",B213=""),"",B213-A213)</f>
        <v/>
      </c>
      <c r="F213" s="30" t="n"/>
    </row>
    <row r="214">
      <c r="A214" s="31" t="n"/>
      <c r="B214" s="31" t="n"/>
      <c r="C214" s="30" t="n"/>
      <c r="D214" s="30" t="n"/>
      <c r="E214">
        <f>IF(OR(A214="",B214=""),"",B214-A214)</f>
        <v/>
      </c>
      <c r="F214" s="30" t="n"/>
    </row>
    <row r="215">
      <c r="A215" s="31" t="n"/>
      <c r="B215" s="31" t="n"/>
      <c r="C215" s="30" t="n"/>
      <c r="D215" s="30" t="n"/>
      <c r="E215">
        <f>IF(OR(A215="",B215=""),"",B215-A215)</f>
        <v/>
      </c>
      <c r="F215" s="30" t="n"/>
    </row>
    <row r="216">
      <c r="A216" s="31" t="n"/>
      <c r="B216" s="31" t="n"/>
      <c r="C216" s="30" t="n"/>
      <c r="D216" s="30" t="n"/>
      <c r="E216">
        <f>IF(OR(A216="",B216=""),"",B216-A216)</f>
        <v/>
      </c>
      <c r="F216" s="30" t="n"/>
    </row>
    <row r="217">
      <c r="A217" s="31" t="n"/>
      <c r="B217" s="31" t="n"/>
      <c r="C217" s="30" t="n"/>
      <c r="D217" s="30" t="n"/>
      <c r="E217">
        <f>IF(OR(A217="",B217=""),"",B217-A217)</f>
        <v/>
      </c>
      <c r="F217" s="30" t="n"/>
    </row>
    <row r="218">
      <c r="A218" s="31" t="n"/>
      <c r="B218" s="31" t="n"/>
      <c r="C218" s="30" t="n"/>
      <c r="D218" s="30" t="n"/>
      <c r="E218">
        <f>IF(OR(A218="",B218=""),"",B218-A218)</f>
        <v/>
      </c>
      <c r="F218" s="30" t="n"/>
    </row>
    <row r="219">
      <c r="A219" s="31" t="n"/>
      <c r="B219" s="31" t="n"/>
      <c r="C219" s="30" t="n"/>
      <c r="D219" s="30" t="n"/>
      <c r="E219">
        <f>IF(OR(A219="",B219=""),"",B219-A219)</f>
        <v/>
      </c>
      <c r="F219" s="30" t="n"/>
    </row>
    <row r="220">
      <c r="A220" s="31" t="n"/>
      <c r="B220" s="31" t="n"/>
      <c r="C220" s="30" t="n"/>
      <c r="D220" s="30" t="n"/>
      <c r="E220">
        <f>IF(OR(A220="",B220=""),"",B220-A220)</f>
        <v/>
      </c>
      <c r="F220" s="30" t="n"/>
    </row>
    <row r="221">
      <c r="A221" s="31" t="n"/>
      <c r="B221" s="31" t="n"/>
      <c r="C221" s="30" t="n"/>
      <c r="D221" s="30" t="n"/>
      <c r="E221">
        <f>IF(OR(A221="",B221=""),"",B221-A221)</f>
        <v/>
      </c>
      <c r="F221" s="30" t="n"/>
    </row>
    <row r="222">
      <c r="A222" s="31" t="n"/>
      <c r="B222" s="31" t="n"/>
      <c r="C222" s="30" t="n"/>
      <c r="D222" s="30" t="n"/>
      <c r="E222">
        <f>IF(OR(A222="",B222=""),"",B222-A222)</f>
        <v/>
      </c>
      <c r="F222" s="30" t="n"/>
    </row>
    <row r="223">
      <c r="A223" s="31" t="n"/>
      <c r="B223" s="31" t="n"/>
      <c r="C223" s="30" t="n"/>
      <c r="D223" s="30" t="n"/>
      <c r="E223">
        <f>IF(OR(A223="",B223=""),"",B223-A223)</f>
        <v/>
      </c>
      <c r="F223" s="30" t="n"/>
    </row>
    <row r="224">
      <c r="A224" s="31" t="n"/>
      <c r="B224" s="31" t="n"/>
      <c r="C224" s="30" t="n"/>
      <c r="D224" s="30" t="n"/>
      <c r="E224">
        <f>IF(OR(A224="",B224=""),"",B224-A224)</f>
        <v/>
      </c>
      <c r="F224" s="30" t="n"/>
    </row>
    <row r="225">
      <c r="A225" s="31" t="n"/>
      <c r="B225" s="31" t="n"/>
      <c r="C225" s="30" t="n"/>
      <c r="D225" s="30" t="n"/>
      <c r="E225">
        <f>IF(OR(A225="",B225=""),"",B225-A225)</f>
        <v/>
      </c>
      <c r="F225" s="30" t="n"/>
    </row>
    <row r="226">
      <c r="A226" s="31" t="n"/>
      <c r="B226" s="31" t="n"/>
      <c r="C226" s="30" t="n"/>
      <c r="D226" s="30" t="n"/>
      <c r="E226">
        <f>IF(OR(A226="",B226=""),"",B226-A226)</f>
        <v/>
      </c>
      <c r="F226" s="30" t="n"/>
    </row>
    <row r="227">
      <c r="A227" s="31" t="n"/>
      <c r="B227" s="31" t="n"/>
      <c r="C227" s="30" t="n"/>
      <c r="D227" s="30" t="n"/>
      <c r="E227">
        <f>IF(OR(A227="",B227=""),"",B227-A227)</f>
        <v/>
      </c>
      <c r="F227" s="30" t="n"/>
    </row>
    <row r="228">
      <c r="A228" s="31" t="n"/>
      <c r="B228" s="31" t="n"/>
      <c r="C228" s="30" t="n"/>
      <c r="D228" s="30" t="n"/>
      <c r="E228">
        <f>IF(OR(A228="",B228=""),"",B228-A228)</f>
        <v/>
      </c>
      <c r="F228" s="30" t="n"/>
    </row>
    <row r="229">
      <c r="A229" s="31" t="n"/>
      <c r="B229" s="31" t="n"/>
      <c r="C229" s="30" t="n"/>
      <c r="D229" s="30" t="n"/>
      <c r="E229">
        <f>IF(OR(A229="",B229=""),"",B229-A229)</f>
        <v/>
      </c>
      <c r="F229" s="30" t="n"/>
    </row>
    <row r="230">
      <c r="A230" s="31" t="n"/>
      <c r="B230" s="31" t="n"/>
      <c r="C230" s="30" t="n"/>
      <c r="D230" s="30" t="n"/>
      <c r="E230">
        <f>IF(OR(A230="",B230=""),"",B230-A230)</f>
        <v/>
      </c>
      <c r="F230" s="30" t="n"/>
    </row>
    <row r="231">
      <c r="A231" s="31" t="n"/>
      <c r="B231" s="31" t="n"/>
      <c r="C231" s="30" t="n"/>
      <c r="D231" s="30" t="n"/>
      <c r="E231">
        <f>IF(OR(A231="",B231=""),"",B231-A231)</f>
        <v/>
      </c>
      <c r="F231" s="30" t="n"/>
    </row>
    <row r="232">
      <c r="A232" s="31" t="n"/>
      <c r="B232" s="31" t="n"/>
      <c r="C232" s="30" t="n"/>
      <c r="D232" s="30" t="n"/>
      <c r="E232">
        <f>IF(OR(A232="",B232=""),"",B232-A232)</f>
        <v/>
      </c>
      <c r="F232" s="30" t="n"/>
    </row>
    <row r="233">
      <c r="A233" s="31" t="n"/>
      <c r="B233" s="31" t="n"/>
      <c r="C233" s="30" t="n"/>
      <c r="D233" s="30" t="n"/>
      <c r="E233">
        <f>IF(OR(A233="",B233=""),"",B233-A233)</f>
        <v/>
      </c>
      <c r="F233" s="30" t="n"/>
    </row>
    <row r="234">
      <c r="A234" s="31" t="n"/>
      <c r="B234" s="31" t="n"/>
      <c r="C234" s="30" t="n"/>
      <c r="D234" s="30" t="n"/>
      <c r="E234">
        <f>IF(OR(A234="",B234=""),"",B234-A234)</f>
        <v/>
      </c>
      <c r="F234" s="30" t="n"/>
    </row>
    <row r="235">
      <c r="A235" s="31" t="n"/>
      <c r="B235" s="31" t="n"/>
      <c r="C235" s="30" t="n"/>
      <c r="D235" s="30" t="n"/>
      <c r="E235">
        <f>IF(OR(A235="",B235=""),"",B235-A235)</f>
        <v/>
      </c>
      <c r="F235" s="30" t="n"/>
    </row>
    <row r="236">
      <c r="A236" s="31" t="n"/>
      <c r="B236" s="31" t="n"/>
      <c r="C236" s="30" t="n"/>
      <c r="D236" s="30" t="n"/>
      <c r="E236">
        <f>IF(OR(A236="",B236=""),"",B236-A236)</f>
        <v/>
      </c>
      <c r="F236" s="30" t="n"/>
    </row>
    <row r="237">
      <c r="A237" s="31" t="n"/>
      <c r="B237" s="31" t="n"/>
      <c r="C237" s="30" t="n"/>
      <c r="D237" s="30" t="n"/>
      <c r="E237">
        <f>IF(OR(A237="",B237=""),"",B237-A237)</f>
        <v/>
      </c>
      <c r="F237" s="30" t="n"/>
    </row>
    <row r="238">
      <c r="A238" s="31" t="n"/>
      <c r="B238" s="31" t="n"/>
      <c r="C238" s="30" t="n"/>
      <c r="D238" s="30" t="n"/>
      <c r="E238">
        <f>IF(OR(A238="",B238=""),"",B238-A238)</f>
        <v/>
      </c>
      <c r="F238" s="30" t="n"/>
    </row>
    <row r="239">
      <c r="A239" s="31" t="n"/>
      <c r="B239" s="31" t="n"/>
      <c r="C239" s="30" t="n"/>
      <c r="D239" s="30" t="n"/>
      <c r="E239">
        <f>IF(OR(A239="",B239=""),"",B239-A239)</f>
        <v/>
      </c>
      <c r="F239" s="30" t="n"/>
    </row>
    <row r="240">
      <c r="A240" s="31" t="n"/>
      <c r="B240" s="31" t="n"/>
      <c r="C240" s="30" t="n"/>
      <c r="D240" s="30" t="n"/>
      <c r="E240">
        <f>IF(OR(A240="",B240=""),"",B240-A240)</f>
        <v/>
      </c>
      <c r="F240" s="30" t="n"/>
    </row>
    <row r="241">
      <c r="A241" s="31" t="n"/>
      <c r="B241" s="31" t="n"/>
      <c r="C241" s="30" t="n"/>
      <c r="D241" s="30" t="n"/>
      <c r="E241">
        <f>IF(OR(A241="",B241=""),"",B241-A241)</f>
        <v/>
      </c>
      <c r="F241" s="30" t="n"/>
    </row>
    <row r="242">
      <c r="A242" s="31" t="n"/>
      <c r="B242" s="31" t="n"/>
      <c r="C242" s="30" t="n"/>
      <c r="D242" s="30" t="n"/>
      <c r="E242">
        <f>IF(OR(A242="",B242=""),"",B242-A242)</f>
        <v/>
      </c>
      <c r="F242" s="30" t="n"/>
    </row>
    <row r="243">
      <c r="A243" s="31" t="n"/>
      <c r="B243" s="31" t="n"/>
      <c r="C243" s="30" t="n"/>
      <c r="D243" s="30" t="n"/>
      <c r="E243">
        <f>IF(OR(A243="",B243=""),"",B243-A243)</f>
        <v/>
      </c>
      <c r="F243" s="30" t="n"/>
    </row>
    <row r="244">
      <c r="A244" s="31" t="n"/>
      <c r="B244" s="31" t="n"/>
      <c r="C244" s="30" t="n"/>
      <c r="D244" s="30" t="n"/>
      <c r="E244">
        <f>IF(OR(A244="",B244=""),"",B244-A244)</f>
        <v/>
      </c>
      <c r="F244" s="30" t="n"/>
    </row>
    <row r="245">
      <c r="A245" s="31" t="n"/>
      <c r="B245" s="31" t="n"/>
      <c r="C245" s="30" t="n"/>
      <c r="D245" s="30" t="n"/>
      <c r="E245">
        <f>IF(OR(A245="",B245=""),"",B245-A245)</f>
        <v/>
      </c>
      <c r="F245" s="30" t="n"/>
    </row>
    <row r="246">
      <c r="A246" s="31" t="n"/>
      <c r="B246" s="31" t="n"/>
      <c r="C246" s="30" t="n"/>
      <c r="D246" s="30" t="n"/>
      <c r="E246">
        <f>IF(OR(A246="",B246=""),"",B246-A246)</f>
        <v/>
      </c>
      <c r="F246" s="30" t="n"/>
    </row>
    <row r="247">
      <c r="A247" s="31" t="n"/>
      <c r="B247" s="31" t="n"/>
      <c r="C247" s="30" t="n"/>
      <c r="D247" s="30" t="n"/>
      <c r="E247">
        <f>IF(OR(A247="",B247=""),"",B247-A247)</f>
        <v/>
      </c>
      <c r="F247" s="30" t="n"/>
    </row>
    <row r="248">
      <c r="A248" s="31" t="n"/>
      <c r="B248" s="31" t="n"/>
      <c r="C248" s="30" t="n"/>
      <c r="D248" s="30" t="n"/>
      <c r="E248">
        <f>IF(OR(A248="",B248=""),"",B248-A248)</f>
        <v/>
      </c>
      <c r="F248" s="30" t="n"/>
    </row>
    <row r="249">
      <c r="A249" s="31" t="n"/>
      <c r="B249" s="31" t="n"/>
      <c r="C249" s="30" t="n"/>
      <c r="D249" s="30" t="n"/>
      <c r="E249">
        <f>IF(OR(A249="",B249=""),"",B249-A249)</f>
        <v/>
      </c>
      <c r="F249" s="30" t="n"/>
    </row>
    <row r="250">
      <c r="A250" s="31" t="n"/>
      <c r="B250" s="31" t="n"/>
      <c r="C250" s="30" t="n"/>
      <c r="D250" s="30" t="n"/>
      <c r="E250">
        <f>IF(OR(A250="",B250=""),"",B250-A250)</f>
        <v/>
      </c>
      <c r="F250" s="30" t="n"/>
    </row>
    <row r="251">
      <c r="A251" s="31" t="n"/>
      <c r="B251" s="31" t="n"/>
      <c r="C251" s="30" t="n"/>
      <c r="D251" s="30" t="n"/>
      <c r="E251">
        <f>IF(OR(A251="",B251=""),"",B251-A251)</f>
        <v/>
      </c>
      <c r="F251" s="30" t="n"/>
    </row>
    <row r="252">
      <c r="A252" s="31" t="n"/>
      <c r="B252" s="31" t="n"/>
      <c r="C252" s="30" t="n"/>
      <c r="D252" s="30" t="n"/>
      <c r="E252">
        <f>IF(OR(A252="",B252=""),"",B252-A252)</f>
        <v/>
      </c>
      <c r="F252" s="30" t="n"/>
    </row>
    <row r="253">
      <c r="A253" s="31" t="n"/>
      <c r="B253" s="31" t="n"/>
      <c r="C253" s="30" t="n"/>
      <c r="D253" s="30" t="n"/>
      <c r="E253">
        <f>IF(OR(A253="",B253=""),"",B253-A253)</f>
        <v/>
      </c>
      <c r="F253" s="30" t="n"/>
    </row>
    <row r="254">
      <c r="A254" s="31" t="n"/>
      <c r="B254" s="31" t="n"/>
      <c r="C254" s="30" t="n"/>
      <c r="D254" s="30" t="n"/>
      <c r="E254">
        <f>IF(OR(A254="",B254=""),"",B254-A254)</f>
        <v/>
      </c>
      <c r="F254" s="30" t="n"/>
    </row>
    <row r="255">
      <c r="A255" s="31" t="n"/>
      <c r="B255" s="31" t="n"/>
      <c r="C255" s="30" t="n"/>
      <c r="D255" s="30" t="n"/>
      <c r="E255">
        <f>IF(OR(A255="",B255=""),"",B255-A255)</f>
        <v/>
      </c>
      <c r="F255" s="30" t="n"/>
    </row>
    <row r="256">
      <c r="A256" s="31" t="n"/>
      <c r="B256" s="31" t="n"/>
      <c r="C256" s="30" t="n"/>
      <c r="D256" s="30" t="n"/>
      <c r="E256">
        <f>IF(OR(A256="",B256=""),"",B256-A256)</f>
        <v/>
      </c>
      <c r="F256" s="30" t="n"/>
    </row>
    <row r="257">
      <c r="A257" s="31" t="n"/>
      <c r="B257" s="31" t="n"/>
      <c r="C257" s="30" t="n"/>
      <c r="D257" s="30" t="n"/>
      <c r="E257">
        <f>IF(OR(A257="",B257=""),"",B257-A257)</f>
        <v/>
      </c>
      <c r="F257" s="30" t="n"/>
    </row>
    <row r="258">
      <c r="A258" s="31" t="n"/>
      <c r="B258" s="31" t="n"/>
      <c r="C258" s="30" t="n"/>
      <c r="D258" s="30" t="n"/>
      <c r="E258">
        <f>IF(OR(A258="",B258=""),"",B258-A258)</f>
        <v/>
      </c>
      <c r="F258" s="30" t="n"/>
    </row>
    <row r="259">
      <c r="A259" s="31" t="n"/>
      <c r="B259" s="31" t="n"/>
      <c r="C259" s="30" t="n"/>
      <c r="D259" s="30" t="n"/>
      <c r="E259">
        <f>IF(OR(A259="",B259=""),"",B259-A259)</f>
        <v/>
      </c>
      <c r="F259" s="30" t="n"/>
    </row>
    <row r="260">
      <c r="A260" s="31" t="n"/>
      <c r="B260" s="31" t="n"/>
      <c r="C260" s="30" t="n"/>
      <c r="D260" s="30" t="n"/>
      <c r="E260">
        <f>IF(OR(A260="",B260=""),"",B260-A260)</f>
        <v/>
      </c>
      <c r="F260" s="30" t="n"/>
    </row>
    <row r="261">
      <c r="A261" s="31" t="n"/>
      <c r="B261" s="31" t="n"/>
      <c r="C261" s="30" t="n"/>
      <c r="D261" s="30" t="n"/>
      <c r="E261">
        <f>IF(OR(A261="",B261=""),"",B261-A261)</f>
        <v/>
      </c>
      <c r="F261" s="30" t="n"/>
    </row>
    <row r="262">
      <c r="A262" s="31" t="n"/>
      <c r="B262" s="31" t="n"/>
      <c r="C262" s="30" t="n"/>
      <c r="D262" s="30" t="n"/>
      <c r="E262">
        <f>IF(OR(A262="",B262=""),"",B262-A262)</f>
        <v/>
      </c>
      <c r="F262" s="30" t="n"/>
    </row>
    <row r="263">
      <c r="A263" s="31" t="n"/>
      <c r="B263" s="31" t="n"/>
      <c r="C263" s="30" t="n"/>
      <c r="D263" s="30" t="n"/>
      <c r="E263">
        <f>IF(OR(A263="",B263=""),"",B263-A263)</f>
        <v/>
      </c>
      <c r="F263" s="30" t="n"/>
    </row>
    <row r="264">
      <c r="A264" s="31" t="n"/>
      <c r="B264" s="31" t="n"/>
      <c r="C264" s="30" t="n"/>
      <c r="D264" s="30" t="n"/>
      <c r="E264">
        <f>IF(OR(A264="",B264=""),"",B264-A264)</f>
        <v/>
      </c>
      <c r="F264" s="30" t="n"/>
    </row>
    <row r="265">
      <c r="A265" s="31" t="n"/>
      <c r="B265" s="31" t="n"/>
      <c r="C265" s="30" t="n"/>
      <c r="D265" s="30" t="n"/>
      <c r="E265">
        <f>IF(OR(A265="",B265=""),"",B265-A265)</f>
        <v/>
      </c>
      <c r="F265" s="30" t="n"/>
    </row>
    <row r="266">
      <c r="A266" s="31" t="n"/>
      <c r="B266" s="31" t="n"/>
      <c r="C266" s="30" t="n"/>
      <c r="D266" s="30" t="n"/>
      <c r="E266">
        <f>IF(OR(A266="",B266=""),"",B266-A266)</f>
        <v/>
      </c>
      <c r="F266" s="30" t="n"/>
    </row>
    <row r="267">
      <c r="A267" s="31" t="n"/>
      <c r="B267" s="31" t="n"/>
      <c r="C267" s="30" t="n"/>
      <c r="D267" s="30" t="n"/>
      <c r="E267">
        <f>IF(OR(A267="",B267=""),"",B267-A267)</f>
        <v/>
      </c>
      <c r="F267" s="30" t="n"/>
    </row>
    <row r="268">
      <c r="A268" s="31" t="n"/>
      <c r="B268" s="31" t="n"/>
      <c r="C268" s="30" t="n"/>
      <c r="D268" s="30" t="n"/>
      <c r="E268">
        <f>IF(OR(A268="",B268=""),"",B268-A268)</f>
        <v/>
      </c>
      <c r="F268" s="30" t="n"/>
    </row>
    <row r="269">
      <c r="A269" s="31" t="n"/>
      <c r="B269" s="31" t="n"/>
      <c r="C269" s="30" t="n"/>
      <c r="D269" s="30" t="n"/>
      <c r="E269">
        <f>IF(OR(A269="",B269=""),"",B269-A269)</f>
        <v/>
      </c>
      <c r="F269" s="30" t="n"/>
    </row>
    <row r="270">
      <c r="A270" s="31" t="n"/>
      <c r="B270" s="31" t="n"/>
      <c r="C270" s="30" t="n"/>
      <c r="D270" s="30" t="n"/>
      <c r="E270">
        <f>IF(OR(A270="",B270=""),"",B270-A270)</f>
        <v/>
      </c>
      <c r="F270" s="30" t="n"/>
    </row>
    <row r="271">
      <c r="A271" s="31" t="n"/>
      <c r="B271" s="31" t="n"/>
      <c r="C271" s="30" t="n"/>
      <c r="D271" s="30" t="n"/>
      <c r="E271">
        <f>IF(OR(A271="",B271=""),"",B271-A271)</f>
        <v/>
      </c>
      <c r="F271" s="30" t="n"/>
    </row>
    <row r="272">
      <c r="A272" s="31" t="n"/>
      <c r="B272" s="31" t="n"/>
      <c r="C272" s="30" t="n"/>
      <c r="D272" s="30" t="n"/>
      <c r="E272">
        <f>IF(OR(A272="",B272=""),"",B272-A272)</f>
        <v/>
      </c>
      <c r="F272" s="30" t="n"/>
    </row>
    <row r="273">
      <c r="A273" s="31" t="n"/>
      <c r="B273" s="31" t="n"/>
      <c r="C273" s="30" t="n"/>
      <c r="D273" s="30" t="n"/>
      <c r="E273">
        <f>IF(OR(A273="",B273=""),"",B273-A273)</f>
        <v/>
      </c>
      <c r="F273" s="30" t="n"/>
    </row>
    <row r="274">
      <c r="A274" s="31" t="n"/>
      <c r="B274" s="31" t="n"/>
      <c r="C274" s="30" t="n"/>
      <c r="D274" s="30" t="n"/>
      <c r="E274">
        <f>IF(OR(A274="",B274=""),"",B274-A274)</f>
        <v/>
      </c>
      <c r="F274" s="30" t="n"/>
    </row>
    <row r="275">
      <c r="A275" s="31" t="n"/>
      <c r="B275" s="31" t="n"/>
      <c r="C275" s="30" t="n"/>
      <c r="D275" s="30" t="n"/>
      <c r="E275">
        <f>IF(OR(A275="",B275=""),"",B275-A275)</f>
        <v/>
      </c>
      <c r="F275" s="30" t="n"/>
    </row>
    <row r="276">
      <c r="A276" s="31" t="n"/>
      <c r="B276" s="31" t="n"/>
      <c r="C276" s="30" t="n"/>
      <c r="D276" s="30" t="n"/>
      <c r="E276">
        <f>IF(OR(A276="",B276=""),"",B276-A276)</f>
        <v/>
      </c>
      <c r="F276" s="30" t="n"/>
    </row>
    <row r="277">
      <c r="A277" s="31" t="n"/>
      <c r="B277" s="31" t="n"/>
      <c r="C277" s="30" t="n"/>
      <c r="D277" s="30" t="n"/>
      <c r="E277">
        <f>IF(OR(A277="",B277=""),"",B277-A277)</f>
        <v/>
      </c>
      <c r="F277" s="30" t="n"/>
    </row>
    <row r="278">
      <c r="A278" s="31" t="n"/>
      <c r="B278" s="31" t="n"/>
      <c r="C278" s="30" t="n"/>
      <c r="D278" s="30" t="n"/>
      <c r="E278">
        <f>IF(OR(A278="",B278=""),"",B278-A278)</f>
        <v/>
      </c>
      <c r="F278" s="30" t="n"/>
    </row>
    <row r="279">
      <c r="A279" s="31" t="n"/>
      <c r="B279" s="31" t="n"/>
      <c r="C279" s="30" t="n"/>
      <c r="D279" s="30" t="n"/>
      <c r="E279">
        <f>IF(OR(A279="",B279=""),"",B279-A279)</f>
        <v/>
      </c>
      <c r="F279" s="30" t="n"/>
    </row>
    <row r="280">
      <c r="A280" s="31" t="n"/>
      <c r="B280" s="31" t="n"/>
      <c r="C280" s="30" t="n"/>
      <c r="D280" s="30" t="n"/>
      <c r="E280">
        <f>IF(OR(A280="",B280=""),"",B280-A280)</f>
        <v/>
      </c>
      <c r="F280" s="30" t="n"/>
    </row>
    <row r="281">
      <c r="A281" s="31" t="n"/>
      <c r="B281" s="31" t="n"/>
      <c r="C281" s="30" t="n"/>
      <c r="D281" s="30" t="n"/>
      <c r="E281">
        <f>IF(OR(A281="",B281=""),"",B281-A281)</f>
        <v/>
      </c>
      <c r="F281" s="30" t="n"/>
    </row>
    <row r="282">
      <c r="A282" s="31" t="n"/>
      <c r="B282" s="31" t="n"/>
      <c r="C282" s="30" t="n"/>
      <c r="D282" s="30" t="n"/>
      <c r="E282">
        <f>IF(OR(A282="",B282=""),"",B282-A282)</f>
        <v/>
      </c>
      <c r="F282" s="30" t="n"/>
    </row>
    <row r="283">
      <c r="A283" s="31" t="n"/>
      <c r="B283" s="31" t="n"/>
      <c r="C283" s="30" t="n"/>
      <c r="D283" s="30" t="n"/>
      <c r="E283">
        <f>IF(OR(A283="",B283=""),"",B283-A283)</f>
        <v/>
      </c>
      <c r="F283" s="30" t="n"/>
    </row>
    <row r="284">
      <c r="A284" s="31" t="n"/>
      <c r="B284" s="31" t="n"/>
      <c r="C284" s="30" t="n"/>
      <c r="D284" s="30" t="n"/>
      <c r="E284">
        <f>IF(OR(A284="",B284=""),"",B284-A284)</f>
        <v/>
      </c>
      <c r="F284" s="30" t="n"/>
    </row>
    <row r="285">
      <c r="A285" s="31" t="n"/>
      <c r="B285" s="31" t="n"/>
      <c r="C285" s="30" t="n"/>
      <c r="D285" s="30" t="n"/>
      <c r="E285">
        <f>IF(OR(A285="",B285=""),"",B285-A285)</f>
        <v/>
      </c>
      <c r="F285" s="30" t="n"/>
    </row>
    <row r="286">
      <c r="A286" s="31" t="n"/>
      <c r="B286" s="31" t="n"/>
      <c r="C286" s="30" t="n"/>
      <c r="D286" s="30" t="n"/>
      <c r="E286">
        <f>IF(OR(A286="",B286=""),"",B286-A286)</f>
        <v/>
      </c>
      <c r="F286" s="30" t="n"/>
    </row>
    <row r="287">
      <c r="A287" s="31" t="n"/>
      <c r="B287" s="31" t="n"/>
      <c r="C287" s="30" t="n"/>
      <c r="D287" s="30" t="n"/>
      <c r="E287">
        <f>IF(OR(A287="",B287=""),"",B287-A287)</f>
        <v/>
      </c>
      <c r="F287" s="30" t="n"/>
    </row>
    <row r="288">
      <c r="A288" s="31" t="n"/>
      <c r="B288" s="31" t="n"/>
      <c r="C288" s="30" t="n"/>
      <c r="D288" s="30" t="n"/>
      <c r="E288">
        <f>IF(OR(A288="",B288=""),"",B288-A288)</f>
        <v/>
      </c>
      <c r="F288" s="30" t="n"/>
    </row>
    <row r="289">
      <c r="A289" s="31" t="n"/>
      <c r="B289" s="31" t="n"/>
      <c r="C289" s="30" t="n"/>
      <c r="D289" s="30" t="n"/>
      <c r="E289">
        <f>IF(OR(A289="",B289=""),"",B289-A289)</f>
        <v/>
      </c>
      <c r="F289" s="30" t="n"/>
    </row>
    <row r="290">
      <c r="A290" s="31" t="n"/>
      <c r="B290" s="31" t="n"/>
      <c r="C290" s="30" t="n"/>
      <c r="D290" s="30" t="n"/>
      <c r="E290">
        <f>IF(OR(A290="",B290=""),"",B290-A290)</f>
        <v/>
      </c>
      <c r="F290" s="30" t="n"/>
    </row>
    <row r="291">
      <c r="A291" s="31" t="n"/>
      <c r="B291" s="31" t="n"/>
      <c r="C291" s="30" t="n"/>
      <c r="D291" s="30" t="n"/>
      <c r="E291">
        <f>IF(OR(A291="",B291=""),"",B291-A291)</f>
        <v/>
      </c>
      <c r="F291" s="30" t="n"/>
    </row>
    <row r="292">
      <c r="A292" s="31" t="n"/>
      <c r="B292" s="31" t="n"/>
      <c r="C292" s="30" t="n"/>
      <c r="D292" s="30" t="n"/>
      <c r="E292">
        <f>IF(OR(A292="",B292=""),"",B292-A292)</f>
        <v/>
      </c>
      <c r="F292" s="30" t="n"/>
    </row>
    <row r="293">
      <c r="A293" s="31" t="n"/>
      <c r="B293" s="31" t="n"/>
      <c r="C293" s="30" t="n"/>
      <c r="D293" s="30" t="n"/>
      <c r="E293">
        <f>IF(OR(A293="",B293=""),"",B293-A293)</f>
        <v/>
      </c>
      <c r="F293" s="30" t="n"/>
    </row>
    <row r="294">
      <c r="A294" s="31" t="n"/>
      <c r="B294" s="31" t="n"/>
      <c r="C294" s="30" t="n"/>
      <c r="D294" s="30" t="n"/>
      <c r="E294">
        <f>IF(OR(A294="",B294=""),"",B294-A294)</f>
        <v/>
      </c>
      <c r="F294" s="30" t="n"/>
    </row>
    <row r="295">
      <c r="A295" s="31" t="n"/>
      <c r="B295" s="31" t="n"/>
      <c r="C295" s="30" t="n"/>
      <c r="D295" s="30" t="n"/>
      <c r="E295">
        <f>IF(OR(A295="",B295=""),"",B295-A295)</f>
        <v/>
      </c>
      <c r="F295" s="30" t="n"/>
    </row>
    <row r="296">
      <c r="A296" s="31" t="n"/>
      <c r="B296" s="31" t="n"/>
      <c r="C296" s="30" t="n"/>
      <c r="D296" s="30" t="n"/>
      <c r="E296">
        <f>IF(OR(A296="",B296=""),"",B296-A296)</f>
        <v/>
      </c>
      <c r="F296" s="30" t="n"/>
    </row>
    <row r="297">
      <c r="A297" s="31" t="n"/>
      <c r="B297" s="31" t="n"/>
      <c r="C297" s="30" t="n"/>
      <c r="D297" s="30" t="n"/>
      <c r="E297">
        <f>IF(OR(A297="",B297=""),"",B297-A297)</f>
        <v/>
      </c>
      <c r="F297" s="30" t="n"/>
    </row>
    <row r="298">
      <c r="A298" s="31" t="n"/>
      <c r="B298" s="31" t="n"/>
      <c r="C298" s="30" t="n"/>
      <c r="D298" s="30" t="n"/>
      <c r="E298">
        <f>IF(OR(A298="",B298=""),"",B298-A298)</f>
        <v/>
      </c>
      <c r="F298" s="30" t="n"/>
    </row>
    <row r="299">
      <c r="A299" s="31" t="n"/>
      <c r="B299" s="31" t="n"/>
      <c r="C299" s="30" t="n"/>
      <c r="D299" s="30" t="n"/>
      <c r="E299">
        <f>IF(OR(A299="",B299=""),"",B299-A299)</f>
        <v/>
      </c>
      <c r="F299" s="30" t="n"/>
    </row>
    <row r="300">
      <c r="A300" s="31" t="n"/>
      <c r="B300" s="31" t="n"/>
      <c r="C300" s="30" t="n"/>
      <c r="D300" s="30" t="n"/>
      <c r="E300">
        <f>IF(OR(A300="",B300=""),"",B300-A300)</f>
        <v/>
      </c>
      <c r="F300" s="30" t="n"/>
    </row>
    <row r="301">
      <c r="A301" s="31" t="n"/>
      <c r="B301" s="31" t="n"/>
      <c r="C301" s="30" t="n"/>
      <c r="D301" s="30" t="n"/>
      <c r="E301">
        <f>IF(OR(A301="",B301=""),"",B301-A301)</f>
        <v/>
      </c>
      <c r="F301" s="30" t="n"/>
    </row>
    <row r="302">
      <c r="A302" s="31" t="n"/>
      <c r="B302" s="31" t="n"/>
      <c r="C302" s="30" t="n"/>
      <c r="D302" s="30" t="n"/>
      <c r="E302">
        <f>IF(OR(A302="",B302=""),"",B302-A302)</f>
        <v/>
      </c>
      <c r="F302" s="30" t="n"/>
    </row>
    <row r="303">
      <c r="A303" s="31" t="n"/>
      <c r="B303" s="31" t="n"/>
      <c r="C303" s="30" t="n"/>
      <c r="D303" s="30" t="n"/>
      <c r="E303">
        <f>IF(OR(A303="",B303=""),"",B303-A303)</f>
        <v/>
      </c>
      <c r="F303" s="30" t="n"/>
    </row>
    <row r="304">
      <c r="A304" s="31" t="n"/>
      <c r="B304" s="31" t="n"/>
      <c r="C304" s="30" t="n"/>
      <c r="D304" s="30" t="n"/>
      <c r="E304">
        <f>IF(OR(A304="",B304=""),"",B304-A304)</f>
        <v/>
      </c>
      <c r="F304" s="30" t="n"/>
    </row>
    <row r="305">
      <c r="A305" s="31" t="n"/>
      <c r="B305" s="31" t="n"/>
      <c r="C305" s="30" t="n"/>
      <c r="D305" s="30" t="n"/>
      <c r="E305">
        <f>IF(OR(A305="",B305=""),"",B305-A305)</f>
        <v/>
      </c>
      <c r="F305" s="30" t="n"/>
    </row>
    <row r="306">
      <c r="A306" s="31" t="n"/>
      <c r="B306" s="31" t="n"/>
      <c r="C306" s="30" t="n"/>
      <c r="D306" s="30" t="n"/>
      <c r="E306">
        <f>IF(OR(A306="",B306=""),"",B306-A306)</f>
        <v/>
      </c>
      <c r="F306" s="30" t="n"/>
    </row>
    <row r="307">
      <c r="A307" s="31" t="n"/>
      <c r="B307" s="31" t="n"/>
      <c r="C307" s="30" t="n"/>
      <c r="D307" s="30" t="n"/>
      <c r="E307">
        <f>IF(OR(A307="",B307=""),"",B307-A307)</f>
        <v/>
      </c>
      <c r="F307" s="30" t="n"/>
    </row>
    <row r="308">
      <c r="A308" s="31" t="n"/>
      <c r="B308" s="31" t="n"/>
      <c r="C308" s="30" t="n"/>
      <c r="D308" s="30" t="n"/>
      <c r="E308">
        <f>IF(OR(A308="",B308=""),"",B308-A308)</f>
        <v/>
      </c>
      <c r="F308" s="30" t="n"/>
    </row>
    <row r="309">
      <c r="A309" s="31" t="n"/>
      <c r="B309" s="31" t="n"/>
      <c r="C309" s="30" t="n"/>
      <c r="D309" s="30" t="n"/>
      <c r="E309">
        <f>IF(OR(A309="",B309=""),"",B309-A309)</f>
        <v/>
      </c>
      <c r="F309" s="30" t="n"/>
    </row>
    <row r="310">
      <c r="A310" s="31" t="n"/>
      <c r="B310" s="31" t="n"/>
      <c r="C310" s="30" t="n"/>
      <c r="D310" s="30" t="n"/>
      <c r="E310">
        <f>IF(OR(A310="",B310=""),"",B310-A310)</f>
        <v/>
      </c>
      <c r="F310" s="30" t="n"/>
    </row>
    <row r="311">
      <c r="A311" s="31" t="n"/>
      <c r="B311" s="31" t="n"/>
      <c r="C311" s="30" t="n"/>
      <c r="D311" s="30" t="n"/>
      <c r="E311">
        <f>IF(OR(A311="",B311=""),"",B311-A311)</f>
        <v/>
      </c>
      <c r="F311" s="30" t="n"/>
    </row>
    <row r="312">
      <c r="A312" s="31" t="n"/>
      <c r="B312" s="31" t="n"/>
      <c r="C312" s="30" t="n"/>
      <c r="D312" s="30" t="n"/>
      <c r="E312">
        <f>IF(OR(A312="",B312=""),"",B312-A312)</f>
        <v/>
      </c>
      <c r="F312" s="30" t="n"/>
    </row>
    <row r="313">
      <c r="A313" s="31" t="n"/>
      <c r="B313" s="31" t="n"/>
      <c r="C313" s="30" t="n"/>
      <c r="D313" s="30" t="n"/>
      <c r="E313">
        <f>IF(OR(A313="",B313=""),"",B313-A313)</f>
        <v/>
      </c>
      <c r="F313" s="30" t="n"/>
    </row>
    <row r="314">
      <c r="A314" s="31" t="n"/>
      <c r="B314" s="31" t="n"/>
      <c r="C314" s="30" t="n"/>
      <c r="D314" s="30" t="n"/>
      <c r="E314">
        <f>IF(OR(A314="",B314=""),"",B314-A314)</f>
        <v/>
      </c>
      <c r="F314" s="30" t="n"/>
    </row>
    <row r="315">
      <c r="A315" s="31" t="n"/>
      <c r="B315" s="31" t="n"/>
      <c r="C315" s="30" t="n"/>
      <c r="D315" s="30" t="n"/>
      <c r="E315">
        <f>IF(OR(A315="",B315=""),"",B315-A315)</f>
        <v/>
      </c>
      <c r="F315" s="30" t="n"/>
    </row>
    <row r="316">
      <c r="A316" s="31" t="n"/>
      <c r="B316" s="31" t="n"/>
      <c r="C316" s="30" t="n"/>
      <c r="D316" s="30" t="n"/>
      <c r="E316">
        <f>IF(OR(A316="",B316=""),"",B316-A316)</f>
        <v/>
      </c>
      <c r="F316" s="30" t="n"/>
    </row>
    <row r="317">
      <c r="A317" s="31" t="n"/>
      <c r="B317" s="31" t="n"/>
      <c r="C317" s="30" t="n"/>
      <c r="D317" s="30" t="n"/>
      <c r="E317">
        <f>IF(OR(A317="",B317=""),"",B317-A317)</f>
        <v/>
      </c>
      <c r="F317" s="30" t="n"/>
    </row>
    <row r="318">
      <c r="A318" s="31" t="n"/>
      <c r="B318" s="31" t="n"/>
      <c r="C318" s="30" t="n"/>
      <c r="D318" s="30" t="n"/>
      <c r="E318">
        <f>IF(OR(A318="",B318=""),"",B318-A318)</f>
        <v/>
      </c>
      <c r="F318" s="30" t="n"/>
    </row>
    <row r="319">
      <c r="A319" s="31" t="n"/>
      <c r="B319" s="31" t="n"/>
      <c r="C319" s="30" t="n"/>
      <c r="D319" s="30" t="n"/>
      <c r="E319">
        <f>IF(OR(A319="",B319=""),"",B319-A319)</f>
        <v/>
      </c>
      <c r="F319" s="30" t="n"/>
    </row>
    <row r="320">
      <c r="A320" s="31" t="n"/>
      <c r="B320" s="31" t="n"/>
      <c r="C320" s="30" t="n"/>
      <c r="D320" s="30" t="n"/>
      <c r="E320">
        <f>IF(OR(A320="",B320=""),"",B320-A320)</f>
        <v/>
      </c>
      <c r="F320" s="30" t="n"/>
    </row>
    <row r="321">
      <c r="A321" s="31" t="n"/>
      <c r="B321" s="31" t="n"/>
      <c r="C321" s="30" t="n"/>
      <c r="D321" s="30" t="n"/>
      <c r="E321">
        <f>IF(OR(A321="",B321=""),"",B321-A321)</f>
        <v/>
      </c>
      <c r="F321" s="30" t="n"/>
    </row>
    <row r="322">
      <c r="A322" s="31" t="n"/>
      <c r="B322" s="31" t="n"/>
      <c r="C322" s="30" t="n"/>
      <c r="D322" s="30" t="n"/>
      <c r="E322">
        <f>IF(OR(A322="",B322=""),"",B322-A322)</f>
        <v/>
      </c>
      <c r="F322" s="30" t="n"/>
    </row>
    <row r="323">
      <c r="A323" s="31" t="n"/>
      <c r="B323" s="31" t="n"/>
      <c r="C323" s="30" t="n"/>
      <c r="D323" s="30" t="n"/>
      <c r="E323">
        <f>IF(OR(A323="",B323=""),"",B323-A323)</f>
        <v/>
      </c>
      <c r="F323" s="30" t="n"/>
    </row>
    <row r="324">
      <c r="A324" s="31" t="n"/>
      <c r="B324" s="31" t="n"/>
      <c r="C324" s="30" t="n"/>
      <c r="D324" s="30" t="n"/>
      <c r="E324">
        <f>IF(OR(A324="",B324=""),"",B324-A324)</f>
        <v/>
      </c>
      <c r="F324" s="30" t="n"/>
    </row>
    <row r="325">
      <c r="A325" s="31" t="n"/>
      <c r="B325" s="31" t="n"/>
      <c r="C325" s="30" t="n"/>
      <c r="D325" s="30" t="n"/>
      <c r="E325">
        <f>IF(OR(A325="",B325=""),"",B325-A325)</f>
        <v/>
      </c>
      <c r="F325" s="30" t="n"/>
    </row>
    <row r="326">
      <c r="A326" s="31" t="n"/>
      <c r="B326" s="31" t="n"/>
      <c r="C326" s="30" t="n"/>
      <c r="D326" s="30" t="n"/>
      <c r="E326">
        <f>IF(OR(A326="",B326=""),"",B326-A326)</f>
        <v/>
      </c>
      <c r="F326" s="30" t="n"/>
    </row>
    <row r="327">
      <c r="A327" s="31" t="n"/>
      <c r="B327" s="31" t="n"/>
      <c r="C327" s="30" t="n"/>
      <c r="D327" s="30" t="n"/>
      <c r="E327">
        <f>IF(OR(A327="",B327=""),"",B327-A327)</f>
        <v/>
      </c>
      <c r="F327" s="30" t="n"/>
    </row>
    <row r="328">
      <c r="A328" s="31" t="n"/>
      <c r="B328" s="31" t="n"/>
      <c r="C328" s="30" t="n"/>
      <c r="D328" s="30" t="n"/>
      <c r="E328">
        <f>IF(OR(A328="",B328=""),"",B328-A328)</f>
        <v/>
      </c>
      <c r="F328" s="30" t="n"/>
    </row>
    <row r="329">
      <c r="A329" s="31" t="n"/>
      <c r="B329" s="31" t="n"/>
      <c r="C329" s="30" t="n"/>
      <c r="D329" s="30" t="n"/>
      <c r="E329">
        <f>IF(OR(A329="",B329=""),"",B329-A329)</f>
        <v/>
      </c>
      <c r="F329" s="30" t="n"/>
    </row>
    <row r="330">
      <c r="A330" s="31" t="n"/>
      <c r="B330" s="31" t="n"/>
      <c r="C330" s="30" t="n"/>
      <c r="D330" s="30" t="n"/>
      <c r="E330">
        <f>IF(OR(A330="",B330=""),"",B330-A330)</f>
        <v/>
      </c>
      <c r="F330" s="30" t="n"/>
    </row>
    <row r="331">
      <c r="A331" s="31" t="n"/>
      <c r="B331" s="31" t="n"/>
      <c r="C331" s="30" t="n"/>
      <c r="D331" s="30" t="n"/>
      <c r="E331">
        <f>IF(OR(A331="",B331=""),"",B331-A331)</f>
        <v/>
      </c>
      <c r="F331" s="30" t="n"/>
    </row>
    <row r="332">
      <c r="A332" s="31" t="n"/>
      <c r="B332" s="31" t="n"/>
      <c r="C332" s="30" t="n"/>
      <c r="D332" s="30" t="n"/>
      <c r="E332">
        <f>IF(OR(A332="",B332=""),"",B332-A332)</f>
        <v/>
      </c>
      <c r="F332" s="30" t="n"/>
    </row>
    <row r="333">
      <c r="A333" s="31" t="n"/>
      <c r="B333" s="31" t="n"/>
      <c r="C333" s="30" t="n"/>
      <c r="D333" s="30" t="n"/>
      <c r="E333">
        <f>IF(OR(A333="",B333=""),"",B333-A333)</f>
        <v/>
      </c>
      <c r="F333" s="30" t="n"/>
    </row>
    <row r="334">
      <c r="A334" s="31" t="n"/>
      <c r="B334" s="31" t="n"/>
      <c r="C334" s="30" t="n"/>
      <c r="D334" s="30" t="n"/>
      <c r="E334">
        <f>IF(OR(A334="",B334=""),"",B334-A334)</f>
        <v/>
      </c>
      <c r="F334" s="30" t="n"/>
    </row>
    <row r="335">
      <c r="A335" s="31" t="n"/>
      <c r="B335" s="31" t="n"/>
      <c r="C335" s="30" t="n"/>
      <c r="D335" s="30" t="n"/>
      <c r="E335">
        <f>IF(OR(A335="",B335=""),"",B335-A335)</f>
        <v/>
      </c>
      <c r="F335" s="30" t="n"/>
    </row>
    <row r="336">
      <c r="A336" s="31" t="n"/>
      <c r="B336" s="31" t="n"/>
      <c r="C336" s="30" t="n"/>
      <c r="D336" s="30" t="n"/>
      <c r="E336">
        <f>IF(OR(A336="",B336=""),"",B336-A336)</f>
        <v/>
      </c>
      <c r="F336" s="30" t="n"/>
    </row>
    <row r="337">
      <c r="A337" s="31" t="n"/>
      <c r="B337" s="31" t="n"/>
      <c r="C337" s="30" t="n"/>
      <c r="D337" s="30" t="n"/>
      <c r="E337">
        <f>IF(OR(A337="",B337=""),"",B337-A337)</f>
        <v/>
      </c>
      <c r="F337" s="30" t="n"/>
    </row>
    <row r="338">
      <c r="A338" s="31" t="n"/>
      <c r="B338" s="31" t="n"/>
      <c r="C338" s="30" t="n"/>
      <c r="D338" s="30" t="n"/>
      <c r="E338">
        <f>IF(OR(A338="",B338=""),"",B338-A338)</f>
        <v/>
      </c>
      <c r="F338" s="30" t="n"/>
    </row>
    <row r="339">
      <c r="A339" s="31" t="n"/>
      <c r="B339" s="31" t="n"/>
      <c r="C339" s="30" t="n"/>
      <c r="D339" s="30" t="n"/>
      <c r="E339">
        <f>IF(OR(A339="",B339=""),"",B339-A339)</f>
        <v/>
      </c>
      <c r="F339" s="30" t="n"/>
    </row>
    <row r="340">
      <c r="A340" s="31" t="n"/>
      <c r="B340" s="31" t="n"/>
      <c r="C340" s="30" t="n"/>
      <c r="D340" s="30" t="n"/>
      <c r="E340">
        <f>IF(OR(A340="",B340=""),"",B340-A340)</f>
        <v/>
      </c>
      <c r="F340" s="30" t="n"/>
    </row>
    <row r="341">
      <c r="A341" s="31" t="n"/>
      <c r="B341" s="31" t="n"/>
      <c r="C341" s="30" t="n"/>
      <c r="D341" s="30" t="n"/>
      <c r="E341">
        <f>IF(OR(A341="",B341=""),"",B341-A341)</f>
        <v/>
      </c>
      <c r="F341" s="30" t="n"/>
    </row>
    <row r="342">
      <c r="A342" s="31" t="n"/>
      <c r="B342" s="31" t="n"/>
      <c r="C342" s="30" t="n"/>
      <c r="D342" s="30" t="n"/>
      <c r="E342">
        <f>IF(OR(A342="",B342=""),"",B342-A342)</f>
        <v/>
      </c>
      <c r="F342" s="30" t="n"/>
    </row>
    <row r="343">
      <c r="A343" s="31" t="n"/>
      <c r="B343" s="31" t="n"/>
      <c r="C343" s="30" t="n"/>
      <c r="D343" s="30" t="n"/>
      <c r="E343">
        <f>IF(OR(A343="",B343=""),"",B343-A343)</f>
        <v/>
      </c>
      <c r="F343" s="30" t="n"/>
    </row>
    <row r="344">
      <c r="A344" s="31" t="n"/>
      <c r="B344" s="31" t="n"/>
      <c r="C344" s="30" t="n"/>
      <c r="D344" s="30" t="n"/>
      <c r="E344">
        <f>IF(OR(A344="",B344=""),"",B344-A344)</f>
        <v/>
      </c>
      <c r="F344" s="30" t="n"/>
    </row>
    <row r="345">
      <c r="A345" s="31" t="n"/>
      <c r="B345" s="31" t="n"/>
      <c r="C345" s="30" t="n"/>
      <c r="D345" s="30" t="n"/>
      <c r="E345">
        <f>IF(OR(A345="",B345=""),"",B345-A345)</f>
        <v/>
      </c>
      <c r="F345" s="30" t="n"/>
    </row>
    <row r="346">
      <c r="A346" s="31" t="n"/>
      <c r="B346" s="31" t="n"/>
      <c r="C346" s="30" t="n"/>
      <c r="D346" s="30" t="n"/>
      <c r="E346">
        <f>IF(OR(A346="",B346=""),"",B346-A346)</f>
        <v/>
      </c>
      <c r="F346" s="30" t="n"/>
    </row>
    <row r="347">
      <c r="A347" s="31" t="n"/>
      <c r="B347" s="31" t="n"/>
      <c r="C347" s="30" t="n"/>
      <c r="D347" s="30" t="n"/>
      <c r="E347">
        <f>IF(OR(A347="",B347=""),"",B347-A347)</f>
        <v/>
      </c>
      <c r="F347" s="30" t="n"/>
    </row>
    <row r="348">
      <c r="A348" s="31" t="n"/>
      <c r="B348" s="31" t="n"/>
      <c r="C348" s="30" t="n"/>
      <c r="D348" s="30" t="n"/>
      <c r="E348">
        <f>IF(OR(A348="",B348=""),"",B348-A348)</f>
        <v/>
      </c>
      <c r="F348" s="30" t="n"/>
    </row>
    <row r="349">
      <c r="A349" s="31" t="n"/>
      <c r="B349" s="31" t="n"/>
      <c r="C349" s="30" t="n"/>
      <c r="D349" s="30" t="n"/>
      <c r="E349">
        <f>IF(OR(A349="",B349=""),"",B349-A349)</f>
        <v/>
      </c>
      <c r="F349" s="30" t="n"/>
    </row>
    <row r="350">
      <c r="A350" s="31" t="n"/>
      <c r="B350" s="31" t="n"/>
      <c r="C350" s="30" t="n"/>
      <c r="D350" s="30" t="n"/>
      <c r="E350">
        <f>IF(OR(A350="",B350=""),"",B350-A350)</f>
        <v/>
      </c>
      <c r="F350" s="30" t="n"/>
    </row>
    <row r="351">
      <c r="A351" s="31" t="n"/>
      <c r="B351" s="31" t="n"/>
      <c r="C351" s="30" t="n"/>
      <c r="D351" s="30" t="n"/>
      <c r="E351">
        <f>IF(OR(A351="",B351=""),"",B351-A351)</f>
        <v/>
      </c>
      <c r="F351" s="30" t="n"/>
    </row>
    <row r="352">
      <c r="A352" s="31" t="n"/>
      <c r="B352" s="31" t="n"/>
      <c r="C352" s="30" t="n"/>
      <c r="D352" s="30" t="n"/>
      <c r="E352">
        <f>IF(OR(A352="",B352=""),"",B352-A352)</f>
        <v/>
      </c>
      <c r="F352" s="30" t="n"/>
    </row>
    <row r="353">
      <c r="A353" s="31" t="n"/>
      <c r="B353" s="31" t="n"/>
      <c r="C353" s="30" t="n"/>
      <c r="D353" s="30" t="n"/>
      <c r="E353">
        <f>IF(OR(A353="",B353=""),"",B353-A353)</f>
        <v/>
      </c>
      <c r="F353" s="30" t="n"/>
    </row>
    <row r="354">
      <c r="A354" s="31" t="n"/>
      <c r="B354" s="31" t="n"/>
      <c r="C354" s="30" t="n"/>
      <c r="D354" s="30" t="n"/>
      <c r="E354">
        <f>IF(OR(A354="",B354=""),"",B354-A354)</f>
        <v/>
      </c>
      <c r="F354" s="30" t="n"/>
    </row>
    <row r="355">
      <c r="A355" s="31" t="n"/>
      <c r="B355" s="31" t="n"/>
      <c r="C355" s="30" t="n"/>
      <c r="D355" s="30" t="n"/>
      <c r="E355">
        <f>IF(OR(A355="",B355=""),"",B355-A355)</f>
        <v/>
      </c>
      <c r="F355" s="30" t="n"/>
    </row>
    <row r="356">
      <c r="A356" s="31" t="n"/>
      <c r="B356" s="31" t="n"/>
      <c r="C356" s="30" t="n"/>
      <c r="D356" s="30" t="n"/>
      <c r="E356">
        <f>IF(OR(A356="",B356=""),"",B356-A356)</f>
        <v/>
      </c>
      <c r="F356" s="30" t="n"/>
    </row>
    <row r="357">
      <c r="A357" s="31" t="n"/>
      <c r="B357" s="31" t="n"/>
      <c r="C357" s="30" t="n"/>
      <c r="D357" s="30" t="n"/>
      <c r="E357">
        <f>IF(OR(A357="",B357=""),"",B357-A357)</f>
        <v/>
      </c>
      <c r="F357" s="30" t="n"/>
    </row>
    <row r="358">
      <c r="A358" s="31" t="n"/>
      <c r="B358" s="31" t="n"/>
      <c r="C358" s="30" t="n"/>
      <c r="D358" s="30" t="n"/>
      <c r="E358">
        <f>IF(OR(A358="",B358=""),"",B358-A358)</f>
        <v/>
      </c>
      <c r="F358" s="30" t="n"/>
    </row>
    <row r="359">
      <c r="A359" s="31" t="n"/>
      <c r="B359" s="31" t="n"/>
      <c r="C359" s="30" t="n"/>
      <c r="D359" s="30" t="n"/>
      <c r="E359">
        <f>IF(OR(A359="",B359=""),"",B359-A359)</f>
        <v/>
      </c>
      <c r="F359" s="30" t="n"/>
    </row>
    <row r="360">
      <c r="A360" s="31" t="n"/>
      <c r="B360" s="31" t="n"/>
      <c r="C360" s="30" t="n"/>
      <c r="D360" s="30" t="n"/>
      <c r="E360">
        <f>IF(OR(A360="",B360=""),"",B360-A360)</f>
        <v/>
      </c>
      <c r="F360" s="30" t="n"/>
    </row>
    <row r="361">
      <c r="A361" s="31" t="n"/>
      <c r="B361" s="31" t="n"/>
      <c r="C361" s="30" t="n"/>
      <c r="D361" s="30" t="n"/>
      <c r="E361">
        <f>IF(OR(A361="",B361=""),"",B361-A361)</f>
        <v/>
      </c>
      <c r="F361" s="30" t="n"/>
    </row>
    <row r="362">
      <c r="A362" s="31" t="n"/>
      <c r="B362" s="31" t="n"/>
      <c r="C362" s="30" t="n"/>
      <c r="D362" s="30" t="n"/>
      <c r="E362">
        <f>IF(OR(A362="",B362=""),"",B362-A362)</f>
        <v/>
      </c>
      <c r="F362" s="30" t="n"/>
    </row>
    <row r="363">
      <c r="A363" s="31" t="n"/>
      <c r="B363" s="31" t="n"/>
      <c r="C363" s="30" t="n"/>
      <c r="D363" s="30" t="n"/>
      <c r="E363">
        <f>IF(OR(A363="",B363=""),"",B363-A363)</f>
        <v/>
      </c>
      <c r="F363" s="30" t="n"/>
    </row>
    <row r="364">
      <c r="A364" s="31" t="n"/>
      <c r="B364" s="31" t="n"/>
      <c r="C364" s="30" t="n"/>
      <c r="D364" s="30" t="n"/>
      <c r="E364">
        <f>IF(OR(A364="",B364=""),"",B364-A364)</f>
        <v/>
      </c>
      <c r="F364" s="30" t="n"/>
    </row>
    <row r="365">
      <c r="A365" s="31" t="n"/>
      <c r="B365" s="31" t="n"/>
      <c r="C365" s="30" t="n"/>
      <c r="D365" s="30" t="n"/>
      <c r="E365">
        <f>IF(OR(A365="",B365=""),"",B365-A365)</f>
        <v/>
      </c>
      <c r="F365" s="30" t="n"/>
    </row>
    <row r="366">
      <c r="A366" s="31" t="n"/>
      <c r="B366" s="31" t="n"/>
      <c r="C366" s="30" t="n"/>
      <c r="D366" s="30" t="n"/>
      <c r="E366">
        <f>IF(OR(A366="",B366=""),"",B366-A366)</f>
        <v/>
      </c>
      <c r="F366" s="30" t="n"/>
    </row>
    <row r="367">
      <c r="A367" s="31" t="n"/>
      <c r="B367" s="31" t="n"/>
      <c r="C367" s="30" t="n"/>
      <c r="D367" s="30" t="n"/>
      <c r="E367">
        <f>IF(OR(A367="",B367=""),"",B367-A367)</f>
        <v/>
      </c>
      <c r="F367" s="30" t="n"/>
    </row>
    <row r="368">
      <c r="A368" s="31" t="n"/>
      <c r="B368" s="31" t="n"/>
      <c r="C368" s="30" t="n"/>
      <c r="D368" s="30" t="n"/>
      <c r="E368">
        <f>IF(OR(A368="",B368=""),"",B368-A368)</f>
        <v/>
      </c>
      <c r="F368" s="30" t="n"/>
    </row>
    <row r="369">
      <c r="A369" s="31" t="n"/>
      <c r="B369" s="31" t="n"/>
      <c r="C369" s="30" t="n"/>
      <c r="D369" s="30" t="n"/>
      <c r="E369">
        <f>IF(OR(A369="",B369=""),"",B369-A369)</f>
        <v/>
      </c>
      <c r="F369" s="30" t="n"/>
    </row>
    <row r="370">
      <c r="A370" s="31" t="n"/>
      <c r="B370" s="31" t="n"/>
      <c r="C370" s="30" t="n"/>
      <c r="D370" s="30" t="n"/>
      <c r="E370">
        <f>IF(OR(A370="",B370=""),"",B370-A370)</f>
        <v/>
      </c>
      <c r="F370" s="30" t="n"/>
    </row>
    <row r="371">
      <c r="A371" s="31" t="n"/>
      <c r="B371" s="31" t="n"/>
      <c r="C371" s="30" t="n"/>
      <c r="D371" s="30" t="n"/>
      <c r="E371">
        <f>IF(OR(A371="",B371=""),"",B371-A371)</f>
        <v/>
      </c>
      <c r="F371" s="30" t="n"/>
    </row>
    <row r="372">
      <c r="A372" s="31" t="n"/>
      <c r="B372" s="31" t="n"/>
      <c r="C372" s="30" t="n"/>
      <c r="D372" s="30" t="n"/>
      <c r="E372">
        <f>IF(OR(A372="",B372=""),"",B372-A372)</f>
        <v/>
      </c>
      <c r="F372" s="30" t="n"/>
    </row>
    <row r="373">
      <c r="A373" s="31" t="n"/>
      <c r="B373" s="31" t="n"/>
      <c r="C373" s="30" t="n"/>
      <c r="D373" s="30" t="n"/>
      <c r="E373">
        <f>IF(OR(A373="",B373=""),"",B373-A373)</f>
        <v/>
      </c>
      <c r="F373" s="30" t="n"/>
    </row>
    <row r="374">
      <c r="A374" s="31" t="n"/>
      <c r="B374" s="31" t="n"/>
      <c r="C374" s="30" t="n"/>
      <c r="D374" s="30" t="n"/>
      <c r="E374">
        <f>IF(OR(A374="",B374=""),"",B374-A374)</f>
        <v/>
      </c>
      <c r="F374" s="30" t="n"/>
    </row>
    <row r="375">
      <c r="A375" s="31" t="n"/>
      <c r="B375" s="31" t="n"/>
      <c r="C375" s="30" t="n"/>
      <c r="D375" s="30" t="n"/>
      <c r="E375">
        <f>IF(OR(A375="",B375=""),"",B375-A375)</f>
        <v/>
      </c>
      <c r="F375" s="30" t="n"/>
    </row>
    <row r="376">
      <c r="A376" s="31" t="n"/>
      <c r="B376" s="31" t="n"/>
      <c r="C376" s="30" t="n"/>
      <c r="D376" s="30" t="n"/>
      <c r="E376">
        <f>IF(OR(A376="",B376=""),"",B376-A376)</f>
        <v/>
      </c>
      <c r="F376" s="30" t="n"/>
    </row>
    <row r="377">
      <c r="A377" s="31" t="n"/>
      <c r="B377" s="31" t="n"/>
      <c r="C377" s="30" t="n"/>
      <c r="D377" s="30" t="n"/>
      <c r="E377">
        <f>IF(OR(A377="",B377=""),"",B377-A377)</f>
        <v/>
      </c>
      <c r="F377" s="30" t="n"/>
    </row>
    <row r="378">
      <c r="A378" s="31" t="n"/>
      <c r="B378" s="31" t="n"/>
      <c r="C378" s="30" t="n"/>
      <c r="D378" s="30" t="n"/>
      <c r="E378">
        <f>IF(OR(A378="",B378=""),"",B378-A378)</f>
        <v/>
      </c>
      <c r="F378" s="30" t="n"/>
    </row>
    <row r="379">
      <c r="A379" s="31" t="n"/>
      <c r="B379" s="31" t="n"/>
      <c r="C379" s="30" t="n"/>
      <c r="D379" s="30" t="n"/>
      <c r="E379">
        <f>IF(OR(A379="",B379=""),"",B379-A379)</f>
        <v/>
      </c>
      <c r="F379" s="30" t="n"/>
    </row>
    <row r="380">
      <c r="A380" s="31" t="n"/>
      <c r="B380" s="31" t="n"/>
      <c r="C380" s="30" t="n"/>
      <c r="D380" s="30" t="n"/>
      <c r="E380">
        <f>IF(OR(A380="",B380=""),"",B380-A380)</f>
        <v/>
      </c>
      <c r="F380" s="30" t="n"/>
    </row>
    <row r="381">
      <c r="A381" s="31" t="n"/>
      <c r="B381" s="31" t="n"/>
      <c r="C381" s="30" t="n"/>
      <c r="D381" s="30" t="n"/>
      <c r="E381">
        <f>IF(OR(A381="",B381=""),"",B381-A381)</f>
        <v/>
      </c>
      <c r="F381" s="30" t="n"/>
    </row>
    <row r="382">
      <c r="A382" s="31" t="n"/>
      <c r="B382" s="31" t="n"/>
      <c r="C382" s="30" t="n"/>
      <c r="D382" s="30" t="n"/>
      <c r="E382">
        <f>IF(OR(A382="",B382=""),"",B382-A382)</f>
        <v/>
      </c>
      <c r="F382" s="30" t="n"/>
    </row>
    <row r="383">
      <c r="A383" s="31" t="n"/>
      <c r="B383" s="31" t="n"/>
      <c r="C383" s="30" t="n"/>
      <c r="D383" s="30" t="n"/>
      <c r="E383">
        <f>IF(OR(A383="",B383=""),"",B383-A383)</f>
        <v/>
      </c>
      <c r="F383" s="30" t="n"/>
    </row>
    <row r="384">
      <c r="A384" s="31" t="n"/>
      <c r="B384" s="31" t="n"/>
      <c r="C384" s="30" t="n"/>
      <c r="D384" s="30" t="n"/>
      <c r="E384">
        <f>IF(OR(A384="",B384=""),"",B384-A384)</f>
        <v/>
      </c>
      <c r="F384" s="30" t="n"/>
    </row>
    <row r="385">
      <c r="A385" s="31" t="n"/>
      <c r="B385" s="31" t="n"/>
      <c r="C385" s="30" t="n"/>
      <c r="D385" s="30" t="n"/>
      <c r="E385">
        <f>IF(OR(A385="",B385=""),"",B385-A385)</f>
        <v/>
      </c>
      <c r="F385" s="30" t="n"/>
    </row>
    <row r="386">
      <c r="A386" s="31" t="n"/>
      <c r="B386" s="31" t="n"/>
      <c r="C386" s="30" t="n"/>
      <c r="D386" s="30" t="n"/>
      <c r="E386">
        <f>IF(OR(A386="",B386=""),"",B386-A386)</f>
        <v/>
      </c>
      <c r="F386" s="30" t="n"/>
    </row>
    <row r="387">
      <c r="A387" s="31" t="n"/>
      <c r="B387" s="31" t="n"/>
      <c r="C387" s="30" t="n"/>
      <c r="D387" s="30" t="n"/>
      <c r="E387">
        <f>IF(OR(A387="",B387=""),"",B387-A387)</f>
        <v/>
      </c>
      <c r="F387" s="30" t="n"/>
    </row>
    <row r="388">
      <c r="A388" s="31" t="n"/>
      <c r="B388" s="31" t="n"/>
      <c r="C388" s="30" t="n"/>
      <c r="D388" s="30" t="n"/>
      <c r="E388">
        <f>IF(OR(A388="",B388=""),"",B388-A388)</f>
        <v/>
      </c>
      <c r="F388" s="30" t="n"/>
    </row>
    <row r="389">
      <c r="A389" s="31" t="n"/>
      <c r="B389" s="31" t="n"/>
      <c r="C389" s="30" t="n"/>
      <c r="D389" s="30" t="n"/>
      <c r="E389">
        <f>IF(OR(A389="",B389=""),"",B389-A389)</f>
        <v/>
      </c>
      <c r="F389" s="30" t="n"/>
    </row>
    <row r="390">
      <c r="A390" s="31" t="n"/>
      <c r="B390" s="31" t="n"/>
      <c r="C390" s="30" t="n"/>
      <c r="D390" s="30" t="n"/>
      <c r="E390">
        <f>IF(OR(A390="",B390=""),"",B390-A390)</f>
        <v/>
      </c>
      <c r="F390" s="30" t="n"/>
    </row>
    <row r="391">
      <c r="A391" s="31" t="n"/>
      <c r="B391" s="31" t="n"/>
      <c r="C391" s="30" t="n"/>
      <c r="D391" s="30" t="n"/>
      <c r="E391">
        <f>IF(OR(A391="",B391=""),"",B391-A391)</f>
        <v/>
      </c>
      <c r="F391" s="30" t="n"/>
    </row>
    <row r="392">
      <c r="A392" s="31" t="n"/>
      <c r="B392" s="31" t="n"/>
      <c r="C392" s="30" t="n"/>
      <c r="D392" s="30" t="n"/>
      <c r="E392">
        <f>IF(OR(A392="",B392=""),"",B392-A392)</f>
        <v/>
      </c>
      <c r="F392" s="30" t="n"/>
    </row>
    <row r="393">
      <c r="A393" s="31" t="n"/>
      <c r="B393" s="31" t="n"/>
      <c r="C393" s="30" t="n"/>
      <c r="D393" s="30" t="n"/>
      <c r="E393">
        <f>IF(OR(A393="",B393=""),"",B393-A393)</f>
        <v/>
      </c>
      <c r="F393" s="30" t="n"/>
    </row>
    <row r="394">
      <c r="A394" s="31" t="n"/>
      <c r="B394" s="31" t="n"/>
      <c r="C394" s="30" t="n"/>
      <c r="D394" s="30" t="n"/>
      <c r="E394">
        <f>IF(OR(A394="",B394=""),"",B394-A394)</f>
        <v/>
      </c>
      <c r="F394" s="30" t="n"/>
    </row>
    <row r="395">
      <c r="A395" s="31" t="n"/>
      <c r="B395" s="31" t="n"/>
      <c r="C395" s="30" t="n"/>
      <c r="D395" s="30" t="n"/>
      <c r="E395">
        <f>IF(OR(A395="",B395=""),"",B395-A395)</f>
        <v/>
      </c>
      <c r="F395" s="30" t="n"/>
    </row>
    <row r="396">
      <c r="A396" s="31" t="n"/>
      <c r="B396" s="31" t="n"/>
      <c r="C396" s="30" t="n"/>
      <c r="D396" s="30" t="n"/>
      <c r="E396">
        <f>IF(OR(A396="",B396=""),"",B396-A396)</f>
        <v/>
      </c>
      <c r="F396" s="30" t="n"/>
    </row>
    <row r="397">
      <c r="A397" s="31" t="n"/>
      <c r="B397" s="31" t="n"/>
      <c r="C397" s="30" t="n"/>
      <c r="D397" s="30" t="n"/>
      <c r="E397">
        <f>IF(OR(A397="",B397=""),"",B397-A397)</f>
        <v/>
      </c>
      <c r="F397" s="30" t="n"/>
    </row>
    <row r="398">
      <c r="A398" s="31" t="n"/>
      <c r="B398" s="31" t="n"/>
      <c r="C398" s="30" t="n"/>
      <c r="D398" s="30" t="n"/>
      <c r="E398">
        <f>IF(OR(A398="",B398=""),"",B398-A398)</f>
        <v/>
      </c>
      <c r="F398" s="30" t="n"/>
    </row>
    <row r="399">
      <c r="A399" s="31" t="n"/>
      <c r="B399" s="31" t="n"/>
      <c r="C399" s="30" t="n"/>
      <c r="D399" s="30" t="n"/>
      <c r="E399">
        <f>IF(OR(A399="",B399=""),"",B399-A399)</f>
        <v/>
      </c>
      <c r="F399" s="30" t="n"/>
    </row>
    <row r="400">
      <c r="A400" s="31" t="n"/>
      <c r="B400" s="31" t="n"/>
      <c r="C400" s="30" t="n"/>
      <c r="D400" s="30" t="n"/>
      <c r="E400">
        <f>IF(OR(A400="",B400=""),"",B400-A400)</f>
        <v/>
      </c>
      <c r="F400" s="30" t="n"/>
    </row>
    <row r="401">
      <c r="A401" s="31" t="n"/>
      <c r="B401" s="31" t="n"/>
      <c r="C401" s="30" t="n"/>
      <c r="D401" s="30" t="n"/>
      <c r="E401">
        <f>IF(OR(A401="",B401=""),"",B401-A401)</f>
        <v/>
      </c>
      <c r="F401" s="30" t="n"/>
    </row>
    <row r="402">
      <c r="A402" s="31" t="n"/>
      <c r="B402" s="31" t="n"/>
      <c r="C402" s="30" t="n"/>
      <c r="D402" s="30" t="n"/>
      <c r="E402">
        <f>IF(OR(A402="",B402=""),"",B402-A402)</f>
        <v/>
      </c>
      <c r="F402" s="30" t="n"/>
    </row>
    <row r="403">
      <c r="A403" s="31" t="n"/>
      <c r="B403" s="31" t="n"/>
      <c r="C403" s="30" t="n"/>
      <c r="D403" s="30" t="n"/>
      <c r="E403">
        <f>IF(OR(A403="",B403=""),"",B403-A403)</f>
        <v/>
      </c>
      <c r="F403" s="30" t="n"/>
    </row>
    <row r="404">
      <c r="A404" s="31" t="n"/>
      <c r="B404" s="31" t="n"/>
      <c r="C404" s="30" t="n"/>
      <c r="D404" s="30" t="n"/>
      <c r="E404">
        <f>IF(OR(A404="",B404=""),"",B404-A404)</f>
        <v/>
      </c>
      <c r="F404" s="30" t="n"/>
    </row>
    <row r="405">
      <c r="A405" s="31" t="n"/>
      <c r="B405" s="31" t="n"/>
      <c r="C405" s="30" t="n"/>
      <c r="D405" s="30" t="n"/>
      <c r="E405">
        <f>IF(OR(A405="",B405=""),"",B405-A405)</f>
        <v/>
      </c>
      <c r="F405" s="30" t="n"/>
    </row>
    <row r="406">
      <c r="A406" s="31" t="n"/>
      <c r="B406" s="31" t="n"/>
      <c r="C406" s="30" t="n"/>
      <c r="D406" s="30" t="n"/>
      <c r="E406">
        <f>IF(OR(A406="",B406=""),"",B406-A406)</f>
        <v/>
      </c>
      <c r="F406" s="30" t="n"/>
    </row>
    <row r="407">
      <c r="A407" s="31" t="n"/>
      <c r="B407" s="31" t="n"/>
      <c r="C407" s="30" t="n"/>
      <c r="D407" s="30" t="n"/>
      <c r="E407">
        <f>IF(OR(A407="",B407=""),"",B407-A407)</f>
        <v/>
      </c>
      <c r="F407" s="30" t="n"/>
    </row>
    <row r="408">
      <c r="A408" s="31" t="n"/>
      <c r="B408" s="31" t="n"/>
      <c r="C408" s="30" t="n"/>
      <c r="D408" s="30" t="n"/>
      <c r="E408">
        <f>IF(OR(A408="",B408=""),"",B408-A408)</f>
        <v/>
      </c>
      <c r="F408" s="30" t="n"/>
    </row>
    <row r="409">
      <c r="A409" s="31" t="n"/>
      <c r="B409" s="31" t="n"/>
      <c r="C409" s="30" t="n"/>
      <c r="D409" s="30" t="n"/>
      <c r="E409">
        <f>IF(OR(A409="",B409=""),"",B409-A409)</f>
        <v/>
      </c>
      <c r="F409" s="30" t="n"/>
    </row>
    <row r="410">
      <c r="A410" s="31" t="n"/>
      <c r="B410" s="31" t="n"/>
      <c r="C410" s="30" t="n"/>
      <c r="D410" s="30" t="n"/>
      <c r="E410">
        <f>IF(OR(A410="",B410=""),"",B410-A410)</f>
        <v/>
      </c>
      <c r="F410" s="30" t="n"/>
    </row>
    <row r="411">
      <c r="A411" s="31" t="n"/>
      <c r="B411" s="31" t="n"/>
      <c r="C411" s="30" t="n"/>
      <c r="D411" s="30" t="n"/>
      <c r="E411">
        <f>IF(OR(A411="",B411=""),"",B411-A411)</f>
        <v/>
      </c>
      <c r="F411" s="30" t="n"/>
    </row>
    <row r="412">
      <c r="A412" s="31" t="n"/>
      <c r="B412" s="31" t="n"/>
      <c r="C412" s="30" t="n"/>
      <c r="D412" s="30" t="n"/>
      <c r="E412">
        <f>IF(OR(A412="",B412=""),"",B412-A412)</f>
        <v/>
      </c>
      <c r="F412" s="30" t="n"/>
    </row>
    <row r="413">
      <c r="A413" s="31" t="n"/>
      <c r="B413" s="31" t="n"/>
      <c r="C413" s="30" t="n"/>
      <c r="D413" s="30" t="n"/>
      <c r="E413">
        <f>IF(OR(A413="",B413=""),"",B413-A413)</f>
        <v/>
      </c>
      <c r="F413" s="30" t="n"/>
    </row>
    <row r="414">
      <c r="A414" s="31" t="n"/>
      <c r="B414" s="31" t="n"/>
      <c r="C414" s="30" t="n"/>
      <c r="D414" s="30" t="n"/>
      <c r="E414">
        <f>IF(OR(A414="",B414=""),"",B414-A414)</f>
        <v/>
      </c>
      <c r="F414" s="30" t="n"/>
    </row>
    <row r="415">
      <c r="A415" s="31" t="n"/>
      <c r="B415" s="31" t="n"/>
      <c r="C415" s="30" t="n"/>
      <c r="D415" s="30" t="n"/>
      <c r="E415">
        <f>IF(OR(A415="",B415=""),"",B415-A415)</f>
        <v/>
      </c>
      <c r="F415" s="30" t="n"/>
    </row>
    <row r="416">
      <c r="A416" s="31" t="n"/>
      <c r="B416" s="31" t="n"/>
      <c r="C416" s="30" t="n"/>
      <c r="D416" s="30" t="n"/>
      <c r="E416">
        <f>IF(OR(A416="",B416=""),"",B416-A416)</f>
        <v/>
      </c>
      <c r="F416" s="30" t="n"/>
    </row>
    <row r="417">
      <c r="A417" s="31" t="n"/>
      <c r="B417" s="31" t="n"/>
      <c r="C417" s="30" t="n"/>
      <c r="D417" s="30" t="n"/>
      <c r="E417">
        <f>IF(OR(A417="",B417=""),"",B417-A417)</f>
        <v/>
      </c>
      <c r="F417" s="30" t="n"/>
    </row>
    <row r="418">
      <c r="A418" s="31" t="n"/>
      <c r="B418" s="31" t="n"/>
      <c r="C418" s="30" t="n"/>
      <c r="D418" s="30" t="n"/>
      <c r="E418">
        <f>IF(OR(A418="",B418=""),"",B418-A418)</f>
        <v/>
      </c>
      <c r="F418" s="30" t="n"/>
    </row>
    <row r="419">
      <c r="A419" s="31" t="n"/>
      <c r="B419" s="31" t="n"/>
      <c r="C419" s="30" t="n"/>
      <c r="D419" s="30" t="n"/>
      <c r="E419">
        <f>IF(OR(A419="",B419=""),"",B419-A419)</f>
        <v/>
      </c>
      <c r="F419" s="30" t="n"/>
    </row>
    <row r="420">
      <c r="A420" s="31" t="n"/>
      <c r="B420" s="31" t="n"/>
      <c r="C420" s="30" t="n"/>
      <c r="D420" s="30" t="n"/>
      <c r="E420">
        <f>IF(OR(A420="",B420=""),"",B420-A420)</f>
        <v/>
      </c>
      <c r="F420" s="30" t="n"/>
    </row>
    <row r="421">
      <c r="A421" s="31" t="n"/>
      <c r="B421" s="31" t="n"/>
      <c r="C421" s="30" t="n"/>
      <c r="D421" s="30" t="n"/>
      <c r="E421">
        <f>IF(OR(A421="",B421=""),"",B421-A421)</f>
        <v/>
      </c>
      <c r="F421" s="30" t="n"/>
    </row>
    <row r="422">
      <c r="A422" s="31" t="n"/>
      <c r="B422" s="31" t="n"/>
      <c r="C422" s="30" t="n"/>
      <c r="D422" s="30" t="n"/>
      <c r="E422">
        <f>IF(OR(A422="",B422=""),"",B422-A422)</f>
        <v/>
      </c>
      <c r="F422" s="30" t="n"/>
    </row>
    <row r="423">
      <c r="A423" s="31" t="n"/>
      <c r="B423" s="31" t="n"/>
      <c r="C423" s="30" t="n"/>
      <c r="D423" s="30" t="n"/>
      <c r="E423">
        <f>IF(OR(A423="",B423=""),"",B423-A423)</f>
        <v/>
      </c>
      <c r="F423" s="30" t="n"/>
    </row>
    <row r="424">
      <c r="A424" s="31" t="n"/>
      <c r="B424" s="31" t="n"/>
      <c r="C424" s="30" t="n"/>
      <c r="D424" s="30" t="n"/>
      <c r="E424">
        <f>IF(OR(A424="",B424=""),"",B424-A424)</f>
        <v/>
      </c>
      <c r="F424" s="30" t="n"/>
    </row>
    <row r="425">
      <c r="A425" s="31" t="n"/>
      <c r="B425" s="31" t="n"/>
      <c r="C425" s="30" t="n"/>
      <c r="D425" s="30" t="n"/>
      <c r="E425">
        <f>IF(OR(A425="",B425=""),"",B425-A425)</f>
        <v/>
      </c>
      <c r="F425" s="30" t="n"/>
    </row>
    <row r="426">
      <c r="A426" s="31" t="n"/>
      <c r="B426" s="31" t="n"/>
      <c r="C426" s="30" t="n"/>
      <c r="D426" s="30" t="n"/>
      <c r="E426">
        <f>IF(OR(A426="",B426=""),"",B426-A426)</f>
        <v/>
      </c>
      <c r="F426" s="30" t="n"/>
    </row>
    <row r="427">
      <c r="A427" s="31" t="n"/>
      <c r="B427" s="31" t="n"/>
      <c r="C427" s="30" t="n"/>
      <c r="D427" s="30" t="n"/>
      <c r="E427">
        <f>IF(OR(A427="",B427=""),"",B427-A427)</f>
        <v/>
      </c>
      <c r="F427" s="30" t="n"/>
    </row>
    <row r="428">
      <c r="A428" s="31" t="n"/>
      <c r="B428" s="31" t="n"/>
      <c r="C428" s="30" t="n"/>
      <c r="D428" s="30" t="n"/>
      <c r="E428">
        <f>IF(OR(A428="",B428=""),"",B428-A428)</f>
        <v/>
      </c>
      <c r="F428" s="30" t="n"/>
    </row>
    <row r="429">
      <c r="A429" s="31" t="n"/>
      <c r="B429" s="31" t="n"/>
      <c r="C429" s="30" t="n"/>
      <c r="D429" s="30" t="n"/>
      <c r="E429">
        <f>IF(OR(A429="",B429=""),"",B429-A429)</f>
        <v/>
      </c>
      <c r="F429" s="30" t="n"/>
    </row>
    <row r="430">
      <c r="A430" s="31" t="n"/>
      <c r="B430" s="31" t="n"/>
      <c r="C430" s="30" t="n"/>
      <c r="D430" s="30" t="n"/>
      <c r="E430">
        <f>IF(OR(A430="",B430=""),"",B430-A430)</f>
        <v/>
      </c>
      <c r="F430" s="30" t="n"/>
    </row>
    <row r="431">
      <c r="A431" s="31" t="n"/>
      <c r="B431" s="31" t="n"/>
      <c r="C431" s="30" t="n"/>
      <c r="D431" s="30" t="n"/>
      <c r="E431">
        <f>IF(OR(A431="",B431=""),"",B431-A431)</f>
        <v/>
      </c>
      <c r="F431" s="30" t="n"/>
    </row>
    <row r="432">
      <c r="A432" s="31" t="n"/>
      <c r="B432" s="31" t="n"/>
      <c r="C432" s="30" t="n"/>
      <c r="D432" s="30" t="n"/>
      <c r="E432">
        <f>IF(OR(A432="",B432=""),"",B432-A432)</f>
        <v/>
      </c>
      <c r="F432" s="30" t="n"/>
    </row>
    <row r="433">
      <c r="A433" s="31" t="n"/>
      <c r="B433" s="31" t="n"/>
      <c r="C433" s="30" t="n"/>
      <c r="D433" s="30" t="n"/>
      <c r="E433">
        <f>IF(OR(A433="",B433=""),"",B433-A433)</f>
        <v/>
      </c>
      <c r="F433" s="30" t="n"/>
    </row>
    <row r="434">
      <c r="A434" s="31" t="n"/>
      <c r="B434" s="31" t="n"/>
      <c r="C434" s="30" t="n"/>
      <c r="D434" s="30" t="n"/>
      <c r="E434">
        <f>IF(OR(A434="",B434=""),"",B434-A434)</f>
        <v/>
      </c>
      <c r="F434" s="30" t="n"/>
    </row>
    <row r="435">
      <c r="A435" s="31" t="n"/>
      <c r="B435" s="31" t="n"/>
      <c r="C435" s="30" t="n"/>
      <c r="D435" s="30" t="n"/>
      <c r="E435">
        <f>IF(OR(A435="",B435=""),"",B435-A435)</f>
        <v/>
      </c>
      <c r="F435" s="30" t="n"/>
    </row>
    <row r="436">
      <c r="A436" s="31" t="n"/>
      <c r="B436" s="31" t="n"/>
      <c r="C436" s="30" t="n"/>
      <c r="D436" s="30" t="n"/>
      <c r="E436">
        <f>IF(OR(A436="",B436=""),"",B436-A436)</f>
        <v/>
      </c>
      <c r="F436" s="30" t="n"/>
    </row>
    <row r="437">
      <c r="A437" s="31" t="n"/>
      <c r="B437" s="31" t="n"/>
      <c r="C437" s="30" t="n"/>
      <c r="D437" s="30" t="n"/>
      <c r="E437">
        <f>IF(OR(A437="",B437=""),"",B437-A437)</f>
        <v/>
      </c>
      <c r="F437" s="30" t="n"/>
    </row>
    <row r="438">
      <c r="A438" s="31" t="n"/>
      <c r="B438" s="31" t="n"/>
      <c r="C438" s="30" t="n"/>
      <c r="D438" s="30" t="n"/>
      <c r="E438">
        <f>IF(OR(A438="",B438=""),"",B438-A438)</f>
        <v/>
      </c>
      <c r="F438" s="30" t="n"/>
    </row>
    <row r="439">
      <c r="A439" s="31" t="n"/>
      <c r="B439" s="31" t="n"/>
      <c r="C439" s="30" t="n"/>
      <c r="D439" s="30" t="n"/>
      <c r="E439">
        <f>IF(OR(A439="",B439=""),"",B439-A439)</f>
        <v/>
      </c>
      <c r="F439" s="30" t="n"/>
    </row>
    <row r="440">
      <c r="A440" s="31" t="n"/>
      <c r="B440" s="31" t="n"/>
      <c r="C440" s="30" t="n"/>
      <c r="D440" s="30" t="n"/>
      <c r="E440">
        <f>IF(OR(A440="",B440=""),"",B440-A440)</f>
        <v/>
      </c>
      <c r="F440" s="30" t="n"/>
    </row>
    <row r="441">
      <c r="A441" s="31" t="n"/>
      <c r="B441" s="31" t="n"/>
      <c r="C441" s="30" t="n"/>
      <c r="D441" s="30" t="n"/>
      <c r="E441">
        <f>IF(OR(A441="",B441=""),"",B441-A441)</f>
        <v/>
      </c>
      <c r="F441" s="30" t="n"/>
    </row>
    <row r="442">
      <c r="A442" s="31" t="n"/>
      <c r="B442" s="31" t="n"/>
      <c r="C442" s="30" t="n"/>
      <c r="D442" s="30" t="n"/>
      <c r="E442">
        <f>IF(OR(A442="",B442=""),"",B442-A442)</f>
        <v/>
      </c>
      <c r="F442" s="30" t="n"/>
    </row>
    <row r="443">
      <c r="A443" s="31" t="n"/>
      <c r="B443" s="31" t="n"/>
      <c r="C443" s="30" t="n"/>
      <c r="D443" s="30" t="n"/>
      <c r="E443">
        <f>IF(OR(A443="",B443=""),"",B443-A443)</f>
        <v/>
      </c>
      <c r="F443" s="30" t="n"/>
    </row>
    <row r="444">
      <c r="A444" s="31" t="n"/>
      <c r="B444" s="31" t="n"/>
      <c r="C444" s="30" t="n"/>
      <c r="D444" s="30" t="n"/>
      <c r="E444">
        <f>IF(OR(A444="",B444=""),"",B444-A444)</f>
        <v/>
      </c>
      <c r="F444" s="30" t="n"/>
    </row>
    <row r="445">
      <c r="A445" s="31" t="n"/>
      <c r="B445" s="31" t="n"/>
      <c r="C445" s="30" t="n"/>
      <c r="D445" s="30" t="n"/>
      <c r="E445">
        <f>IF(OR(A445="",B445=""),"",B445-A445)</f>
        <v/>
      </c>
      <c r="F445" s="30" t="n"/>
    </row>
    <row r="446">
      <c r="A446" s="31" t="n"/>
      <c r="B446" s="31" t="n"/>
      <c r="C446" s="30" t="n"/>
      <c r="D446" s="30" t="n"/>
      <c r="E446">
        <f>IF(OR(A446="",B446=""),"",B446-A446)</f>
        <v/>
      </c>
      <c r="F446" s="30" t="n"/>
    </row>
    <row r="447">
      <c r="A447" s="31" t="n"/>
      <c r="B447" s="31" t="n"/>
      <c r="C447" s="30" t="n"/>
      <c r="D447" s="30" t="n"/>
      <c r="E447">
        <f>IF(OR(A447="",B447=""),"",B447-A447)</f>
        <v/>
      </c>
      <c r="F447" s="30" t="n"/>
    </row>
    <row r="448">
      <c r="A448" s="31" t="n"/>
      <c r="B448" s="31" t="n"/>
      <c r="C448" s="30" t="n"/>
      <c r="D448" s="30" t="n"/>
      <c r="E448">
        <f>IF(OR(A448="",B448=""),"",B448-A448)</f>
        <v/>
      </c>
      <c r="F448" s="30" t="n"/>
    </row>
    <row r="449">
      <c r="A449" s="31" t="n"/>
      <c r="B449" s="31" t="n"/>
      <c r="C449" s="30" t="n"/>
      <c r="D449" s="30" t="n"/>
      <c r="E449">
        <f>IF(OR(A449="",B449=""),"",B449-A449)</f>
        <v/>
      </c>
      <c r="F449" s="30" t="n"/>
    </row>
    <row r="450">
      <c r="A450" s="31" t="n"/>
      <c r="B450" s="31" t="n"/>
      <c r="C450" s="30" t="n"/>
      <c r="D450" s="30" t="n"/>
      <c r="E450">
        <f>IF(OR(A450="",B450=""),"",B450-A450)</f>
        <v/>
      </c>
      <c r="F450" s="30" t="n"/>
    </row>
    <row r="451">
      <c r="A451" s="31" t="n"/>
      <c r="B451" s="31" t="n"/>
      <c r="C451" s="30" t="n"/>
      <c r="D451" s="30" t="n"/>
      <c r="E451">
        <f>IF(OR(A451="",B451=""),"",B451-A451)</f>
        <v/>
      </c>
      <c r="F451" s="30" t="n"/>
    </row>
    <row r="452">
      <c r="A452" s="31" t="n"/>
      <c r="B452" s="31" t="n"/>
      <c r="C452" s="30" t="n"/>
      <c r="D452" s="30" t="n"/>
      <c r="E452">
        <f>IF(OR(A452="",B452=""),"",B452-A452)</f>
        <v/>
      </c>
      <c r="F452" s="30" t="n"/>
    </row>
    <row r="453">
      <c r="A453" s="31" t="n"/>
      <c r="B453" s="31" t="n"/>
      <c r="C453" s="30" t="n"/>
      <c r="D453" s="30" t="n"/>
      <c r="E453">
        <f>IF(OR(A453="",B453=""),"",B453-A453)</f>
        <v/>
      </c>
      <c r="F453" s="30" t="n"/>
    </row>
    <row r="454">
      <c r="A454" s="31" t="n"/>
      <c r="B454" s="31" t="n"/>
      <c r="C454" s="30" t="n"/>
      <c r="D454" s="30" t="n"/>
      <c r="E454">
        <f>IF(OR(A454="",B454=""),"",B454-A454)</f>
        <v/>
      </c>
      <c r="F454" s="30" t="n"/>
    </row>
    <row r="455">
      <c r="A455" s="31" t="n"/>
      <c r="B455" s="31" t="n"/>
      <c r="C455" s="30" t="n"/>
      <c r="D455" s="30" t="n"/>
      <c r="E455">
        <f>IF(OR(A455="",B455=""),"",B455-A455)</f>
        <v/>
      </c>
      <c r="F455" s="30" t="n"/>
    </row>
    <row r="456">
      <c r="A456" s="31" t="n"/>
      <c r="B456" s="31" t="n"/>
      <c r="C456" s="30" t="n"/>
      <c r="D456" s="30" t="n"/>
      <c r="E456">
        <f>IF(OR(A456="",B456=""),"",B456-A456)</f>
        <v/>
      </c>
      <c r="F456" s="30" t="n"/>
    </row>
    <row r="457">
      <c r="A457" s="31" t="n"/>
      <c r="B457" s="31" t="n"/>
      <c r="C457" s="30" t="n"/>
      <c r="D457" s="30" t="n"/>
      <c r="E457">
        <f>IF(OR(A457="",B457=""),"",B457-A457)</f>
        <v/>
      </c>
      <c r="F457" s="30" t="n"/>
    </row>
    <row r="458">
      <c r="A458" s="31" t="n"/>
      <c r="B458" s="31" t="n"/>
      <c r="C458" s="30" t="n"/>
      <c r="D458" s="30" t="n"/>
      <c r="E458">
        <f>IF(OR(A458="",B458=""),"",B458-A458)</f>
        <v/>
      </c>
      <c r="F458" s="30" t="n"/>
    </row>
    <row r="459">
      <c r="A459" s="31" t="n"/>
      <c r="B459" s="31" t="n"/>
      <c r="C459" s="30" t="n"/>
      <c r="D459" s="30" t="n"/>
      <c r="E459">
        <f>IF(OR(A459="",B459=""),"",B459-A459)</f>
        <v/>
      </c>
      <c r="F459" s="30" t="n"/>
    </row>
    <row r="460">
      <c r="A460" s="31" t="n"/>
      <c r="B460" s="31" t="n"/>
      <c r="C460" s="30" t="n"/>
      <c r="D460" s="30" t="n"/>
      <c r="E460">
        <f>IF(OR(A460="",B460=""),"",B460-A460)</f>
        <v/>
      </c>
      <c r="F460" s="30" t="n"/>
    </row>
    <row r="461">
      <c r="A461" s="31" t="n"/>
      <c r="B461" s="31" t="n"/>
      <c r="C461" s="30" t="n"/>
      <c r="D461" s="30" t="n"/>
      <c r="E461">
        <f>IF(OR(A461="",B461=""),"",B461-A461)</f>
        <v/>
      </c>
      <c r="F461" s="30" t="n"/>
    </row>
    <row r="462">
      <c r="A462" s="31" t="n"/>
      <c r="B462" s="31" t="n"/>
      <c r="C462" s="30" t="n"/>
      <c r="D462" s="30" t="n"/>
      <c r="E462">
        <f>IF(OR(A462="",B462=""),"",B462-A462)</f>
        <v/>
      </c>
      <c r="F462" s="30" t="n"/>
    </row>
    <row r="463">
      <c r="A463" s="31" t="n"/>
      <c r="B463" s="31" t="n"/>
      <c r="C463" s="30" t="n"/>
      <c r="D463" s="30" t="n"/>
      <c r="E463">
        <f>IF(OR(A463="",B463=""),"",B463-A463)</f>
        <v/>
      </c>
      <c r="F463" s="30" t="n"/>
    </row>
    <row r="464">
      <c r="A464" s="31" t="n"/>
      <c r="B464" s="31" t="n"/>
      <c r="C464" s="30" t="n"/>
      <c r="D464" s="30" t="n"/>
      <c r="E464">
        <f>IF(OR(A464="",B464=""),"",B464-A464)</f>
        <v/>
      </c>
      <c r="F464" s="30" t="n"/>
    </row>
    <row r="465">
      <c r="A465" s="31" t="n"/>
      <c r="B465" s="31" t="n"/>
      <c r="C465" s="30" t="n"/>
      <c r="D465" s="30" t="n"/>
      <c r="E465">
        <f>IF(OR(A465="",B465=""),"",B465-A465)</f>
        <v/>
      </c>
      <c r="F465" s="30" t="n"/>
    </row>
    <row r="466">
      <c r="A466" s="31" t="n"/>
      <c r="B466" s="31" t="n"/>
      <c r="C466" s="30" t="n"/>
      <c r="D466" s="30" t="n"/>
      <c r="E466">
        <f>IF(OR(A466="",B466=""),"",B466-A466)</f>
        <v/>
      </c>
      <c r="F466" s="30" t="n"/>
    </row>
    <row r="467">
      <c r="A467" s="31" t="n"/>
      <c r="B467" s="31" t="n"/>
      <c r="C467" s="30" t="n"/>
      <c r="D467" s="30" t="n"/>
      <c r="E467">
        <f>IF(OR(A467="",B467=""),"",B467-A467)</f>
        <v/>
      </c>
      <c r="F467" s="30" t="n"/>
    </row>
    <row r="468">
      <c r="A468" s="31" t="n"/>
      <c r="B468" s="31" t="n"/>
      <c r="C468" s="30" t="n"/>
      <c r="D468" s="30" t="n"/>
      <c r="E468">
        <f>IF(OR(A468="",B468=""),"",B468-A468)</f>
        <v/>
      </c>
      <c r="F468" s="30" t="n"/>
    </row>
    <row r="469">
      <c r="A469" s="31" t="n"/>
      <c r="B469" s="31" t="n"/>
      <c r="C469" s="30" t="n"/>
      <c r="D469" s="30" t="n"/>
      <c r="E469">
        <f>IF(OR(A469="",B469=""),"",B469-A469)</f>
        <v/>
      </c>
      <c r="F469" s="30" t="n"/>
    </row>
    <row r="470">
      <c r="A470" s="31" t="n"/>
      <c r="B470" s="31" t="n"/>
      <c r="C470" s="30" t="n"/>
      <c r="D470" s="30" t="n"/>
      <c r="E470">
        <f>IF(OR(A470="",B470=""),"",B470-A470)</f>
        <v/>
      </c>
      <c r="F470" s="30" t="n"/>
    </row>
    <row r="471">
      <c r="A471" s="31" t="n"/>
      <c r="B471" s="31" t="n"/>
      <c r="C471" s="30" t="n"/>
      <c r="D471" s="30" t="n"/>
      <c r="E471">
        <f>IF(OR(A471="",B471=""),"",B471-A471)</f>
        <v/>
      </c>
      <c r="F471" s="30" t="n"/>
    </row>
    <row r="472">
      <c r="A472" s="31" t="n"/>
      <c r="B472" s="31" t="n"/>
      <c r="C472" s="30" t="n"/>
      <c r="D472" s="30" t="n"/>
      <c r="E472">
        <f>IF(OR(A472="",B472=""),"",B472-A472)</f>
        <v/>
      </c>
      <c r="F472" s="30" t="n"/>
    </row>
    <row r="473">
      <c r="A473" s="31" t="n"/>
      <c r="B473" s="31" t="n"/>
      <c r="C473" s="30" t="n"/>
      <c r="D473" s="30" t="n"/>
      <c r="E473">
        <f>IF(OR(A473="",B473=""),"",B473-A473)</f>
        <v/>
      </c>
      <c r="F473" s="30" t="n"/>
    </row>
    <row r="474">
      <c r="A474" s="31" t="n"/>
      <c r="B474" s="31" t="n"/>
      <c r="C474" s="30" t="n"/>
      <c r="D474" s="30" t="n"/>
      <c r="E474">
        <f>IF(OR(A474="",B474=""),"",B474-A474)</f>
        <v/>
      </c>
      <c r="F474" s="30" t="n"/>
    </row>
    <row r="475">
      <c r="A475" s="31" t="n"/>
      <c r="B475" s="31" t="n"/>
      <c r="C475" s="30" t="n"/>
      <c r="D475" s="30" t="n"/>
      <c r="E475">
        <f>IF(OR(A475="",B475=""),"",B475-A475)</f>
        <v/>
      </c>
      <c r="F475" s="30" t="n"/>
    </row>
    <row r="476">
      <c r="A476" s="31" t="n"/>
      <c r="B476" s="31" t="n"/>
      <c r="C476" s="30" t="n"/>
      <c r="D476" s="30" t="n"/>
      <c r="E476">
        <f>IF(OR(A476="",B476=""),"",B476-A476)</f>
        <v/>
      </c>
      <c r="F476" s="30" t="n"/>
    </row>
    <row r="477">
      <c r="A477" s="31" t="n"/>
      <c r="B477" s="31" t="n"/>
      <c r="C477" s="30" t="n"/>
      <c r="D477" s="30" t="n"/>
      <c r="E477">
        <f>IF(OR(A477="",B477=""),"",B477-A477)</f>
        <v/>
      </c>
      <c r="F477" s="30" t="n"/>
    </row>
    <row r="478">
      <c r="A478" s="31" t="n"/>
      <c r="B478" s="31" t="n"/>
      <c r="C478" s="30" t="n"/>
      <c r="D478" s="30" t="n"/>
      <c r="E478">
        <f>IF(OR(A478="",B478=""),"",B478-A478)</f>
        <v/>
      </c>
      <c r="F478" s="30" t="n"/>
    </row>
    <row r="479">
      <c r="A479" s="31" t="n"/>
      <c r="B479" s="31" t="n"/>
      <c r="C479" s="30" t="n"/>
      <c r="D479" s="30" t="n"/>
      <c r="E479">
        <f>IF(OR(A479="",B479=""),"",B479-A479)</f>
        <v/>
      </c>
      <c r="F479" s="30" t="n"/>
    </row>
    <row r="480">
      <c r="A480" s="31" t="n"/>
      <c r="B480" s="31" t="n"/>
      <c r="C480" s="30" t="n"/>
      <c r="D480" s="30" t="n"/>
      <c r="E480">
        <f>IF(OR(A480="",B480=""),"",B480-A480)</f>
        <v/>
      </c>
      <c r="F480" s="30" t="n"/>
    </row>
    <row r="481">
      <c r="A481" s="31" t="n"/>
      <c r="B481" s="31" t="n"/>
      <c r="C481" s="30" t="n"/>
      <c r="D481" s="30" t="n"/>
      <c r="E481">
        <f>IF(OR(A481="",B481=""),"",B481-A481)</f>
        <v/>
      </c>
      <c r="F481" s="30" t="n"/>
    </row>
    <row r="482">
      <c r="A482" s="31" t="n"/>
      <c r="B482" s="31" t="n"/>
      <c r="C482" s="30" t="n"/>
      <c r="D482" s="30" t="n"/>
      <c r="E482">
        <f>IF(OR(A482="",B482=""),"",B482-A482)</f>
        <v/>
      </c>
      <c r="F482" s="30" t="n"/>
    </row>
    <row r="483">
      <c r="A483" s="31" t="n"/>
      <c r="B483" s="31" t="n"/>
      <c r="C483" s="30" t="n"/>
      <c r="D483" s="30" t="n"/>
      <c r="E483">
        <f>IF(OR(A483="",B483=""),"",B483-A483)</f>
        <v/>
      </c>
      <c r="F483" s="30" t="n"/>
    </row>
    <row r="484">
      <c r="A484" s="31" t="n"/>
      <c r="B484" s="31" t="n"/>
      <c r="C484" s="30" t="n"/>
      <c r="D484" s="30" t="n"/>
      <c r="E484">
        <f>IF(OR(A484="",B484=""),"",B484-A484)</f>
        <v/>
      </c>
      <c r="F484" s="30" t="n"/>
    </row>
    <row r="485">
      <c r="A485" s="31" t="n"/>
      <c r="B485" s="31" t="n"/>
      <c r="C485" s="30" t="n"/>
      <c r="D485" s="30" t="n"/>
      <c r="E485">
        <f>IF(OR(A485="",B485=""),"",B485-A485)</f>
        <v/>
      </c>
      <c r="F485" s="30" t="n"/>
    </row>
    <row r="486">
      <c r="A486" s="31" t="n"/>
      <c r="B486" s="31" t="n"/>
      <c r="C486" s="30" t="n"/>
      <c r="D486" s="30" t="n"/>
      <c r="E486">
        <f>IF(OR(A486="",B486=""),"",B486-A486)</f>
        <v/>
      </c>
      <c r="F486" s="30" t="n"/>
    </row>
    <row r="487">
      <c r="A487" s="31" t="n"/>
      <c r="B487" s="31" t="n"/>
      <c r="C487" s="30" t="n"/>
      <c r="D487" s="30" t="n"/>
      <c r="E487">
        <f>IF(OR(A487="",B487=""),"",B487-A487)</f>
        <v/>
      </c>
      <c r="F487" s="30" t="n"/>
    </row>
    <row r="488">
      <c r="A488" s="31" t="n"/>
      <c r="B488" s="31" t="n"/>
      <c r="C488" s="30" t="n"/>
      <c r="D488" s="30" t="n"/>
      <c r="E488">
        <f>IF(OR(A488="",B488=""),"",B488-A488)</f>
        <v/>
      </c>
      <c r="F488" s="30" t="n"/>
    </row>
    <row r="489">
      <c r="A489" s="31" t="n"/>
      <c r="B489" s="31" t="n"/>
      <c r="C489" s="30" t="n"/>
      <c r="D489" s="30" t="n"/>
      <c r="E489">
        <f>IF(OR(A489="",B489=""),"",B489-A489)</f>
        <v/>
      </c>
      <c r="F489" s="30" t="n"/>
    </row>
    <row r="490">
      <c r="A490" s="31" t="n"/>
      <c r="B490" s="31" t="n"/>
      <c r="C490" s="30" t="n"/>
      <c r="D490" s="30" t="n"/>
      <c r="E490">
        <f>IF(OR(A490="",B490=""),"",B490-A490)</f>
        <v/>
      </c>
      <c r="F490" s="30" t="n"/>
    </row>
    <row r="491">
      <c r="A491" s="31" t="n"/>
      <c r="B491" s="31" t="n"/>
      <c r="C491" s="30" t="n"/>
      <c r="D491" s="30" t="n"/>
      <c r="E491">
        <f>IF(OR(A491="",B491=""),"",B491-A491)</f>
        <v/>
      </c>
      <c r="F491" s="30" t="n"/>
    </row>
    <row r="492">
      <c r="A492" s="31" t="n"/>
      <c r="B492" s="31" t="n"/>
      <c r="C492" s="30" t="n"/>
      <c r="D492" s="30" t="n"/>
      <c r="E492">
        <f>IF(OR(A492="",B492=""),"",B492-A492)</f>
        <v/>
      </c>
      <c r="F492" s="30" t="n"/>
    </row>
    <row r="493">
      <c r="A493" s="31" t="n"/>
      <c r="B493" s="31" t="n"/>
      <c r="C493" s="30" t="n"/>
      <c r="D493" s="30" t="n"/>
      <c r="E493">
        <f>IF(OR(A493="",B493=""),"",B493-A493)</f>
        <v/>
      </c>
      <c r="F493" s="30" t="n"/>
    </row>
    <row r="494">
      <c r="A494" s="31" t="n"/>
      <c r="B494" s="31" t="n"/>
      <c r="C494" s="30" t="n"/>
      <c r="D494" s="30" t="n"/>
      <c r="E494">
        <f>IF(OR(A494="",B494=""),"",B494-A494)</f>
        <v/>
      </c>
      <c r="F494" s="30" t="n"/>
    </row>
    <row r="495">
      <c r="A495" s="31" t="n"/>
      <c r="B495" s="31" t="n"/>
      <c r="C495" s="30" t="n"/>
      <c r="D495" s="30" t="n"/>
      <c r="E495">
        <f>IF(OR(A495="",B495=""),"",B495-A495)</f>
        <v/>
      </c>
      <c r="F495" s="30" t="n"/>
    </row>
    <row r="496">
      <c r="A496" s="31" t="n"/>
      <c r="B496" s="31" t="n"/>
      <c r="C496" s="30" t="n"/>
      <c r="D496" s="30" t="n"/>
      <c r="E496">
        <f>IF(OR(A496="",B496=""),"",B496-A496)</f>
        <v/>
      </c>
      <c r="F496" s="30" t="n"/>
    </row>
    <row r="497">
      <c r="A497" s="31" t="n"/>
      <c r="B497" s="31" t="n"/>
      <c r="C497" s="30" t="n"/>
      <c r="D497" s="30" t="n"/>
      <c r="E497">
        <f>IF(OR(A497="",B497=""),"",B497-A497)</f>
        <v/>
      </c>
      <c r="F497" s="30" t="n"/>
    </row>
    <row r="498">
      <c r="A498" s="31" t="n"/>
      <c r="B498" s="31" t="n"/>
      <c r="C498" s="30" t="n"/>
      <c r="D498" s="30" t="n"/>
      <c r="E498">
        <f>IF(OR(A498="",B498=""),"",B498-A498)</f>
        <v/>
      </c>
      <c r="F498" s="30" t="n"/>
    </row>
    <row r="499">
      <c r="A499" s="31" t="n"/>
      <c r="B499" s="31" t="n"/>
      <c r="C499" s="30" t="n"/>
      <c r="D499" s="30" t="n"/>
      <c r="E499">
        <f>IF(OR(A499="",B499=""),"",B499-A499)</f>
        <v/>
      </c>
      <c r="F499" s="30" t="n"/>
    </row>
    <row r="500">
      <c r="A500" s="31" t="n"/>
      <c r="B500" s="31" t="n"/>
      <c r="C500" s="30" t="n"/>
      <c r="D500" s="30" t="n"/>
      <c r="E500">
        <f>IF(OR(A500="",B500=""),"",B500-A500)</f>
        <v/>
      </c>
      <c r="F500" s="30" t="n"/>
    </row>
    <row r="501">
      <c r="A501" s="31" t="n"/>
      <c r="B501" s="31" t="n"/>
      <c r="C501" s="30" t="n"/>
      <c r="D501" s="30" t="n"/>
      <c r="E501">
        <f>IF(OR(A501="",B501=""),"",B501-A501)</f>
        <v/>
      </c>
      <c r="F501" s="30" t="n"/>
    </row>
    <row r="502">
      <c r="A502" s="31" t="n"/>
      <c r="B502" s="31" t="n"/>
      <c r="C502" s="30" t="n"/>
      <c r="D502" s="30" t="n"/>
      <c r="E502">
        <f>IF(OR(A502="",B502=""),"",B502-A502)</f>
        <v/>
      </c>
      <c r="F502" s="30" t="n"/>
    </row>
    <row r="503">
      <c r="A503" s="31" t="n"/>
      <c r="B503" s="31" t="n"/>
      <c r="C503" s="30" t="n"/>
      <c r="D503" s="30" t="n"/>
      <c r="E503">
        <f>IF(OR(A503="",B503=""),"",B503-A503)</f>
        <v/>
      </c>
      <c r="F503" s="30" t="n"/>
    </row>
    <row r="504">
      <c r="A504" s="31" t="n"/>
      <c r="B504" s="31" t="n"/>
      <c r="C504" s="30" t="n"/>
      <c r="D504" s="30" t="n"/>
      <c r="E504">
        <f>IF(OR(A504="",B504=""),"",B504-A504)</f>
        <v/>
      </c>
      <c r="F504" s="30" t="n"/>
    </row>
    <row r="505">
      <c r="A505" s="31" t="n"/>
      <c r="B505" s="31" t="n"/>
      <c r="C505" s="30" t="n"/>
      <c r="D505" s="30" t="n"/>
      <c r="E505">
        <f>IF(OR(A505="",B505=""),"",B505-A505)</f>
        <v/>
      </c>
      <c r="F505" s="30" t="n"/>
    </row>
    <row r="506">
      <c r="A506" s="31" t="n"/>
      <c r="B506" s="31" t="n"/>
      <c r="C506" s="30" t="n"/>
      <c r="D506" s="30" t="n"/>
      <c r="E506">
        <f>IF(OR(A506="",B506=""),"",B506-A506)</f>
        <v/>
      </c>
      <c r="F506" s="30" t="n"/>
    </row>
    <row r="507">
      <c r="A507" s="31" t="n"/>
      <c r="B507" s="31" t="n"/>
      <c r="C507" s="30" t="n"/>
      <c r="D507" s="30" t="n"/>
      <c r="E507">
        <f>IF(OR(A507="",B507=""),"",B507-A507)</f>
        <v/>
      </c>
      <c r="F507" s="30" t="n"/>
    </row>
    <row r="508">
      <c r="A508" s="31" t="n"/>
      <c r="B508" s="31" t="n"/>
      <c r="C508" s="30" t="n"/>
      <c r="D508" s="30" t="n"/>
      <c r="E508">
        <f>IF(OR(A508="",B508=""),"",B508-A508)</f>
        <v/>
      </c>
      <c r="F508" s="30" t="n"/>
    </row>
    <row r="509">
      <c r="A509" s="31" t="n"/>
      <c r="B509" s="31" t="n"/>
      <c r="C509" s="30" t="n"/>
      <c r="D509" s="30" t="n"/>
      <c r="E509">
        <f>IF(OR(A509="",B509=""),"",B509-A509)</f>
        <v/>
      </c>
      <c r="F509" s="30" t="n"/>
    </row>
    <row r="510">
      <c r="A510" s="31" t="n"/>
      <c r="B510" s="31" t="n"/>
      <c r="C510" s="30" t="n"/>
      <c r="D510" s="30" t="n"/>
      <c r="E510">
        <f>IF(OR(A510="",B510=""),"",B510-A510)</f>
        <v/>
      </c>
      <c r="F510" s="30" t="n"/>
    </row>
    <row r="511">
      <c r="A511" s="31" t="n"/>
      <c r="B511" s="31" t="n"/>
      <c r="C511" s="30" t="n"/>
      <c r="D511" s="30" t="n"/>
      <c r="E511">
        <f>IF(OR(A511="",B511=""),"",B511-A511)</f>
        <v/>
      </c>
      <c r="F511" s="30" t="n"/>
    </row>
    <row r="512">
      <c r="A512" s="31" t="n"/>
      <c r="B512" s="31" t="n"/>
      <c r="C512" s="30" t="n"/>
      <c r="D512" s="30" t="n"/>
      <c r="E512">
        <f>IF(OR(A512="",B512=""),"",B512-A512)</f>
        <v/>
      </c>
      <c r="F512" s="30" t="n"/>
    </row>
    <row r="513">
      <c r="A513" s="31" t="n"/>
      <c r="B513" s="31" t="n"/>
      <c r="C513" s="30" t="n"/>
      <c r="D513" s="30" t="n"/>
      <c r="E513">
        <f>IF(OR(A513="",B513=""),"",B513-A513)</f>
        <v/>
      </c>
      <c r="F513" s="30" t="n"/>
    </row>
    <row r="514">
      <c r="A514" s="31" t="n"/>
      <c r="B514" s="31" t="n"/>
      <c r="C514" s="30" t="n"/>
      <c r="D514" s="30" t="n"/>
      <c r="E514">
        <f>IF(OR(A514="",B514=""),"",B514-A514)</f>
        <v/>
      </c>
      <c r="F514" s="30" t="n"/>
    </row>
    <row r="515">
      <c r="A515" s="31" t="n"/>
      <c r="B515" s="31" t="n"/>
      <c r="C515" s="30" t="n"/>
      <c r="D515" s="30" t="n"/>
      <c r="E515">
        <f>IF(OR(A515="",B515=""),"",B515-A515)</f>
        <v/>
      </c>
      <c r="F515" s="30" t="n"/>
    </row>
    <row r="516">
      <c r="A516" s="31" t="n"/>
      <c r="B516" s="31" t="n"/>
      <c r="C516" s="30" t="n"/>
      <c r="D516" s="30" t="n"/>
      <c r="E516">
        <f>IF(OR(A516="",B516=""),"",B516-A516)</f>
        <v/>
      </c>
      <c r="F516" s="30" t="n"/>
    </row>
    <row r="517">
      <c r="A517" s="31" t="n"/>
      <c r="B517" s="31" t="n"/>
      <c r="C517" s="30" t="n"/>
      <c r="D517" s="30" t="n"/>
      <c r="E517">
        <f>IF(OR(A517="",B517=""),"",B517-A517)</f>
        <v/>
      </c>
      <c r="F517" s="30" t="n"/>
    </row>
    <row r="518">
      <c r="A518" s="31" t="n"/>
      <c r="B518" s="31" t="n"/>
      <c r="C518" s="30" t="n"/>
      <c r="D518" s="30" t="n"/>
      <c r="E518">
        <f>IF(OR(A518="",B518=""),"",B518-A518)</f>
        <v/>
      </c>
      <c r="F518" s="30" t="n"/>
    </row>
    <row r="519">
      <c r="A519" s="31" t="n"/>
      <c r="B519" s="31" t="n"/>
      <c r="C519" s="30" t="n"/>
      <c r="D519" s="30" t="n"/>
      <c r="E519">
        <f>IF(OR(A519="",B519=""),"",B519-A519)</f>
        <v/>
      </c>
      <c r="F519" s="30" t="n"/>
    </row>
    <row r="520">
      <c r="A520" s="31" t="n"/>
      <c r="B520" s="31" t="n"/>
      <c r="C520" s="30" t="n"/>
      <c r="D520" s="30" t="n"/>
      <c r="E520">
        <f>IF(OR(A520="",B520=""),"",B520-A520)</f>
        <v/>
      </c>
      <c r="F520" s="30" t="n"/>
    </row>
    <row r="521">
      <c r="A521" s="31" t="n"/>
      <c r="B521" s="31" t="n"/>
      <c r="C521" s="30" t="n"/>
      <c r="D521" s="30" t="n"/>
      <c r="E521">
        <f>IF(OR(A521="",B521=""),"",B521-A521)</f>
        <v/>
      </c>
      <c r="F521" s="30" t="n"/>
    </row>
    <row r="522">
      <c r="A522" s="31" t="n"/>
      <c r="B522" s="31" t="n"/>
      <c r="C522" s="30" t="n"/>
      <c r="D522" s="30" t="n"/>
      <c r="E522">
        <f>IF(OR(A522="",B522=""),"",B522-A522)</f>
        <v/>
      </c>
      <c r="F522" s="30" t="n"/>
    </row>
    <row r="523">
      <c r="A523" s="31" t="n"/>
      <c r="B523" s="31" t="n"/>
      <c r="C523" s="30" t="n"/>
      <c r="D523" s="30" t="n"/>
      <c r="E523">
        <f>IF(OR(A523="",B523=""),"",B523-A523)</f>
        <v/>
      </c>
      <c r="F523" s="30" t="n"/>
    </row>
    <row r="524">
      <c r="A524" s="31" t="n"/>
      <c r="B524" s="31" t="n"/>
      <c r="C524" s="30" t="n"/>
      <c r="D524" s="30" t="n"/>
      <c r="E524">
        <f>IF(OR(A524="",B524=""),"",B524-A524)</f>
        <v/>
      </c>
      <c r="F524" s="30" t="n"/>
    </row>
    <row r="525">
      <c r="A525" s="31" t="n"/>
      <c r="B525" s="31" t="n"/>
      <c r="C525" s="30" t="n"/>
      <c r="D525" s="30" t="n"/>
      <c r="E525">
        <f>IF(OR(A525="",B525=""),"",B525-A525)</f>
        <v/>
      </c>
      <c r="F525" s="30" t="n"/>
    </row>
    <row r="526">
      <c r="A526" s="31" t="n"/>
      <c r="B526" s="31" t="n"/>
      <c r="C526" s="30" t="n"/>
      <c r="D526" s="30" t="n"/>
      <c r="E526">
        <f>IF(OR(A526="",B526=""),"",B526-A526)</f>
        <v/>
      </c>
      <c r="F526" s="30" t="n"/>
    </row>
    <row r="527">
      <c r="A527" s="31" t="n"/>
      <c r="B527" s="31" t="n"/>
      <c r="C527" s="30" t="n"/>
      <c r="D527" s="30" t="n"/>
      <c r="E527">
        <f>IF(OR(A527="",B527=""),"",B527-A527)</f>
        <v/>
      </c>
      <c r="F527" s="30" t="n"/>
    </row>
    <row r="528">
      <c r="A528" s="31" t="n"/>
      <c r="B528" s="31" t="n"/>
      <c r="C528" s="30" t="n"/>
      <c r="D528" s="30" t="n"/>
      <c r="E528">
        <f>IF(OR(A528="",B528=""),"",B528-A528)</f>
        <v/>
      </c>
      <c r="F528" s="30" t="n"/>
    </row>
    <row r="529">
      <c r="A529" s="31" t="n"/>
      <c r="B529" s="31" t="n"/>
      <c r="C529" s="30" t="n"/>
      <c r="D529" s="30" t="n"/>
      <c r="E529">
        <f>IF(OR(A529="",B529=""),"",B529-A529)</f>
        <v/>
      </c>
      <c r="F529" s="30" t="n"/>
    </row>
    <row r="530">
      <c r="A530" s="31" t="n"/>
      <c r="B530" s="31" t="n"/>
      <c r="C530" s="30" t="n"/>
      <c r="D530" s="30" t="n"/>
      <c r="E530">
        <f>IF(OR(A530="",B530=""),"",B530-A530)</f>
        <v/>
      </c>
      <c r="F530" s="30" t="n"/>
    </row>
    <row r="531">
      <c r="A531" s="31" t="n"/>
      <c r="B531" s="31" t="n"/>
      <c r="C531" s="30" t="n"/>
      <c r="D531" s="30" t="n"/>
      <c r="E531">
        <f>IF(OR(A531="",B531=""),"",B531-A531)</f>
        <v/>
      </c>
      <c r="F531" s="30" t="n"/>
    </row>
    <row r="532">
      <c r="A532" s="31" t="n"/>
      <c r="B532" s="31" t="n"/>
      <c r="C532" s="30" t="n"/>
      <c r="D532" s="30" t="n"/>
      <c r="E532">
        <f>IF(OR(A532="",B532=""),"",B532-A532)</f>
        <v/>
      </c>
      <c r="F532" s="30" t="n"/>
    </row>
    <row r="533">
      <c r="A533" s="31" t="n"/>
      <c r="B533" s="31" t="n"/>
      <c r="C533" s="30" t="n"/>
      <c r="D533" s="30" t="n"/>
      <c r="E533">
        <f>IF(OR(A533="",B533=""),"",B533-A533)</f>
        <v/>
      </c>
      <c r="F533" s="30" t="n"/>
    </row>
    <row r="534">
      <c r="A534" s="31" t="n"/>
      <c r="B534" s="31" t="n"/>
      <c r="C534" s="30" t="n"/>
      <c r="D534" s="30" t="n"/>
      <c r="E534">
        <f>IF(OR(A534="",B534=""),"",B534-A534)</f>
        <v/>
      </c>
      <c r="F534" s="30" t="n"/>
    </row>
    <row r="535">
      <c r="A535" s="31" t="n"/>
      <c r="B535" s="31" t="n"/>
      <c r="C535" s="30" t="n"/>
      <c r="D535" s="30" t="n"/>
      <c r="E535">
        <f>IF(OR(A535="",B535=""),"",B535-A535)</f>
        <v/>
      </c>
      <c r="F535" s="30" t="n"/>
    </row>
    <row r="536">
      <c r="A536" s="31" t="n"/>
      <c r="B536" s="31" t="n"/>
      <c r="C536" s="30" t="n"/>
      <c r="D536" s="30" t="n"/>
      <c r="E536">
        <f>IF(OR(A536="",B536=""),"",B536-A536)</f>
        <v/>
      </c>
      <c r="F536" s="30" t="n"/>
    </row>
    <row r="537">
      <c r="A537" s="31" t="n"/>
      <c r="B537" s="31" t="n"/>
      <c r="C537" s="30" t="n"/>
      <c r="D537" s="30" t="n"/>
      <c r="E537">
        <f>IF(OR(A537="",B537=""),"",B537-A537)</f>
        <v/>
      </c>
      <c r="F537" s="30" t="n"/>
    </row>
    <row r="538">
      <c r="A538" s="31" t="n"/>
      <c r="B538" s="31" t="n"/>
      <c r="C538" s="30" t="n"/>
      <c r="D538" s="30" t="n"/>
      <c r="E538">
        <f>IF(OR(A538="",B538=""),"",B538-A538)</f>
        <v/>
      </c>
      <c r="F538" s="30" t="n"/>
    </row>
    <row r="539">
      <c r="A539" s="31" t="n"/>
      <c r="B539" s="31" t="n"/>
      <c r="C539" s="30" t="n"/>
      <c r="D539" s="30" t="n"/>
      <c r="E539">
        <f>IF(OR(A539="",B539=""),"",B539-A539)</f>
        <v/>
      </c>
      <c r="F539" s="30" t="n"/>
    </row>
    <row r="540">
      <c r="A540" s="31" t="n"/>
      <c r="B540" s="31" t="n"/>
      <c r="C540" s="30" t="n"/>
      <c r="D540" s="30" t="n"/>
      <c r="E540">
        <f>IF(OR(A540="",B540=""),"",B540-A540)</f>
        <v/>
      </c>
      <c r="F540" s="30" t="n"/>
    </row>
    <row r="541">
      <c r="A541" s="31" t="n"/>
      <c r="B541" s="31" t="n"/>
      <c r="C541" s="30" t="n"/>
      <c r="D541" s="30" t="n"/>
      <c r="E541">
        <f>IF(OR(A541="",B541=""),"",B541-A541)</f>
        <v/>
      </c>
      <c r="F541" s="30" t="n"/>
    </row>
    <row r="542">
      <c r="A542" s="31" t="n"/>
      <c r="B542" s="31" t="n"/>
      <c r="C542" s="30" t="n"/>
      <c r="D542" s="30" t="n"/>
      <c r="E542">
        <f>IF(OR(A542="",B542=""),"",B542-A542)</f>
        <v/>
      </c>
      <c r="F542" s="30" t="n"/>
    </row>
    <row r="543">
      <c r="A543" s="31" t="n"/>
      <c r="B543" s="31" t="n"/>
      <c r="C543" s="30" t="n"/>
      <c r="D543" s="30" t="n"/>
      <c r="E543">
        <f>IF(OR(A543="",B543=""),"",B543-A543)</f>
        <v/>
      </c>
      <c r="F543" s="30" t="n"/>
    </row>
    <row r="544">
      <c r="A544" s="31" t="n"/>
      <c r="B544" s="31" t="n"/>
      <c r="C544" s="30" t="n"/>
      <c r="D544" s="30" t="n"/>
      <c r="E544">
        <f>IF(OR(A544="",B544=""),"",B544-A544)</f>
        <v/>
      </c>
      <c r="F544" s="30" t="n"/>
    </row>
    <row r="545">
      <c r="A545" s="31" t="n"/>
      <c r="B545" s="31" t="n"/>
      <c r="C545" s="30" t="n"/>
      <c r="D545" s="30" t="n"/>
      <c r="E545">
        <f>IF(OR(A545="",B545=""),"",B545-A545)</f>
        <v/>
      </c>
      <c r="F545" s="30" t="n"/>
    </row>
    <row r="546">
      <c r="A546" s="31" t="n"/>
      <c r="B546" s="31" t="n"/>
      <c r="C546" s="30" t="n"/>
      <c r="D546" s="30" t="n"/>
      <c r="E546">
        <f>IF(OR(A546="",B546=""),"",B546-A546)</f>
        <v/>
      </c>
      <c r="F546" s="30" t="n"/>
    </row>
    <row r="547">
      <c r="A547" s="31" t="n"/>
      <c r="B547" s="31" t="n"/>
      <c r="C547" s="30" t="n"/>
      <c r="D547" s="30" t="n"/>
      <c r="E547">
        <f>IF(OR(A547="",B547=""),"",B547-A547)</f>
        <v/>
      </c>
      <c r="F547" s="30" t="n"/>
    </row>
    <row r="548">
      <c r="A548" s="31" t="n"/>
      <c r="B548" s="31" t="n"/>
      <c r="C548" s="30" t="n"/>
      <c r="D548" s="30" t="n"/>
      <c r="E548">
        <f>IF(OR(A548="",B548=""),"",B548-A548)</f>
        <v/>
      </c>
      <c r="F548" s="30" t="n"/>
    </row>
    <row r="549">
      <c r="A549" s="31" t="n"/>
      <c r="B549" s="31" t="n"/>
      <c r="C549" s="30" t="n"/>
      <c r="D549" s="30" t="n"/>
      <c r="E549">
        <f>IF(OR(A549="",B549=""),"",B549-A549)</f>
        <v/>
      </c>
      <c r="F549" s="30" t="n"/>
    </row>
    <row r="550">
      <c r="A550" s="31" t="n"/>
      <c r="B550" s="31" t="n"/>
      <c r="C550" s="30" t="n"/>
      <c r="D550" s="30" t="n"/>
      <c r="E550">
        <f>IF(OR(A550="",B550=""),"",B550-A550)</f>
        <v/>
      </c>
      <c r="F550" s="30" t="n"/>
    </row>
    <row r="551">
      <c r="A551" s="31" t="n"/>
      <c r="B551" s="31" t="n"/>
      <c r="C551" s="30" t="n"/>
      <c r="D551" s="30" t="n"/>
      <c r="E551">
        <f>IF(OR(A551="",B551=""),"",B551-A551)</f>
        <v/>
      </c>
      <c r="F551" s="30" t="n"/>
    </row>
    <row r="552">
      <c r="A552" s="31" t="n"/>
      <c r="B552" s="31" t="n"/>
      <c r="C552" s="30" t="n"/>
      <c r="D552" s="30" t="n"/>
      <c r="E552">
        <f>IF(OR(A552="",B552=""),"",B552-A552)</f>
        <v/>
      </c>
      <c r="F552" s="30" t="n"/>
    </row>
    <row r="553">
      <c r="A553" s="31" t="n"/>
      <c r="B553" s="31" t="n"/>
      <c r="C553" s="30" t="n"/>
      <c r="D553" s="30" t="n"/>
      <c r="E553">
        <f>IF(OR(A553="",B553=""),"",B553-A553)</f>
        <v/>
      </c>
      <c r="F553" s="30" t="n"/>
    </row>
    <row r="554">
      <c r="A554" s="31" t="n"/>
      <c r="B554" s="31" t="n"/>
      <c r="C554" s="30" t="n"/>
      <c r="D554" s="30" t="n"/>
      <c r="E554">
        <f>IF(OR(A554="",B554=""),"",B554-A554)</f>
        <v/>
      </c>
      <c r="F554" s="30" t="n"/>
    </row>
    <row r="555">
      <c r="A555" s="31" t="n"/>
      <c r="B555" s="31" t="n"/>
      <c r="C555" s="30" t="n"/>
      <c r="D555" s="30" t="n"/>
      <c r="E555">
        <f>IF(OR(A555="",B555=""),"",B555-A555)</f>
        <v/>
      </c>
      <c r="F555" s="30" t="n"/>
    </row>
    <row r="556">
      <c r="A556" s="31" t="n"/>
      <c r="B556" s="31" t="n"/>
      <c r="C556" s="30" t="n"/>
      <c r="D556" s="30" t="n"/>
      <c r="E556">
        <f>IF(OR(A556="",B556=""),"",B556-A556)</f>
        <v/>
      </c>
      <c r="F556" s="30" t="n"/>
    </row>
    <row r="557">
      <c r="A557" s="31" t="n"/>
      <c r="B557" s="31" t="n"/>
      <c r="C557" s="30" t="n"/>
      <c r="D557" s="30" t="n"/>
      <c r="E557">
        <f>IF(OR(A557="",B557=""),"",B557-A557)</f>
        <v/>
      </c>
      <c r="F557" s="30" t="n"/>
    </row>
    <row r="558">
      <c r="A558" s="31" t="n"/>
      <c r="B558" s="31" t="n"/>
      <c r="C558" s="30" t="n"/>
      <c r="D558" s="30" t="n"/>
      <c r="E558">
        <f>IF(OR(A558="",B558=""),"",B558-A558)</f>
        <v/>
      </c>
      <c r="F558" s="30" t="n"/>
    </row>
    <row r="559">
      <c r="A559" s="31" t="n"/>
      <c r="B559" s="31" t="n"/>
      <c r="C559" s="30" t="n"/>
      <c r="D559" s="30" t="n"/>
      <c r="E559">
        <f>IF(OR(A559="",B559=""),"",B559-A559)</f>
        <v/>
      </c>
      <c r="F559" s="30" t="n"/>
    </row>
    <row r="560">
      <c r="A560" s="31" t="n"/>
      <c r="B560" s="31" t="n"/>
      <c r="C560" s="30" t="n"/>
      <c r="D560" s="30" t="n"/>
      <c r="E560">
        <f>IF(OR(A560="",B560=""),"",B560-A560)</f>
        <v/>
      </c>
      <c r="F560" s="30" t="n"/>
    </row>
    <row r="561">
      <c r="A561" s="31" t="n"/>
      <c r="B561" s="31" t="n"/>
      <c r="C561" s="30" t="n"/>
      <c r="D561" s="30" t="n"/>
      <c r="E561">
        <f>IF(OR(A561="",B561=""),"",B561-A561)</f>
        <v/>
      </c>
      <c r="F561" s="30" t="n"/>
    </row>
    <row r="562">
      <c r="A562" s="31" t="n"/>
      <c r="B562" s="31" t="n"/>
      <c r="C562" s="30" t="n"/>
      <c r="D562" s="30" t="n"/>
      <c r="E562">
        <f>IF(OR(A562="",B562=""),"",B562-A562)</f>
        <v/>
      </c>
      <c r="F562" s="30" t="n"/>
    </row>
    <row r="563">
      <c r="A563" s="31" t="n"/>
      <c r="B563" s="31" t="n"/>
      <c r="C563" s="30" t="n"/>
      <c r="D563" s="30" t="n"/>
      <c r="E563">
        <f>IF(OR(A563="",B563=""),"",B563-A563)</f>
        <v/>
      </c>
      <c r="F563" s="30" t="n"/>
    </row>
    <row r="564">
      <c r="A564" s="31" t="n"/>
      <c r="B564" s="31" t="n"/>
      <c r="C564" s="30" t="n"/>
      <c r="D564" s="30" t="n"/>
      <c r="E564">
        <f>IF(OR(A564="",B564=""),"",B564-A564)</f>
        <v/>
      </c>
      <c r="F564" s="30" t="n"/>
    </row>
    <row r="565">
      <c r="A565" s="31" t="n"/>
      <c r="B565" s="31" t="n"/>
      <c r="C565" s="30" t="n"/>
      <c r="D565" s="30" t="n"/>
      <c r="E565">
        <f>IF(OR(A565="",B565=""),"",B565-A565)</f>
        <v/>
      </c>
      <c r="F565" s="30" t="n"/>
    </row>
    <row r="566">
      <c r="A566" s="31" t="n"/>
      <c r="B566" s="31" t="n"/>
      <c r="C566" s="30" t="n"/>
      <c r="D566" s="30" t="n"/>
      <c r="E566">
        <f>IF(OR(A566="",B566=""),"",B566-A566)</f>
        <v/>
      </c>
      <c r="F566" s="30" t="n"/>
    </row>
    <row r="567">
      <c r="A567" s="31" t="n"/>
      <c r="B567" s="31" t="n"/>
      <c r="C567" s="30" t="n"/>
      <c r="D567" s="30" t="n"/>
      <c r="E567">
        <f>IF(OR(A567="",B567=""),"",B567-A567)</f>
        <v/>
      </c>
      <c r="F567" s="30" t="n"/>
    </row>
    <row r="568">
      <c r="A568" s="31" t="n"/>
      <c r="B568" s="31" t="n"/>
      <c r="C568" s="30" t="n"/>
      <c r="D568" s="30" t="n"/>
      <c r="E568">
        <f>IF(OR(A568="",B568=""),"",B568-A568)</f>
        <v/>
      </c>
      <c r="F568" s="30" t="n"/>
    </row>
    <row r="569">
      <c r="A569" s="31" t="n"/>
      <c r="B569" s="31" t="n"/>
      <c r="C569" s="30" t="n"/>
      <c r="D569" s="30" t="n"/>
      <c r="E569">
        <f>IF(OR(A569="",B569=""),"",B569-A569)</f>
        <v/>
      </c>
      <c r="F569" s="30" t="n"/>
    </row>
    <row r="570">
      <c r="A570" s="31" t="n"/>
      <c r="B570" s="31" t="n"/>
      <c r="C570" s="30" t="n"/>
      <c r="D570" s="30" t="n"/>
      <c r="E570">
        <f>IF(OR(A570="",B570=""),"",B570-A570)</f>
        <v/>
      </c>
      <c r="F570" s="30" t="n"/>
    </row>
    <row r="571">
      <c r="A571" s="31" t="n"/>
      <c r="B571" s="31" t="n"/>
      <c r="C571" s="30" t="n"/>
      <c r="D571" s="30" t="n"/>
      <c r="E571">
        <f>IF(OR(A571="",B571=""),"",B571-A571)</f>
        <v/>
      </c>
      <c r="F571" s="30" t="n"/>
    </row>
    <row r="572">
      <c r="A572" s="31" t="n"/>
      <c r="B572" s="31" t="n"/>
      <c r="C572" s="30" t="n"/>
      <c r="D572" s="30" t="n"/>
      <c r="E572">
        <f>IF(OR(A572="",B572=""),"",B572-A572)</f>
        <v/>
      </c>
      <c r="F572" s="30" t="n"/>
    </row>
    <row r="573">
      <c r="A573" s="31" t="n"/>
      <c r="B573" s="31" t="n"/>
      <c r="C573" s="30" t="n"/>
      <c r="D573" s="30" t="n"/>
      <c r="E573">
        <f>IF(OR(A573="",B573=""),"",B573-A573)</f>
        <v/>
      </c>
      <c r="F573" s="30" t="n"/>
    </row>
    <row r="574">
      <c r="A574" s="31" t="n"/>
      <c r="B574" s="31" t="n"/>
      <c r="C574" s="30" t="n"/>
      <c r="D574" s="30" t="n"/>
      <c r="E574">
        <f>IF(OR(A574="",B574=""),"",B574-A574)</f>
        <v/>
      </c>
      <c r="F574" s="30" t="n"/>
    </row>
    <row r="575">
      <c r="A575" s="31" t="n"/>
      <c r="B575" s="31" t="n"/>
      <c r="C575" s="30" t="n"/>
      <c r="D575" s="30" t="n"/>
      <c r="E575">
        <f>IF(OR(A575="",B575=""),"",B575-A575)</f>
        <v/>
      </c>
      <c r="F575" s="30" t="n"/>
    </row>
    <row r="576">
      <c r="A576" s="31" t="n"/>
      <c r="B576" s="31" t="n"/>
      <c r="C576" s="30" t="n"/>
      <c r="D576" s="30" t="n"/>
      <c r="E576">
        <f>IF(OR(A576="",B576=""),"",B576-A576)</f>
        <v/>
      </c>
      <c r="F576" s="30" t="n"/>
    </row>
    <row r="577">
      <c r="A577" s="31" t="n"/>
      <c r="B577" s="31" t="n"/>
      <c r="C577" s="30" t="n"/>
      <c r="D577" s="30" t="n"/>
      <c r="E577">
        <f>IF(OR(A577="",B577=""),"",B577-A577)</f>
        <v/>
      </c>
      <c r="F577" s="30" t="n"/>
    </row>
    <row r="578">
      <c r="A578" s="31" t="n"/>
      <c r="B578" s="31" t="n"/>
      <c r="C578" s="30" t="n"/>
      <c r="D578" s="30" t="n"/>
      <c r="E578">
        <f>IF(OR(A578="",B578=""),"",B578-A578)</f>
        <v/>
      </c>
      <c r="F578" s="30" t="n"/>
    </row>
    <row r="579">
      <c r="A579" s="31" t="n"/>
      <c r="B579" s="31" t="n"/>
      <c r="C579" s="30" t="n"/>
      <c r="D579" s="30" t="n"/>
      <c r="E579">
        <f>IF(OR(A579="",B579=""),"",B579-A579)</f>
        <v/>
      </c>
      <c r="F579" s="30" t="n"/>
    </row>
    <row r="580">
      <c r="A580" s="31" t="n"/>
      <c r="B580" s="31" t="n"/>
      <c r="C580" s="30" t="n"/>
      <c r="D580" s="30" t="n"/>
      <c r="E580">
        <f>IF(OR(A580="",B580=""),"",B580-A580)</f>
        <v/>
      </c>
      <c r="F580" s="30" t="n"/>
    </row>
    <row r="581">
      <c r="A581" s="31" t="n"/>
      <c r="B581" s="31" t="n"/>
      <c r="C581" s="30" t="n"/>
      <c r="D581" s="30" t="n"/>
      <c r="E581">
        <f>IF(OR(A581="",B581=""),"",B581-A581)</f>
        <v/>
      </c>
      <c r="F581" s="30" t="n"/>
    </row>
    <row r="582">
      <c r="A582" s="31" t="n"/>
      <c r="B582" s="31" t="n"/>
      <c r="C582" s="30" t="n"/>
      <c r="D582" s="30" t="n"/>
      <c r="E582">
        <f>IF(OR(A582="",B582=""),"",B582-A582)</f>
        <v/>
      </c>
      <c r="F582" s="30" t="n"/>
    </row>
    <row r="583">
      <c r="A583" s="31" t="n"/>
      <c r="B583" s="31" t="n"/>
      <c r="C583" s="30" t="n"/>
      <c r="D583" s="30" t="n"/>
      <c r="E583">
        <f>IF(OR(A583="",B583=""),"",B583-A583)</f>
        <v/>
      </c>
      <c r="F583" s="30" t="n"/>
    </row>
    <row r="584">
      <c r="A584" s="31" t="n"/>
      <c r="B584" s="31" t="n"/>
      <c r="C584" s="30" t="n"/>
      <c r="D584" s="30" t="n"/>
      <c r="E584">
        <f>IF(OR(A584="",B584=""),"",B584-A584)</f>
        <v/>
      </c>
      <c r="F584" s="30" t="n"/>
    </row>
    <row r="585">
      <c r="A585" s="31" t="n"/>
      <c r="B585" s="31" t="n"/>
      <c r="C585" s="30" t="n"/>
      <c r="D585" s="30" t="n"/>
      <c r="E585">
        <f>IF(OR(A585="",B585=""),"",B585-A585)</f>
        <v/>
      </c>
      <c r="F585" s="30" t="n"/>
    </row>
    <row r="586">
      <c r="A586" s="31" t="n"/>
      <c r="B586" s="31" t="n"/>
      <c r="C586" s="30" t="n"/>
      <c r="D586" s="30" t="n"/>
      <c r="E586">
        <f>IF(OR(A586="",B586=""),"",B586-A586)</f>
        <v/>
      </c>
      <c r="F586" s="30" t="n"/>
    </row>
    <row r="587">
      <c r="A587" s="31" t="n"/>
      <c r="B587" s="31" t="n"/>
      <c r="C587" s="30" t="n"/>
      <c r="D587" s="30" t="n"/>
      <c r="E587">
        <f>IF(OR(A587="",B587=""),"",B587-A587)</f>
        <v/>
      </c>
      <c r="F587" s="30" t="n"/>
    </row>
    <row r="588">
      <c r="A588" s="31" t="n"/>
      <c r="B588" s="31" t="n"/>
      <c r="C588" s="30" t="n"/>
      <c r="D588" s="30" t="n"/>
      <c r="E588">
        <f>IF(OR(A588="",B588=""),"",B588-A588)</f>
        <v/>
      </c>
      <c r="F588" s="30" t="n"/>
    </row>
    <row r="589">
      <c r="A589" s="31" t="n"/>
      <c r="B589" s="31" t="n"/>
      <c r="C589" s="30" t="n"/>
      <c r="D589" s="30" t="n"/>
      <c r="E589">
        <f>IF(OR(A589="",B589=""),"",B589-A589)</f>
        <v/>
      </c>
      <c r="F589" s="30" t="n"/>
    </row>
    <row r="590">
      <c r="A590" s="31" t="n"/>
      <c r="B590" s="31" t="n"/>
      <c r="C590" s="30" t="n"/>
      <c r="D590" s="30" t="n"/>
      <c r="E590">
        <f>IF(OR(A590="",B590=""),"",B590-A590)</f>
        <v/>
      </c>
      <c r="F590" s="30" t="n"/>
    </row>
    <row r="591">
      <c r="A591" s="31" t="n"/>
      <c r="B591" s="31" t="n"/>
      <c r="C591" s="30" t="n"/>
      <c r="D591" s="30" t="n"/>
      <c r="E591">
        <f>IF(OR(A591="",B591=""),"",B591-A591)</f>
        <v/>
      </c>
      <c r="F591" s="30" t="n"/>
    </row>
    <row r="592">
      <c r="A592" s="31" t="n"/>
      <c r="B592" s="31" t="n"/>
      <c r="C592" s="30" t="n"/>
      <c r="D592" s="30" t="n"/>
      <c r="E592">
        <f>IF(OR(A592="",B592=""),"",B592-A592)</f>
        <v/>
      </c>
      <c r="F592" s="30" t="n"/>
    </row>
    <row r="593">
      <c r="A593" s="31" t="n"/>
      <c r="B593" s="31" t="n"/>
      <c r="C593" s="30" t="n"/>
      <c r="D593" s="30" t="n"/>
      <c r="E593">
        <f>IF(OR(A593="",B593=""),"",B593-A593)</f>
        <v/>
      </c>
      <c r="F593" s="30" t="n"/>
    </row>
    <row r="594">
      <c r="A594" s="31" t="n"/>
      <c r="B594" s="31" t="n"/>
      <c r="C594" s="30" t="n"/>
      <c r="D594" s="30" t="n"/>
      <c r="E594">
        <f>IF(OR(A594="",B594=""),"",B594-A594)</f>
        <v/>
      </c>
      <c r="F594" s="30" t="n"/>
    </row>
    <row r="595">
      <c r="A595" s="31" t="n"/>
      <c r="B595" s="31" t="n"/>
      <c r="C595" s="30" t="n"/>
      <c r="D595" s="30" t="n"/>
      <c r="E595">
        <f>IF(OR(A595="",B595=""),"",B595-A595)</f>
        <v/>
      </c>
      <c r="F595" s="30" t="n"/>
    </row>
    <row r="596">
      <c r="A596" s="31" t="n"/>
      <c r="B596" s="31" t="n"/>
      <c r="C596" s="30" t="n"/>
      <c r="D596" s="30" t="n"/>
      <c r="E596">
        <f>IF(OR(A596="",B596=""),"",B596-A596)</f>
        <v/>
      </c>
      <c r="F596" s="30" t="n"/>
    </row>
    <row r="597">
      <c r="A597" s="31" t="n"/>
      <c r="B597" s="31" t="n"/>
      <c r="C597" s="30" t="n"/>
      <c r="D597" s="30" t="n"/>
      <c r="E597">
        <f>IF(OR(A597="",B597=""),"",B597-A597)</f>
        <v/>
      </c>
      <c r="F597" s="30" t="n"/>
    </row>
    <row r="598">
      <c r="A598" s="31" t="n"/>
      <c r="B598" s="31" t="n"/>
      <c r="C598" s="30" t="n"/>
      <c r="D598" s="30" t="n"/>
      <c r="E598">
        <f>IF(OR(A598="",B598=""),"",B598-A598)</f>
        <v/>
      </c>
      <c r="F598" s="30" t="n"/>
    </row>
    <row r="599">
      <c r="A599" s="31" t="n"/>
      <c r="B599" s="31" t="n"/>
      <c r="C599" s="30" t="n"/>
      <c r="D599" s="30" t="n"/>
      <c r="E599">
        <f>IF(OR(A599="",B599=""),"",B599-A599)</f>
        <v/>
      </c>
      <c r="F599" s="30" t="n"/>
    </row>
    <row r="600">
      <c r="A600" s="31" t="n"/>
      <c r="B600" s="31" t="n"/>
      <c r="C600" s="30" t="n"/>
      <c r="D600" s="30" t="n"/>
      <c r="E600">
        <f>IF(OR(A600="",B600=""),"",B600-A600)</f>
        <v/>
      </c>
      <c r="F600" s="30" t="n"/>
    </row>
    <row r="601">
      <c r="A601" s="31" t="n"/>
      <c r="B601" s="31" t="n"/>
      <c r="C601" s="30" t="n"/>
      <c r="D601" s="30" t="n"/>
      <c r="E601">
        <f>IF(OR(A601="",B601=""),"",B601-A601)</f>
        <v/>
      </c>
      <c r="F601" s="30" t="n"/>
    </row>
    <row r="602">
      <c r="A602" s="31" t="n"/>
      <c r="B602" s="31" t="n"/>
      <c r="C602" s="30" t="n"/>
      <c r="D602" s="30" t="n"/>
      <c r="E602">
        <f>IF(OR(A602="",B602=""),"",B602-A602)</f>
        <v/>
      </c>
      <c r="F602" s="30" t="n"/>
    </row>
    <row r="603">
      <c r="A603" s="31" t="n"/>
      <c r="B603" s="31" t="n"/>
      <c r="C603" s="30" t="n"/>
      <c r="D603" s="30" t="n"/>
      <c r="E603">
        <f>IF(OR(A603="",B603=""),"",B603-A603)</f>
        <v/>
      </c>
      <c r="F603" s="30" t="n"/>
    </row>
    <row r="604">
      <c r="A604" s="31" t="n"/>
      <c r="B604" s="31" t="n"/>
      <c r="C604" s="30" t="n"/>
      <c r="D604" s="30" t="n"/>
      <c r="E604">
        <f>IF(OR(A604="",B604=""),"",B604-A604)</f>
        <v/>
      </c>
      <c r="F604" s="30" t="n"/>
    </row>
    <row r="605">
      <c r="A605" s="31" t="n"/>
      <c r="B605" s="31" t="n"/>
      <c r="C605" s="30" t="n"/>
      <c r="D605" s="30" t="n"/>
      <c r="E605">
        <f>IF(OR(A605="",B605=""),"",B605-A605)</f>
        <v/>
      </c>
      <c r="F605" s="30" t="n"/>
    </row>
    <row r="606">
      <c r="A606" s="31" t="n"/>
      <c r="B606" s="31" t="n"/>
      <c r="C606" s="30" t="n"/>
      <c r="D606" s="30" t="n"/>
      <c r="E606">
        <f>IF(OR(A606="",B606=""),"",B606-A606)</f>
        <v/>
      </c>
      <c r="F606" s="30" t="n"/>
    </row>
    <row r="607">
      <c r="A607" s="31" t="n"/>
      <c r="B607" s="31" t="n"/>
      <c r="C607" s="30" t="n"/>
      <c r="D607" s="30" t="n"/>
      <c r="E607">
        <f>IF(OR(A607="",B607=""),"",B607-A607)</f>
        <v/>
      </c>
      <c r="F607" s="30" t="n"/>
    </row>
    <row r="608">
      <c r="A608" s="31" t="n"/>
      <c r="B608" s="31" t="n"/>
      <c r="C608" s="30" t="n"/>
      <c r="D608" s="30" t="n"/>
      <c r="E608">
        <f>IF(OR(A608="",B608=""),"",B608-A608)</f>
        <v/>
      </c>
      <c r="F608" s="30" t="n"/>
    </row>
    <row r="609">
      <c r="A609" s="31" t="n"/>
      <c r="B609" s="31" t="n"/>
      <c r="C609" s="30" t="n"/>
      <c r="D609" s="30" t="n"/>
      <c r="E609">
        <f>IF(OR(A609="",B609=""),"",B609-A609)</f>
        <v/>
      </c>
      <c r="F609" s="30" t="n"/>
    </row>
    <row r="610">
      <c r="A610" s="31" t="n"/>
      <c r="B610" s="31" t="n"/>
      <c r="C610" s="30" t="n"/>
      <c r="D610" s="30" t="n"/>
      <c r="E610">
        <f>IF(OR(A610="",B610=""),"",B610-A610)</f>
        <v/>
      </c>
      <c r="F610" s="30" t="n"/>
    </row>
    <row r="611">
      <c r="A611" s="31" t="n"/>
      <c r="B611" s="31" t="n"/>
      <c r="C611" s="30" t="n"/>
      <c r="D611" s="30" t="n"/>
      <c r="E611">
        <f>IF(OR(A611="",B611=""),"",B611-A611)</f>
        <v/>
      </c>
      <c r="F611" s="30" t="n"/>
    </row>
    <row r="612">
      <c r="A612" s="31" t="n"/>
      <c r="B612" s="31" t="n"/>
      <c r="C612" s="30" t="n"/>
      <c r="D612" s="30" t="n"/>
      <c r="E612">
        <f>IF(OR(A612="",B612=""),"",B612-A612)</f>
        <v/>
      </c>
      <c r="F612" s="30" t="n"/>
    </row>
    <row r="613">
      <c r="A613" s="31" t="n"/>
      <c r="B613" s="31" t="n"/>
      <c r="C613" s="30" t="n"/>
      <c r="D613" s="30" t="n"/>
      <c r="E613">
        <f>IF(OR(A613="",B613=""),"",B613-A613)</f>
        <v/>
      </c>
      <c r="F613" s="30" t="n"/>
    </row>
    <row r="614">
      <c r="A614" s="31" t="n"/>
      <c r="B614" s="31" t="n"/>
      <c r="C614" s="30" t="n"/>
      <c r="D614" s="30" t="n"/>
      <c r="E614">
        <f>IF(OR(A614="",B614=""),"",B614-A614)</f>
        <v/>
      </c>
      <c r="F614" s="30" t="n"/>
    </row>
    <row r="615">
      <c r="A615" s="31" t="n"/>
      <c r="B615" s="31" t="n"/>
      <c r="C615" s="30" t="n"/>
      <c r="D615" s="30" t="n"/>
      <c r="E615">
        <f>IF(OR(A615="",B615=""),"",B615-A615)</f>
        <v/>
      </c>
      <c r="F615" s="30" t="n"/>
    </row>
    <row r="616">
      <c r="A616" s="31" t="n"/>
      <c r="B616" s="31" t="n"/>
      <c r="C616" s="30" t="n"/>
      <c r="D616" s="30" t="n"/>
      <c r="E616">
        <f>IF(OR(A616="",B616=""),"",B616-A616)</f>
        <v/>
      </c>
      <c r="F616" s="30" t="n"/>
    </row>
    <row r="617">
      <c r="A617" s="31" t="n"/>
      <c r="B617" s="31" t="n"/>
      <c r="C617" s="30" t="n"/>
      <c r="D617" s="30" t="n"/>
      <c r="E617">
        <f>IF(OR(A617="",B617=""),"",B617-A617)</f>
        <v/>
      </c>
      <c r="F617" s="30" t="n"/>
    </row>
    <row r="618">
      <c r="A618" s="31" t="n"/>
      <c r="B618" s="31" t="n"/>
      <c r="C618" s="30" t="n"/>
      <c r="D618" s="30" t="n"/>
      <c r="E618">
        <f>IF(OR(A618="",B618=""),"",B618-A618)</f>
        <v/>
      </c>
      <c r="F618" s="30" t="n"/>
    </row>
    <row r="619">
      <c r="A619" s="31" t="n"/>
      <c r="B619" s="31" t="n"/>
      <c r="C619" s="30" t="n"/>
      <c r="D619" s="30" t="n"/>
      <c r="E619">
        <f>IF(OR(A619="",B619=""),"",B619-A619)</f>
        <v/>
      </c>
      <c r="F619" s="30" t="n"/>
    </row>
    <row r="620">
      <c r="A620" s="31" t="n"/>
      <c r="B620" s="31" t="n"/>
      <c r="C620" s="30" t="n"/>
      <c r="D620" s="30" t="n"/>
      <c r="E620">
        <f>IF(OR(A620="",B620=""),"",B620-A620)</f>
        <v/>
      </c>
      <c r="F620" s="30" t="n"/>
    </row>
    <row r="621">
      <c r="A621" s="31" t="n"/>
      <c r="B621" s="31" t="n"/>
      <c r="C621" s="30" t="n"/>
      <c r="D621" s="30" t="n"/>
      <c r="E621">
        <f>IF(OR(A621="",B621=""),"",B621-A621)</f>
        <v/>
      </c>
      <c r="F621" s="30" t="n"/>
    </row>
    <row r="622">
      <c r="A622" s="31" t="n"/>
      <c r="B622" s="31" t="n"/>
      <c r="C622" s="30" t="n"/>
      <c r="D622" s="30" t="n"/>
      <c r="E622">
        <f>IF(OR(A622="",B622=""),"",B622-A622)</f>
        <v/>
      </c>
      <c r="F622" s="30" t="n"/>
    </row>
    <row r="623">
      <c r="A623" s="31" t="n"/>
      <c r="B623" s="31" t="n"/>
      <c r="C623" s="30" t="n"/>
      <c r="D623" s="30" t="n"/>
      <c r="E623">
        <f>IF(OR(A623="",B623=""),"",B623-A623)</f>
        <v/>
      </c>
      <c r="F623" s="30" t="n"/>
    </row>
    <row r="624">
      <c r="A624" s="31" t="n"/>
      <c r="B624" s="31" t="n"/>
      <c r="C624" s="30" t="n"/>
      <c r="D624" s="30" t="n"/>
      <c r="E624">
        <f>IF(OR(A624="",B624=""),"",B624-A624)</f>
        <v/>
      </c>
      <c r="F624" s="30" t="n"/>
    </row>
    <row r="625">
      <c r="A625" s="31" t="n"/>
      <c r="B625" s="31" t="n"/>
      <c r="C625" s="30" t="n"/>
      <c r="D625" s="30" t="n"/>
      <c r="E625">
        <f>IF(OR(A625="",B625=""),"",B625-A625)</f>
        <v/>
      </c>
      <c r="F625" s="30" t="n"/>
    </row>
    <row r="626">
      <c r="A626" s="31" t="n"/>
      <c r="B626" s="31" t="n"/>
      <c r="C626" s="30" t="n"/>
      <c r="D626" s="30" t="n"/>
      <c r="E626">
        <f>IF(OR(A626="",B626=""),"",B626-A626)</f>
        <v/>
      </c>
      <c r="F626" s="30" t="n"/>
    </row>
    <row r="627">
      <c r="A627" s="31" t="n"/>
      <c r="B627" s="31" t="n"/>
      <c r="C627" s="30" t="n"/>
      <c r="D627" s="30" t="n"/>
      <c r="E627">
        <f>IF(OR(A627="",B627=""),"",B627-A627)</f>
        <v/>
      </c>
      <c r="F627" s="30" t="n"/>
    </row>
    <row r="628">
      <c r="A628" s="31" t="n"/>
      <c r="B628" s="31" t="n"/>
      <c r="C628" s="30" t="n"/>
      <c r="D628" s="30" t="n"/>
      <c r="E628">
        <f>IF(OR(A628="",B628=""),"",B628-A628)</f>
        <v/>
      </c>
      <c r="F628" s="30" t="n"/>
    </row>
    <row r="629">
      <c r="A629" s="31" t="n"/>
      <c r="B629" s="31" t="n"/>
      <c r="C629" s="30" t="n"/>
      <c r="D629" s="30" t="n"/>
      <c r="E629">
        <f>IF(OR(A629="",B629=""),"",B629-A629)</f>
        <v/>
      </c>
      <c r="F629" s="30" t="n"/>
    </row>
    <row r="630">
      <c r="A630" s="31" t="n"/>
      <c r="B630" s="31" t="n"/>
      <c r="C630" s="30" t="n"/>
      <c r="D630" s="30" t="n"/>
      <c r="E630">
        <f>IF(OR(A630="",B630=""),"",B630-A630)</f>
        <v/>
      </c>
      <c r="F630" s="30" t="n"/>
    </row>
    <row r="631">
      <c r="A631" s="31" t="n"/>
      <c r="B631" s="31" t="n"/>
      <c r="C631" s="30" t="n"/>
      <c r="D631" s="30" t="n"/>
      <c r="E631">
        <f>IF(OR(A631="",B631=""),"",B631-A631)</f>
        <v/>
      </c>
      <c r="F631" s="30" t="n"/>
    </row>
    <row r="632">
      <c r="A632" s="31" t="n"/>
      <c r="B632" s="31" t="n"/>
      <c r="C632" s="30" t="n"/>
      <c r="D632" s="30" t="n"/>
      <c r="E632">
        <f>IF(OR(A632="",B632=""),"",B632-A632)</f>
        <v/>
      </c>
      <c r="F632" s="30" t="n"/>
    </row>
    <row r="633">
      <c r="A633" s="31" t="n"/>
      <c r="B633" s="31" t="n"/>
      <c r="C633" s="30" t="n"/>
      <c r="D633" s="30" t="n"/>
      <c r="E633">
        <f>IF(OR(A633="",B633=""),"",B633-A633)</f>
        <v/>
      </c>
      <c r="F633" s="30" t="n"/>
    </row>
    <row r="634">
      <c r="A634" s="31" t="n"/>
      <c r="B634" s="31" t="n"/>
      <c r="C634" s="30" t="n"/>
      <c r="D634" s="30" t="n"/>
      <c r="E634">
        <f>IF(OR(A634="",B634=""),"",B634-A634)</f>
        <v/>
      </c>
      <c r="F634" s="30" t="n"/>
    </row>
    <row r="635">
      <c r="A635" s="31" t="n"/>
      <c r="B635" s="31" t="n"/>
      <c r="C635" s="30" t="n"/>
      <c r="D635" s="30" t="n"/>
      <c r="E635">
        <f>IF(OR(A635="",B635=""),"",B635-A635)</f>
        <v/>
      </c>
      <c r="F635" s="30" t="n"/>
    </row>
    <row r="636">
      <c r="A636" s="31" t="n"/>
      <c r="B636" s="31" t="n"/>
      <c r="C636" s="30" t="n"/>
      <c r="D636" s="30" t="n"/>
      <c r="E636">
        <f>IF(OR(A636="",B636=""),"",B636-A636)</f>
        <v/>
      </c>
      <c r="F636" s="30" t="n"/>
    </row>
    <row r="637">
      <c r="A637" s="31" t="n"/>
      <c r="B637" s="31" t="n"/>
      <c r="C637" s="30" t="n"/>
      <c r="D637" s="30" t="n"/>
      <c r="E637">
        <f>IF(OR(A637="",B637=""),"",B637-A637)</f>
        <v/>
      </c>
      <c r="F637" s="30" t="n"/>
    </row>
    <row r="638">
      <c r="A638" s="31" t="n"/>
      <c r="B638" s="31" t="n"/>
      <c r="C638" s="30" t="n"/>
      <c r="D638" s="30" t="n"/>
      <c r="E638">
        <f>IF(OR(A638="",B638=""),"",B638-A638)</f>
        <v/>
      </c>
      <c r="F638" s="30" t="n"/>
    </row>
    <row r="639">
      <c r="A639" s="31" t="n"/>
      <c r="B639" s="31" t="n"/>
      <c r="C639" s="30" t="n"/>
      <c r="D639" s="30" t="n"/>
      <c r="E639">
        <f>IF(OR(A639="",B639=""),"",B639-A639)</f>
        <v/>
      </c>
      <c r="F639" s="30" t="n"/>
    </row>
    <row r="640">
      <c r="A640" s="31" t="n"/>
      <c r="B640" s="31" t="n"/>
      <c r="C640" s="30" t="n"/>
      <c r="D640" s="30" t="n"/>
      <c r="E640">
        <f>IF(OR(A640="",B640=""),"",B640-A640)</f>
        <v/>
      </c>
      <c r="F640" s="30" t="n"/>
    </row>
    <row r="641">
      <c r="A641" s="31" t="n"/>
      <c r="B641" s="31" t="n"/>
      <c r="C641" s="30" t="n"/>
      <c r="D641" s="30" t="n"/>
      <c r="E641">
        <f>IF(OR(A641="",B641=""),"",B641-A641)</f>
        <v/>
      </c>
      <c r="F641" s="30" t="n"/>
    </row>
    <row r="642">
      <c r="A642" s="31" t="n"/>
      <c r="B642" s="31" t="n"/>
      <c r="C642" s="30" t="n"/>
      <c r="D642" s="30" t="n"/>
      <c r="E642">
        <f>IF(OR(A642="",B642=""),"",B642-A642)</f>
        <v/>
      </c>
      <c r="F642" s="30" t="n"/>
    </row>
    <row r="643">
      <c r="A643" s="31" t="n"/>
      <c r="B643" s="31" t="n"/>
      <c r="C643" s="30" t="n"/>
      <c r="D643" s="30" t="n"/>
      <c r="E643">
        <f>IF(OR(A643="",B643=""),"",B643-A643)</f>
        <v/>
      </c>
      <c r="F643" s="30" t="n"/>
    </row>
    <row r="644">
      <c r="A644" s="31" t="n"/>
      <c r="B644" s="31" t="n"/>
      <c r="C644" s="30" t="n"/>
      <c r="D644" s="30" t="n"/>
      <c r="E644">
        <f>IF(OR(A644="",B644=""),"",B644-A644)</f>
        <v/>
      </c>
      <c r="F644" s="30" t="n"/>
    </row>
    <row r="645">
      <c r="A645" s="31" t="n"/>
      <c r="B645" s="31" t="n"/>
      <c r="C645" s="30" t="n"/>
      <c r="D645" s="30" t="n"/>
      <c r="E645">
        <f>IF(OR(A645="",B645=""),"",B645-A645)</f>
        <v/>
      </c>
      <c r="F645" s="30" t="n"/>
    </row>
    <row r="646">
      <c r="A646" s="31" t="n"/>
      <c r="B646" s="31" t="n"/>
      <c r="C646" s="30" t="n"/>
      <c r="D646" s="30" t="n"/>
      <c r="E646">
        <f>IF(OR(A646="",B646=""),"",B646-A646)</f>
        <v/>
      </c>
      <c r="F646" s="30" t="n"/>
    </row>
    <row r="647">
      <c r="A647" s="31" t="n"/>
      <c r="B647" s="31" t="n"/>
      <c r="C647" s="30" t="n"/>
      <c r="D647" s="30" t="n"/>
      <c r="E647">
        <f>IF(OR(A647="",B647=""),"",B647-A647)</f>
        <v/>
      </c>
      <c r="F647" s="30" t="n"/>
    </row>
    <row r="648">
      <c r="A648" s="31" t="n"/>
      <c r="B648" s="31" t="n"/>
      <c r="C648" s="30" t="n"/>
      <c r="D648" s="30" t="n"/>
      <c r="E648">
        <f>IF(OR(A648="",B648=""),"",B648-A648)</f>
        <v/>
      </c>
      <c r="F648" s="30" t="n"/>
    </row>
    <row r="649">
      <c r="A649" s="31" t="n"/>
      <c r="B649" s="31" t="n"/>
      <c r="C649" s="30" t="n"/>
      <c r="D649" s="30" t="n"/>
      <c r="E649">
        <f>IF(OR(A649="",B649=""),"",B649-A649)</f>
        <v/>
      </c>
      <c r="F649" s="30" t="n"/>
    </row>
    <row r="650">
      <c r="A650" s="31" t="n"/>
      <c r="B650" s="31" t="n"/>
      <c r="C650" s="30" t="n"/>
      <c r="D650" s="30" t="n"/>
      <c r="E650">
        <f>IF(OR(A650="",B650=""),"",B650-A650)</f>
        <v/>
      </c>
      <c r="F650" s="30" t="n"/>
    </row>
    <row r="651">
      <c r="A651" s="31" t="n"/>
      <c r="B651" s="31" t="n"/>
      <c r="C651" s="30" t="n"/>
      <c r="D651" s="30" t="n"/>
      <c r="E651">
        <f>IF(OR(A651="",B651=""),"",B651-A651)</f>
        <v/>
      </c>
      <c r="F651" s="30" t="n"/>
    </row>
    <row r="652">
      <c r="A652" s="31" t="n"/>
      <c r="B652" s="31" t="n"/>
      <c r="C652" s="30" t="n"/>
      <c r="D652" s="30" t="n"/>
      <c r="E652">
        <f>IF(OR(A652="",B652=""),"",B652-A652)</f>
        <v/>
      </c>
      <c r="F652" s="30" t="n"/>
    </row>
    <row r="653">
      <c r="A653" s="31" t="n"/>
      <c r="B653" s="31" t="n"/>
      <c r="C653" s="30" t="n"/>
      <c r="D653" s="30" t="n"/>
      <c r="E653">
        <f>IF(OR(A653="",B653=""),"",B653-A653)</f>
        <v/>
      </c>
      <c r="F653" s="30" t="n"/>
    </row>
    <row r="654">
      <c r="A654" s="31" t="n"/>
      <c r="B654" s="31" t="n"/>
      <c r="C654" s="30" t="n"/>
      <c r="D654" s="30" t="n"/>
      <c r="E654">
        <f>IF(OR(A654="",B654=""),"",B654-A654)</f>
        <v/>
      </c>
      <c r="F654" s="30" t="n"/>
    </row>
    <row r="655">
      <c r="A655" s="31" t="n"/>
      <c r="B655" s="31" t="n"/>
      <c r="C655" s="30" t="n"/>
      <c r="D655" s="30" t="n"/>
      <c r="E655">
        <f>IF(OR(A655="",B655=""),"",B655-A655)</f>
        <v/>
      </c>
      <c r="F655" s="30" t="n"/>
    </row>
    <row r="656">
      <c r="A656" s="31" t="n"/>
      <c r="B656" s="31" t="n"/>
      <c r="C656" s="30" t="n"/>
      <c r="D656" s="30" t="n"/>
      <c r="E656">
        <f>IF(OR(A656="",B656=""),"",B656-A656)</f>
        <v/>
      </c>
      <c r="F656" s="30" t="n"/>
    </row>
    <row r="657">
      <c r="A657" s="31" t="n"/>
      <c r="B657" s="31" t="n"/>
      <c r="C657" s="30" t="n"/>
      <c r="D657" s="30" t="n"/>
      <c r="E657">
        <f>IF(OR(A657="",B657=""),"",B657-A657)</f>
        <v/>
      </c>
      <c r="F657" s="30" t="n"/>
    </row>
    <row r="658">
      <c r="A658" s="31" t="n"/>
      <c r="B658" s="31" t="n"/>
      <c r="C658" s="30" t="n"/>
      <c r="D658" s="30" t="n"/>
      <c r="E658">
        <f>IF(OR(A658="",B658=""),"",B658-A658)</f>
        <v/>
      </c>
      <c r="F658" s="30" t="n"/>
    </row>
    <row r="659">
      <c r="A659" s="31" t="n"/>
      <c r="B659" s="31" t="n"/>
      <c r="C659" s="30" t="n"/>
      <c r="D659" s="30" t="n"/>
      <c r="E659">
        <f>IF(OR(A659="",B659=""),"",B659-A659)</f>
        <v/>
      </c>
      <c r="F659" s="30" t="n"/>
    </row>
    <row r="660">
      <c r="A660" s="31" t="n"/>
      <c r="B660" s="31" t="n"/>
      <c r="C660" s="30" t="n"/>
      <c r="D660" s="30" t="n"/>
      <c r="E660">
        <f>IF(OR(A660="",B660=""),"",B660-A660)</f>
        <v/>
      </c>
      <c r="F660" s="30" t="n"/>
    </row>
    <row r="661">
      <c r="A661" s="31" t="n"/>
      <c r="B661" s="31" t="n"/>
      <c r="C661" s="30" t="n"/>
      <c r="D661" s="30" t="n"/>
      <c r="E661">
        <f>IF(OR(A661="",B661=""),"",B661-A661)</f>
        <v/>
      </c>
      <c r="F661" s="30" t="n"/>
    </row>
    <row r="662">
      <c r="A662" s="31" t="n"/>
      <c r="B662" s="31" t="n"/>
      <c r="C662" s="30" t="n"/>
      <c r="D662" s="30" t="n"/>
      <c r="E662">
        <f>IF(OR(A662="",B662=""),"",B662-A662)</f>
        <v/>
      </c>
      <c r="F662" s="30" t="n"/>
    </row>
    <row r="663">
      <c r="A663" s="31" t="n"/>
      <c r="B663" s="31" t="n"/>
      <c r="C663" s="30" t="n"/>
      <c r="D663" s="30" t="n"/>
      <c r="E663">
        <f>IF(OR(A663="",B663=""),"",B663-A663)</f>
        <v/>
      </c>
      <c r="F663" s="30" t="n"/>
    </row>
    <row r="664">
      <c r="A664" s="31" t="n"/>
      <c r="B664" s="31" t="n"/>
      <c r="C664" s="30" t="n"/>
      <c r="D664" s="30" t="n"/>
      <c r="E664">
        <f>IF(OR(A664="",B664=""),"",B664-A664)</f>
        <v/>
      </c>
      <c r="F664" s="30" t="n"/>
    </row>
    <row r="665">
      <c r="A665" s="31" t="n"/>
      <c r="B665" s="31" t="n"/>
      <c r="C665" s="30" t="n"/>
      <c r="D665" s="30" t="n"/>
      <c r="E665">
        <f>IF(OR(A665="",B665=""),"",B665-A665)</f>
        <v/>
      </c>
      <c r="F665" s="30" t="n"/>
    </row>
    <row r="666">
      <c r="A666" s="31" t="n"/>
      <c r="B666" s="31" t="n"/>
      <c r="C666" s="30" t="n"/>
      <c r="D666" s="30" t="n"/>
      <c r="E666">
        <f>IF(OR(A666="",B666=""),"",B666-A666)</f>
        <v/>
      </c>
      <c r="F666" s="30" t="n"/>
    </row>
    <row r="667">
      <c r="A667" s="31" t="n"/>
      <c r="B667" s="31" t="n"/>
      <c r="C667" s="30" t="n"/>
      <c r="D667" s="30" t="n"/>
      <c r="E667">
        <f>IF(OR(A667="",B667=""),"",B667-A667)</f>
        <v/>
      </c>
      <c r="F667" s="30" t="n"/>
    </row>
    <row r="668">
      <c r="A668" s="31" t="n"/>
      <c r="B668" s="31" t="n"/>
      <c r="C668" s="30" t="n"/>
      <c r="D668" s="30" t="n"/>
      <c r="E668">
        <f>IF(OR(A668="",B668=""),"",B668-A668)</f>
        <v/>
      </c>
      <c r="F668" s="30" t="n"/>
    </row>
    <row r="669">
      <c r="A669" s="31" t="n"/>
      <c r="B669" s="31" t="n"/>
      <c r="C669" s="30" t="n"/>
      <c r="D669" s="30" t="n"/>
      <c r="E669">
        <f>IF(OR(A669="",B669=""),"",B669-A669)</f>
        <v/>
      </c>
      <c r="F669" s="30" t="n"/>
    </row>
    <row r="670">
      <c r="A670" s="31" t="n"/>
      <c r="B670" s="31" t="n"/>
      <c r="C670" s="30" t="n"/>
      <c r="D670" s="30" t="n"/>
      <c r="E670">
        <f>IF(OR(A670="",B670=""),"",B670-A670)</f>
        <v/>
      </c>
      <c r="F670" s="30" t="n"/>
    </row>
    <row r="671">
      <c r="A671" s="31" t="n"/>
      <c r="B671" s="31" t="n"/>
      <c r="C671" s="30" t="n"/>
      <c r="D671" s="30" t="n"/>
      <c r="E671">
        <f>IF(OR(A671="",B671=""),"",B671-A671)</f>
        <v/>
      </c>
      <c r="F671" s="30" t="n"/>
    </row>
    <row r="672">
      <c r="A672" s="31" t="n"/>
      <c r="B672" s="31" t="n"/>
      <c r="C672" s="30" t="n"/>
      <c r="D672" s="30" t="n"/>
      <c r="E672">
        <f>IF(OR(A672="",B672=""),"",B672-A672)</f>
        <v/>
      </c>
      <c r="F672" s="30" t="n"/>
    </row>
    <row r="673">
      <c r="A673" s="31" t="n"/>
      <c r="B673" s="31" t="n"/>
      <c r="C673" s="30" t="n"/>
      <c r="D673" s="30" t="n"/>
      <c r="E673">
        <f>IF(OR(A673="",B673=""),"",B673-A673)</f>
        <v/>
      </c>
      <c r="F673" s="30" t="n"/>
    </row>
    <row r="674">
      <c r="A674" s="31" t="n"/>
      <c r="B674" s="31" t="n"/>
      <c r="C674" s="30" t="n"/>
      <c r="D674" s="30" t="n"/>
      <c r="E674">
        <f>IF(OR(A674="",B674=""),"",B674-A674)</f>
        <v/>
      </c>
      <c r="F674" s="30" t="n"/>
    </row>
    <row r="675">
      <c r="A675" s="31" t="n"/>
      <c r="B675" s="31" t="n"/>
      <c r="C675" s="30" t="n"/>
      <c r="D675" s="30" t="n"/>
      <c r="E675">
        <f>IF(OR(A675="",B675=""),"",B675-A675)</f>
        <v/>
      </c>
      <c r="F675" s="30" t="n"/>
    </row>
    <row r="676">
      <c r="A676" s="31" t="n"/>
      <c r="B676" s="31" t="n"/>
      <c r="C676" s="30" t="n"/>
      <c r="D676" s="30" t="n"/>
      <c r="E676">
        <f>IF(OR(A676="",B676=""),"",B676-A676)</f>
        <v/>
      </c>
      <c r="F676" s="30" t="n"/>
    </row>
    <row r="677">
      <c r="A677" s="31" t="n"/>
      <c r="B677" s="31" t="n"/>
      <c r="C677" s="30" t="n"/>
      <c r="D677" s="30" t="n"/>
      <c r="E677">
        <f>IF(OR(A677="",B677=""),"",B677-A677)</f>
        <v/>
      </c>
      <c r="F677" s="30" t="n"/>
    </row>
    <row r="678">
      <c r="A678" s="31" t="n"/>
      <c r="B678" s="31" t="n"/>
      <c r="C678" s="30" t="n"/>
      <c r="D678" s="30" t="n"/>
      <c r="E678">
        <f>IF(OR(A678="",B678=""),"",B678-A678)</f>
        <v/>
      </c>
      <c r="F678" s="30" t="n"/>
    </row>
    <row r="679">
      <c r="A679" s="31" t="n"/>
      <c r="B679" s="31" t="n"/>
      <c r="C679" s="30" t="n"/>
      <c r="D679" s="30" t="n"/>
      <c r="E679">
        <f>IF(OR(A679="",B679=""),"",B679-A679)</f>
        <v/>
      </c>
      <c r="F679" s="30" t="n"/>
    </row>
    <row r="680">
      <c r="A680" s="31" t="n"/>
      <c r="B680" s="31" t="n"/>
      <c r="C680" s="30" t="n"/>
      <c r="D680" s="30" t="n"/>
      <c r="E680">
        <f>IF(OR(A680="",B680=""),"",B680-A680)</f>
        <v/>
      </c>
      <c r="F680" s="30" t="n"/>
    </row>
    <row r="681">
      <c r="A681" s="31" t="n"/>
      <c r="B681" s="31" t="n"/>
      <c r="C681" s="30" t="n"/>
      <c r="D681" s="30" t="n"/>
      <c r="E681">
        <f>IF(OR(A681="",B681=""),"",B681-A681)</f>
        <v/>
      </c>
      <c r="F681" s="30" t="n"/>
    </row>
    <row r="682">
      <c r="A682" s="31" t="n"/>
      <c r="B682" s="31" t="n"/>
      <c r="C682" s="30" t="n"/>
      <c r="D682" s="30" t="n"/>
      <c r="E682">
        <f>IF(OR(A682="",B682=""),"",B682-A682)</f>
        <v/>
      </c>
      <c r="F682" s="30" t="n"/>
    </row>
    <row r="683">
      <c r="A683" s="31" t="n"/>
      <c r="B683" s="31" t="n"/>
      <c r="C683" s="30" t="n"/>
      <c r="D683" s="30" t="n"/>
      <c r="E683">
        <f>IF(OR(A683="",B683=""),"",B683-A683)</f>
        <v/>
      </c>
      <c r="F683" s="30" t="n"/>
    </row>
    <row r="684">
      <c r="A684" s="31" t="n"/>
      <c r="B684" s="31" t="n"/>
      <c r="C684" s="30" t="n"/>
      <c r="D684" s="30" t="n"/>
      <c r="E684">
        <f>IF(OR(A684="",B684=""),"",B684-A684)</f>
        <v/>
      </c>
      <c r="F684" s="30" t="n"/>
    </row>
    <row r="685">
      <c r="A685" s="31" t="n"/>
      <c r="B685" s="31" t="n"/>
      <c r="C685" s="30" t="n"/>
      <c r="D685" s="30" t="n"/>
      <c r="E685">
        <f>IF(OR(A685="",B685=""),"",B685-A685)</f>
        <v/>
      </c>
      <c r="F685" s="30" t="n"/>
    </row>
    <row r="686">
      <c r="A686" s="31" t="n"/>
      <c r="B686" s="31" t="n"/>
      <c r="C686" s="30" t="n"/>
      <c r="D686" s="30" t="n"/>
      <c r="E686">
        <f>IF(OR(A686="",B686=""),"",B686-A686)</f>
        <v/>
      </c>
      <c r="F686" s="30" t="n"/>
    </row>
    <row r="687">
      <c r="A687" s="31" t="n"/>
      <c r="B687" s="31" t="n"/>
      <c r="C687" s="30" t="n"/>
      <c r="D687" s="30" t="n"/>
      <c r="E687">
        <f>IF(OR(A687="",B687=""),"",B687-A687)</f>
        <v/>
      </c>
      <c r="F687" s="30" t="n"/>
    </row>
    <row r="688">
      <c r="A688" s="31" t="n"/>
      <c r="B688" s="31" t="n"/>
      <c r="C688" s="30" t="n"/>
      <c r="D688" s="30" t="n"/>
      <c r="E688">
        <f>IF(OR(A688="",B688=""),"",B688-A688)</f>
        <v/>
      </c>
      <c r="F688" s="30" t="n"/>
    </row>
    <row r="689">
      <c r="A689" s="31" t="n"/>
      <c r="B689" s="31" t="n"/>
      <c r="C689" s="30" t="n"/>
      <c r="D689" s="30" t="n"/>
      <c r="E689">
        <f>IF(OR(A689="",B689=""),"",B689-A689)</f>
        <v/>
      </c>
      <c r="F689" s="30" t="n"/>
    </row>
    <row r="690">
      <c r="A690" s="31" t="n"/>
      <c r="B690" s="31" t="n"/>
      <c r="C690" s="30" t="n"/>
      <c r="D690" s="30" t="n"/>
      <c r="E690">
        <f>IF(OR(A690="",B690=""),"",B690-A690)</f>
        <v/>
      </c>
      <c r="F690" s="30" t="n"/>
    </row>
    <row r="691">
      <c r="A691" s="31" t="n"/>
      <c r="B691" s="31" t="n"/>
      <c r="C691" s="30" t="n"/>
      <c r="D691" s="30" t="n"/>
      <c r="E691">
        <f>IF(OR(A691="",B691=""),"",B691-A691)</f>
        <v/>
      </c>
      <c r="F691" s="30" t="n"/>
    </row>
    <row r="692">
      <c r="A692" s="31" t="n"/>
      <c r="B692" s="31" t="n"/>
      <c r="C692" s="30" t="n"/>
      <c r="D692" s="30" t="n"/>
      <c r="E692">
        <f>IF(OR(A692="",B692=""),"",B692-A692)</f>
        <v/>
      </c>
      <c r="F692" s="30" t="n"/>
    </row>
    <row r="693">
      <c r="A693" s="31" t="n"/>
      <c r="B693" s="31" t="n"/>
      <c r="C693" s="30" t="n"/>
      <c r="D693" s="30" t="n"/>
      <c r="E693">
        <f>IF(OR(A693="",B693=""),"",B693-A693)</f>
        <v/>
      </c>
      <c r="F693" s="30" t="n"/>
    </row>
    <row r="694">
      <c r="A694" s="31" t="n"/>
      <c r="B694" s="31" t="n"/>
      <c r="C694" s="30" t="n"/>
      <c r="D694" s="30" t="n"/>
      <c r="E694">
        <f>IF(OR(A694="",B694=""),"",B694-A694)</f>
        <v/>
      </c>
      <c r="F694" s="30" t="n"/>
    </row>
    <row r="695">
      <c r="A695" s="31" t="n"/>
      <c r="B695" s="31" t="n"/>
      <c r="C695" s="30" t="n"/>
      <c r="D695" s="30" t="n"/>
      <c r="E695">
        <f>IF(OR(A695="",B695=""),"",B695-A695)</f>
        <v/>
      </c>
      <c r="F695" s="30" t="n"/>
    </row>
    <row r="696">
      <c r="A696" s="31" t="n"/>
      <c r="B696" s="31" t="n"/>
      <c r="C696" s="30" t="n"/>
      <c r="D696" s="30" t="n"/>
      <c r="E696">
        <f>IF(OR(A696="",B696=""),"",B696-A696)</f>
        <v/>
      </c>
      <c r="F696" s="30" t="n"/>
    </row>
    <row r="697">
      <c r="A697" s="31" t="n"/>
      <c r="B697" s="31" t="n"/>
      <c r="C697" s="30" t="n"/>
      <c r="D697" s="30" t="n"/>
      <c r="E697">
        <f>IF(OR(A697="",B697=""),"",B697-A697)</f>
        <v/>
      </c>
      <c r="F697" s="30" t="n"/>
    </row>
    <row r="698">
      <c r="A698" s="31" t="n"/>
      <c r="B698" s="31" t="n"/>
      <c r="C698" s="30" t="n"/>
      <c r="D698" s="30" t="n"/>
      <c r="E698">
        <f>IF(OR(A698="",B698=""),"",B698-A698)</f>
        <v/>
      </c>
      <c r="F698" s="30" t="n"/>
    </row>
    <row r="699">
      <c r="A699" s="31" t="n"/>
      <c r="B699" s="31" t="n"/>
      <c r="C699" s="30" t="n"/>
      <c r="D699" s="30" t="n"/>
      <c r="E699">
        <f>IF(OR(A699="",B699=""),"",B699-A699)</f>
        <v/>
      </c>
      <c r="F699" s="30" t="n"/>
    </row>
    <row r="700">
      <c r="A700" s="31" t="n"/>
      <c r="B700" s="31" t="n"/>
      <c r="C700" s="30" t="n"/>
      <c r="D700" s="30" t="n"/>
      <c r="E700">
        <f>IF(OR(A700="",B700=""),"",B700-A700)</f>
        <v/>
      </c>
      <c r="F700" s="30" t="n"/>
    </row>
    <row r="701">
      <c r="A701" s="31" t="n"/>
      <c r="B701" s="31" t="n"/>
      <c r="C701" s="30" t="n"/>
      <c r="D701" s="30" t="n"/>
      <c r="E701">
        <f>IF(OR(A701="",B701=""),"",B701-A701)</f>
        <v/>
      </c>
      <c r="F701" s="30" t="n"/>
    </row>
    <row r="702">
      <c r="A702" s="31" t="n"/>
      <c r="B702" s="31" t="n"/>
      <c r="C702" s="30" t="n"/>
      <c r="D702" s="30" t="n"/>
      <c r="E702">
        <f>IF(OR(A702="",B702=""),"",B702-A702)</f>
        <v/>
      </c>
      <c r="F702" s="30" t="n"/>
    </row>
    <row r="703">
      <c r="A703" s="31" t="n"/>
      <c r="B703" s="31" t="n"/>
      <c r="C703" s="30" t="n"/>
      <c r="D703" s="30" t="n"/>
      <c r="E703">
        <f>IF(OR(A703="",B703=""),"",B703-A703)</f>
        <v/>
      </c>
      <c r="F703" s="30" t="n"/>
    </row>
    <row r="704">
      <c r="A704" s="31" t="n"/>
      <c r="B704" s="31" t="n"/>
      <c r="C704" s="30" t="n"/>
      <c r="D704" s="30" t="n"/>
      <c r="E704">
        <f>IF(OR(A704="",B704=""),"",B704-A704)</f>
        <v/>
      </c>
      <c r="F704" s="30" t="n"/>
    </row>
    <row r="705">
      <c r="A705" s="31" t="n"/>
      <c r="B705" s="31" t="n"/>
      <c r="C705" s="30" t="n"/>
      <c r="D705" s="30" t="n"/>
      <c r="E705">
        <f>IF(OR(A705="",B705=""),"",B705-A705)</f>
        <v/>
      </c>
      <c r="F705" s="30" t="n"/>
    </row>
    <row r="706">
      <c r="A706" s="31" t="n"/>
      <c r="B706" s="31" t="n"/>
      <c r="C706" s="30" t="n"/>
      <c r="D706" s="30" t="n"/>
      <c r="E706">
        <f>IF(OR(A706="",B706=""),"",B706-A706)</f>
        <v/>
      </c>
      <c r="F706" s="30" t="n"/>
    </row>
    <row r="707">
      <c r="A707" s="31" t="n"/>
      <c r="B707" s="31" t="n"/>
      <c r="C707" s="30" t="n"/>
      <c r="D707" s="30" t="n"/>
      <c r="E707">
        <f>IF(OR(A707="",B707=""),"",B707-A707)</f>
        <v/>
      </c>
      <c r="F707" s="30" t="n"/>
    </row>
    <row r="708">
      <c r="A708" s="31" t="n"/>
      <c r="B708" s="31" t="n"/>
      <c r="C708" s="30" t="n"/>
      <c r="D708" s="30" t="n"/>
      <c r="E708">
        <f>IF(OR(A708="",B708=""),"",B708-A708)</f>
        <v/>
      </c>
      <c r="F708" s="30" t="n"/>
    </row>
    <row r="709">
      <c r="A709" s="31" t="n"/>
      <c r="B709" s="31" t="n"/>
      <c r="C709" s="30" t="n"/>
      <c r="D709" s="30" t="n"/>
      <c r="E709">
        <f>IF(OR(A709="",B709=""),"",B709-A709)</f>
        <v/>
      </c>
      <c r="F709" s="30" t="n"/>
    </row>
    <row r="710">
      <c r="A710" s="31" t="n"/>
      <c r="B710" s="31" t="n"/>
      <c r="C710" s="30" t="n"/>
      <c r="D710" s="30" t="n"/>
      <c r="E710">
        <f>IF(OR(A710="",B710=""),"",B710-A710)</f>
        <v/>
      </c>
      <c r="F710" s="30" t="n"/>
    </row>
    <row r="711">
      <c r="A711" s="31" t="n"/>
      <c r="B711" s="31" t="n"/>
      <c r="C711" s="30" t="n"/>
      <c r="D711" s="30" t="n"/>
      <c r="E711">
        <f>IF(OR(A711="",B711=""),"",B711-A711)</f>
        <v/>
      </c>
      <c r="F711" s="30" t="n"/>
    </row>
    <row r="712">
      <c r="A712" s="31" t="n"/>
      <c r="B712" s="31" t="n"/>
      <c r="C712" s="30" t="n"/>
      <c r="D712" s="30" t="n"/>
      <c r="E712">
        <f>IF(OR(A712="",B712=""),"",B712-A712)</f>
        <v/>
      </c>
      <c r="F712" s="30" t="n"/>
    </row>
    <row r="713">
      <c r="A713" s="31" t="n"/>
      <c r="B713" s="31" t="n"/>
      <c r="C713" s="30" t="n"/>
      <c r="D713" s="30" t="n"/>
      <c r="E713">
        <f>IF(OR(A713="",B713=""),"",B713-A713)</f>
        <v/>
      </c>
      <c r="F713" s="30" t="n"/>
    </row>
    <row r="714">
      <c r="A714" s="31" t="n"/>
      <c r="B714" s="31" t="n"/>
      <c r="C714" s="30" t="n"/>
      <c r="D714" s="30" t="n"/>
      <c r="E714">
        <f>IF(OR(A714="",B714=""),"",B714-A714)</f>
        <v/>
      </c>
      <c r="F714" s="30" t="n"/>
    </row>
    <row r="715">
      <c r="A715" s="31" t="n"/>
      <c r="B715" s="31" t="n"/>
      <c r="C715" s="30" t="n"/>
      <c r="D715" s="30" t="n"/>
      <c r="E715">
        <f>IF(OR(A715="",B715=""),"",B715-A715)</f>
        <v/>
      </c>
      <c r="F715" s="30" t="n"/>
    </row>
    <row r="716">
      <c r="A716" s="31" t="n"/>
      <c r="B716" s="31" t="n"/>
      <c r="C716" s="30" t="n"/>
      <c r="D716" s="30" t="n"/>
      <c r="E716">
        <f>IF(OR(A716="",B716=""),"",B716-A716)</f>
        <v/>
      </c>
      <c r="F716" s="30" t="n"/>
    </row>
    <row r="717">
      <c r="A717" s="31" t="n"/>
      <c r="B717" s="31" t="n"/>
      <c r="C717" s="30" t="n"/>
      <c r="D717" s="30" t="n"/>
      <c r="E717">
        <f>IF(OR(A717="",B717=""),"",B717-A717)</f>
        <v/>
      </c>
      <c r="F717" s="30" t="n"/>
    </row>
    <row r="718">
      <c r="A718" s="31" t="n"/>
      <c r="B718" s="31" t="n"/>
      <c r="C718" s="30" t="n"/>
      <c r="D718" s="30" t="n"/>
      <c r="E718">
        <f>IF(OR(A718="",B718=""),"",B718-A718)</f>
        <v/>
      </c>
      <c r="F718" s="30" t="n"/>
    </row>
    <row r="719">
      <c r="A719" s="31" t="n"/>
      <c r="B719" s="31" t="n"/>
      <c r="C719" s="30" t="n"/>
      <c r="D719" s="30" t="n"/>
      <c r="E719">
        <f>IF(OR(A719="",B719=""),"",B719-A719)</f>
        <v/>
      </c>
      <c r="F719" s="30" t="n"/>
    </row>
    <row r="720">
      <c r="A720" s="31" t="n"/>
      <c r="B720" s="31" t="n"/>
      <c r="C720" s="30" t="n"/>
      <c r="D720" s="30" t="n"/>
      <c r="E720">
        <f>IF(OR(A720="",B720=""),"",B720-A720)</f>
        <v/>
      </c>
      <c r="F720" s="30" t="n"/>
    </row>
    <row r="721">
      <c r="A721" s="31" t="n"/>
      <c r="B721" s="31" t="n"/>
      <c r="C721" s="30" t="n"/>
      <c r="D721" s="30" t="n"/>
      <c r="E721">
        <f>IF(OR(A721="",B721=""),"",B721-A721)</f>
        <v/>
      </c>
      <c r="F721" s="30" t="n"/>
    </row>
    <row r="722">
      <c r="A722" s="31" t="n"/>
      <c r="B722" s="31" t="n"/>
      <c r="C722" s="30" t="n"/>
      <c r="D722" s="30" t="n"/>
      <c r="E722">
        <f>IF(OR(A722="",B722=""),"",B722-A722)</f>
        <v/>
      </c>
      <c r="F722" s="30" t="n"/>
    </row>
    <row r="723">
      <c r="A723" s="31" t="n"/>
      <c r="B723" s="31" t="n"/>
      <c r="C723" s="30" t="n"/>
      <c r="D723" s="30" t="n"/>
      <c r="E723">
        <f>IF(OR(A723="",B723=""),"",B723-A723)</f>
        <v/>
      </c>
      <c r="F723" s="30" t="n"/>
    </row>
    <row r="724">
      <c r="A724" s="31" t="n"/>
      <c r="B724" s="31" t="n"/>
      <c r="C724" s="30" t="n"/>
      <c r="D724" s="30" t="n"/>
      <c r="E724">
        <f>IF(OR(A724="",B724=""),"",B724-A724)</f>
        <v/>
      </c>
      <c r="F724" s="30" t="n"/>
    </row>
    <row r="725">
      <c r="A725" s="31" t="n"/>
      <c r="B725" s="31" t="n"/>
      <c r="C725" s="30" t="n"/>
      <c r="D725" s="30" t="n"/>
      <c r="E725">
        <f>IF(OR(A725="",B725=""),"",B725-A725)</f>
        <v/>
      </c>
      <c r="F725" s="30" t="n"/>
    </row>
    <row r="726">
      <c r="A726" s="31" t="n"/>
      <c r="B726" s="31" t="n"/>
      <c r="C726" s="30" t="n"/>
      <c r="D726" s="30" t="n"/>
      <c r="E726">
        <f>IF(OR(A726="",B726=""),"",B726-A726)</f>
        <v/>
      </c>
      <c r="F726" s="30" t="n"/>
    </row>
    <row r="727">
      <c r="A727" s="31" t="n"/>
      <c r="B727" s="31" t="n"/>
      <c r="C727" s="30" t="n"/>
      <c r="D727" s="30" t="n"/>
      <c r="E727">
        <f>IF(OR(A727="",B727=""),"",B727-A727)</f>
        <v/>
      </c>
      <c r="F727" s="30" t="n"/>
    </row>
    <row r="728">
      <c r="A728" s="31" t="n"/>
      <c r="B728" s="31" t="n"/>
      <c r="C728" s="30" t="n"/>
      <c r="D728" s="30" t="n"/>
      <c r="E728">
        <f>IF(OR(A728="",B728=""),"",B728-A728)</f>
        <v/>
      </c>
      <c r="F728" s="30" t="n"/>
    </row>
    <row r="729">
      <c r="A729" s="31" t="n"/>
      <c r="B729" s="31" t="n"/>
      <c r="C729" s="30" t="n"/>
      <c r="D729" s="30" t="n"/>
      <c r="E729">
        <f>IF(OR(A729="",B729=""),"",B729-A729)</f>
        <v/>
      </c>
      <c r="F729" s="30" t="n"/>
    </row>
    <row r="730">
      <c r="A730" s="31" t="n"/>
      <c r="B730" s="31" t="n"/>
      <c r="C730" s="30" t="n"/>
      <c r="D730" s="30" t="n"/>
      <c r="E730">
        <f>IF(OR(A730="",B730=""),"",B730-A730)</f>
        <v/>
      </c>
      <c r="F730" s="30" t="n"/>
    </row>
    <row r="731">
      <c r="A731" s="31" t="n"/>
      <c r="B731" s="31" t="n"/>
      <c r="C731" s="30" t="n"/>
      <c r="D731" s="30" t="n"/>
      <c r="E731">
        <f>IF(OR(A731="",B731=""),"",B731-A731)</f>
        <v/>
      </c>
      <c r="F731" s="30" t="n"/>
    </row>
    <row r="732">
      <c r="A732" s="31" t="n"/>
      <c r="B732" s="31" t="n"/>
      <c r="C732" s="30" t="n"/>
      <c r="D732" s="30" t="n"/>
      <c r="E732">
        <f>IF(OR(A732="",B732=""),"",B732-A732)</f>
        <v/>
      </c>
      <c r="F732" s="30" t="n"/>
    </row>
    <row r="733">
      <c r="A733" s="31" t="n"/>
      <c r="B733" s="31" t="n"/>
      <c r="C733" s="30" t="n"/>
      <c r="D733" s="30" t="n"/>
      <c r="E733">
        <f>IF(OR(A733="",B733=""),"",B733-A733)</f>
        <v/>
      </c>
      <c r="F733" s="30" t="n"/>
    </row>
    <row r="734">
      <c r="A734" s="31" t="n"/>
      <c r="B734" s="31" t="n"/>
      <c r="C734" s="30" t="n"/>
      <c r="D734" s="30" t="n"/>
      <c r="E734">
        <f>IF(OR(A734="",B734=""),"",B734-A734)</f>
        <v/>
      </c>
      <c r="F734" s="30" t="n"/>
    </row>
    <row r="735">
      <c r="A735" s="31" t="n"/>
      <c r="B735" s="31" t="n"/>
      <c r="C735" s="30" t="n"/>
      <c r="D735" s="30" t="n"/>
      <c r="E735">
        <f>IF(OR(A735="",B735=""),"",B735-A735)</f>
        <v/>
      </c>
      <c r="F735" s="30" t="n"/>
    </row>
    <row r="736">
      <c r="A736" s="31" t="n"/>
      <c r="B736" s="31" t="n"/>
      <c r="C736" s="30" t="n"/>
      <c r="D736" s="30" t="n"/>
      <c r="E736">
        <f>IF(OR(A736="",B736=""),"",B736-A736)</f>
        <v/>
      </c>
      <c r="F736" s="30" t="n"/>
    </row>
    <row r="737">
      <c r="A737" s="31" t="n"/>
      <c r="B737" s="31" t="n"/>
      <c r="C737" s="30" t="n"/>
      <c r="D737" s="30" t="n"/>
      <c r="E737">
        <f>IF(OR(A737="",B737=""),"",B737-A737)</f>
        <v/>
      </c>
      <c r="F737" s="30" t="n"/>
    </row>
    <row r="738">
      <c r="A738" s="31" t="n"/>
      <c r="B738" s="31" t="n"/>
      <c r="C738" s="30" t="n"/>
      <c r="D738" s="30" t="n"/>
      <c r="E738">
        <f>IF(OR(A738="",B738=""),"",B738-A738)</f>
        <v/>
      </c>
      <c r="F738" s="30" t="n"/>
    </row>
    <row r="739">
      <c r="A739" s="31" t="n"/>
      <c r="B739" s="31" t="n"/>
      <c r="C739" s="30" t="n"/>
      <c r="D739" s="30" t="n"/>
      <c r="E739">
        <f>IF(OR(A739="",B739=""),"",B739-A739)</f>
        <v/>
      </c>
      <c r="F739" s="30" t="n"/>
    </row>
    <row r="740">
      <c r="A740" s="31" t="n"/>
      <c r="B740" s="31" t="n"/>
      <c r="C740" s="30" t="n"/>
      <c r="D740" s="30" t="n"/>
      <c r="E740">
        <f>IF(OR(A740="",B740=""),"",B740-A740)</f>
        <v/>
      </c>
      <c r="F740" s="30" t="n"/>
    </row>
    <row r="741">
      <c r="A741" s="31" t="n"/>
      <c r="B741" s="31" t="n"/>
      <c r="C741" s="30" t="n"/>
      <c r="D741" s="30" t="n"/>
      <c r="E741">
        <f>IF(OR(A741="",B741=""),"",B741-A741)</f>
        <v/>
      </c>
      <c r="F741" s="30" t="n"/>
    </row>
    <row r="742">
      <c r="A742" s="31" t="n"/>
      <c r="B742" s="31" t="n"/>
      <c r="C742" s="30" t="n"/>
      <c r="D742" s="30" t="n"/>
      <c r="E742">
        <f>IF(OR(A742="",B742=""),"",B742-A742)</f>
        <v/>
      </c>
      <c r="F742" s="30" t="n"/>
    </row>
    <row r="743">
      <c r="A743" s="31" t="n"/>
      <c r="B743" s="31" t="n"/>
      <c r="C743" s="30" t="n"/>
      <c r="D743" s="30" t="n"/>
      <c r="E743">
        <f>IF(OR(A743="",B743=""),"",B743-A743)</f>
        <v/>
      </c>
      <c r="F743" s="30" t="n"/>
    </row>
    <row r="744">
      <c r="A744" s="31" t="n"/>
      <c r="B744" s="31" t="n"/>
      <c r="C744" s="30" t="n"/>
      <c r="D744" s="30" t="n"/>
      <c r="E744">
        <f>IF(OR(A744="",B744=""),"",B744-A744)</f>
        <v/>
      </c>
      <c r="F744" s="30" t="n"/>
    </row>
    <row r="745">
      <c r="A745" s="31" t="n"/>
      <c r="B745" s="31" t="n"/>
      <c r="C745" s="30" t="n"/>
      <c r="D745" s="30" t="n"/>
      <c r="E745">
        <f>IF(OR(A745="",B745=""),"",B745-A745)</f>
        <v/>
      </c>
      <c r="F745" s="30" t="n"/>
    </row>
    <row r="746">
      <c r="A746" s="31" t="n"/>
      <c r="B746" s="31" t="n"/>
      <c r="C746" s="30" t="n"/>
      <c r="D746" s="30" t="n"/>
      <c r="E746">
        <f>IF(OR(A746="",B746=""),"",B746-A746)</f>
        <v/>
      </c>
      <c r="F746" s="30" t="n"/>
    </row>
    <row r="747">
      <c r="A747" s="31" t="n"/>
      <c r="B747" s="31" t="n"/>
      <c r="C747" s="30" t="n"/>
      <c r="D747" s="30" t="n"/>
      <c r="E747">
        <f>IF(OR(A747="",B747=""),"",B747-A747)</f>
        <v/>
      </c>
      <c r="F747" s="30" t="n"/>
    </row>
    <row r="748">
      <c r="A748" s="31" t="n"/>
      <c r="B748" s="31" t="n"/>
      <c r="C748" s="30" t="n"/>
      <c r="D748" s="30" t="n"/>
      <c r="E748">
        <f>IF(OR(A748="",B748=""),"",B748-A748)</f>
        <v/>
      </c>
      <c r="F748" s="30" t="n"/>
    </row>
    <row r="749">
      <c r="A749" s="31" t="n"/>
      <c r="B749" s="31" t="n"/>
      <c r="C749" s="30" t="n"/>
      <c r="D749" s="30" t="n"/>
      <c r="E749">
        <f>IF(OR(A749="",B749=""),"",B749-A749)</f>
        <v/>
      </c>
      <c r="F749" s="30" t="n"/>
    </row>
    <row r="750">
      <c r="A750" s="31" t="n"/>
      <c r="B750" s="31" t="n"/>
      <c r="C750" s="30" t="n"/>
      <c r="D750" s="30" t="n"/>
      <c r="E750">
        <f>IF(OR(A750="",B750=""),"",B750-A750)</f>
        <v/>
      </c>
      <c r="F750" s="30" t="n"/>
    </row>
    <row r="751">
      <c r="A751" s="31" t="n"/>
      <c r="B751" s="31" t="n"/>
      <c r="C751" s="30" t="n"/>
      <c r="D751" s="30" t="n"/>
      <c r="E751">
        <f>IF(OR(A751="",B751=""),"",B751-A751)</f>
        <v/>
      </c>
      <c r="F751" s="30" t="n"/>
    </row>
    <row r="752">
      <c r="A752" s="31" t="n"/>
      <c r="B752" s="31" t="n"/>
      <c r="C752" s="30" t="n"/>
      <c r="D752" s="30" t="n"/>
      <c r="E752">
        <f>IF(OR(A752="",B752=""),"",B752-A752)</f>
        <v/>
      </c>
      <c r="F752" s="30" t="n"/>
    </row>
    <row r="753">
      <c r="A753" s="31" t="n"/>
      <c r="B753" s="31" t="n"/>
      <c r="C753" s="30" t="n"/>
      <c r="D753" s="30" t="n"/>
      <c r="E753">
        <f>IF(OR(A753="",B753=""),"",B753-A753)</f>
        <v/>
      </c>
      <c r="F753" s="30" t="n"/>
    </row>
    <row r="754">
      <c r="A754" s="31" t="n"/>
      <c r="B754" s="31" t="n"/>
      <c r="C754" s="30" t="n"/>
      <c r="D754" s="30" t="n"/>
      <c r="E754">
        <f>IF(OR(A754="",B754=""),"",B754-A754)</f>
        <v/>
      </c>
      <c r="F754" s="30" t="n"/>
    </row>
    <row r="755">
      <c r="A755" s="31" t="n"/>
      <c r="B755" s="31" t="n"/>
      <c r="C755" s="30" t="n"/>
      <c r="D755" s="30" t="n"/>
      <c r="E755">
        <f>IF(OR(A755="",B755=""),"",B755-A755)</f>
        <v/>
      </c>
      <c r="F755" s="30" t="n"/>
    </row>
    <row r="756">
      <c r="A756" s="31" t="n"/>
      <c r="B756" s="31" t="n"/>
      <c r="C756" s="30" t="n"/>
      <c r="D756" s="30" t="n"/>
      <c r="E756">
        <f>IF(OR(A756="",B756=""),"",B756-A756)</f>
        <v/>
      </c>
      <c r="F756" s="30" t="n"/>
    </row>
    <row r="757">
      <c r="A757" s="31" t="n"/>
      <c r="B757" s="31" t="n"/>
      <c r="C757" s="30" t="n"/>
      <c r="D757" s="30" t="n"/>
      <c r="E757">
        <f>IF(OR(A757="",B757=""),"",B757-A757)</f>
        <v/>
      </c>
      <c r="F757" s="30" t="n"/>
    </row>
    <row r="758">
      <c r="A758" s="31" t="n"/>
      <c r="B758" s="31" t="n"/>
      <c r="C758" s="30" t="n"/>
      <c r="D758" s="30" t="n"/>
      <c r="E758">
        <f>IF(OR(A758="",B758=""),"",B758-A758)</f>
        <v/>
      </c>
      <c r="F758" s="30" t="n"/>
    </row>
    <row r="759">
      <c r="A759" s="31" t="n"/>
      <c r="B759" s="31" t="n"/>
      <c r="C759" s="30" t="n"/>
      <c r="D759" s="30" t="n"/>
      <c r="E759">
        <f>IF(OR(A759="",B759=""),"",B759-A759)</f>
        <v/>
      </c>
      <c r="F759" s="30" t="n"/>
    </row>
    <row r="760">
      <c r="A760" s="31" t="n"/>
      <c r="B760" s="31" t="n"/>
      <c r="C760" s="30" t="n"/>
      <c r="D760" s="30" t="n"/>
      <c r="E760">
        <f>IF(OR(A760="",B760=""),"",B760-A760)</f>
        <v/>
      </c>
      <c r="F760" s="30" t="n"/>
    </row>
    <row r="761">
      <c r="A761" s="31" t="n"/>
      <c r="B761" s="31" t="n"/>
      <c r="C761" s="30" t="n"/>
      <c r="D761" s="30" t="n"/>
      <c r="E761">
        <f>IF(OR(A761="",B761=""),"",B761-A761)</f>
        <v/>
      </c>
      <c r="F761" s="30" t="n"/>
    </row>
    <row r="762">
      <c r="A762" s="31" t="n"/>
      <c r="B762" s="31" t="n"/>
      <c r="C762" s="30" t="n"/>
      <c r="D762" s="30" t="n"/>
      <c r="E762">
        <f>IF(OR(A762="",B762=""),"",B762-A762)</f>
        <v/>
      </c>
      <c r="F762" s="30" t="n"/>
    </row>
    <row r="763">
      <c r="A763" s="31" t="n"/>
      <c r="B763" s="31" t="n"/>
      <c r="C763" s="30" t="n"/>
      <c r="D763" s="30" t="n"/>
      <c r="E763">
        <f>IF(OR(A763="",B763=""),"",B763-A763)</f>
        <v/>
      </c>
      <c r="F763" s="30" t="n"/>
    </row>
    <row r="764">
      <c r="A764" s="31" t="n"/>
      <c r="B764" s="31" t="n"/>
      <c r="C764" s="30" t="n"/>
      <c r="D764" s="30" t="n"/>
      <c r="E764">
        <f>IF(OR(A764="",B764=""),"",B764-A764)</f>
        <v/>
      </c>
      <c r="F764" s="30" t="n"/>
    </row>
    <row r="765">
      <c r="A765" s="31" t="n"/>
      <c r="B765" s="31" t="n"/>
      <c r="C765" s="30" t="n"/>
      <c r="D765" s="30" t="n"/>
      <c r="E765">
        <f>IF(OR(A765="",B765=""),"",B765-A765)</f>
        <v/>
      </c>
      <c r="F765" s="30" t="n"/>
    </row>
    <row r="766">
      <c r="A766" s="31" t="n"/>
      <c r="B766" s="31" t="n"/>
      <c r="C766" s="30" t="n"/>
      <c r="D766" s="30" t="n"/>
      <c r="E766">
        <f>IF(OR(A766="",B766=""),"",B766-A766)</f>
        <v/>
      </c>
      <c r="F766" s="30" t="n"/>
    </row>
    <row r="767">
      <c r="A767" s="31" t="n"/>
      <c r="B767" s="31" t="n"/>
      <c r="C767" s="30" t="n"/>
      <c r="D767" s="30" t="n"/>
      <c r="E767">
        <f>IF(OR(A767="",B767=""),"",B767-A767)</f>
        <v/>
      </c>
      <c r="F767" s="30" t="n"/>
    </row>
    <row r="768">
      <c r="A768" s="31" t="n"/>
      <c r="B768" s="31" t="n"/>
      <c r="C768" s="30" t="n"/>
      <c r="D768" s="30" t="n"/>
      <c r="E768">
        <f>IF(OR(A768="",B768=""),"",B768-A768)</f>
        <v/>
      </c>
      <c r="F768" s="30" t="n"/>
    </row>
    <row r="769">
      <c r="A769" s="31" t="n"/>
      <c r="B769" s="31" t="n"/>
      <c r="C769" s="30" t="n"/>
      <c r="D769" s="30" t="n"/>
      <c r="E769">
        <f>IF(OR(A769="",B769=""),"",B769-A769)</f>
        <v/>
      </c>
      <c r="F769" s="30" t="n"/>
    </row>
    <row r="770">
      <c r="A770" s="31" t="n"/>
      <c r="B770" s="31" t="n"/>
      <c r="C770" s="30" t="n"/>
      <c r="D770" s="30" t="n"/>
      <c r="E770">
        <f>IF(OR(A770="",B770=""),"",B770-A770)</f>
        <v/>
      </c>
      <c r="F770" s="30" t="n"/>
    </row>
    <row r="771">
      <c r="A771" s="31" t="n"/>
      <c r="B771" s="31" t="n"/>
      <c r="C771" s="30" t="n"/>
      <c r="D771" s="30" t="n"/>
      <c r="E771">
        <f>IF(OR(A771="",B771=""),"",B771-A771)</f>
        <v/>
      </c>
      <c r="F771" s="30" t="n"/>
    </row>
    <row r="772">
      <c r="A772" s="31" t="n"/>
      <c r="B772" s="31" t="n"/>
      <c r="C772" s="30" t="n"/>
      <c r="D772" s="30" t="n"/>
      <c r="E772">
        <f>IF(OR(A772="",B772=""),"",B772-A772)</f>
        <v/>
      </c>
      <c r="F772" s="30" t="n"/>
    </row>
    <row r="773">
      <c r="A773" s="31" t="n"/>
      <c r="B773" s="31" t="n"/>
      <c r="C773" s="30" t="n"/>
      <c r="D773" s="30" t="n"/>
      <c r="E773">
        <f>IF(OR(A773="",B773=""),"",B773-A773)</f>
        <v/>
      </c>
      <c r="F773" s="30" t="n"/>
    </row>
    <row r="774">
      <c r="A774" s="31" t="n"/>
      <c r="B774" s="31" t="n"/>
      <c r="C774" s="30" t="n"/>
      <c r="D774" s="30" t="n"/>
      <c r="E774">
        <f>IF(OR(A774="",B774=""),"",B774-A774)</f>
        <v/>
      </c>
      <c r="F774" s="30" t="n"/>
    </row>
    <row r="775">
      <c r="A775" s="31" t="n"/>
      <c r="B775" s="31" t="n"/>
      <c r="C775" s="30" t="n"/>
      <c r="D775" s="30" t="n"/>
      <c r="E775">
        <f>IF(OR(A775="",B775=""),"",B775-A775)</f>
        <v/>
      </c>
      <c r="F775" s="30" t="n"/>
    </row>
    <row r="776">
      <c r="A776" s="31" t="n"/>
      <c r="B776" s="31" t="n"/>
      <c r="C776" s="30" t="n"/>
      <c r="D776" s="30" t="n"/>
      <c r="E776">
        <f>IF(OR(A776="",B776=""),"",B776-A776)</f>
        <v/>
      </c>
      <c r="F776" s="30" t="n"/>
    </row>
    <row r="777">
      <c r="A777" s="31" t="n"/>
      <c r="B777" s="31" t="n"/>
      <c r="C777" s="30" t="n"/>
      <c r="D777" s="30" t="n"/>
      <c r="E777">
        <f>IF(OR(A777="",B777=""),"",B777-A777)</f>
        <v/>
      </c>
      <c r="F777" s="30" t="n"/>
    </row>
    <row r="778">
      <c r="A778" s="31" t="n"/>
      <c r="B778" s="31" t="n"/>
      <c r="C778" s="30" t="n"/>
      <c r="D778" s="30" t="n"/>
      <c r="E778">
        <f>IF(OR(A778="",B778=""),"",B778-A778)</f>
        <v/>
      </c>
      <c r="F778" s="30" t="n"/>
    </row>
    <row r="779">
      <c r="A779" s="31" t="n"/>
      <c r="B779" s="31" t="n"/>
      <c r="C779" s="30" t="n"/>
      <c r="D779" s="30" t="n"/>
      <c r="E779">
        <f>IF(OR(A779="",B779=""),"",B779-A779)</f>
        <v/>
      </c>
      <c r="F779" s="30" t="n"/>
    </row>
    <row r="780">
      <c r="A780" s="31" t="n"/>
      <c r="B780" s="31" t="n"/>
      <c r="C780" s="30" t="n"/>
      <c r="D780" s="30" t="n"/>
      <c r="E780">
        <f>IF(OR(A780="",B780=""),"",B780-A780)</f>
        <v/>
      </c>
      <c r="F780" s="30" t="n"/>
    </row>
    <row r="781">
      <c r="A781" s="31" t="n"/>
      <c r="B781" s="31" t="n"/>
      <c r="C781" s="30" t="n"/>
      <c r="D781" s="30" t="n"/>
      <c r="E781">
        <f>IF(OR(A781="",B781=""),"",B781-A781)</f>
        <v/>
      </c>
      <c r="F781" s="30" t="n"/>
    </row>
    <row r="782">
      <c r="A782" s="31" t="n"/>
      <c r="B782" s="31" t="n"/>
      <c r="C782" s="30" t="n"/>
      <c r="D782" s="30" t="n"/>
      <c r="E782">
        <f>IF(OR(A782="",B782=""),"",B782-A782)</f>
        <v/>
      </c>
      <c r="F782" s="30" t="n"/>
    </row>
    <row r="783">
      <c r="A783" s="31" t="n"/>
      <c r="B783" s="31" t="n"/>
      <c r="C783" s="30" t="n"/>
      <c r="D783" s="30" t="n"/>
      <c r="E783">
        <f>IF(OR(A783="",B783=""),"",B783-A783)</f>
        <v/>
      </c>
      <c r="F783" s="30" t="n"/>
    </row>
    <row r="784">
      <c r="A784" s="31" t="n"/>
      <c r="B784" s="31" t="n"/>
      <c r="C784" s="30" t="n"/>
      <c r="D784" s="30" t="n"/>
      <c r="E784">
        <f>IF(OR(A784="",B784=""),"",B784-A784)</f>
        <v/>
      </c>
      <c r="F784" s="30" t="n"/>
    </row>
    <row r="785">
      <c r="A785" s="31" t="n"/>
      <c r="B785" s="31" t="n"/>
      <c r="C785" s="30" t="n"/>
      <c r="D785" s="30" t="n"/>
      <c r="E785">
        <f>IF(OR(A785="",B785=""),"",B785-A785)</f>
        <v/>
      </c>
      <c r="F785" s="30" t="n"/>
    </row>
    <row r="786">
      <c r="A786" s="31" t="n"/>
      <c r="B786" s="31" t="n"/>
      <c r="C786" s="30" t="n"/>
      <c r="D786" s="30" t="n"/>
      <c r="E786">
        <f>IF(OR(A786="",B786=""),"",B786-A786)</f>
        <v/>
      </c>
      <c r="F786" s="30" t="n"/>
    </row>
    <row r="787">
      <c r="A787" s="31" t="n"/>
      <c r="B787" s="31" t="n"/>
      <c r="C787" s="30" t="n"/>
      <c r="D787" s="30" t="n"/>
      <c r="E787">
        <f>IF(OR(A787="",B787=""),"",B787-A787)</f>
        <v/>
      </c>
      <c r="F787" s="30" t="n"/>
    </row>
    <row r="788">
      <c r="A788" s="31" t="n"/>
      <c r="B788" s="31" t="n"/>
      <c r="C788" s="30" t="n"/>
      <c r="D788" s="30" t="n"/>
      <c r="E788">
        <f>IF(OR(A788="",B788=""),"",B788-A788)</f>
        <v/>
      </c>
      <c r="F788" s="30" t="n"/>
    </row>
    <row r="789">
      <c r="A789" s="31" t="n"/>
      <c r="B789" s="31" t="n"/>
      <c r="C789" s="30" t="n"/>
      <c r="D789" s="30" t="n"/>
      <c r="E789">
        <f>IF(OR(A789="",B789=""),"",B789-A789)</f>
        <v/>
      </c>
      <c r="F789" s="30" t="n"/>
    </row>
    <row r="790">
      <c r="A790" s="31" t="n"/>
      <c r="B790" s="31" t="n"/>
      <c r="C790" s="30" t="n"/>
      <c r="D790" s="30" t="n"/>
      <c r="E790">
        <f>IF(OR(A790="",B790=""),"",B790-A790)</f>
        <v/>
      </c>
      <c r="F790" s="30" t="n"/>
    </row>
    <row r="791">
      <c r="A791" s="31" t="n"/>
      <c r="B791" s="31" t="n"/>
      <c r="C791" s="30" t="n"/>
      <c r="D791" s="30" t="n"/>
      <c r="E791">
        <f>IF(OR(A791="",B791=""),"",B791-A791)</f>
        <v/>
      </c>
      <c r="F791" s="30" t="n"/>
    </row>
    <row r="792">
      <c r="A792" s="31" t="n"/>
      <c r="B792" s="31" t="n"/>
      <c r="C792" s="30" t="n"/>
      <c r="D792" s="30" t="n"/>
      <c r="E792">
        <f>IF(OR(A792="",B792=""),"",B792-A792)</f>
        <v/>
      </c>
      <c r="F792" s="30" t="n"/>
    </row>
    <row r="793">
      <c r="A793" s="31" t="n"/>
      <c r="B793" s="31" t="n"/>
      <c r="C793" s="30" t="n"/>
      <c r="D793" s="30" t="n"/>
      <c r="E793">
        <f>IF(OR(A793="",B793=""),"",B793-A793)</f>
        <v/>
      </c>
      <c r="F793" s="30" t="n"/>
    </row>
    <row r="794">
      <c r="A794" s="31" t="n"/>
      <c r="B794" s="31" t="n"/>
      <c r="C794" s="30" t="n"/>
      <c r="D794" s="30" t="n"/>
      <c r="E794">
        <f>IF(OR(A794="",B794=""),"",B794-A794)</f>
        <v/>
      </c>
      <c r="F794" s="30" t="n"/>
    </row>
    <row r="795">
      <c r="A795" s="31" t="n"/>
      <c r="B795" s="31" t="n"/>
      <c r="C795" s="30" t="n"/>
      <c r="D795" s="30" t="n"/>
      <c r="E795">
        <f>IF(OR(A795="",B795=""),"",B795-A795)</f>
        <v/>
      </c>
      <c r="F795" s="30" t="n"/>
    </row>
    <row r="796">
      <c r="A796" s="31" t="n"/>
      <c r="B796" s="31" t="n"/>
      <c r="C796" s="30" t="n"/>
      <c r="D796" s="30" t="n"/>
      <c r="E796">
        <f>IF(OR(A796="",B796=""),"",B796-A796)</f>
        <v/>
      </c>
      <c r="F796" s="30" t="n"/>
    </row>
    <row r="797">
      <c r="A797" s="31" t="n"/>
      <c r="B797" s="31" t="n"/>
      <c r="C797" s="30" t="n"/>
      <c r="D797" s="30" t="n"/>
      <c r="E797">
        <f>IF(OR(A797="",B797=""),"",B797-A797)</f>
        <v/>
      </c>
      <c r="F797" s="30" t="n"/>
    </row>
    <row r="798">
      <c r="A798" s="31" t="n"/>
      <c r="B798" s="31" t="n"/>
      <c r="C798" s="30" t="n"/>
      <c r="D798" s="30" t="n"/>
      <c r="E798">
        <f>IF(OR(A798="",B798=""),"",B798-A798)</f>
        <v/>
      </c>
      <c r="F798" s="30" t="n"/>
    </row>
    <row r="799">
      <c r="A799" s="31" t="n"/>
      <c r="B799" s="31" t="n"/>
      <c r="C799" s="30" t="n"/>
      <c r="D799" s="30" t="n"/>
      <c r="E799">
        <f>IF(OR(A799="",B799=""),"",B799-A799)</f>
        <v/>
      </c>
      <c r="F799" s="30" t="n"/>
    </row>
    <row r="800">
      <c r="A800" s="31" t="n"/>
      <c r="B800" s="31" t="n"/>
      <c r="C800" s="30" t="n"/>
      <c r="D800" s="30" t="n"/>
      <c r="E800">
        <f>IF(OR(A800="",B800=""),"",B800-A800)</f>
        <v/>
      </c>
      <c r="F800" s="30" t="n"/>
    </row>
    <row r="801">
      <c r="A801" s="31" t="n"/>
      <c r="B801" s="31" t="n"/>
      <c r="C801" s="30" t="n"/>
      <c r="D801" s="30" t="n"/>
      <c r="E801">
        <f>IF(OR(A801="",B801=""),"",B801-A801)</f>
        <v/>
      </c>
      <c r="F801" s="30" t="n"/>
    </row>
    <row r="802">
      <c r="A802" s="31" t="n"/>
      <c r="B802" s="31" t="n"/>
      <c r="C802" s="30" t="n"/>
      <c r="D802" s="30" t="n"/>
      <c r="E802">
        <f>IF(OR(A802="",B802=""),"",B802-A802)</f>
        <v/>
      </c>
      <c r="F802" s="30" t="n"/>
    </row>
    <row r="803">
      <c r="A803" s="31" t="n"/>
      <c r="B803" s="31" t="n"/>
      <c r="C803" s="30" t="n"/>
      <c r="D803" s="30" t="n"/>
      <c r="E803">
        <f>IF(OR(A803="",B803=""),"",B803-A803)</f>
        <v/>
      </c>
      <c r="F803" s="30" t="n"/>
    </row>
    <row r="804">
      <c r="A804" s="31" t="n"/>
      <c r="B804" s="31" t="n"/>
      <c r="C804" s="30" t="n"/>
      <c r="D804" s="30" t="n"/>
      <c r="E804">
        <f>IF(OR(A804="",B804=""),"",B804-A804)</f>
        <v/>
      </c>
      <c r="F804" s="30" t="n"/>
    </row>
    <row r="805">
      <c r="A805" s="31" t="n"/>
      <c r="B805" s="31" t="n"/>
      <c r="C805" s="30" t="n"/>
      <c r="D805" s="30" t="n"/>
      <c r="E805">
        <f>IF(OR(A805="",B805=""),"",B805-A805)</f>
        <v/>
      </c>
      <c r="F805" s="30" t="n"/>
    </row>
    <row r="806">
      <c r="A806" s="31" t="n"/>
      <c r="B806" s="31" t="n"/>
      <c r="C806" s="30" t="n"/>
      <c r="D806" s="30" t="n"/>
      <c r="E806">
        <f>IF(OR(A806="",B806=""),"",B806-A806)</f>
        <v/>
      </c>
      <c r="F806" s="30" t="n"/>
    </row>
    <row r="807">
      <c r="A807" s="31" t="n"/>
      <c r="B807" s="31" t="n"/>
      <c r="C807" s="30" t="n"/>
      <c r="D807" s="30" t="n"/>
      <c r="E807">
        <f>IF(OR(A807="",B807=""),"",B807-A807)</f>
        <v/>
      </c>
      <c r="F807" s="30" t="n"/>
    </row>
    <row r="808">
      <c r="A808" s="31" t="n"/>
      <c r="B808" s="31" t="n"/>
      <c r="C808" s="30" t="n"/>
      <c r="D808" s="30" t="n"/>
      <c r="E808">
        <f>IF(OR(A808="",B808=""),"",B808-A808)</f>
        <v/>
      </c>
      <c r="F808" s="30" t="n"/>
    </row>
    <row r="809">
      <c r="A809" s="31" t="n"/>
      <c r="B809" s="31" t="n"/>
      <c r="C809" s="30" t="n"/>
      <c r="D809" s="30" t="n"/>
      <c r="E809">
        <f>IF(OR(A809="",B809=""),"",B809-A809)</f>
        <v/>
      </c>
      <c r="F809" s="30" t="n"/>
    </row>
    <row r="810">
      <c r="A810" s="31" t="n"/>
      <c r="B810" s="31" t="n"/>
      <c r="C810" s="30" t="n"/>
      <c r="D810" s="30" t="n"/>
      <c r="E810">
        <f>IF(OR(A810="",B810=""),"",B810-A810)</f>
        <v/>
      </c>
      <c r="F810" s="30" t="n"/>
    </row>
    <row r="811">
      <c r="A811" s="31" t="n"/>
      <c r="B811" s="31" t="n"/>
      <c r="C811" s="30" t="n"/>
      <c r="D811" s="30" t="n"/>
      <c r="E811">
        <f>IF(OR(A811="",B811=""),"",B811-A811)</f>
        <v/>
      </c>
      <c r="F811" s="30" t="n"/>
    </row>
    <row r="812">
      <c r="A812" s="31" t="n"/>
      <c r="B812" s="31" t="n"/>
      <c r="C812" s="30" t="n"/>
      <c r="D812" s="30" t="n"/>
      <c r="E812">
        <f>IF(OR(A812="",B812=""),"",B812-A812)</f>
        <v/>
      </c>
      <c r="F812" s="30" t="n"/>
    </row>
    <row r="813">
      <c r="A813" s="31" t="n"/>
      <c r="B813" s="31" t="n"/>
      <c r="C813" s="30" t="n"/>
      <c r="D813" s="30" t="n"/>
      <c r="E813">
        <f>IF(OR(A813="",B813=""),"",B813-A813)</f>
        <v/>
      </c>
      <c r="F813" s="30" t="n"/>
    </row>
    <row r="814">
      <c r="A814" s="31" t="n"/>
      <c r="B814" s="31" t="n"/>
      <c r="C814" s="30" t="n"/>
      <c r="D814" s="30" t="n"/>
      <c r="E814">
        <f>IF(OR(A814="",B814=""),"",B814-A814)</f>
        <v/>
      </c>
      <c r="F814" s="30" t="n"/>
    </row>
    <row r="815">
      <c r="A815" s="31" t="n"/>
      <c r="B815" s="31" t="n"/>
      <c r="C815" s="30" t="n"/>
      <c r="D815" s="30" t="n"/>
      <c r="E815">
        <f>IF(OR(A815="",B815=""),"",B815-A815)</f>
        <v/>
      </c>
      <c r="F815" s="30" t="n"/>
    </row>
    <row r="816">
      <c r="A816" s="31" t="n"/>
      <c r="B816" s="31" t="n"/>
      <c r="C816" s="30" t="n"/>
      <c r="D816" s="30" t="n"/>
      <c r="E816">
        <f>IF(OR(A816="",B816=""),"",B816-A816)</f>
        <v/>
      </c>
      <c r="F816" s="30" t="n"/>
    </row>
    <row r="817">
      <c r="A817" s="31" t="n"/>
      <c r="B817" s="31" t="n"/>
      <c r="C817" s="30" t="n"/>
      <c r="D817" s="30" t="n"/>
      <c r="E817">
        <f>IF(OR(A817="",B817=""),"",B817-A817)</f>
        <v/>
      </c>
      <c r="F817" s="30" t="n"/>
    </row>
    <row r="818">
      <c r="A818" s="31" t="n"/>
      <c r="B818" s="31" t="n"/>
      <c r="C818" s="30" t="n"/>
      <c r="D818" s="30" t="n"/>
      <c r="E818">
        <f>IF(OR(A818="",B818=""),"",B818-A818)</f>
        <v/>
      </c>
      <c r="F818" s="30" t="n"/>
    </row>
    <row r="819">
      <c r="A819" s="31" t="n"/>
      <c r="B819" s="31" t="n"/>
      <c r="C819" s="30" t="n"/>
      <c r="D819" s="30" t="n"/>
      <c r="E819">
        <f>IF(OR(A819="",B819=""),"",B819-A819)</f>
        <v/>
      </c>
      <c r="F819" s="30" t="n"/>
    </row>
    <row r="820">
      <c r="A820" s="31" t="n"/>
      <c r="B820" s="31" t="n"/>
      <c r="C820" s="30" t="n"/>
      <c r="D820" s="30" t="n"/>
      <c r="E820">
        <f>IF(OR(A820="",B820=""),"",B820-A820)</f>
        <v/>
      </c>
      <c r="F820" s="30" t="n"/>
    </row>
    <row r="821">
      <c r="A821" s="31" t="n"/>
      <c r="B821" s="31" t="n"/>
      <c r="C821" s="30" t="n"/>
      <c r="D821" s="30" t="n"/>
      <c r="E821">
        <f>IF(OR(A821="",B821=""),"",B821-A821)</f>
        <v/>
      </c>
      <c r="F821" s="30" t="n"/>
    </row>
    <row r="822">
      <c r="A822" s="31" t="n"/>
      <c r="B822" s="31" t="n"/>
      <c r="C822" s="30" t="n"/>
      <c r="D822" s="30" t="n"/>
      <c r="E822">
        <f>IF(OR(A822="",B822=""),"",B822-A822)</f>
        <v/>
      </c>
      <c r="F822" s="30" t="n"/>
    </row>
    <row r="823">
      <c r="A823" s="31" t="n"/>
      <c r="B823" s="31" t="n"/>
      <c r="C823" s="30" t="n"/>
      <c r="D823" s="30" t="n"/>
      <c r="E823">
        <f>IF(OR(A823="",B823=""),"",B823-A823)</f>
        <v/>
      </c>
      <c r="F823" s="30" t="n"/>
    </row>
    <row r="824">
      <c r="A824" s="31" t="n"/>
      <c r="B824" s="31" t="n"/>
      <c r="C824" s="30" t="n"/>
      <c r="D824" s="30" t="n"/>
      <c r="E824">
        <f>IF(OR(A824="",B824=""),"",B824-A824)</f>
        <v/>
      </c>
      <c r="F824" s="30" t="n"/>
    </row>
    <row r="825">
      <c r="A825" s="31" t="n"/>
      <c r="B825" s="31" t="n"/>
      <c r="C825" s="30" t="n"/>
      <c r="D825" s="30" t="n"/>
      <c r="E825">
        <f>IF(OR(A825="",B825=""),"",B825-A825)</f>
        <v/>
      </c>
      <c r="F825" s="30" t="n"/>
    </row>
    <row r="826">
      <c r="A826" s="31" t="n"/>
      <c r="B826" s="31" t="n"/>
      <c r="C826" s="30" t="n"/>
      <c r="D826" s="30" t="n"/>
      <c r="E826">
        <f>IF(OR(A826="",B826=""),"",B826-A826)</f>
        <v/>
      </c>
      <c r="F826" s="30" t="n"/>
    </row>
    <row r="827">
      <c r="A827" s="31" t="n"/>
      <c r="B827" s="31" t="n"/>
      <c r="C827" s="30" t="n"/>
      <c r="D827" s="30" t="n"/>
      <c r="E827">
        <f>IF(OR(A827="",B827=""),"",B827-A827)</f>
        <v/>
      </c>
      <c r="F827" s="30" t="n"/>
    </row>
    <row r="828">
      <c r="A828" s="31" t="n"/>
      <c r="B828" s="31" t="n"/>
      <c r="C828" s="30" t="n"/>
      <c r="D828" s="30" t="n"/>
      <c r="E828">
        <f>IF(OR(A828="",B828=""),"",B828-A828)</f>
        <v/>
      </c>
      <c r="F828" s="30" t="n"/>
    </row>
    <row r="829">
      <c r="A829" s="31" t="n"/>
      <c r="B829" s="31" t="n"/>
      <c r="C829" s="30" t="n"/>
      <c r="D829" s="30" t="n"/>
      <c r="E829">
        <f>IF(OR(A829="",B829=""),"",B829-A829)</f>
        <v/>
      </c>
      <c r="F829" s="30" t="n"/>
    </row>
    <row r="830">
      <c r="A830" s="31" t="n"/>
      <c r="B830" s="31" t="n"/>
      <c r="C830" s="30" t="n"/>
      <c r="D830" s="30" t="n"/>
      <c r="E830">
        <f>IF(OR(A830="",B830=""),"",B830-A830)</f>
        <v/>
      </c>
      <c r="F830" s="30" t="n"/>
    </row>
    <row r="831">
      <c r="A831" s="31" t="n"/>
      <c r="B831" s="31" t="n"/>
      <c r="C831" s="30" t="n"/>
      <c r="D831" s="30" t="n"/>
      <c r="E831">
        <f>IF(OR(A831="",B831=""),"",B831-A831)</f>
        <v/>
      </c>
      <c r="F831" s="30" t="n"/>
    </row>
    <row r="832">
      <c r="A832" s="31" t="n"/>
      <c r="B832" s="31" t="n"/>
      <c r="C832" s="30" t="n"/>
      <c r="D832" s="30" t="n"/>
      <c r="E832">
        <f>IF(OR(A832="",B832=""),"",B832-A832)</f>
        <v/>
      </c>
      <c r="F832" s="30" t="n"/>
    </row>
    <row r="833">
      <c r="A833" s="31" t="n"/>
      <c r="B833" s="31" t="n"/>
      <c r="C833" s="30" t="n"/>
      <c r="D833" s="30" t="n"/>
      <c r="E833">
        <f>IF(OR(A833="",B833=""),"",B833-A833)</f>
        <v/>
      </c>
      <c r="F833" s="30" t="n"/>
    </row>
    <row r="834">
      <c r="A834" s="31" t="n"/>
      <c r="B834" s="31" t="n"/>
      <c r="C834" s="30" t="n"/>
      <c r="D834" s="30" t="n"/>
      <c r="E834">
        <f>IF(OR(A834="",B834=""),"",B834-A834)</f>
        <v/>
      </c>
      <c r="F834" s="30" t="n"/>
    </row>
    <row r="835">
      <c r="A835" s="31" t="n"/>
      <c r="B835" s="31" t="n"/>
      <c r="C835" s="30" t="n"/>
      <c r="D835" s="30" t="n"/>
      <c r="E835">
        <f>IF(OR(A835="",B835=""),"",B835-A835)</f>
        <v/>
      </c>
      <c r="F835" s="30" t="n"/>
    </row>
    <row r="836">
      <c r="A836" s="31" t="n"/>
      <c r="B836" s="31" t="n"/>
      <c r="C836" s="30" t="n"/>
      <c r="D836" s="30" t="n"/>
      <c r="E836">
        <f>IF(OR(A836="",B836=""),"",B836-A836)</f>
        <v/>
      </c>
      <c r="F836" s="30" t="n"/>
    </row>
    <row r="837">
      <c r="A837" s="31" t="n"/>
      <c r="B837" s="31" t="n"/>
      <c r="C837" s="30" t="n"/>
      <c r="D837" s="30" t="n"/>
      <c r="E837">
        <f>IF(OR(A837="",B837=""),"",B837-A837)</f>
        <v/>
      </c>
      <c r="F837" s="30" t="n"/>
    </row>
    <row r="838">
      <c r="A838" s="31" t="n"/>
      <c r="B838" s="31" t="n"/>
      <c r="C838" s="30" t="n"/>
      <c r="D838" s="30" t="n"/>
      <c r="E838">
        <f>IF(OR(A838="",B838=""),"",B838-A838)</f>
        <v/>
      </c>
      <c r="F838" s="30" t="n"/>
    </row>
    <row r="839">
      <c r="A839" s="31" t="n"/>
      <c r="B839" s="31" t="n"/>
      <c r="C839" s="30" t="n"/>
      <c r="D839" s="30" t="n"/>
      <c r="E839">
        <f>IF(OR(A839="",B839=""),"",B839-A839)</f>
        <v/>
      </c>
      <c r="F839" s="30" t="n"/>
    </row>
    <row r="840">
      <c r="A840" s="31" t="n"/>
      <c r="B840" s="31" t="n"/>
      <c r="C840" s="30" t="n"/>
      <c r="D840" s="30" t="n"/>
      <c r="E840">
        <f>IF(OR(A840="",B840=""),"",B840-A840)</f>
        <v/>
      </c>
      <c r="F840" s="30" t="n"/>
    </row>
    <row r="841">
      <c r="A841" s="31" t="n"/>
      <c r="B841" s="31" t="n"/>
      <c r="C841" s="30" t="n"/>
      <c r="D841" s="30" t="n"/>
      <c r="E841">
        <f>IF(OR(A841="",B841=""),"",B841-A841)</f>
        <v/>
      </c>
      <c r="F841" s="30" t="n"/>
    </row>
    <row r="842">
      <c r="A842" s="31" t="n"/>
      <c r="B842" s="31" t="n"/>
      <c r="C842" s="30" t="n"/>
      <c r="D842" s="30" t="n"/>
      <c r="E842">
        <f>IF(OR(A842="",B842=""),"",B842-A842)</f>
        <v/>
      </c>
      <c r="F842" s="30" t="n"/>
    </row>
    <row r="843">
      <c r="A843" s="31" t="n"/>
      <c r="B843" s="31" t="n"/>
      <c r="C843" s="30" t="n"/>
      <c r="D843" s="30" t="n"/>
      <c r="E843">
        <f>IF(OR(A843="",B843=""),"",B843-A843)</f>
        <v/>
      </c>
      <c r="F843" s="30" t="n"/>
    </row>
    <row r="844">
      <c r="A844" s="31" t="n"/>
      <c r="B844" s="31" t="n"/>
      <c r="C844" s="30" t="n"/>
      <c r="D844" s="30" t="n"/>
      <c r="E844">
        <f>IF(OR(A844="",B844=""),"",B844-A844)</f>
        <v/>
      </c>
      <c r="F844" s="30" t="n"/>
    </row>
    <row r="845">
      <c r="A845" s="31" t="n"/>
      <c r="B845" s="31" t="n"/>
      <c r="C845" s="30" t="n"/>
      <c r="D845" s="30" t="n"/>
      <c r="E845">
        <f>IF(OR(A845="",B845=""),"",B845-A845)</f>
        <v/>
      </c>
      <c r="F845" s="30" t="n"/>
    </row>
    <row r="846">
      <c r="A846" s="31" t="n"/>
      <c r="B846" s="31" t="n"/>
      <c r="C846" s="30" t="n"/>
      <c r="D846" s="30" t="n"/>
      <c r="E846">
        <f>IF(OR(A846="",B846=""),"",B846-A846)</f>
        <v/>
      </c>
      <c r="F846" s="30" t="n"/>
    </row>
    <row r="847">
      <c r="A847" s="31" t="n"/>
      <c r="B847" s="31" t="n"/>
      <c r="C847" s="30" t="n"/>
      <c r="D847" s="30" t="n"/>
      <c r="E847">
        <f>IF(OR(A847="",B847=""),"",B847-A847)</f>
        <v/>
      </c>
      <c r="F847" s="30" t="n"/>
    </row>
    <row r="848">
      <c r="A848" s="31" t="n"/>
      <c r="B848" s="31" t="n"/>
      <c r="C848" s="30" t="n"/>
      <c r="D848" s="30" t="n"/>
      <c r="E848">
        <f>IF(OR(A848="",B848=""),"",B848-A848)</f>
        <v/>
      </c>
      <c r="F848" s="30" t="n"/>
    </row>
    <row r="849">
      <c r="A849" s="31" t="n"/>
      <c r="B849" s="31" t="n"/>
      <c r="C849" s="30" t="n"/>
      <c r="D849" s="30" t="n"/>
      <c r="E849">
        <f>IF(OR(A849="",B849=""),"",B849-A849)</f>
        <v/>
      </c>
      <c r="F849" s="30" t="n"/>
    </row>
    <row r="850">
      <c r="A850" s="31" t="n"/>
      <c r="B850" s="31" t="n"/>
      <c r="C850" s="30" t="n"/>
      <c r="D850" s="30" t="n"/>
      <c r="E850">
        <f>IF(OR(A850="",B850=""),"",B850-A850)</f>
        <v/>
      </c>
      <c r="F850" s="30" t="n"/>
    </row>
    <row r="851">
      <c r="A851" s="31" t="n"/>
      <c r="B851" s="31" t="n"/>
      <c r="C851" s="30" t="n"/>
      <c r="D851" s="30" t="n"/>
      <c r="E851">
        <f>IF(OR(A851="",B851=""),"",B851-A851)</f>
        <v/>
      </c>
      <c r="F851" s="30" t="n"/>
    </row>
    <row r="852">
      <c r="A852" s="31" t="n"/>
      <c r="B852" s="31" t="n"/>
      <c r="C852" s="30" t="n"/>
      <c r="D852" s="30" t="n"/>
      <c r="E852">
        <f>IF(OR(A852="",B852=""),"",B852-A852)</f>
        <v/>
      </c>
      <c r="F852" s="30" t="n"/>
    </row>
    <row r="853">
      <c r="A853" s="31" t="n"/>
      <c r="B853" s="31" t="n"/>
      <c r="C853" s="30" t="n"/>
      <c r="D853" s="30" t="n"/>
      <c r="E853">
        <f>IF(OR(A853="",B853=""),"",B853-A853)</f>
        <v/>
      </c>
      <c r="F853" s="30" t="n"/>
    </row>
    <row r="854">
      <c r="A854" s="31" t="n"/>
      <c r="B854" s="31" t="n"/>
      <c r="C854" s="30" t="n"/>
      <c r="D854" s="30" t="n"/>
      <c r="E854">
        <f>IF(OR(A854="",B854=""),"",B854-A854)</f>
        <v/>
      </c>
      <c r="F854" s="30" t="n"/>
    </row>
    <row r="855">
      <c r="A855" s="31" t="n"/>
      <c r="B855" s="31" t="n"/>
      <c r="C855" s="30" t="n"/>
      <c r="D855" s="30" t="n"/>
      <c r="E855">
        <f>IF(OR(A855="",B855=""),"",B855-A855)</f>
        <v/>
      </c>
      <c r="F855" s="30" t="n"/>
    </row>
    <row r="856">
      <c r="A856" s="31" t="n"/>
      <c r="B856" s="31" t="n"/>
      <c r="C856" s="30" t="n"/>
      <c r="D856" s="30" t="n"/>
      <c r="E856">
        <f>IF(OR(A856="",B856=""),"",B856-A856)</f>
        <v/>
      </c>
      <c r="F856" s="30" t="n"/>
    </row>
    <row r="857">
      <c r="A857" s="31" t="n"/>
      <c r="B857" s="31" t="n"/>
      <c r="C857" s="30" t="n"/>
      <c r="D857" s="30" t="n"/>
      <c r="E857">
        <f>IF(OR(A857="",B857=""),"",B857-A857)</f>
        <v/>
      </c>
      <c r="F857" s="30" t="n"/>
    </row>
    <row r="858">
      <c r="A858" s="31" t="n"/>
      <c r="B858" s="31" t="n"/>
      <c r="C858" s="30" t="n"/>
      <c r="D858" s="30" t="n"/>
      <c r="E858">
        <f>IF(OR(A858="",B858=""),"",B858-A858)</f>
        <v/>
      </c>
      <c r="F858" s="30" t="n"/>
    </row>
    <row r="859">
      <c r="A859" s="31" t="n"/>
      <c r="B859" s="31" t="n"/>
      <c r="C859" s="30" t="n"/>
      <c r="D859" s="30" t="n"/>
      <c r="E859">
        <f>IF(OR(A859="",B859=""),"",B859-A859)</f>
        <v/>
      </c>
      <c r="F859" s="30" t="n"/>
    </row>
    <row r="860">
      <c r="A860" s="31" t="n"/>
      <c r="B860" s="31" t="n"/>
      <c r="C860" s="30" t="n"/>
      <c r="D860" s="30" t="n"/>
      <c r="E860">
        <f>IF(OR(A860="",B860=""),"",B860-A860)</f>
        <v/>
      </c>
      <c r="F860" s="30" t="n"/>
    </row>
    <row r="861">
      <c r="A861" s="31" t="n"/>
      <c r="B861" s="31" t="n"/>
      <c r="C861" s="30" t="n"/>
      <c r="D861" s="30" t="n"/>
      <c r="E861">
        <f>IF(OR(A861="",B861=""),"",B861-A861)</f>
        <v/>
      </c>
      <c r="F861" s="30" t="n"/>
    </row>
    <row r="862">
      <c r="A862" s="31" t="n"/>
      <c r="B862" s="31" t="n"/>
      <c r="C862" s="30" t="n"/>
      <c r="D862" s="30" t="n"/>
      <c r="E862">
        <f>IF(OR(A862="",B862=""),"",B862-A862)</f>
        <v/>
      </c>
      <c r="F862" s="30" t="n"/>
    </row>
    <row r="863">
      <c r="A863" s="31" t="n"/>
      <c r="B863" s="31" t="n"/>
      <c r="C863" s="30" t="n"/>
      <c r="D863" s="30" t="n"/>
      <c r="E863">
        <f>IF(OR(A863="",B863=""),"",B863-A863)</f>
        <v/>
      </c>
      <c r="F863" s="30" t="n"/>
    </row>
    <row r="864">
      <c r="A864" s="31" t="n"/>
      <c r="B864" s="31" t="n"/>
      <c r="C864" s="30" t="n"/>
      <c r="D864" s="30" t="n"/>
      <c r="E864">
        <f>IF(OR(A864="",B864=""),"",B864-A864)</f>
        <v/>
      </c>
      <c r="F864" s="30" t="n"/>
    </row>
    <row r="865">
      <c r="A865" s="31" t="n"/>
      <c r="B865" s="31" t="n"/>
      <c r="C865" s="30" t="n"/>
      <c r="D865" s="30" t="n"/>
      <c r="E865">
        <f>IF(OR(A865="",B865=""),"",B865-A865)</f>
        <v/>
      </c>
      <c r="F865" s="30" t="n"/>
    </row>
    <row r="866">
      <c r="A866" s="31" t="n"/>
      <c r="B866" s="31" t="n"/>
      <c r="C866" s="30" t="n"/>
      <c r="D866" s="30" t="n"/>
      <c r="E866">
        <f>IF(OR(A866="",B866=""),"",B866-A866)</f>
        <v/>
      </c>
      <c r="F866" s="30" t="n"/>
    </row>
    <row r="867">
      <c r="A867" s="31" t="n"/>
      <c r="B867" s="31" t="n"/>
      <c r="C867" s="30" t="n"/>
      <c r="D867" s="30" t="n"/>
      <c r="E867">
        <f>IF(OR(A867="",B867=""),"",B867-A867)</f>
        <v/>
      </c>
      <c r="F867" s="30" t="n"/>
    </row>
    <row r="868">
      <c r="A868" s="31" t="n"/>
      <c r="B868" s="31" t="n"/>
      <c r="C868" s="30" t="n"/>
      <c r="D868" s="30" t="n"/>
      <c r="E868">
        <f>IF(OR(A868="",B868=""),"",B868-A868)</f>
        <v/>
      </c>
      <c r="F868" s="30" t="n"/>
    </row>
    <row r="869">
      <c r="A869" s="31" t="n"/>
      <c r="B869" s="31" t="n"/>
      <c r="C869" s="30" t="n"/>
      <c r="D869" s="30" t="n"/>
      <c r="E869">
        <f>IF(OR(A869="",B869=""),"",B869-A869)</f>
        <v/>
      </c>
      <c r="F869" s="30" t="n"/>
    </row>
    <row r="870">
      <c r="A870" s="31" t="n"/>
      <c r="B870" s="31" t="n"/>
      <c r="C870" s="30" t="n"/>
      <c r="D870" s="30" t="n"/>
      <c r="E870">
        <f>IF(OR(A870="",B870=""),"",B870-A870)</f>
        <v/>
      </c>
      <c r="F870" s="30" t="n"/>
    </row>
    <row r="871">
      <c r="A871" s="31" t="n"/>
      <c r="B871" s="31" t="n"/>
      <c r="C871" s="30" t="n"/>
      <c r="D871" s="30" t="n"/>
      <c r="E871">
        <f>IF(OR(A871="",B871=""),"",B871-A871)</f>
        <v/>
      </c>
      <c r="F871" s="30" t="n"/>
    </row>
    <row r="872">
      <c r="A872" s="31" t="n"/>
      <c r="B872" s="31" t="n"/>
      <c r="C872" s="30" t="n"/>
      <c r="D872" s="30" t="n"/>
      <c r="E872">
        <f>IF(OR(A872="",B872=""),"",B872-A872)</f>
        <v/>
      </c>
      <c r="F872" s="30" t="n"/>
    </row>
    <row r="873">
      <c r="A873" s="31" t="n"/>
      <c r="B873" s="31" t="n"/>
      <c r="C873" s="30" t="n"/>
      <c r="D873" s="30" t="n"/>
      <c r="E873">
        <f>IF(OR(A873="",B873=""),"",B873-A873)</f>
        <v/>
      </c>
      <c r="F873" s="30" t="n"/>
    </row>
    <row r="874">
      <c r="A874" s="31" t="n"/>
      <c r="B874" s="31" t="n"/>
      <c r="C874" s="30" t="n"/>
      <c r="D874" s="30" t="n"/>
      <c r="E874">
        <f>IF(OR(A874="",B874=""),"",B874-A874)</f>
        <v/>
      </c>
      <c r="F874" s="30" t="n"/>
    </row>
    <row r="875">
      <c r="A875" s="31" t="n"/>
      <c r="B875" s="31" t="n"/>
      <c r="C875" s="30" t="n"/>
      <c r="D875" s="30" t="n"/>
      <c r="E875">
        <f>IF(OR(A875="",B875=""),"",B875-A875)</f>
        <v/>
      </c>
      <c r="F875" s="30" t="n"/>
    </row>
    <row r="876">
      <c r="A876" s="31" t="n"/>
      <c r="B876" s="31" t="n"/>
      <c r="C876" s="30" t="n"/>
      <c r="D876" s="30" t="n"/>
      <c r="E876">
        <f>IF(OR(A876="",B876=""),"",B876-A876)</f>
        <v/>
      </c>
      <c r="F876" s="30" t="n"/>
    </row>
    <row r="877">
      <c r="A877" s="31" t="n"/>
      <c r="B877" s="31" t="n"/>
      <c r="C877" s="30" t="n"/>
      <c r="D877" s="30" t="n"/>
      <c r="E877">
        <f>IF(OR(A877="",B877=""),"",B877-A877)</f>
        <v/>
      </c>
      <c r="F877" s="30" t="n"/>
    </row>
    <row r="878">
      <c r="A878" s="31" t="n"/>
      <c r="B878" s="31" t="n"/>
      <c r="C878" s="30" t="n"/>
      <c r="D878" s="30" t="n"/>
      <c r="E878">
        <f>IF(OR(A878="",B878=""),"",B878-A878)</f>
        <v/>
      </c>
      <c r="F878" s="30" t="n"/>
    </row>
    <row r="879">
      <c r="A879" s="31" t="n"/>
      <c r="B879" s="31" t="n"/>
      <c r="C879" s="30" t="n"/>
      <c r="D879" s="30" t="n"/>
      <c r="E879">
        <f>IF(OR(A879="",B879=""),"",B879-A879)</f>
        <v/>
      </c>
      <c r="F879" s="30" t="n"/>
    </row>
    <row r="880">
      <c r="A880" s="31" t="n"/>
      <c r="B880" s="31" t="n"/>
      <c r="C880" s="30" t="n"/>
      <c r="D880" s="30" t="n"/>
      <c r="E880">
        <f>IF(OR(A880="",B880=""),"",B880-A880)</f>
        <v/>
      </c>
      <c r="F880" s="30" t="n"/>
    </row>
    <row r="881">
      <c r="A881" s="31" t="n"/>
      <c r="B881" s="31" t="n"/>
      <c r="C881" s="30" t="n"/>
      <c r="D881" s="30" t="n"/>
      <c r="E881">
        <f>IF(OR(A881="",B881=""),"",B881-A881)</f>
        <v/>
      </c>
      <c r="F881" s="30" t="n"/>
    </row>
    <row r="882">
      <c r="A882" s="31" t="n"/>
      <c r="B882" s="31" t="n"/>
      <c r="C882" s="30" t="n"/>
      <c r="D882" s="30" t="n"/>
      <c r="E882">
        <f>IF(OR(A882="",B882=""),"",B882-A882)</f>
        <v/>
      </c>
      <c r="F882" s="30" t="n"/>
    </row>
    <row r="883">
      <c r="A883" s="31" t="n"/>
      <c r="B883" s="31" t="n"/>
      <c r="C883" s="30" t="n"/>
      <c r="D883" s="30" t="n"/>
      <c r="E883">
        <f>IF(OR(A883="",B883=""),"",B883-A883)</f>
        <v/>
      </c>
      <c r="F883" s="30" t="n"/>
    </row>
    <row r="884">
      <c r="A884" s="31" t="n"/>
      <c r="B884" s="31" t="n"/>
      <c r="C884" s="30" t="n"/>
      <c r="D884" s="30" t="n"/>
      <c r="E884">
        <f>IF(OR(A884="",B884=""),"",B884-A884)</f>
        <v/>
      </c>
      <c r="F884" s="30" t="n"/>
    </row>
    <row r="885">
      <c r="A885" s="31" t="n"/>
      <c r="B885" s="31" t="n"/>
      <c r="C885" s="30" t="n"/>
      <c r="D885" s="30" t="n"/>
      <c r="E885">
        <f>IF(OR(A885="",B885=""),"",B885-A885)</f>
        <v/>
      </c>
      <c r="F885" s="30" t="n"/>
    </row>
    <row r="886">
      <c r="A886" s="31" t="n"/>
      <c r="B886" s="31" t="n"/>
      <c r="C886" s="30" t="n"/>
      <c r="D886" s="30" t="n"/>
      <c r="E886">
        <f>IF(OR(A886="",B886=""),"",B886-A886)</f>
        <v/>
      </c>
      <c r="F886" s="30" t="n"/>
    </row>
    <row r="887">
      <c r="A887" s="31" t="n"/>
      <c r="B887" s="31" t="n"/>
      <c r="C887" s="30" t="n"/>
      <c r="D887" s="30" t="n"/>
      <c r="E887">
        <f>IF(OR(A887="",B887=""),"",B887-A887)</f>
        <v/>
      </c>
      <c r="F887" s="30" t="n"/>
    </row>
    <row r="888">
      <c r="A888" s="31" t="n"/>
      <c r="B888" s="31" t="n"/>
      <c r="C888" s="30" t="n"/>
      <c r="D888" s="30" t="n"/>
      <c r="E888">
        <f>IF(OR(A888="",B888=""),"",B888-A888)</f>
        <v/>
      </c>
      <c r="F888" s="30" t="n"/>
    </row>
    <row r="889">
      <c r="A889" s="31" t="n"/>
      <c r="B889" s="31" t="n"/>
      <c r="C889" s="30" t="n"/>
      <c r="D889" s="30" t="n"/>
      <c r="E889">
        <f>IF(OR(A889="",B889=""),"",B889-A889)</f>
        <v/>
      </c>
      <c r="F889" s="30" t="n"/>
    </row>
    <row r="890">
      <c r="A890" s="31" t="n"/>
      <c r="B890" s="31" t="n"/>
      <c r="C890" s="30" t="n"/>
      <c r="D890" s="30" t="n"/>
      <c r="E890">
        <f>IF(OR(A890="",B890=""),"",B890-A890)</f>
        <v/>
      </c>
      <c r="F890" s="30" t="n"/>
    </row>
    <row r="891">
      <c r="A891" s="31" t="n"/>
      <c r="B891" s="31" t="n"/>
      <c r="C891" s="30" t="n"/>
      <c r="D891" s="30" t="n"/>
      <c r="E891">
        <f>IF(OR(A891="",B891=""),"",B891-A891)</f>
        <v/>
      </c>
      <c r="F891" s="30" t="n"/>
    </row>
    <row r="892">
      <c r="A892" s="31" t="n"/>
      <c r="B892" s="31" t="n"/>
      <c r="C892" s="30" t="n"/>
      <c r="D892" s="30" t="n"/>
      <c r="E892">
        <f>IF(OR(A892="",B892=""),"",B892-A892)</f>
        <v/>
      </c>
      <c r="F892" s="30" t="n"/>
    </row>
    <row r="893">
      <c r="A893" s="31" t="n"/>
      <c r="B893" s="31" t="n"/>
      <c r="C893" s="30" t="n"/>
      <c r="D893" s="30" t="n"/>
      <c r="E893">
        <f>IF(OR(A893="",B893=""),"",B893-A893)</f>
        <v/>
      </c>
      <c r="F893" s="30" t="n"/>
    </row>
    <row r="894">
      <c r="A894" s="31" t="n"/>
      <c r="B894" s="31" t="n"/>
      <c r="C894" s="30" t="n"/>
      <c r="D894" s="30" t="n"/>
      <c r="E894">
        <f>IF(OR(A894="",B894=""),"",B894-A894)</f>
        <v/>
      </c>
      <c r="F894" s="30" t="n"/>
    </row>
    <row r="895">
      <c r="A895" s="31" t="n"/>
      <c r="B895" s="31" t="n"/>
      <c r="C895" s="30" t="n"/>
      <c r="D895" s="30" t="n"/>
      <c r="E895">
        <f>IF(OR(A895="",B895=""),"",B895-A895)</f>
        <v/>
      </c>
      <c r="F895" s="30" t="n"/>
    </row>
    <row r="896">
      <c r="A896" s="31" t="n"/>
      <c r="B896" s="31" t="n"/>
      <c r="C896" s="30" t="n"/>
      <c r="D896" s="30" t="n"/>
      <c r="E896">
        <f>IF(OR(A896="",B896=""),"",B896-A896)</f>
        <v/>
      </c>
      <c r="F896" s="30" t="n"/>
    </row>
    <row r="897">
      <c r="A897" s="31" t="n"/>
      <c r="B897" s="31" t="n"/>
      <c r="C897" s="30" t="n"/>
      <c r="D897" s="30" t="n"/>
      <c r="E897">
        <f>IF(OR(A897="",B897=""),"",B897-A897)</f>
        <v/>
      </c>
      <c r="F897" s="30" t="n"/>
    </row>
    <row r="898">
      <c r="A898" s="31" t="n"/>
      <c r="B898" s="31" t="n"/>
      <c r="C898" s="30" t="n"/>
      <c r="D898" s="30" t="n"/>
      <c r="E898">
        <f>IF(OR(A898="",B898=""),"",B898-A898)</f>
        <v/>
      </c>
      <c r="F898" s="30" t="n"/>
    </row>
    <row r="899">
      <c r="A899" s="31" t="n"/>
      <c r="B899" s="31" t="n"/>
      <c r="C899" s="30" t="n"/>
      <c r="D899" s="30" t="n"/>
      <c r="E899">
        <f>IF(OR(A899="",B899=""),"",B899-A899)</f>
        <v/>
      </c>
      <c r="F899" s="30" t="n"/>
    </row>
    <row r="900">
      <c r="A900" s="31" t="n"/>
      <c r="B900" s="31" t="n"/>
      <c r="C900" s="30" t="n"/>
      <c r="D900" s="30" t="n"/>
      <c r="E900">
        <f>IF(OR(A900="",B900=""),"",B900-A900)</f>
        <v/>
      </c>
      <c r="F900" s="30" t="n"/>
    </row>
    <row r="901">
      <c r="A901" s="31" t="n"/>
      <c r="B901" s="31" t="n"/>
      <c r="C901" s="30" t="n"/>
      <c r="D901" s="30" t="n"/>
      <c r="E901">
        <f>IF(OR(A901="",B901=""),"",B901-A901)</f>
        <v/>
      </c>
      <c r="F901" s="30" t="n"/>
    </row>
    <row r="902">
      <c r="A902" s="31" t="n"/>
      <c r="B902" s="31" t="n"/>
      <c r="C902" s="30" t="n"/>
      <c r="D902" s="30" t="n"/>
      <c r="E902">
        <f>IF(OR(A902="",B902=""),"",B902-A902)</f>
        <v/>
      </c>
      <c r="F902" s="30" t="n"/>
    </row>
    <row r="903">
      <c r="A903" s="31" t="n"/>
      <c r="B903" s="31" t="n"/>
      <c r="C903" s="30" t="n"/>
      <c r="D903" s="30" t="n"/>
      <c r="E903">
        <f>IF(OR(A903="",B903=""),"",B903-A903)</f>
        <v/>
      </c>
      <c r="F903" s="30" t="n"/>
    </row>
    <row r="904">
      <c r="A904" s="31" t="n"/>
      <c r="B904" s="31" t="n"/>
      <c r="C904" s="30" t="n"/>
      <c r="D904" s="30" t="n"/>
      <c r="E904">
        <f>IF(OR(A904="",B904=""),"",B904-A904)</f>
        <v/>
      </c>
      <c r="F904" s="30" t="n"/>
    </row>
    <row r="905">
      <c r="A905" s="31" t="n"/>
      <c r="B905" s="31" t="n"/>
      <c r="C905" s="30" t="n"/>
      <c r="D905" s="30" t="n"/>
      <c r="E905">
        <f>IF(OR(A905="",B905=""),"",B905-A905)</f>
        <v/>
      </c>
      <c r="F905" s="30" t="n"/>
    </row>
    <row r="906">
      <c r="A906" s="31" t="n"/>
      <c r="B906" s="31" t="n"/>
      <c r="C906" s="30" t="n"/>
      <c r="D906" s="30" t="n"/>
      <c r="E906">
        <f>IF(OR(A906="",B906=""),"",B906-A906)</f>
        <v/>
      </c>
      <c r="F906" s="30" t="n"/>
    </row>
    <row r="907">
      <c r="A907" s="31" t="n"/>
      <c r="B907" s="31" t="n"/>
      <c r="C907" s="30" t="n"/>
      <c r="D907" s="30" t="n"/>
      <c r="E907">
        <f>IF(OR(A907="",B907=""),"",B907-A907)</f>
        <v/>
      </c>
      <c r="F907" s="30" t="n"/>
    </row>
    <row r="908">
      <c r="A908" s="31" t="n"/>
      <c r="B908" s="31" t="n"/>
      <c r="C908" s="30" t="n"/>
      <c r="D908" s="30" t="n"/>
      <c r="E908">
        <f>IF(OR(A908="",B908=""),"",B908-A908)</f>
        <v/>
      </c>
      <c r="F908" s="30" t="n"/>
    </row>
    <row r="909">
      <c r="A909" s="31" t="n"/>
      <c r="B909" s="31" t="n"/>
      <c r="C909" s="30" t="n"/>
      <c r="D909" s="30" t="n"/>
      <c r="E909">
        <f>IF(OR(A909="",B909=""),"",B909-A909)</f>
        <v/>
      </c>
      <c r="F909" s="30" t="n"/>
    </row>
    <row r="910">
      <c r="A910" s="31" t="n"/>
      <c r="B910" s="31" t="n"/>
      <c r="C910" s="30" t="n"/>
      <c r="D910" s="30" t="n"/>
      <c r="E910">
        <f>IF(OR(A910="",B910=""),"",B910-A910)</f>
        <v/>
      </c>
      <c r="F910" s="30" t="n"/>
    </row>
    <row r="911">
      <c r="A911" s="31" t="n"/>
      <c r="B911" s="31" t="n"/>
      <c r="C911" s="30" t="n"/>
      <c r="D911" s="30" t="n"/>
      <c r="E911">
        <f>IF(OR(A911="",B911=""),"",B911-A911)</f>
        <v/>
      </c>
      <c r="F911" s="30" t="n"/>
    </row>
    <row r="912">
      <c r="A912" s="31" t="n"/>
      <c r="B912" s="31" t="n"/>
      <c r="C912" s="30" t="n"/>
      <c r="D912" s="30" t="n"/>
      <c r="E912">
        <f>IF(OR(A912="",B912=""),"",B912-A912)</f>
        <v/>
      </c>
      <c r="F912" s="30" t="n"/>
    </row>
    <row r="913">
      <c r="A913" s="31" t="n"/>
      <c r="B913" s="31" t="n"/>
      <c r="C913" s="30" t="n"/>
      <c r="D913" s="30" t="n"/>
      <c r="E913">
        <f>IF(OR(A913="",B913=""),"",B913-A913)</f>
        <v/>
      </c>
      <c r="F913" s="30" t="n"/>
    </row>
    <row r="914">
      <c r="A914" s="31" t="n"/>
      <c r="B914" s="31" t="n"/>
      <c r="C914" s="30" t="n"/>
      <c r="D914" s="30" t="n"/>
      <c r="E914">
        <f>IF(OR(A914="",B914=""),"",B914-A914)</f>
        <v/>
      </c>
      <c r="F914" s="30" t="n"/>
    </row>
    <row r="915">
      <c r="A915" s="31" t="n"/>
      <c r="B915" s="31" t="n"/>
      <c r="C915" s="30" t="n"/>
      <c r="D915" s="30" t="n"/>
      <c r="E915">
        <f>IF(OR(A915="",B915=""),"",B915-A915)</f>
        <v/>
      </c>
      <c r="F915" s="30" t="n"/>
    </row>
    <row r="916">
      <c r="A916" s="31" t="n"/>
      <c r="B916" s="31" t="n"/>
      <c r="C916" s="30" t="n"/>
      <c r="D916" s="30" t="n"/>
      <c r="E916">
        <f>IF(OR(A916="",B916=""),"",B916-A916)</f>
        <v/>
      </c>
      <c r="F916" s="30" t="n"/>
    </row>
    <row r="917">
      <c r="A917" s="31" t="n"/>
      <c r="B917" s="31" t="n"/>
      <c r="C917" s="30" t="n"/>
      <c r="D917" s="30" t="n"/>
      <c r="E917">
        <f>IF(OR(A917="",B917=""),"",B917-A917)</f>
        <v/>
      </c>
      <c r="F917" s="30" t="n"/>
    </row>
    <row r="918">
      <c r="A918" s="31" t="n"/>
      <c r="B918" s="31" t="n"/>
      <c r="C918" s="30" t="n"/>
      <c r="D918" s="30" t="n"/>
      <c r="E918">
        <f>IF(OR(A918="",B918=""),"",B918-A918)</f>
        <v/>
      </c>
      <c r="F918" s="30" t="n"/>
    </row>
    <row r="919">
      <c r="A919" s="31" t="n"/>
      <c r="B919" s="31" t="n"/>
      <c r="C919" s="30" t="n"/>
      <c r="D919" s="30" t="n"/>
      <c r="E919">
        <f>IF(OR(A919="",B919=""),"",B919-A919)</f>
        <v/>
      </c>
      <c r="F919" s="30" t="n"/>
    </row>
    <row r="920">
      <c r="A920" s="31" t="n"/>
      <c r="B920" s="31" t="n"/>
      <c r="C920" s="30" t="n"/>
      <c r="D920" s="30" t="n"/>
      <c r="E920">
        <f>IF(OR(A920="",B920=""),"",B920-A920)</f>
        <v/>
      </c>
      <c r="F920" s="30" t="n"/>
    </row>
    <row r="921">
      <c r="A921" s="31" t="n"/>
      <c r="B921" s="31" t="n"/>
      <c r="C921" s="30" t="n"/>
      <c r="D921" s="30" t="n"/>
      <c r="E921">
        <f>IF(OR(A921="",B921=""),"",B921-A921)</f>
        <v/>
      </c>
      <c r="F921" s="30" t="n"/>
    </row>
    <row r="922">
      <c r="A922" s="31" t="n"/>
      <c r="B922" s="31" t="n"/>
      <c r="C922" s="30" t="n"/>
      <c r="D922" s="30" t="n"/>
      <c r="E922">
        <f>IF(OR(A922="",B922=""),"",B922-A922)</f>
        <v/>
      </c>
      <c r="F922" s="30" t="n"/>
    </row>
    <row r="923">
      <c r="A923" s="31" t="n"/>
      <c r="B923" s="31" t="n"/>
      <c r="C923" s="30" t="n"/>
      <c r="D923" s="30" t="n"/>
      <c r="E923">
        <f>IF(OR(A923="",B923=""),"",B923-A923)</f>
        <v/>
      </c>
      <c r="F923" s="30" t="n"/>
    </row>
    <row r="924">
      <c r="A924" s="31" t="n"/>
      <c r="B924" s="31" t="n"/>
      <c r="C924" s="30" t="n"/>
      <c r="D924" s="30" t="n"/>
      <c r="E924">
        <f>IF(OR(A924="",B924=""),"",B924-A924)</f>
        <v/>
      </c>
      <c r="F924" s="30" t="n"/>
    </row>
    <row r="925">
      <c r="A925" s="31" t="n"/>
      <c r="B925" s="31" t="n"/>
      <c r="C925" s="30" t="n"/>
      <c r="D925" s="30" t="n"/>
      <c r="E925">
        <f>IF(OR(A925="",B925=""),"",B925-A925)</f>
        <v/>
      </c>
      <c r="F925" s="30" t="n"/>
    </row>
    <row r="926">
      <c r="A926" s="31" t="n"/>
      <c r="B926" s="31" t="n"/>
      <c r="C926" s="30" t="n"/>
      <c r="D926" s="30" t="n"/>
      <c r="E926">
        <f>IF(OR(A926="",B926=""),"",B926-A926)</f>
        <v/>
      </c>
      <c r="F926" s="30" t="n"/>
    </row>
    <row r="927">
      <c r="A927" s="31" t="n"/>
      <c r="B927" s="31" t="n"/>
      <c r="C927" s="30" t="n"/>
      <c r="D927" s="30" t="n"/>
      <c r="E927">
        <f>IF(OR(A927="",B927=""),"",B927-A927)</f>
        <v/>
      </c>
      <c r="F927" s="30" t="n"/>
    </row>
    <row r="928">
      <c r="A928" s="31" t="n"/>
      <c r="B928" s="31" t="n"/>
      <c r="C928" s="30" t="n"/>
      <c r="D928" s="30" t="n"/>
      <c r="E928">
        <f>IF(OR(A928="",B928=""),"",B928-A928)</f>
        <v/>
      </c>
      <c r="F928" s="30" t="n"/>
    </row>
    <row r="929">
      <c r="A929" s="31" t="n"/>
      <c r="B929" s="31" t="n"/>
      <c r="C929" s="30" t="n"/>
      <c r="D929" s="30" t="n"/>
      <c r="E929">
        <f>IF(OR(A929="",B929=""),"",B929-A929)</f>
        <v/>
      </c>
      <c r="F929" s="30" t="n"/>
    </row>
    <row r="930">
      <c r="A930" s="31" t="n"/>
      <c r="B930" s="31" t="n"/>
      <c r="C930" s="30" t="n"/>
      <c r="D930" s="30" t="n"/>
      <c r="E930">
        <f>IF(OR(A930="",B930=""),"",B930-A930)</f>
        <v/>
      </c>
      <c r="F930" s="30" t="n"/>
    </row>
    <row r="931">
      <c r="A931" s="31" t="n"/>
      <c r="B931" s="31" t="n"/>
      <c r="C931" s="30" t="n"/>
      <c r="D931" s="30" t="n"/>
      <c r="E931">
        <f>IF(OR(A931="",B931=""),"",B931-A931)</f>
        <v/>
      </c>
      <c r="F931" s="30" t="n"/>
    </row>
    <row r="932">
      <c r="A932" s="31" t="n"/>
      <c r="B932" s="31" t="n"/>
      <c r="C932" s="30" t="n"/>
      <c r="D932" s="30" t="n"/>
      <c r="E932">
        <f>IF(OR(A932="",B932=""),"",B932-A932)</f>
        <v/>
      </c>
      <c r="F932" s="30" t="n"/>
    </row>
    <row r="933">
      <c r="A933" s="31" t="n"/>
      <c r="B933" s="31" t="n"/>
      <c r="C933" s="30" t="n"/>
      <c r="D933" s="30" t="n"/>
      <c r="E933">
        <f>IF(OR(A933="",B933=""),"",B933-A933)</f>
        <v/>
      </c>
      <c r="F933" s="30" t="n"/>
    </row>
    <row r="934">
      <c r="A934" s="31" t="n"/>
      <c r="B934" s="31" t="n"/>
      <c r="C934" s="30" t="n"/>
      <c r="D934" s="30" t="n"/>
      <c r="E934">
        <f>IF(OR(A934="",B934=""),"",B934-A934)</f>
        <v/>
      </c>
      <c r="F934" s="30" t="n"/>
    </row>
    <row r="935">
      <c r="A935" s="31" t="n"/>
      <c r="B935" s="31" t="n"/>
      <c r="C935" s="30" t="n"/>
      <c r="D935" s="30" t="n"/>
      <c r="E935">
        <f>IF(OR(A935="",B935=""),"",B935-A935)</f>
        <v/>
      </c>
      <c r="F935" s="30" t="n"/>
    </row>
    <row r="936">
      <c r="A936" s="31" t="n"/>
      <c r="B936" s="31" t="n"/>
      <c r="C936" s="30" t="n"/>
      <c r="D936" s="30" t="n"/>
      <c r="E936">
        <f>IF(OR(A936="",B936=""),"",B936-A936)</f>
        <v/>
      </c>
      <c r="F936" s="30" t="n"/>
    </row>
    <row r="937">
      <c r="A937" s="31" t="n"/>
      <c r="B937" s="31" t="n"/>
      <c r="C937" s="30" t="n"/>
      <c r="D937" s="30" t="n"/>
      <c r="E937">
        <f>IF(OR(A937="",B937=""),"",B937-A937)</f>
        <v/>
      </c>
      <c r="F937" s="30" t="n"/>
    </row>
    <row r="938">
      <c r="A938" s="31" t="n"/>
      <c r="B938" s="31" t="n"/>
      <c r="C938" s="30" t="n"/>
      <c r="D938" s="30" t="n"/>
      <c r="E938">
        <f>IF(OR(A938="",B938=""),"",B938-A938)</f>
        <v/>
      </c>
      <c r="F938" s="30" t="n"/>
    </row>
    <row r="939">
      <c r="A939" s="31" t="n"/>
      <c r="B939" s="31" t="n"/>
      <c r="C939" s="30" t="n"/>
      <c r="D939" s="30" t="n"/>
      <c r="E939">
        <f>IF(OR(A939="",B939=""),"",B939-A939)</f>
        <v/>
      </c>
      <c r="F939" s="30" t="n"/>
    </row>
    <row r="940">
      <c r="A940" s="31" t="n"/>
      <c r="B940" s="31" t="n"/>
      <c r="C940" s="30" t="n"/>
      <c r="D940" s="30" t="n"/>
      <c r="E940">
        <f>IF(OR(A940="",B940=""),"",B940-A940)</f>
        <v/>
      </c>
      <c r="F940" s="30" t="n"/>
    </row>
    <row r="941">
      <c r="A941" s="31" t="n"/>
      <c r="B941" s="31" t="n"/>
      <c r="C941" s="30" t="n"/>
      <c r="D941" s="30" t="n"/>
      <c r="E941">
        <f>IF(OR(A941="",B941=""),"",B941-A941)</f>
        <v/>
      </c>
      <c r="F941" s="30" t="n"/>
    </row>
    <row r="942">
      <c r="A942" s="31" t="n"/>
      <c r="B942" s="31" t="n"/>
      <c r="C942" s="30" t="n"/>
      <c r="D942" s="30" t="n"/>
      <c r="E942">
        <f>IF(OR(A942="",B942=""),"",B942-A942)</f>
        <v/>
      </c>
      <c r="F942" s="30" t="n"/>
    </row>
    <row r="943">
      <c r="A943" s="31" t="n"/>
      <c r="B943" s="31" t="n"/>
      <c r="C943" s="30" t="n"/>
      <c r="D943" s="30" t="n"/>
      <c r="E943">
        <f>IF(OR(A943="",B943=""),"",B943-A943)</f>
        <v/>
      </c>
      <c r="F943" s="30" t="n"/>
    </row>
    <row r="944">
      <c r="A944" s="31" t="n"/>
      <c r="B944" s="31" t="n"/>
      <c r="C944" s="30" t="n"/>
      <c r="D944" s="30" t="n"/>
      <c r="E944">
        <f>IF(OR(A944="",B944=""),"",B944-A944)</f>
        <v/>
      </c>
      <c r="F944" s="30" t="n"/>
    </row>
    <row r="945">
      <c r="A945" s="31" t="n"/>
      <c r="B945" s="31" t="n"/>
      <c r="C945" s="30" t="n"/>
      <c r="D945" s="30" t="n"/>
      <c r="E945">
        <f>IF(OR(A945="",B945=""),"",B945-A945)</f>
        <v/>
      </c>
      <c r="F945" s="30" t="n"/>
    </row>
    <row r="946">
      <c r="A946" s="31" t="n"/>
      <c r="B946" s="31" t="n"/>
      <c r="C946" s="30" t="n"/>
      <c r="D946" s="30" t="n"/>
      <c r="E946">
        <f>IF(OR(A946="",B946=""),"",B946-A946)</f>
        <v/>
      </c>
      <c r="F946" s="30" t="n"/>
    </row>
    <row r="947">
      <c r="A947" s="31" t="n"/>
      <c r="B947" s="31" t="n"/>
      <c r="C947" s="30" t="n"/>
      <c r="D947" s="30" t="n"/>
      <c r="E947">
        <f>IF(OR(A947="",B947=""),"",B947-A947)</f>
        <v/>
      </c>
      <c r="F947" s="30" t="n"/>
    </row>
    <row r="948">
      <c r="A948" s="31" t="n"/>
      <c r="B948" s="31" t="n"/>
      <c r="C948" s="30" t="n"/>
      <c r="D948" s="30" t="n"/>
      <c r="E948">
        <f>IF(OR(A948="",B948=""),"",B948-A948)</f>
        <v/>
      </c>
      <c r="F948" s="30" t="n"/>
    </row>
    <row r="949">
      <c r="A949" s="31" t="n"/>
      <c r="B949" s="31" t="n"/>
      <c r="C949" s="30" t="n"/>
      <c r="D949" s="30" t="n"/>
      <c r="E949">
        <f>IF(OR(A949="",B949=""),"",B949-A949)</f>
        <v/>
      </c>
      <c r="F949" s="30" t="n"/>
    </row>
    <row r="950">
      <c r="A950" s="31" t="n"/>
      <c r="B950" s="31" t="n"/>
      <c r="C950" s="30" t="n"/>
      <c r="D950" s="30" t="n"/>
      <c r="E950">
        <f>IF(OR(A950="",B950=""),"",B950-A950)</f>
        <v/>
      </c>
      <c r="F950" s="30" t="n"/>
    </row>
    <row r="951">
      <c r="A951" s="31" t="n"/>
      <c r="B951" s="31" t="n"/>
      <c r="C951" s="30" t="n"/>
      <c r="D951" s="30" t="n"/>
      <c r="E951">
        <f>IF(OR(A951="",B951=""),"",B951-A951)</f>
        <v/>
      </c>
      <c r="F951" s="30" t="n"/>
    </row>
    <row r="952">
      <c r="A952" s="31" t="n"/>
      <c r="B952" s="31" t="n"/>
      <c r="C952" s="30" t="n"/>
      <c r="D952" s="30" t="n"/>
      <c r="E952">
        <f>IF(OR(A952="",B952=""),"",B952-A952)</f>
        <v/>
      </c>
      <c r="F952" s="30" t="n"/>
    </row>
    <row r="953">
      <c r="A953" s="31" t="n"/>
      <c r="B953" s="31" t="n"/>
      <c r="C953" s="30" t="n"/>
      <c r="D953" s="30" t="n"/>
      <c r="E953">
        <f>IF(OR(A953="",B953=""),"",B953-A953)</f>
        <v/>
      </c>
      <c r="F953" s="30" t="n"/>
    </row>
    <row r="954">
      <c r="A954" s="31" t="n"/>
      <c r="B954" s="31" t="n"/>
      <c r="C954" s="30" t="n"/>
      <c r="D954" s="30" t="n"/>
      <c r="E954">
        <f>IF(OR(A954="",B954=""),"",B954-A954)</f>
        <v/>
      </c>
      <c r="F954" s="30" t="n"/>
    </row>
    <row r="955">
      <c r="A955" s="31" t="n"/>
      <c r="B955" s="31" t="n"/>
      <c r="C955" s="30" t="n"/>
      <c r="D955" s="30" t="n"/>
      <c r="E955">
        <f>IF(OR(A955="",B955=""),"",B955-A955)</f>
        <v/>
      </c>
      <c r="F955" s="30" t="n"/>
    </row>
    <row r="956">
      <c r="A956" s="31" t="n"/>
      <c r="B956" s="31" t="n"/>
      <c r="C956" s="30" t="n"/>
      <c r="D956" s="30" t="n"/>
      <c r="E956">
        <f>IF(OR(A956="",B956=""),"",B956-A956)</f>
        <v/>
      </c>
      <c r="F956" s="30" t="n"/>
    </row>
    <row r="957">
      <c r="A957" s="31" t="n"/>
      <c r="B957" s="31" t="n"/>
      <c r="C957" s="30" t="n"/>
      <c r="D957" s="30" t="n"/>
      <c r="E957">
        <f>IF(OR(A957="",B957=""),"",B957-A957)</f>
        <v/>
      </c>
      <c r="F957" s="30" t="n"/>
    </row>
    <row r="958">
      <c r="A958" s="31" t="n"/>
      <c r="B958" s="31" t="n"/>
      <c r="C958" s="30" t="n"/>
      <c r="D958" s="30" t="n"/>
      <c r="E958">
        <f>IF(OR(A958="",B958=""),"",B958-A958)</f>
        <v/>
      </c>
      <c r="F958" s="30" t="n"/>
    </row>
    <row r="959">
      <c r="A959" s="31" t="n"/>
      <c r="B959" s="31" t="n"/>
      <c r="C959" s="30" t="n"/>
      <c r="D959" s="30" t="n"/>
      <c r="E959">
        <f>IF(OR(A959="",B959=""),"",B959-A959)</f>
        <v/>
      </c>
      <c r="F959" s="30" t="n"/>
    </row>
    <row r="960">
      <c r="A960" s="31" t="n"/>
      <c r="B960" s="31" t="n"/>
      <c r="C960" s="30" t="n"/>
      <c r="D960" s="30" t="n"/>
      <c r="E960">
        <f>IF(OR(A960="",B960=""),"",B960-A960)</f>
        <v/>
      </c>
      <c r="F960" s="30" t="n"/>
    </row>
    <row r="961">
      <c r="A961" s="31" t="n"/>
      <c r="B961" s="31" t="n"/>
      <c r="C961" s="30" t="n"/>
      <c r="D961" s="30" t="n"/>
      <c r="E961">
        <f>IF(OR(A961="",B961=""),"",B961-A961)</f>
        <v/>
      </c>
      <c r="F961" s="30" t="n"/>
    </row>
    <row r="962">
      <c r="A962" s="31" t="n"/>
      <c r="B962" s="31" t="n"/>
      <c r="C962" s="30" t="n"/>
      <c r="D962" s="30" t="n"/>
      <c r="E962">
        <f>IF(OR(A962="",B962=""),"",B962-A962)</f>
        <v/>
      </c>
      <c r="F962" s="30" t="n"/>
    </row>
    <row r="963">
      <c r="A963" s="31" t="n"/>
      <c r="B963" s="31" t="n"/>
      <c r="C963" s="30" t="n"/>
      <c r="D963" s="30" t="n"/>
      <c r="E963">
        <f>IF(OR(A963="",B963=""),"",B963-A963)</f>
        <v/>
      </c>
      <c r="F963" s="30" t="n"/>
    </row>
    <row r="964">
      <c r="A964" s="31" t="n"/>
      <c r="B964" s="31" t="n"/>
      <c r="C964" s="30" t="n"/>
      <c r="D964" s="30" t="n"/>
      <c r="E964">
        <f>IF(OR(A964="",B964=""),"",B964-A964)</f>
        <v/>
      </c>
      <c r="F964" s="30" t="n"/>
    </row>
    <row r="965">
      <c r="A965" s="31" t="n"/>
      <c r="B965" s="31" t="n"/>
      <c r="C965" s="30" t="n"/>
      <c r="D965" s="30" t="n"/>
      <c r="E965">
        <f>IF(OR(A965="",B965=""),"",B965-A965)</f>
        <v/>
      </c>
      <c r="F965" s="30" t="n"/>
    </row>
    <row r="966">
      <c r="A966" s="31" t="n"/>
      <c r="B966" s="31" t="n"/>
      <c r="C966" s="30" t="n"/>
      <c r="D966" s="30" t="n"/>
      <c r="E966">
        <f>IF(OR(A966="",B966=""),"",B966-A966)</f>
        <v/>
      </c>
      <c r="F966" s="30" t="n"/>
    </row>
    <row r="967">
      <c r="A967" s="31" t="n"/>
      <c r="B967" s="31" t="n"/>
      <c r="C967" s="30" t="n"/>
      <c r="D967" s="30" t="n"/>
      <c r="E967">
        <f>IF(OR(A967="",B967=""),"",B967-A967)</f>
        <v/>
      </c>
      <c r="F967" s="30" t="n"/>
    </row>
    <row r="968">
      <c r="A968" s="31" t="n"/>
      <c r="B968" s="31" t="n"/>
      <c r="C968" s="30" t="n"/>
      <c r="D968" s="30" t="n"/>
      <c r="E968">
        <f>IF(OR(A968="",B968=""),"",B968-A968)</f>
        <v/>
      </c>
      <c r="F968" s="30" t="n"/>
    </row>
    <row r="969">
      <c r="A969" s="31" t="n"/>
      <c r="B969" s="31" t="n"/>
      <c r="C969" s="30" t="n"/>
      <c r="D969" s="30" t="n"/>
      <c r="E969">
        <f>IF(OR(A969="",B969=""),"",B969-A969)</f>
        <v/>
      </c>
      <c r="F969" s="30" t="n"/>
    </row>
    <row r="970">
      <c r="A970" s="31" t="n"/>
      <c r="B970" s="31" t="n"/>
      <c r="C970" s="30" t="n"/>
      <c r="D970" s="30" t="n"/>
      <c r="E970">
        <f>IF(OR(A970="",B970=""),"",B970-A970)</f>
        <v/>
      </c>
      <c r="F970" s="30" t="n"/>
    </row>
    <row r="971">
      <c r="A971" s="31" t="n"/>
      <c r="B971" s="31" t="n"/>
      <c r="C971" s="30" t="n"/>
      <c r="D971" s="30" t="n"/>
      <c r="E971">
        <f>IF(OR(A971="",B971=""),"",B971-A971)</f>
        <v/>
      </c>
      <c r="F971" s="30" t="n"/>
    </row>
    <row r="972">
      <c r="A972" s="31" t="n"/>
      <c r="B972" s="31" t="n"/>
      <c r="C972" s="30" t="n"/>
      <c r="D972" s="30" t="n"/>
      <c r="E972">
        <f>IF(OR(A972="",B972=""),"",B972-A972)</f>
        <v/>
      </c>
      <c r="F972" s="30" t="n"/>
    </row>
    <row r="973">
      <c r="A973" s="31" t="n"/>
      <c r="B973" s="31" t="n"/>
      <c r="C973" s="30" t="n"/>
      <c r="D973" s="30" t="n"/>
      <c r="E973">
        <f>IF(OR(A973="",B973=""),"",B973-A973)</f>
        <v/>
      </c>
      <c r="F973" s="30" t="n"/>
    </row>
    <row r="974">
      <c r="A974" s="31" t="n"/>
      <c r="B974" s="31" t="n"/>
      <c r="C974" s="30" t="n"/>
      <c r="D974" s="30" t="n"/>
      <c r="E974">
        <f>IF(OR(A974="",B974=""),"",B974-A974)</f>
        <v/>
      </c>
      <c r="F974" s="30" t="n"/>
    </row>
    <row r="975">
      <c r="A975" s="31" t="n"/>
      <c r="B975" s="31" t="n"/>
      <c r="C975" s="30" t="n"/>
      <c r="D975" s="30" t="n"/>
      <c r="E975">
        <f>IF(OR(A975="",B975=""),"",B975-A975)</f>
        <v/>
      </c>
      <c r="F975" s="30" t="n"/>
    </row>
    <row r="976">
      <c r="A976" s="31" t="n"/>
      <c r="B976" s="31" t="n"/>
      <c r="C976" s="30" t="n"/>
      <c r="D976" s="30" t="n"/>
      <c r="E976">
        <f>IF(OR(A976="",B976=""),"",B976-A976)</f>
        <v/>
      </c>
      <c r="F976" s="30" t="n"/>
    </row>
    <row r="977">
      <c r="A977" s="31" t="n"/>
      <c r="B977" s="31" t="n"/>
      <c r="C977" s="30" t="n"/>
      <c r="D977" s="30" t="n"/>
      <c r="E977">
        <f>IF(OR(A977="",B977=""),"",B977-A977)</f>
        <v/>
      </c>
      <c r="F977" s="30" t="n"/>
    </row>
    <row r="978">
      <c r="A978" s="31" t="n"/>
      <c r="B978" s="31" t="n"/>
      <c r="C978" s="30" t="n"/>
      <c r="D978" s="30" t="n"/>
      <c r="E978">
        <f>IF(OR(A978="",B978=""),"",B978-A978)</f>
        <v/>
      </c>
      <c r="F978" s="30" t="n"/>
    </row>
    <row r="979">
      <c r="A979" s="31" t="n"/>
      <c r="B979" s="31" t="n"/>
      <c r="C979" s="30" t="n"/>
      <c r="D979" s="30" t="n"/>
      <c r="E979">
        <f>IF(OR(A979="",B979=""),"",B979-A979)</f>
        <v/>
      </c>
      <c r="F979" s="30" t="n"/>
    </row>
    <row r="980">
      <c r="A980" s="31" t="n"/>
      <c r="B980" s="31" t="n"/>
      <c r="C980" s="30" t="n"/>
      <c r="D980" s="30" t="n"/>
      <c r="E980">
        <f>IF(OR(A980="",B980=""),"",B980-A980)</f>
        <v/>
      </c>
      <c r="F980" s="30" t="n"/>
    </row>
    <row r="981">
      <c r="A981" s="31" t="n"/>
      <c r="B981" s="31" t="n"/>
      <c r="C981" s="30" t="n"/>
      <c r="D981" s="30" t="n"/>
      <c r="E981">
        <f>IF(OR(A981="",B981=""),"",B981-A981)</f>
        <v/>
      </c>
      <c r="F981" s="30" t="n"/>
    </row>
    <row r="982">
      <c r="A982" s="31" t="n"/>
      <c r="B982" s="31" t="n"/>
      <c r="C982" s="30" t="n"/>
      <c r="D982" s="30" t="n"/>
      <c r="E982">
        <f>IF(OR(A982="",B982=""),"",B982-A982)</f>
        <v/>
      </c>
      <c r="F982" s="30" t="n"/>
    </row>
    <row r="983">
      <c r="A983" s="31" t="n"/>
      <c r="B983" s="31" t="n"/>
      <c r="C983" s="30" t="n"/>
      <c r="D983" s="30" t="n"/>
      <c r="E983">
        <f>IF(OR(A983="",B983=""),"",B983-A983)</f>
        <v/>
      </c>
      <c r="F983" s="30" t="n"/>
    </row>
    <row r="984">
      <c r="A984" s="31" t="n"/>
      <c r="B984" s="31" t="n"/>
      <c r="C984" s="30" t="n"/>
      <c r="D984" s="30" t="n"/>
      <c r="E984">
        <f>IF(OR(A984="",B984=""),"",B984-A984)</f>
        <v/>
      </c>
      <c r="F984" s="30" t="n"/>
    </row>
    <row r="985">
      <c r="A985" s="31" t="n"/>
      <c r="B985" s="31" t="n"/>
      <c r="C985" s="30" t="n"/>
      <c r="D985" s="30" t="n"/>
      <c r="E985">
        <f>IF(OR(A985="",B985=""),"",B985-A985)</f>
        <v/>
      </c>
      <c r="F985" s="30" t="n"/>
    </row>
    <row r="986">
      <c r="A986" s="31" t="n"/>
      <c r="B986" s="31" t="n"/>
      <c r="C986" s="30" t="n"/>
      <c r="D986" s="30" t="n"/>
      <c r="E986">
        <f>IF(OR(A986="",B986=""),"",B986-A986)</f>
        <v/>
      </c>
      <c r="F986" s="30" t="n"/>
    </row>
    <row r="987">
      <c r="A987" s="31" t="n"/>
      <c r="B987" s="31" t="n"/>
      <c r="C987" s="30" t="n"/>
      <c r="D987" s="30" t="n"/>
      <c r="E987">
        <f>IF(OR(A987="",B987=""),"",B987-A987)</f>
        <v/>
      </c>
      <c r="F987" s="30" t="n"/>
    </row>
    <row r="988">
      <c r="A988" s="31" t="n"/>
      <c r="B988" s="31" t="n"/>
      <c r="C988" s="30" t="n"/>
      <c r="D988" s="30" t="n"/>
      <c r="E988">
        <f>IF(OR(A988="",B988=""),"",B988-A988)</f>
        <v/>
      </c>
      <c r="F988" s="30" t="n"/>
    </row>
    <row r="989">
      <c r="A989" s="31" t="n"/>
      <c r="B989" s="31" t="n"/>
      <c r="C989" s="30" t="n"/>
      <c r="D989" s="30" t="n"/>
      <c r="E989">
        <f>IF(OR(A989="",B989=""),"",B989-A989)</f>
        <v/>
      </c>
      <c r="F989" s="30" t="n"/>
    </row>
    <row r="990">
      <c r="A990" s="31" t="n"/>
      <c r="B990" s="31" t="n"/>
      <c r="C990" s="30" t="n"/>
      <c r="D990" s="30" t="n"/>
      <c r="E990">
        <f>IF(OR(A990="",B990=""),"",B990-A990)</f>
        <v/>
      </c>
      <c r="F990" s="30" t="n"/>
    </row>
    <row r="991">
      <c r="A991" s="31" t="n"/>
      <c r="B991" s="31" t="n"/>
      <c r="C991" s="30" t="n"/>
      <c r="D991" s="30" t="n"/>
      <c r="E991">
        <f>IF(OR(A991="",B991=""),"",B991-A991)</f>
        <v/>
      </c>
      <c r="F991" s="30" t="n"/>
    </row>
    <row r="992">
      <c r="A992" s="31" t="n"/>
      <c r="B992" s="31" t="n"/>
      <c r="C992" s="30" t="n"/>
      <c r="D992" s="30" t="n"/>
      <c r="E992">
        <f>IF(OR(A992="",B992=""),"",B992-A992)</f>
        <v/>
      </c>
      <c r="F992" s="30" t="n"/>
    </row>
    <row r="993">
      <c r="A993" s="31" t="n"/>
      <c r="B993" s="31" t="n"/>
      <c r="C993" s="30" t="n"/>
      <c r="D993" s="30" t="n"/>
      <c r="E993">
        <f>IF(OR(A993="",B993=""),"",B993-A993)</f>
        <v/>
      </c>
      <c r="F993" s="30" t="n"/>
    </row>
    <row r="994">
      <c r="A994" s="31" t="n"/>
      <c r="B994" s="31" t="n"/>
      <c r="C994" s="30" t="n"/>
      <c r="D994" s="30" t="n"/>
      <c r="E994">
        <f>IF(OR(A994="",B994=""),"",B994-A994)</f>
        <v/>
      </c>
      <c r="F994" s="30" t="n"/>
    </row>
    <row r="995">
      <c r="A995" s="31" t="n"/>
      <c r="B995" s="31" t="n"/>
      <c r="C995" s="30" t="n"/>
      <c r="D995" s="30" t="n"/>
      <c r="E995">
        <f>IF(OR(A995="",B995=""),"",B995-A995)</f>
        <v/>
      </c>
      <c r="F995" s="30" t="n"/>
    </row>
    <row r="996">
      <c r="A996" s="31" t="n"/>
      <c r="B996" s="31" t="n"/>
      <c r="C996" s="30" t="n"/>
      <c r="D996" s="30" t="n"/>
      <c r="E996">
        <f>IF(OR(A996="",B996=""),"",B996-A996)</f>
        <v/>
      </c>
      <c r="F996" s="30" t="n"/>
    </row>
    <row r="997">
      <c r="A997" s="31" t="n"/>
      <c r="B997" s="31" t="n"/>
      <c r="C997" s="30" t="n"/>
      <c r="D997" s="30" t="n"/>
      <c r="E997">
        <f>IF(OR(A997="",B997=""),"",B997-A997)</f>
        <v/>
      </c>
      <c r="F997" s="30" t="n"/>
    </row>
    <row r="998">
      <c r="A998" s="31" t="n"/>
      <c r="B998" s="31" t="n"/>
      <c r="C998" s="30" t="n"/>
      <c r="D998" s="30" t="n"/>
      <c r="E998">
        <f>IF(OR(A998="",B998=""),"",B998-A998)</f>
        <v/>
      </c>
      <c r="F998" s="30" t="n"/>
    </row>
    <row r="999">
      <c r="A999" s="31" t="n"/>
      <c r="B999" s="31" t="n"/>
      <c r="C999" s="30" t="n"/>
      <c r="D999" s="30" t="n"/>
      <c r="E999">
        <f>IF(OR(A999="",B999=""),"",B999-A999)</f>
        <v/>
      </c>
      <c r="F999" s="30" t="n"/>
    </row>
    <row r="1000">
      <c r="A1000" s="31" t="n"/>
      <c r="B1000" s="31" t="n"/>
      <c r="C1000" s="30" t="n"/>
      <c r="D1000" s="30" t="n"/>
      <c r="E1000">
        <f>IF(OR(A1000="",B1000=""),"",B1000-A1000)</f>
        <v/>
      </c>
      <c r="F1000" s="30" t="n"/>
    </row>
  </sheetData>
  <dataValidations count="1">
    <dataValidation sqref="C2:C1000" showDropDown="0" showInputMessage="0" showErrorMessage="0" allowBlank="1" type="list">
      <formula1>"C,D,E,F,G,H"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8" customWidth="1" min="4" max="4"/>
    <col width="20" customWidth="1" min="5" max="5"/>
    <col width="70" customWidth="1" min="6" max="6"/>
  </cols>
  <sheetData>
    <row r="1" ht="32" customHeight="1">
      <c r="A1" s="33" t="inlineStr">
        <is>
          <t>Data</t>
        </is>
      </c>
      <c r="B1" s="33" t="inlineStr">
        <is>
          <t>Veio</t>
        </is>
      </c>
      <c r="C1" s="33" t="inlineStr">
        <is>
          <t>Molde nº</t>
        </is>
      </c>
      <c r="D1" s="33" t="inlineStr">
        <is>
          <t>Meta (vida progr.)</t>
        </is>
      </c>
      <c r="E1" s="33" t="inlineStr">
        <is>
          <t>Acumulado (corridas)</t>
        </is>
      </c>
      <c r="F1" s="33" t="inlineStr">
        <is>
          <t>Observação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36" customWidth="1" min="6" max="6"/>
  </cols>
  <sheetData>
    <row r="1" ht="32" customHeight="1">
      <c r="A1" s="33" t="inlineStr">
        <is>
          <t>Data</t>
        </is>
      </c>
      <c r="B1" s="33" t="inlineStr">
        <is>
          <t>MCC4 real (t)</t>
        </is>
      </c>
      <c r="C1" s="33" t="inlineStr">
        <is>
          <t>MCC4 prog (t)</t>
        </is>
      </c>
      <c r="D1" s="33" t="inlineStr">
        <is>
          <t>MCC2 real (t)</t>
        </is>
      </c>
      <c r="E1" s="33" t="inlineStr">
        <is>
          <t>MCC3 real (t)</t>
        </is>
      </c>
      <c r="F1" s="33" t="inlineStr">
        <is>
          <t>Arquivo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16" customWidth="1" min="4" max="4"/>
    <col width="17" customWidth="1" min="5" max="5"/>
    <col width="16" customWidth="1" min="6" max="6"/>
    <col width="60" customWidth="1" min="7" max="7"/>
    <col width="45" customWidth="1" min="8" max="8"/>
    <col width="10" customWidth="1" min="9" max="9"/>
  </cols>
  <sheetData>
    <row r="1" ht="32" customHeight="1">
      <c r="A1" s="33" t="inlineStr">
        <is>
          <t>Data</t>
        </is>
      </c>
      <c r="B1" s="33" t="inlineStr">
        <is>
          <t>Veio</t>
        </is>
      </c>
      <c r="C1" s="33" t="inlineStr">
        <is>
          <t>Molde que saiu</t>
        </is>
      </c>
      <c r="D1" s="33" t="inlineStr">
        <is>
          <t>Vida programada</t>
        </is>
      </c>
      <c r="E1" s="33" t="inlineStr">
        <is>
          <t>Corridas na saída</t>
        </is>
      </c>
      <c r="F1" s="33" t="inlineStr">
        <is>
          <t>Molde que entrou</t>
        </is>
      </c>
      <c r="G1" s="33" t="inlineStr">
        <is>
          <t>Motivo</t>
        </is>
      </c>
      <c r="H1" s="33" t="inlineStr">
        <is>
          <t>Conferir</t>
        </is>
      </c>
      <c r="I1" s="33" t="inlineStr">
        <is>
          <t>Origem</t>
        </is>
      </c>
    </row>
  </sheetData>
  <conditionalFormatting sqref="H2:H5000">
    <cfRule type="expression" priority="1" dxfId="4">
      <formula>LEN($H2)&gt;0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90" customWidth="1" min="4" max="4"/>
    <col width="11" customWidth="1" min="5" max="5"/>
  </cols>
  <sheetData>
    <row r="1" ht="32" customHeight="1">
      <c r="A1" s="34" t="inlineStr">
        <is>
          <t>Data/hora</t>
        </is>
      </c>
      <c r="B1" s="34" t="inlineStr">
        <is>
          <t>Tipo</t>
        </is>
      </c>
      <c r="C1" s="34" t="inlineStr">
        <is>
          <t>Item</t>
        </is>
      </c>
      <c r="D1" s="34" t="inlineStr">
        <is>
          <t>Detalhe</t>
        </is>
      </c>
      <c r="E1" s="34" t="inlineStr">
        <is>
          <t>Resolvido</t>
        </is>
      </c>
    </row>
  </sheetData>
  <conditionalFormatting sqref="A2:E5000">
    <cfRule type="expression" priority="1" dxfId="3">
      <formula>AND($A2&lt;&gt;"",$E2&lt;&gt;"Sim")</formula>
    </cfRule>
  </conditionalFormatting>
  <dataValidations count="1">
    <dataValidation sqref="E2:E5000" showDropDown="0" showInputMessage="0" showErrorMessage="0" allowBlank="1" type="list">
      <formula1>"Sim"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40" customWidth="1" min="1" max="1"/>
    <col width="12" customWidth="1" min="2" max="2"/>
  </cols>
  <sheetData>
    <row r="1">
      <c r="A1" s="35" t="inlineStr">
        <is>
          <t>Parâmetro</t>
        </is>
      </c>
      <c r="B1" s="35" t="inlineStr">
        <is>
          <t>Valor</t>
        </is>
      </c>
    </row>
    <row r="3">
      <c r="A3" t="inlineStr">
        <is>
          <t>Limiar de atenção (%)</t>
        </is>
      </c>
      <c r="B3" s="36" t="n">
        <v>0.8</v>
      </c>
    </row>
    <row r="5">
      <c r="A5" s="37" t="inlineStr">
        <is>
          <t>Como a planilha calcula</t>
        </is>
      </c>
    </row>
    <row r="6">
      <c r="A6" t="inlineStr">
        <is>
          <t>Molde (corridas): acumulado do último dia em Historico, por veio. O robô grava um registro por data e veio; reenvio do mesmo dia substitui, não soma.</t>
        </is>
      </c>
    </row>
    <row r="7">
      <c r="A7" t="inlineStr">
        <is>
          <t>Troca de molde: quando o nº do molde do veio muda de um dia para o outro, o robô registra em Trocas (molde que saiu, corridas na saída, molde que entrou, motivo).</t>
        </is>
      </c>
    </row>
    <row r="8">
      <c r="A8" t="inlineStr">
        <is>
          <t>Oscilador (dias): saída − entrada em Movimentos. A entrada conta, a saída não. Sem saída, conta até hoje.</t>
        </is>
      </c>
    </row>
    <row r="9">
      <c r="A9" t="inlineStr">
        <is>
          <t>Componentes (t): toneladas reais do MCC4 (aba Producao) nos dias entre entrada e saída. Fora desse período não desconta.</t>
        </is>
      </c>
    </row>
    <row r="10">
      <c r="A10" t="inlineStr">
        <is>
          <t>Falta = meta − acumulado. % = acumulado ÷ meta. Acima de 100% = além da meta. Sem previsão de data de troca.</t>
        </is>
      </c>
    </row>
    <row r="11">
      <c r="A11" t="inlineStr">
        <is>
          <t>Alertas: acumulado diminuiu sem troca; veio não andou enquanto a MCC produziu; layout dos anexos mudou. Escolha 'Sim' em Resolvido quando tratar.</t>
        </is>
      </c>
    </row>
    <row r="12">
      <c r="A12" t="inlineStr">
        <is>
          <t>Cores das abas: azul = painel e resumos; amarelo/ouro = você digita (Movimentos, Paradas); cinza = o robô preenche; vermelho = alertas.</t>
        </is>
      </c>
    </row>
    <row r="14">
      <c r="A14" s="24" t="inlineStr">
        <is>
          <t>Autor: Lucas Gabriel de Paula Rafael  |  Matrícula cbk3574  |  github.com/lucasdpr/controle-equipamentos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Veio G (corridas)</t>
        </is>
      </c>
      <c r="C1" t="inlineStr">
        <is>
          <t>Veio H (corridas)</t>
        </is>
      </c>
      <c r="D1" t="inlineStr">
        <is>
          <t>MCC4 real (t)</t>
        </is>
      </c>
    </row>
    <row r="2">
      <c r="A2" s="38">
        <f>TODAY()-29</f>
        <v/>
      </c>
      <c r="B2">
        <f>IF(COUNTIFS(Historico!$A:$A,$A2,Historico!$B:$B,"G")=0,NA(),SUMIFS(Historico!$E:$E,Historico!$A:$A,$A2,Historico!$B:$B,"G"))</f>
        <v/>
      </c>
      <c r="C2">
        <f>IF(COUNTIFS(Historico!$A:$A,$A2,Historico!$B:$B,"H")=0,NA(),SUMIFS(Historico!$E:$E,Historico!$A:$A,$A2,Historico!$B:$B,"H"))</f>
        <v/>
      </c>
      <c r="D2">
        <f>SUMIFS(Producao!$B:$B,Producao!$A:$A,$A2)</f>
        <v/>
      </c>
    </row>
    <row r="3">
      <c r="A3" s="38">
        <f>TODAY()-28</f>
        <v/>
      </c>
      <c r="B3">
        <f>IF(COUNTIFS(Historico!$A:$A,$A3,Historico!$B:$B,"G")=0,NA(),SUMIFS(Historico!$E:$E,Historico!$A:$A,$A3,Historico!$B:$B,"G"))</f>
        <v/>
      </c>
      <c r="C3">
        <f>IF(COUNTIFS(Historico!$A:$A,$A3,Historico!$B:$B,"H")=0,NA(),SUMIFS(Historico!$E:$E,Historico!$A:$A,$A3,Historico!$B:$B,"H"))</f>
        <v/>
      </c>
      <c r="D3">
        <f>SUMIFS(Producao!$B:$B,Producao!$A:$A,$A3)</f>
        <v/>
      </c>
    </row>
    <row r="4">
      <c r="A4" s="38">
        <f>TODAY()-27</f>
        <v/>
      </c>
      <c r="B4">
        <f>IF(COUNTIFS(Historico!$A:$A,$A4,Historico!$B:$B,"G")=0,NA(),SUMIFS(Historico!$E:$E,Historico!$A:$A,$A4,Historico!$B:$B,"G"))</f>
        <v/>
      </c>
      <c r="C4">
        <f>IF(COUNTIFS(Historico!$A:$A,$A4,Historico!$B:$B,"H")=0,NA(),SUMIFS(Historico!$E:$E,Historico!$A:$A,$A4,Historico!$B:$B,"H"))</f>
        <v/>
      </c>
      <c r="D4">
        <f>SUMIFS(Producao!$B:$B,Producao!$A:$A,$A4)</f>
        <v/>
      </c>
    </row>
    <row r="5">
      <c r="A5" s="38">
        <f>TODAY()-26</f>
        <v/>
      </c>
      <c r="B5">
        <f>IF(COUNTIFS(Historico!$A:$A,$A5,Historico!$B:$B,"G")=0,NA(),SUMIFS(Historico!$E:$E,Historico!$A:$A,$A5,Historico!$B:$B,"G"))</f>
        <v/>
      </c>
      <c r="C5">
        <f>IF(COUNTIFS(Historico!$A:$A,$A5,Historico!$B:$B,"H")=0,NA(),SUMIFS(Historico!$E:$E,Historico!$A:$A,$A5,Historico!$B:$B,"H"))</f>
        <v/>
      </c>
      <c r="D5">
        <f>SUMIFS(Producao!$B:$B,Producao!$A:$A,$A5)</f>
        <v/>
      </c>
    </row>
    <row r="6">
      <c r="A6" s="38">
        <f>TODAY()-25</f>
        <v/>
      </c>
      <c r="B6">
        <f>IF(COUNTIFS(Historico!$A:$A,$A6,Historico!$B:$B,"G")=0,NA(),SUMIFS(Historico!$E:$E,Historico!$A:$A,$A6,Historico!$B:$B,"G"))</f>
        <v/>
      </c>
      <c r="C6">
        <f>IF(COUNTIFS(Historico!$A:$A,$A6,Historico!$B:$B,"H")=0,NA(),SUMIFS(Historico!$E:$E,Historico!$A:$A,$A6,Historico!$B:$B,"H"))</f>
        <v/>
      </c>
      <c r="D6">
        <f>SUMIFS(Producao!$B:$B,Producao!$A:$A,$A6)</f>
        <v/>
      </c>
    </row>
    <row r="7">
      <c r="A7" s="38">
        <f>TODAY()-24</f>
        <v/>
      </c>
      <c r="B7">
        <f>IF(COUNTIFS(Historico!$A:$A,$A7,Historico!$B:$B,"G")=0,NA(),SUMIFS(Historico!$E:$E,Historico!$A:$A,$A7,Historico!$B:$B,"G"))</f>
        <v/>
      </c>
      <c r="C7">
        <f>IF(COUNTIFS(Historico!$A:$A,$A7,Historico!$B:$B,"H")=0,NA(),SUMIFS(Historico!$E:$E,Historico!$A:$A,$A7,Historico!$B:$B,"H"))</f>
        <v/>
      </c>
      <c r="D7">
        <f>SUMIFS(Producao!$B:$B,Producao!$A:$A,$A7)</f>
        <v/>
      </c>
    </row>
    <row r="8">
      <c r="A8" s="38">
        <f>TODAY()-23</f>
        <v/>
      </c>
      <c r="B8">
        <f>IF(COUNTIFS(Historico!$A:$A,$A8,Historico!$B:$B,"G")=0,NA(),SUMIFS(Historico!$E:$E,Historico!$A:$A,$A8,Historico!$B:$B,"G"))</f>
        <v/>
      </c>
      <c r="C8">
        <f>IF(COUNTIFS(Historico!$A:$A,$A8,Historico!$B:$B,"H")=0,NA(),SUMIFS(Historico!$E:$E,Historico!$A:$A,$A8,Historico!$B:$B,"H"))</f>
        <v/>
      </c>
      <c r="D8">
        <f>SUMIFS(Producao!$B:$B,Producao!$A:$A,$A8)</f>
        <v/>
      </c>
    </row>
    <row r="9">
      <c r="A9" s="38">
        <f>TODAY()-22</f>
        <v/>
      </c>
      <c r="B9">
        <f>IF(COUNTIFS(Historico!$A:$A,$A9,Historico!$B:$B,"G")=0,NA(),SUMIFS(Historico!$E:$E,Historico!$A:$A,$A9,Historico!$B:$B,"G"))</f>
        <v/>
      </c>
      <c r="C9">
        <f>IF(COUNTIFS(Historico!$A:$A,$A9,Historico!$B:$B,"H")=0,NA(),SUMIFS(Historico!$E:$E,Historico!$A:$A,$A9,Historico!$B:$B,"H"))</f>
        <v/>
      </c>
      <c r="D9">
        <f>SUMIFS(Producao!$B:$B,Producao!$A:$A,$A9)</f>
        <v/>
      </c>
    </row>
    <row r="10">
      <c r="A10" s="38">
        <f>TODAY()-21</f>
        <v/>
      </c>
      <c r="B10">
        <f>IF(COUNTIFS(Historico!$A:$A,$A10,Historico!$B:$B,"G")=0,NA(),SUMIFS(Historico!$E:$E,Historico!$A:$A,$A10,Historico!$B:$B,"G"))</f>
        <v/>
      </c>
      <c r="C10">
        <f>IF(COUNTIFS(Historico!$A:$A,$A10,Historico!$B:$B,"H")=0,NA(),SUMIFS(Historico!$E:$E,Historico!$A:$A,$A10,Historico!$B:$B,"H"))</f>
        <v/>
      </c>
      <c r="D10">
        <f>SUMIFS(Producao!$B:$B,Producao!$A:$A,$A10)</f>
        <v/>
      </c>
    </row>
    <row r="11">
      <c r="A11" s="38">
        <f>TODAY()-20</f>
        <v/>
      </c>
      <c r="B11">
        <f>IF(COUNTIFS(Historico!$A:$A,$A11,Historico!$B:$B,"G")=0,NA(),SUMIFS(Historico!$E:$E,Historico!$A:$A,$A11,Historico!$B:$B,"G"))</f>
        <v/>
      </c>
      <c r="C11">
        <f>IF(COUNTIFS(Historico!$A:$A,$A11,Historico!$B:$B,"H")=0,NA(),SUMIFS(Historico!$E:$E,Historico!$A:$A,$A11,Historico!$B:$B,"H"))</f>
        <v/>
      </c>
      <c r="D11">
        <f>SUMIFS(Producao!$B:$B,Producao!$A:$A,$A11)</f>
        <v/>
      </c>
    </row>
    <row r="12">
      <c r="A12" s="38">
        <f>TODAY()-19</f>
        <v/>
      </c>
      <c r="B12">
        <f>IF(COUNTIFS(Historico!$A:$A,$A12,Historico!$B:$B,"G")=0,NA(),SUMIFS(Historico!$E:$E,Historico!$A:$A,$A12,Historico!$B:$B,"G"))</f>
        <v/>
      </c>
      <c r="C12">
        <f>IF(COUNTIFS(Historico!$A:$A,$A12,Historico!$B:$B,"H")=0,NA(),SUMIFS(Historico!$E:$E,Historico!$A:$A,$A12,Historico!$B:$B,"H"))</f>
        <v/>
      </c>
      <c r="D12">
        <f>SUMIFS(Producao!$B:$B,Producao!$A:$A,$A12)</f>
        <v/>
      </c>
    </row>
    <row r="13">
      <c r="A13" s="38">
        <f>TODAY()-18</f>
        <v/>
      </c>
      <c r="B13">
        <f>IF(COUNTIFS(Historico!$A:$A,$A13,Historico!$B:$B,"G")=0,NA(),SUMIFS(Historico!$E:$E,Historico!$A:$A,$A13,Historico!$B:$B,"G"))</f>
        <v/>
      </c>
      <c r="C13">
        <f>IF(COUNTIFS(Historico!$A:$A,$A13,Historico!$B:$B,"H")=0,NA(),SUMIFS(Historico!$E:$E,Historico!$A:$A,$A13,Historico!$B:$B,"H"))</f>
        <v/>
      </c>
      <c r="D13">
        <f>SUMIFS(Producao!$B:$B,Producao!$A:$A,$A13)</f>
        <v/>
      </c>
    </row>
    <row r="14">
      <c r="A14" s="38">
        <f>TODAY()-17</f>
        <v/>
      </c>
      <c r="B14">
        <f>IF(COUNTIFS(Historico!$A:$A,$A14,Historico!$B:$B,"G")=0,NA(),SUMIFS(Historico!$E:$E,Historico!$A:$A,$A14,Historico!$B:$B,"G"))</f>
        <v/>
      </c>
      <c r="C14">
        <f>IF(COUNTIFS(Historico!$A:$A,$A14,Historico!$B:$B,"H")=0,NA(),SUMIFS(Historico!$E:$E,Historico!$A:$A,$A14,Historico!$B:$B,"H"))</f>
        <v/>
      </c>
      <c r="D14">
        <f>SUMIFS(Producao!$B:$B,Producao!$A:$A,$A14)</f>
        <v/>
      </c>
    </row>
    <row r="15">
      <c r="A15" s="38">
        <f>TODAY()-16</f>
        <v/>
      </c>
      <c r="B15">
        <f>IF(COUNTIFS(Historico!$A:$A,$A15,Historico!$B:$B,"G")=0,NA(),SUMIFS(Historico!$E:$E,Historico!$A:$A,$A15,Historico!$B:$B,"G"))</f>
        <v/>
      </c>
      <c r="C15">
        <f>IF(COUNTIFS(Historico!$A:$A,$A15,Historico!$B:$B,"H")=0,NA(),SUMIFS(Historico!$E:$E,Historico!$A:$A,$A15,Historico!$B:$B,"H"))</f>
        <v/>
      </c>
      <c r="D15">
        <f>SUMIFS(Producao!$B:$B,Producao!$A:$A,$A15)</f>
        <v/>
      </c>
    </row>
    <row r="16">
      <c r="A16" s="38">
        <f>TODAY()-15</f>
        <v/>
      </c>
      <c r="B16">
        <f>IF(COUNTIFS(Historico!$A:$A,$A16,Historico!$B:$B,"G")=0,NA(),SUMIFS(Historico!$E:$E,Historico!$A:$A,$A16,Historico!$B:$B,"G"))</f>
        <v/>
      </c>
      <c r="C16">
        <f>IF(COUNTIFS(Historico!$A:$A,$A16,Historico!$B:$B,"H")=0,NA(),SUMIFS(Historico!$E:$E,Historico!$A:$A,$A16,Historico!$B:$B,"H"))</f>
        <v/>
      </c>
      <c r="D16">
        <f>SUMIFS(Producao!$B:$B,Producao!$A:$A,$A16)</f>
        <v/>
      </c>
    </row>
    <row r="17">
      <c r="A17" s="38">
        <f>TODAY()-14</f>
        <v/>
      </c>
      <c r="B17">
        <f>IF(COUNTIFS(Historico!$A:$A,$A17,Historico!$B:$B,"G")=0,NA(),SUMIFS(Historico!$E:$E,Historico!$A:$A,$A17,Historico!$B:$B,"G"))</f>
        <v/>
      </c>
      <c r="C17">
        <f>IF(COUNTIFS(Historico!$A:$A,$A17,Historico!$B:$B,"H")=0,NA(),SUMIFS(Historico!$E:$E,Historico!$A:$A,$A17,Historico!$B:$B,"H"))</f>
        <v/>
      </c>
      <c r="D17">
        <f>SUMIFS(Producao!$B:$B,Producao!$A:$A,$A17)</f>
        <v/>
      </c>
    </row>
    <row r="18">
      <c r="A18" s="38">
        <f>TODAY()-13</f>
        <v/>
      </c>
      <c r="B18">
        <f>IF(COUNTIFS(Historico!$A:$A,$A18,Historico!$B:$B,"G")=0,NA(),SUMIFS(Historico!$E:$E,Historico!$A:$A,$A18,Historico!$B:$B,"G"))</f>
        <v/>
      </c>
      <c r="C18">
        <f>IF(COUNTIFS(Historico!$A:$A,$A18,Historico!$B:$B,"H")=0,NA(),SUMIFS(Historico!$E:$E,Historico!$A:$A,$A18,Historico!$B:$B,"H"))</f>
        <v/>
      </c>
      <c r="D18">
        <f>SUMIFS(Producao!$B:$B,Producao!$A:$A,$A18)</f>
        <v/>
      </c>
    </row>
    <row r="19">
      <c r="A19" s="38">
        <f>TODAY()-12</f>
        <v/>
      </c>
      <c r="B19">
        <f>IF(COUNTIFS(Historico!$A:$A,$A19,Historico!$B:$B,"G")=0,NA(),SUMIFS(Historico!$E:$E,Historico!$A:$A,$A19,Historico!$B:$B,"G"))</f>
        <v/>
      </c>
      <c r="C19">
        <f>IF(COUNTIFS(Historico!$A:$A,$A19,Historico!$B:$B,"H")=0,NA(),SUMIFS(Historico!$E:$E,Historico!$A:$A,$A19,Historico!$B:$B,"H"))</f>
        <v/>
      </c>
      <c r="D19">
        <f>SUMIFS(Producao!$B:$B,Producao!$A:$A,$A19)</f>
        <v/>
      </c>
    </row>
    <row r="20">
      <c r="A20" s="38">
        <f>TODAY()-11</f>
        <v/>
      </c>
      <c r="B20">
        <f>IF(COUNTIFS(Historico!$A:$A,$A20,Historico!$B:$B,"G")=0,NA(),SUMIFS(Historico!$E:$E,Historico!$A:$A,$A20,Historico!$B:$B,"G"))</f>
        <v/>
      </c>
      <c r="C20">
        <f>IF(COUNTIFS(Historico!$A:$A,$A20,Historico!$B:$B,"H")=0,NA(),SUMIFS(Historico!$E:$E,Historico!$A:$A,$A20,Historico!$B:$B,"H"))</f>
        <v/>
      </c>
      <c r="D20">
        <f>SUMIFS(Producao!$B:$B,Producao!$A:$A,$A20)</f>
        <v/>
      </c>
    </row>
    <row r="21">
      <c r="A21" s="38">
        <f>TODAY()-10</f>
        <v/>
      </c>
      <c r="B21">
        <f>IF(COUNTIFS(Historico!$A:$A,$A21,Historico!$B:$B,"G")=0,NA(),SUMIFS(Historico!$E:$E,Historico!$A:$A,$A21,Historico!$B:$B,"G"))</f>
        <v/>
      </c>
      <c r="C21">
        <f>IF(COUNTIFS(Historico!$A:$A,$A21,Historico!$B:$B,"H")=0,NA(),SUMIFS(Historico!$E:$E,Historico!$A:$A,$A21,Historico!$B:$B,"H"))</f>
        <v/>
      </c>
      <c r="D21">
        <f>SUMIFS(Producao!$B:$B,Producao!$A:$A,$A21)</f>
        <v/>
      </c>
    </row>
    <row r="22">
      <c r="A22" s="38">
        <f>TODAY()-9</f>
        <v/>
      </c>
      <c r="B22">
        <f>IF(COUNTIFS(Historico!$A:$A,$A22,Historico!$B:$B,"G")=0,NA(),SUMIFS(Historico!$E:$E,Historico!$A:$A,$A22,Historico!$B:$B,"G"))</f>
        <v/>
      </c>
      <c r="C22">
        <f>IF(COUNTIFS(Historico!$A:$A,$A22,Historico!$B:$B,"H")=0,NA(),SUMIFS(Historico!$E:$E,Historico!$A:$A,$A22,Historico!$B:$B,"H"))</f>
        <v/>
      </c>
      <c r="D22">
        <f>SUMIFS(Producao!$B:$B,Producao!$A:$A,$A22)</f>
        <v/>
      </c>
    </row>
    <row r="23">
      <c r="A23" s="38">
        <f>TODAY()-8</f>
        <v/>
      </c>
      <c r="B23">
        <f>IF(COUNTIFS(Historico!$A:$A,$A23,Historico!$B:$B,"G")=0,NA(),SUMIFS(Historico!$E:$E,Historico!$A:$A,$A23,Historico!$B:$B,"G"))</f>
        <v/>
      </c>
      <c r="C23">
        <f>IF(COUNTIFS(Historico!$A:$A,$A23,Historico!$B:$B,"H")=0,NA(),SUMIFS(Historico!$E:$E,Historico!$A:$A,$A23,Historico!$B:$B,"H"))</f>
        <v/>
      </c>
      <c r="D23">
        <f>SUMIFS(Producao!$B:$B,Producao!$A:$A,$A23)</f>
        <v/>
      </c>
    </row>
    <row r="24">
      <c r="A24" s="38">
        <f>TODAY()-7</f>
        <v/>
      </c>
      <c r="B24">
        <f>IF(COUNTIFS(Historico!$A:$A,$A24,Historico!$B:$B,"G")=0,NA(),SUMIFS(Historico!$E:$E,Historico!$A:$A,$A24,Historico!$B:$B,"G"))</f>
        <v/>
      </c>
      <c r="C24">
        <f>IF(COUNTIFS(Historico!$A:$A,$A24,Historico!$B:$B,"H")=0,NA(),SUMIFS(Historico!$E:$E,Historico!$A:$A,$A24,Historico!$B:$B,"H"))</f>
        <v/>
      </c>
      <c r="D24">
        <f>SUMIFS(Producao!$B:$B,Producao!$A:$A,$A24)</f>
        <v/>
      </c>
    </row>
    <row r="25">
      <c r="A25" s="38">
        <f>TODAY()-6</f>
        <v/>
      </c>
      <c r="B25">
        <f>IF(COUNTIFS(Historico!$A:$A,$A25,Historico!$B:$B,"G")=0,NA(),SUMIFS(Historico!$E:$E,Historico!$A:$A,$A25,Historico!$B:$B,"G"))</f>
        <v/>
      </c>
      <c r="C25">
        <f>IF(COUNTIFS(Historico!$A:$A,$A25,Historico!$B:$B,"H")=0,NA(),SUMIFS(Historico!$E:$E,Historico!$A:$A,$A25,Historico!$B:$B,"H"))</f>
        <v/>
      </c>
      <c r="D25">
        <f>SUMIFS(Producao!$B:$B,Producao!$A:$A,$A25)</f>
        <v/>
      </c>
    </row>
    <row r="26">
      <c r="A26" s="38">
        <f>TODAY()-5</f>
        <v/>
      </c>
      <c r="B26">
        <f>IF(COUNTIFS(Historico!$A:$A,$A26,Historico!$B:$B,"G")=0,NA(),SUMIFS(Historico!$E:$E,Historico!$A:$A,$A26,Historico!$B:$B,"G"))</f>
        <v/>
      </c>
      <c r="C26">
        <f>IF(COUNTIFS(Historico!$A:$A,$A26,Historico!$B:$B,"H")=0,NA(),SUMIFS(Historico!$E:$E,Historico!$A:$A,$A26,Historico!$B:$B,"H"))</f>
        <v/>
      </c>
      <c r="D26">
        <f>SUMIFS(Producao!$B:$B,Producao!$A:$A,$A26)</f>
        <v/>
      </c>
    </row>
    <row r="27">
      <c r="A27" s="38">
        <f>TODAY()-4</f>
        <v/>
      </c>
      <c r="B27">
        <f>IF(COUNTIFS(Historico!$A:$A,$A27,Historico!$B:$B,"G")=0,NA(),SUMIFS(Historico!$E:$E,Historico!$A:$A,$A27,Historico!$B:$B,"G"))</f>
        <v/>
      </c>
      <c r="C27">
        <f>IF(COUNTIFS(Historico!$A:$A,$A27,Historico!$B:$B,"H")=0,NA(),SUMIFS(Historico!$E:$E,Historico!$A:$A,$A27,Historico!$B:$B,"H"))</f>
        <v/>
      </c>
      <c r="D27">
        <f>SUMIFS(Producao!$B:$B,Producao!$A:$A,$A27)</f>
        <v/>
      </c>
    </row>
    <row r="28">
      <c r="A28" s="38">
        <f>TODAY()-3</f>
        <v/>
      </c>
      <c r="B28">
        <f>IF(COUNTIFS(Historico!$A:$A,$A28,Historico!$B:$B,"G")=0,NA(),SUMIFS(Historico!$E:$E,Historico!$A:$A,$A28,Historico!$B:$B,"G"))</f>
        <v/>
      </c>
      <c r="C28">
        <f>IF(COUNTIFS(Historico!$A:$A,$A28,Historico!$B:$B,"H")=0,NA(),SUMIFS(Historico!$E:$E,Historico!$A:$A,$A28,Historico!$B:$B,"H"))</f>
        <v/>
      </c>
      <c r="D28">
        <f>SUMIFS(Producao!$B:$B,Producao!$A:$A,$A28)</f>
        <v/>
      </c>
    </row>
    <row r="29">
      <c r="A29" s="38">
        <f>TODAY()-2</f>
        <v/>
      </c>
      <c r="B29">
        <f>IF(COUNTIFS(Historico!$A:$A,$A29,Historico!$B:$B,"G")=0,NA(),SUMIFS(Historico!$E:$E,Historico!$A:$A,$A29,Historico!$B:$B,"G"))</f>
        <v/>
      </c>
      <c r="C29">
        <f>IF(COUNTIFS(Historico!$A:$A,$A29,Historico!$B:$B,"H")=0,NA(),SUMIFS(Historico!$E:$E,Historico!$A:$A,$A29,Historico!$B:$B,"H"))</f>
        <v/>
      </c>
      <c r="D29">
        <f>SUMIFS(Producao!$B:$B,Producao!$A:$A,$A29)</f>
        <v/>
      </c>
    </row>
    <row r="30">
      <c r="A30" s="38">
        <f>TODAY()-1</f>
        <v/>
      </c>
      <c r="B30">
        <f>IF(COUNTIFS(Historico!$A:$A,$A30,Historico!$B:$B,"G")=0,NA(),SUMIFS(Historico!$E:$E,Historico!$A:$A,$A30,Historico!$B:$B,"G"))</f>
        <v/>
      </c>
      <c r="C30">
        <f>IF(COUNTIFS(Historico!$A:$A,$A30,Historico!$B:$B,"H")=0,NA(),SUMIFS(Historico!$E:$E,Historico!$A:$A,$A30,Historico!$B:$B,"H"))</f>
        <v/>
      </c>
      <c r="D30">
        <f>SUMIFS(Producao!$B:$B,Producao!$A:$A,$A30)</f>
        <v/>
      </c>
    </row>
    <row r="31">
      <c r="A31" s="38">
        <f>TODAY()-0</f>
        <v/>
      </c>
      <c r="B31">
        <f>IF(COUNTIFS(Historico!$A:$A,$A31,Historico!$B:$B,"G")=0,NA(),SUMIFS(Historico!$E:$E,Historico!$A:$A,$A31,Historico!$B:$B,"G"))</f>
        <v/>
      </c>
      <c r="C31">
        <f>IF(COUNTIFS(Historico!$A:$A,$A31,Historico!$B:$B,"H")=0,NA(),SUMIFS(Historico!$E:$E,Historico!$A:$A,$A31,Historico!$B:$B,"H"))</f>
        <v/>
      </c>
      <c r="D31">
        <f>SUMIFS(Producao!$B:$B,Producao!$A:$A,$A31)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2026-10-16T14:16:19Z</dcterms:created>
  <dcterms:modified xmlns:dcterms="http://purl.org/dc/terms/" xmlns:xsi="http://www.w3.org/2001/XMLSchema-instance" xsi:type="dcterms:W3CDTF">2026-10-16T14:16:19Z</dcterms:modified>
</cp:coreProperties>
</file>