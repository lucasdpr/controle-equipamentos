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'TrocasEquip'!$A$1:$I$5000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"/>
    <numFmt numFmtId="166" formatCode="yyyy-mm-dd"/>
    <numFmt numFmtId="167" formatCode="dd/mm/yyyy;;&quot;-&quot;"/>
    <numFmt numFmtId="168" formatCode="dd/mm"/>
  </numFmts>
  <fonts count="26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C00000"/>
      <sz val="26"/>
    </font>
    <font>
      <b val="1"/>
      <color rgb="00FFFFFF"/>
      <sz val="12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0" fillId="0" borderId="0" pivotButton="0" quotePrefix="0" xfId="0"/>
    <xf numFmtId="0" fontId="18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21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2" fillId="4" borderId="3" applyAlignment="1" pivotButton="0" quotePrefix="0" xfId="0">
      <alignment horizontal="left" vertical="center" indent="1"/>
    </xf>
    <xf numFmtId="0" fontId="23" fillId="4" borderId="4" applyAlignment="1" pivotButton="0" quotePrefix="0" xfId="0">
      <alignment horizontal="left" vertical="center" indent="1"/>
    </xf>
    <xf numFmtId="0" fontId="24" fillId="4" borderId="5" applyAlignment="1" pivotButton="0" quotePrefix="0" xfId="0">
      <alignment horizontal="left" vertical="center" indent="1"/>
    </xf>
    <xf numFmtId="0" fontId="25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0" fillId="8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ont>
        <i val="1"/>
        <color rgb="00A6A6A6"/>
      </font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'Painel'!$A$21:$A$47</f>
            </numRef>
          </cat>
          <val>
            <numRef>
              <f>'Painel'!$G$21:$G$47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49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62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Você digita data, tag que saiu e motivo; acumulado, unidade e % da vida são automáticos.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componente, passo 1: na aba TrocasEquip digite Data da saída, Tag que saiu e Motivo. Acumulado, unidade, posição e % da vida aparecem sozinhos.</t>
        </is>
      </c>
    </row>
    <row r="30">
      <c r="B30" s="12" t="inlineStr">
        <is>
          <t>3.</t>
        </is>
      </c>
      <c r="C30" s="13" t="inlineStr">
        <is>
          <t>Passo 2: na aba Equipamentos, NÃO apague a linha da peça que saiu (ela fica cinza como 'Saiu' e guarda o histórico).</t>
        </is>
      </c>
    </row>
    <row r="31">
      <c r="B31" s="12" t="inlineStr">
        <is>
          <t>4.</t>
        </is>
      </c>
      <c r="C31" s="13" t="inlineStr">
        <is>
          <t>Passo 3: na primeira linha vazia da aba Equipamentos, cadastre a peça nova: Tag, Tipo, MCC, Meta, Desde (data em que entrou), Acumulado inicial (0 se nova), Veio e Posição.</t>
        </is>
      </c>
    </row>
    <row r="33">
      <c r="B33" s="4" t="inlineStr">
        <is>
          <t>Cores</t>
        </is>
      </c>
      <c r="C33" s="5" t="n"/>
    </row>
    <row r="34">
      <c r="B34" s="12" t="inlineStr">
        <is>
          <t>1.</t>
        </is>
      </c>
      <c r="C34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3:C33"/>
    <mergeCell ref="B3:C3"/>
    <mergeCell ref="B5:C5"/>
    <mergeCell ref="B22:C22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COUNT(Equipamentos!$Q$2:$Q$201)</f>
        <v/>
      </c>
      <c r="B6" s="27">
        <f>COUNTIF(Equipamentos!$K$2:$K$201,"Além da meta")</f>
        <v/>
      </c>
      <c r="C6" s="19" t="n"/>
      <c r="D6" s="28">
        <f>COUNTIF(Equipamentos!$K$2:$K$201,"Atenção")</f>
        <v/>
      </c>
      <c r="E6" s="21" t="n"/>
      <c r="F6" s="29">
        <f>COUNTIF(Equipamentos!$K$2:$K$201,"OK")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IF(Auxiliar!$F$2=0,"",INDEX(Equipamentos!$A$2:$A$201,Auxiliar!$F$2))</f>
        <v/>
      </c>
      <c r="B10" s="32">
        <f>IF(Auxiliar!$F$2=0,"",INDEX(Equipamentos!$B$2:$B$201,Auxiliar!$F$2))</f>
        <v/>
      </c>
      <c r="C10" s="33">
        <f>IF(Auxiliar!$F$2=0,"",INDEX(Equipamentos!$J$2:$J$201,Auxiliar!$F$2))</f>
        <v/>
      </c>
      <c r="D10" s="32">
        <f>IF(Auxiliar!$F$2=0,"",INDEX(Equipamentos!$K$2:$K$201,Auxiliar!$F$2))</f>
        <v/>
      </c>
      <c r="F10" s="7" t="inlineStr">
        <is>
          <t>Molde</t>
        </is>
      </c>
      <c r="G10" s="32">
        <f>COUNTIFS(Equipamentos!$B$2:$B$201,F10,Equipamentos!$K$2:$K$201,"&lt;&gt;Saiu")</f>
        <v/>
      </c>
      <c r="H10" s="33">
        <f>IF(G10=0,"",SUMPRODUCT(MAX((Equipamentos!$B$2:$B$201=F10)*Equipamentos!$M$2:$M$201)))</f>
        <v/>
      </c>
      <c r="I10" s="32">
        <f>COUNTIFS(Equipamentos!$B$2:$B$201,F10,Equipamentos!$K$2:$K$201,"Atenção")+COUNTIFS(Equipamentos!$B$2:$B$201,F10,Equipamentos!$K$2:$K$201,"Além da meta")</f>
        <v/>
      </c>
    </row>
    <row r="11">
      <c r="A11" s="7">
        <f>IF(Auxiliar!$F$3=0,"",INDEX(Equipamentos!$A$2:$A$201,Auxiliar!$F$3))</f>
        <v/>
      </c>
      <c r="B11" s="32">
        <f>IF(Auxiliar!$F$3=0,"",INDEX(Equipamentos!$B$2:$B$201,Auxiliar!$F$3))</f>
        <v/>
      </c>
      <c r="C11" s="33">
        <f>IF(Auxiliar!$F$3=0,"",INDEX(Equipamentos!$J$2:$J$201,Auxiliar!$F$3))</f>
        <v/>
      </c>
      <c r="D11" s="32">
        <f>IF(Auxiliar!$F$3=0,"",INDEX(Equipamentos!$K$2:$K$201,Auxiliar!$F$3))</f>
        <v/>
      </c>
      <c r="F11" s="7" t="inlineStr">
        <is>
          <t>Oscilador</t>
        </is>
      </c>
      <c r="G11" s="32">
        <f>COUNTIFS(Equipamentos!$B$2:$B$201,F11,Equipamentos!$K$2:$K$201,"&lt;&gt;Saiu")</f>
        <v/>
      </c>
      <c r="H11" s="33">
        <f>IF(G11=0,"",SUMPRODUCT(MAX((Equipamentos!$B$2:$B$201=F11)*Equipamentos!$M$2:$M$201)))</f>
        <v/>
      </c>
      <c r="I11" s="32">
        <f>COUNTIFS(Equipamentos!$B$2:$B$201,F11,Equipamentos!$K$2:$K$201,"Atenção")+COUNTIFS(Equipamentos!$B$2:$B$201,F11,Equipamentos!$K$2:$K$201,"Além da meta")</f>
        <v/>
      </c>
    </row>
    <row r="12">
      <c r="A12" s="7">
        <f>IF(Auxiliar!$F$4=0,"",INDEX(Equipamentos!$A$2:$A$201,Auxiliar!$F$4))</f>
        <v/>
      </c>
      <c r="B12" s="32">
        <f>IF(Auxiliar!$F$4=0,"",INDEX(Equipamentos!$B$2:$B$201,Auxiliar!$F$4))</f>
        <v/>
      </c>
      <c r="C12" s="33">
        <f>IF(Auxiliar!$F$4=0,"",INDEX(Equipamentos!$J$2:$J$201,Auxiliar!$F$4))</f>
        <v/>
      </c>
      <c r="D12" s="32">
        <f>IF(Auxiliar!$F$4=0,"",INDEX(Equipamentos!$K$2:$K$201,Auxiliar!$F$4))</f>
        <v/>
      </c>
      <c r="F12" s="7" t="inlineStr">
        <is>
          <t>Bender</t>
        </is>
      </c>
      <c r="G12" s="32">
        <f>COUNTIFS(Equipamentos!$B$2:$B$201,F12,Equipamentos!$K$2:$K$201,"&lt;&gt;Saiu")</f>
        <v/>
      </c>
      <c r="H12" s="33">
        <f>IF(G12=0,"",SUMPRODUCT(MAX((Equipamentos!$B$2:$B$201=F12)*Equipamentos!$M$2:$M$201)))</f>
        <v/>
      </c>
      <c r="I12" s="32">
        <f>COUNTIFS(Equipamentos!$B$2:$B$201,F12,Equipamentos!$K$2:$K$201,"Atenção")+COUNTIFS(Equipamentos!$B$2:$B$201,F12,Equipamentos!$K$2:$K$201,"Além da meta")</f>
        <v/>
      </c>
    </row>
    <row r="13">
      <c r="A13" s="7">
        <f>IF(Auxiliar!$F$5=0,"",INDEX(Equipamentos!$A$2:$A$201,Auxiliar!$F$5))</f>
        <v/>
      </c>
      <c r="B13" s="32">
        <f>IF(Auxiliar!$F$5=0,"",INDEX(Equipamentos!$B$2:$B$201,Auxiliar!$F$5))</f>
        <v/>
      </c>
      <c r="C13" s="33">
        <f>IF(Auxiliar!$F$5=0,"",INDEX(Equipamentos!$J$2:$J$201,Auxiliar!$F$5))</f>
        <v/>
      </c>
      <c r="D13" s="32">
        <f>IF(Auxiliar!$F$5=0,"",INDEX(Equipamentos!$K$2:$K$201,Auxiliar!$F$5))</f>
        <v/>
      </c>
      <c r="F13" s="7" t="inlineStr">
        <is>
          <t>Bow</t>
        </is>
      </c>
      <c r="G13" s="32">
        <f>COUNTIFS(Equipamentos!$B$2:$B$201,F13,Equipamentos!$K$2:$K$201,"&lt;&gt;Saiu")</f>
        <v/>
      </c>
      <c r="H13" s="33">
        <f>IF(G13=0,"",SUMPRODUCT(MAX((Equipamentos!$B$2:$B$201=F13)*Equipamentos!$M$2:$M$201)))</f>
        <v/>
      </c>
      <c r="I13" s="32">
        <f>COUNTIFS(Equipamentos!$B$2:$B$201,F13,Equipamentos!$K$2:$K$201,"Atenção")+COUNTIFS(Equipamentos!$B$2:$B$201,F13,Equipamentos!$K$2:$K$201,"Além da meta")</f>
        <v/>
      </c>
    </row>
    <row r="14">
      <c r="A14" s="7">
        <f>IF(Auxiliar!$F$6=0,"",INDEX(Equipamentos!$A$2:$A$201,Auxiliar!$F$6))</f>
        <v/>
      </c>
      <c r="B14" s="32">
        <f>IF(Auxiliar!$F$6=0,"",INDEX(Equipamentos!$B$2:$B$201,Auxiliar!$F$6))</f>
        <v/>
      </c>
      <c r="C14" s="33">
        <f>IF(Auxiliar!$F$6=0,"",INDEX(Equipamentos!$J$2:$J$201,Auxiliar!$F$6))</f>
        <v/>
      </c>
      <c r="D14" s="32">
        <f>IF(Auxiliar!$F$6=0,"",INDEX(Equipamentos!$K$2:$K$201,Auxiliar!$F$6))</f>
        <v/>
      </c>
      <c r="F14" s="7" t="inlineStr">
        <is>
          <t>Straightener R1</t>
        </is>
      </c>
      <c r="G14" s="32">
        <f>COUNTIFS(Equipamentos!$B$2:$B$201,F14,Equipamentos!$K$2:$K$201,"&lt;&gt;Saiu")</f>
        <v/>
      </c>
      <c r="H14" s="33">
        <f>IF(G14=0,"",SUMPRODUCT(MAX((Equipamentos!$B$2:$B$201=F14)*Equipamentos!$M$2:$M$201)))</f>
        <v/>
      </c>
      <c r="I14" s="32">
        <f>COUNTIFS(Equipamentos!$B$2:$B$201,F14,Equipamentos!$K$2:$K$201,"Atenção")+COUNTIFS(Equipamentos!$B$2:$B$201,F14,Equipamentos!$K$2:$K$201,"Além da meta")</f>
        <v/>
      </c>
    </row>
    <row r="15">
      <c r="A15" s="7">
        <f>IF(Auxiliar!$F$7=0,"",INDEX(Equipamentos!$A$2:$A$201,Auxiliar!$F$7))</f>
        <v/>
      </c>
      <c r="B15" s="32">
        <f>IF(Auxiliar!$F$7=0,"",INDEX(Equipamentos!$B$2:$B$201,Auxiliar!$F$7))</f>
        <v/>
      </c>
      <c r="C15" s="33">
        <f>IF(Auxiliar!$F$7=0,"",INDEX(Equipamentos!$J$2:$J$201,Auxiliar!$F$7))</f>
        <v/>
      </c>
      <c r="D15" s="32">
        <f>IF(Auxiliar!$F$7=0,"",INDEX(Equipamentos!$K$2:$K$201,Auxiliar!$F$7))</f>
        <v/>
      </c>
      <c r="F15" s="7" t="inlineStr">
        <is>
          <t>Straightener R2</t>
        </is>
      </c>
      <c r="G15" s="32">
        <f>COUNTIFS(Equipamentos!$B$2:$B$201,F15,Equipamentos!$K$2:$K$201,"&lt;&gt;Saiu")</f>
        <v/>
      </c>
      <c r="H15" s="33">
        <f>IF(G15=0,"",SUMPRODUCT(MAX((Equipamentos!$B$2:$B$201=F15)*Equipamentos!$M$2:$M$201)))</f>
        <v/>
      </c>
      <c r="I15" s="32">
        <f>COUNTIFS(Equipamentos!$B$2:$B$201,F15,Equipamentos!$K$2:$K$201,"Atenção")+COUNTIFS(Equipamentos!$B$2:$B$201,F15,Equipamentos!$K$2:$K$201,"Além da meta")</f>
        <v/>
      </c>
    </row>
    <row r="16">
      <c r="F16" s="7" t="inlineStr">
        <is>
          <t>Horizontal</t>
        </is>
      </c>
      <c r="G16" s="32">
        <f>COUNTIFS(Equipamentos!$B$2:$B$201,F16,Equipamentos!$K$2:$K$201,"&lt;&gt;Saiu")</f>
        <v/>
      </c>
      <c r="H16" s="33">
        <f>IF(G16=0,"",SUMPRODUCT(MAX((Equipamentos!$B$2:$B$201=F16)*Equipamentos!$M$2:$M$201)))</f>
        <v/>
      </c>
      <c r="I16" s="32">
        <f>COUNTIFS(Equipamentos!$B$2:$B$201,F16,Equipamentos!$K$2:$K$201,"Atenção")+COUNTIFS(Equipamentos!$B$2:$B$201,F16,Equipamentos!$K$2:$K$201,"Além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</t>
        </is>
      </c>
      <c r="B20" s="31" t="inlineStr">
        <is>
          <t>Posição</t>
        </is>
      </c>
      <c r="C20" s="31" t="inlineStr">
        <is>
          <t>Veio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IF(Auxiliar!$H$2=0,"",IF(INDEX(Equipamentos!$A:$A,Auxiliar!$H$2)="","",INDEX(Equipamentos!$A:$A,Auxiliar!$H$2)))</f>
        <v/>
      </c>
      <c r="B21" s="32">
        <f>IF(Auxiliar!$H$2=0,"",IF(INDEX(Equipamentos!$N:$N,Auxiliar!$H$2)="","",INDEX(Equipamentos!$N:$N,Auxiliar!$H$2)))</f>
        <v/>
      </c>
      <c r="C21" s="32">
        <f>IF(Auxiliar!$H$2=0,"",IF(INDEX(Equipamentos!$L:$L,Auxiliar!$H$2)="","",INDEX(Equipamentos!$L:$L,Auxiliar!$H$2)))</f>
        <v/>
      </c>
      <c r="D21" s="34">
        <f>IF(Auxiliar!$H$2=0,"",IF(INDEX(Equipamentos!$E:$E,Auxiliar!$H$2)="","",INDEX(Equipamentos!$E:$E,Auxiliar!$H$2)))</f>
        <v/>
      </c>
      <c r="E21" s="34">
        <f>IF(Auxiliar!$H$2=0,"",IF(INDEX(Equipamentos!$H:$H,Auxiliar!$H$2)="","",INDEX(Equipamentos!$H:$H,Auxiliar!$H$2)))</f>
        <v/>
      </c>
      <c r="F21" s="34">
        <f>IF(Auxiliar!$H$2=0,"",IF(INDEX(Equipamentos!$I:$I,Auxiliar!$H$2)="","",INDEX(Equipamentos!$I:$I,Auxiliar!$H$2)))</f>
        <v/>
      </c>
      <c r="G21" s="35">
        <f>IF(Auxiliar!$H$2=0,"",IF(INDEX(Equipamentos!$J:$J,Auxiliar!$H$2)="","",INDEX(Equipamentos!$J:$J,Auxiliar!$H$2)))</f>
        <v/>
      </c>
      <c r="H21" s="32">
        <f>IF(Auxiliar!$H$2=0,"",IF(INDEX(Equipamentos!$K:$K,Auxiliar!$H$2)="","",INDEX(Equipamentos!$K:$K,Auxiliar!$H$2)))</f>
        <v/>
      </c>
      <c r="I21" s="36">
        <f>IF(Auxiliar!$H$2=0,"",IF(INDEX(Equipamentos!$F:$F,Auxiliar!$H$2)="","",INDEX(Equipamentos!$F:$F,Auxiliar!$H$2)))</f>
        <v/>
      </c>
    </row>
    <row r="22">
      <c r="A22" s="7">
        <f>IF(Auxiliar!$H$3=0,"",IF(INDEX(Equipamentos!$A:$A,Auxiliar!$H$3)="","",INDEX(Equipamentos!$A:$A,Auxiliar!$H$3)))</f>
        <v/>
      </c>
      <c r="B22" s="32">
        <f>IF(Auxiliar!$H$3=0,"",IF(INDEX(Equipamentos!$N:$N,Auxiliar!$H$3)="","",INDEX(Equipamentos!$N:$N,Auxiliar!$H$3)))</f>
        <v/>
      </c>
      <c r="C22" s="32">
        <f>IF(Auxiliar!$H$3=0,"",IF(INDEX(Equipamentos!$L:$L,Auxiliar!$H$3)="","",INDEX(Equipamentos!$L:$L,Auxiliar!$H$3)))</f>
        <v/>
      </c>
      <c r="D22" s="34">
        <f>IF(Auxiliar!$H$3=0,"",IF(INDEX(Equipamentos!$E:$E,Auxiliar!$H$3)="","",INDEX(Equipamentos!$E:$E,Auxiliar!$H$3)))</f>
        <v/>
      </c>
      <c r="E22" s="34">
        <f>IF(Auxiliar!$H$3=0,"",IF(INDEX(Equipamentos!$H:$H,Auxiliar!$H$3)="","",INDEX(Equipamentos!$H:$H,Auxiliar!$H$3)))</f>
        <v/>
      </c>
      <c r="F22" s="34">
        <f>IF(Auxiliar!$H$3=0,"",IF(INDEX(Equipamentos!$I:$I,Auxiliar!$H$3)="","",INDEX(Equipamentos!$I:$I,Auxiliar!$H$3)))</f>
        <v/>
      </c>
      <c r="G22" s="35">
        <f>IF(Auxiliar!$H$3=0,"",IF(INDEX(Equipamentos!$J:$J,Auxiliar!$H$3)="","",INDEX(Equipamentos!$J:$J,Auxiliar!$H$3)))</f>
        <v/>
      </c>
      <c r="H22" s="32">
        <f>IF(Auxiliar!$H$3=0,"",IF(INDEX(Equipamentos!$K:$K,Auxiliar!$H$3)="","",INDEX(Equipamentos!$K:$K,Auxiliar!$H$3)))</f>
        <v/>
      </c>
      <c r="I22" s="36">
        <f>IF(Auxiliar!$H$3=0,"",IF(INDEX(Equipamentos!$F:$F,Auxiliar!$H$3)="","",INDEX(Equipamentos!$F:$F,Auxiliar!$H$3)))</f>
        <v/>
      </c>
    </row>
    <row r="23">
      <c r="A23" s="7">
        <f>IF(Auxiliar!$H$4=0,"",IF(INDEX(Equipamentos!$A:$A,Auxiliar!$H$4)="","",INDEX(Equipamentos!$A:$A,Auxiliar!$H$4)))</f>
        <v/>
      </c>
      <c r="B23" s="32">
        <f>IF(Auxiliar!$H$4=0,"",IF(INDEX(Equipamentos!$N:$N,Auxiliar!$H$4)="","",INDEX(Equipamentos!$N:$N,Auxiliar!$H$4)))</f>
        <v/>
      </c>
      <c r="C23" s="32">
        <f>IF(Auxiliar!$H$4=0,"",IF(INDEX(Equipamentos!$L:$L,Auxiliar!$H$4)="","",INDEX(Equipamentos!$L:$L,Auxiliar!$H$4)))</f>
        <v/>
      </c>
      <c r="D23" s="34">
        <f>IF(Auxiliar!$H$4=0,"",IF(INDEX(Equipamentos!$E:$E,Auxiliar!$H$4)="","",INDEX(Equipamentos!$E:$E,Auxiliar!$H$4)))</f>
        <v/>
      </c>
      <c r="E23" s="34">
        <f>IF(Auxiliar!$H$4=0,"",IF(INDEX(Equipamentos!$H:$H,Auxiliar!$H$4)="","",INDEX(Equipamentos!$H:$H,Auxiliar!$H$4)))</f>
        <v/>
      </c>
      <c r="F23" s="34">
        <f>IF(Auxiliar!$H$4=0,"",IF(INDEX(Equipamentos!$I:$I,Auxiliar!$H$4)="","",INDEX(Equipamentos!$I:$I,Auxiliar!$H$4)))</f>
        <v/>
      </c>
      <c r="G23" s="35">
        <f>IF(Auxiliar!$H$4=0,"",IF(INDEX(Equipamentos!$J:$J,Auxiliar!$H$4)="","",INDEX(Equipamentos!$J:$J,Auxiliar!$H$4)))</f>
        <v/>
      </c>
      <c r="H23" s="32">
        <f>IF(Auxiliar!$H$4=0,"",IF(INDEX(Equipamentos!$K:$K,Auxiliar!$H$4)="","",INDEX(Equipamentos!$K:$K,Auxiliar!$H$4)))</f>
        <v/>
      </c>
      <c r="I23" s="36">
        <f>IF(Auxiliar!$H$4=0,"",IF(INDEX(Equipamentos!$F:$F,Auxiliar!$H$4)="","",INDEX(Equipamentos!$F:$F,Auxiliar!$H$4)))</f>
        <v/>
      </c>
    </row>
    <row r="24">
      <c r="A24" s="7">
        <f>IF(Auxiliar!$H$5=0,"",IF(INDEX(Equipamentos!$A:$A,Auxiliar!$H$5)="","",INDEX(Equipamentos!$A:$A,Auxiliar!$H$5)))</f>
        <v/>
      </c>
      <c r="B24" s="32">
        <f>IF(Auxiliar!$H$5=0,"",IF(INDEX(Equipamentos!$N:$N,Auxiliar!$H$5)="","",INDEX(Equipamentos!$N:$N,Auxiliar!$H$5)))</f>
        <v/>
      </c>
      <c r="C24" s="32">
        <f>IF(Auxiliar!$H$5=0,"",IF(INDEX(Equipamentos!$L:$L,Auxiliar!$H$5)="","",INDEX(Equipamentos!$L:$L,Auxiliar!$H$5)))</f>
        <v/>
      </c>
      <c r="D24" s="34">
        <f>IF(Auxiliar!$H$5=0,"",IF(INDEX(Equipamentos!$E:$E,Auxiliar!$H$5)="","",INDEX(Equipamentos!$E:$E,Auxiliar!$H$5)))</f>
        <v/>
      </c>
      <c r="E24" s="34">
        <f>IF(Auxiliar!$H$5=0,"",IF(INDEX(Equipamentos!$H:$H,Auxiliar!$H$5)="","",INDEX(Equipamentos!$H:$H,Auxiliar!$H$5)))</f>
        <v/>
      </c>
      <c r="F24" s="34">
        <f>IF(Auxiliar!$H$5=0,"",IF(INDEX(Equipamentos!$I:$I,Auxiliar!$H$5)="","",INDEX(Equipamentos!$I:$I,Auxiliar!$H$5)))</f>
        <v/>
      </c>
      <c r="G24" s="35">
        <f>IF(Auxiliar!$H$5=0,"",IF(INDEX(Equipamentos!$J:$J,Auxiliar!$H$5)="","",INDEX(Equipamentos!$J:$J,Auxiliar!$H$5)))</f>
        <v/>
      </c>
      <c r="H24" s="32">
        <f>IF(Auxiliar!$H$5=0,"",IF(INDEX(Equipamentos!$K:$K,Auxiliar!$H$5)="","",INDEX(Equipamentos!$K:$K,Auxiliar!$H$5)))</f>
        <v/>
      </c>
      <c r="I24" s="36">
        <f>IF(Auxiliar!$H$5=0,"",IF(INDEX(Equipamentos!$F:$F,Auxiliar!$H$5)="","",INDEX(Equipamentos!$F:$F,Auxiliar!$H$5)))</f>
        <v/>
      </c>
    </row>
    <row r="25">
      <c r="A25" s="7">
        <f>IF(Auxiliar!$H$6=0,"",IF(INDEX(Equipamentos!$A:$A,Auxiliar!$H$6)="","",INDEX(Equipamentos!$A:$A,Auxiliar!$H$6)))</f>
        <v/>
      </c>
      <c r="B25" s="32">
        <f>IF(Auxiliar!$H$6=0,"",IF(INDEX(Equipamentos!$N:$N,Auxiliar!$H$6)="","",INDEX(Equipamentos!$N:$N,Auxiliar!$H$6)))</f>
        <v/>
      </c>
      <c r="C25" s="32">
        <f>IF(Auxiliar!$H$6=0,"",IF(INDEX(Equipamentos!$L:$L,Auxiliar!$H$6)="","",INDEX(Equipamentos!$L:$L,Auxiliar!$H$6)))</f>
        <v/>
      </c>
      <c r="D25" s="34">
        <f>IF(Auxiliar!$H$6=0,"",IF(INDEX(Equipamentos!$E:$E,Auxiliar!$H$6)="","",INDEX(Equipamentos!$E:$E,Auxiliar!$H$6)))</f>
        <v/>
      </c>
      <c r="E25" s="34">
        <f>IF(Auxiliar!$H$6=0,"",IF(INDEX(Equipamentos!$H:$H,Auxiliar!$H$6)="","",INDEX(Equipamentos!$H:$H,Auxiliar!$H$6)))</f>
        <v/>
      </c>
      <c r="F25" s="34">
        <f>IF(Auxiliar!$H$6=0,"",IF(INDEX(Equipamentos!$I:$I,Auxiliar!$H$6)="","",INDEX(Equipamentos!$I:$I,Auxiliar!$H$6)))</f>
        <v/>
      </c>
      <c r="G25" s="35">
        <f>IF(Auxiliar!$H$6=0,"",IF(INDEX(Equipamentos!$J:$J,Auxiliar!$H$6)="","",INDEX(Equipamentos!$J:$J,Auxiliar!$H$6)))</f>
        <v/>
      </c>
      <c r="H25" s="32">
        <f>IF(Auxiliar!$H$6=0,"",IF(INDEX(Equipamentos!$K:$K,Auxiliar!$H$6)="","",INDEX(Equipamentos!$K:$K,Auxiliar!$H$6)))</f>
        <v/>
      </c>
      <c r="I25" s="36">
        <f>IF(Auxiliar!$H$6=0,"",IF(INDEX(Equipamentos!$F:$F,Auxiliar!$H$6)="","",INDEX(Equipamentos!$F:$F,Auxiliar!$H$6)))</f>
        <v/>
      </c>
    </row>
    <row r="26">
      <c r="A26" s="7">
        <f>IF(Auxiliar!$H$7=0,"",IF(INDEX(Equipamentos!$A:$A,Auxiliar!$H$7)="","",INDEX(Equipamentos!$A:$A,Auxiliar!$H$7)))</f>
        <v/>
      </c>
      <c r="B26" s="32">
        <f>IF(Auxiliar!$H$7=0,"",IF(INDEX(Equipamentos!$N:$N,Auxiliar!$H$7)="","",INDEX(Equipamentos!$N:$N,Auxiliar!$H$7)))</f>
        <v/>
      </c>
      <c r="C26" s="32">
        <f>IF(Auxiliar!$H$7=0,"",IF(INDEX(Equipamentos!$L:$L,Auxiliar!$H$7)="","",INDEX(Equipamentos!$L:$L,Auxiliar!$H$7)))</f>
        <v/>
      </c>
      <c r="D26" s="34">
        <f>IF(Auxiliar!$H$7=0,"",IF(INDEX(Equipamentos!$E:$E,Auxiliar!$H$7)="","",INDEX(Equipamentos!$E:$E,Auxiliar!$H$7)))</f>
        <v/>
      </c>
      <c r="E26" s="34">
        <f>IF(Auxiliar!$H$7=0,"",IF(INDEX(Equipamentos!$H:$H,Auxiliar!$H$7)="","",INDEX(Equipamentos!$H:$H,Auxiliar!$H$7)))</f>
        <v/>
      </c>
      <c r="F26" s="34">
        <f>IF(Auxiliar!$H$7=0,"",IF(INDEX(Equipamentos!$I:$I,Auxiliar!$H$7)="","",INDEX(Equipamentos!$I:$I,Auxiliar!$H$7)))</f>
        <v/>
      </c>
      <c r="G26" s="35">
        <f>IF(Auxiliar!$H$7=0,"",IF(INDEX(Equipamentos!$J:$J,Auxiliar!$H$7)="","",INDEX(Equipamentos!$J:$J,Auxiliar!$H$7)))</f>
        <v/>
      </c>
      <c r="H26" s="32">
        <f>IF(Auxiliar!$H$7=0,"",IF(INDEX(Equipamentos!$K:$K,Auxiliar!$H$7)="","",INDEX(Equipamentos!$K:$K,Auxiliar!$H$7)))</f>
        <v/>
      </c>
      <c r="I26" s="36">
        <f>IF(Auxiliar!$H$7=0,"",IF(INDEX(Equipamentos!$F:$F,Auxiliar!$H$7)="","",INDEX(Equipamentos!$F:$F,Auxiliar!$H$7)))</f>
        <v/>
      </c>
    </row>
    <row r="27">
      <c r="A27" s="7">
        <f>IF(Auxiliar!$H$8=0,"",IF(INDEX(Equipamentos!$A:$A,Auxiliar!$H$8)="","",INDEX(Equipamentos!$A:$A,Auxiliar!$H$8)))</f>
        <v/>
      </c>
      <c r="B27" s="32">
        <f>IF(Auxiliar!$H$8=0,"",IF(INDEX(Equipamentos!$N:$N,Auxiliar!$H$8)="","",INDEX(Equipamentos!$N:$N,Auxiliar!$H$8)))</f>
        <v/>
      </c>
      <c r="C27" s="32">
        <f>IF(Auxiliar!$H$8=0,"",IF(INDEX(Equipamentos!$L:$L,Auxiliar!$H$8)="","",INDEX(Equipamentos!$L:$L,Auxiliar!$H$8)))</f>
        <v/>
      </c>
      <c r="D27" s="34">
        <f>IF(Auxiliar!$H$8=0,"",IF(INDEX(Equipamentos!$E:$E,Auxiliar!$H$8)="","",INDEX(Equipamentos!$E:$E,Auxiliar!$H$8)))</f>
        <v/>
      </c>
      <c r="E27" s="34">
        <f>IF(Auxiliar!$H$8=0,"",IF(INDEX(Equipamentos!$H:$H,Auxiliar!$H$8)="","",INDEX(Equipamentos!$H:$H,Auxiliar!$H$8)))</f>
        <v/>
      </c>
      <c r="F27" s="34">
        <f>IF(Auxiliar!$H$8=0,"",IF(INDEX(Equipamentos!$I:$I,Auxiliar!$H$8)="","",INDEX(Equipamentos!$I:$I,Auxiliar!$H$8)))</f>
        <v/>
      </c>
      <c r="G27" s="35">
        <f>IF(Auxiliar!$H$8=0,"",IF(INDEX(Equipamentos!$J:$J,Auxiliar!$H$8)="","",INDEX(Equipamentos!$J:$J,Auxiliar!$H$8)))</f>
        <v/>
      </c>
      <c r="H27" s="32">
        <f>IF(Auxiliar!$H$8=0,"",IF(INDEX(Equipamentos!$K:$K,Auxiliar!$H$8)="","",INDEX(Equipamentos!$K:$K,Auxiliar!$H$8)))</f>
        <v/>
      </c>
      <c r="I27" s="36">
        <f>IF(Auxiliar!$H$8=0,"",IF(INDEX(Equipamentos!$F:$F,Auxiliar!$H$8)="","",INDEX(Equipamentos!$F:$F,Auxiliar!$H$8)))</f>
        <v/>
      </c>
    </row>
    <row r="28">
      <c r="A28" s="7">
        <f>IF(Auxiliar!$H$9=0,"",IF(INDEX(Equipamentos!$A:$A,Auxiliar!$H$9)="","",INDEX(Equipamentos!$A:$A,Auxiliar!$H$9)))</f>
        <v/>
      </c>
      <c r="B28" s="32">
        <f>IF(Auxiliar!$H$9=0,"",IF(INDEX(Equipamentos!$N:$N,Auxiliar!$H$9)="","",INDEX(Equipamentos!$N:$N,Auxiliar!$H$9)))</f>
        <v/>
      </c>
      <c r="C28" s="32">
        <f>IF(Auxiliar!$H$9=0,"",IF(INDEX(Equipamentos!$L:$L,Auxiliar!$H$9)="","",INDEX(Equipamentos!$L:$L,Auxiliar!$H$9)))</f>
        <v/>
      </c>
      <c r="D28" s="34">
        <f>IF(Auxiliar!$H$9=0,"",IF(INDEX(Equipamentos!$E:$E,Auxiliar!$H$9)="","",INDEX(Equipamentos!$E:$E,Auxiliar!$H$9)))</f>
        <v/>
      </c>
      <c r="E28" s="34">
        <f>IF(Auxiliar!$H$9=0,"",IF(INDEX(Equipamentos!$H:$H,Auxiliar!$H$9)="","",INDEX(Equipamentos!$H:$H,Auxiliar!$H$9)))</f>
        <v/>
      </c>
      <c r="F28" s="34">
        <f>IF(Auxiliar!$H$9=0,"",IF(INDEX(Equipamentos!$I:$I,Auxiliar!$H$9)="","",INDEX(Equipamentos!$I:$I,Auxiliar!$H$9)))</f>
        <v/>
      </c>
      <c r="G28" s="35">
        <f>IF(Auxiliar!$H$9=0,"",IF(INDEX(Equipamentos!$J:$J,Auxiliar!$H$9)="","",INDEX(Equipamentos!$J:$J,Auxiliar!$H$9)))</f>
        <v/>
      </c>
      <c r="H28" s="32">
        <f>IF(Auxiliar!$H$9=0,"",IF(INDEX(Equipamentos!$K:$K,Auxiliar!$H$9)="","",INDEX(Equipamentos!$K:$K,Auxiliar!$H$9)))</f>
        <v/>
      </c>
      <c r="I28" s="36">
        <f>IF(Auxiliar!$H$9=0,"",IF(INDEX(Equipamentos!$F:$F,Auxiliar!$H$9)="","",INDEX(Equipamentos!$F:$F,Auxiliar!$H$9)))</f>
        <v/>
      </c>
    </row>
    <row r="29">
      <c r="A29" s="7">
        <f>IF(Auxiliar!$H$10=0,"",IF(INDEX(Equipamentos!$A:$A,Auxiliar!$H$10)="","",INDEX(Equipamentos!$A:$A,Auxiliar!$H$10)))</f>
        <v/>
      </c>
      <c r="B29" s="32">
        <f>IF(Auxiliar!$H$10=0,"",IF(INDEX(Equipamentos!$N:$N,Auxiliar!$H$10)="","",INDEX(Equipamentos!$N:$N,Auxiliar!$H$10)))</f>
        <v/>
      </c>
      <c r="C29" s="32">
        <f>IF(Auxiliar!$H$10=0,"",IF(INDEX(Equipamentos!$L:$L,Auxiliar!$H$10)="","",INDEX(Equipamentos!$L:$L,Auxiliar!$H$10)))</f>
        <v/>
      </c>
      <c r="D29" s="34">
        <f>IF(Auxiliar!$H$10=0,"",IF(INDEX(Equipamentos!$E:$E,Auxiliar!$H$10)="","",INDEX(Equipamentos!$E:$E,Auxiliar!$H$10)))</f>
        <v/>
      </c>
      <c r="E29" s="34">
        <f>IF(Auxiliar!$H$10=0,"",IF(INDEX(Equipamentos!$H:$H,Auxiliar!$H$10)="","",INDEX(Equipamentos!$H:$H,Auxiliar!$H$10)))</f>
        <v/>
      </c>
      <c r="F29" s="34">
        <f>IF(Auxiliar!$H$10=0,"",IF(INDEX(Equipamentos!$I:$I,Auxiliar!$H$10)="","",INDEX(Equipamentos!$I:$I,Auxiliar!$H$10)))</f>
        <v/>
      </c>
      <c r="G29" s="35">
        <f>IF(Auxiliar!$H$10=0,"",IF(INDEX(Equipamentos!$J:$J,Auxiliar!$H$10)="","",INDEX(Equipamentos!$J:$J,Auxiliar!$H$10)))</f>
        <v/>
      </c>
      <c r="H29" s="32">
        <f>IF(Auxiliar!$H$10=0,"",IF(INDEX(Equipamentos!$K:$K,Auxiliar!$H$10)="","",INDEX(Equipamentos!$K:$K,Auxiliar!$H$10)))</f>
        <v/>
      </c>
      <c r="I29" s="36">
        <f>IF(Auxiliar!$H$10=0,"",IF(INDEX(Equipamentos!$F:$F,Auxiliar!$H$10)="","",INDEX(Equipamentos!$F:$F,Auxiliar!$H$10)))</f>
        <v/>
      </c>
    </row>
    <row r="30">
      <c r="A30" s="7">
        <f>IF(Auxiliar!$H$11=0,"",IF(INDEX(Equipamentos!$A:$A,Auxiliar!$H$11)="","",INDEX(Equipamentos!$A:$A,Auxiliar!$H$11)))</f>
        <v/>
      </c>
      <c r="B30" s="32">
        <f>IF(Auxiliar!$H$11=0,"",IF(INDEX(Equipamentos!$N:$N,Auxiliar!$H$11)="","",INDEX(Equipamentos!$N:$N,Auxiliar!$H$11)))</f>
        <v/>
      </c>
      <c r="C30" s="32">
        <f>IF(Auxiliar!$H$11=0,"",IF(INDEX(Equipamentos!$L:$L,Auxiliar!$H$11)="","",INDEX(Equipamentos!$L:$L,Auxiliar!$H$11)))</f>
        <v/>
      </c>
      <c r="D30" s="34">
        <f>IF(Auxiliar!$H$11=0,"",IF(INDEX(Equipamentos!$E:$E,Auxiliar!$H$11)="","",INDEX(Equipamentos!$E:$E,Auxiliar!$H$11)))</f>
        <v/>
      </c>
      <c r="E30" s="34">
        <f>IF(Auxiliar!$H$11=0,"",IF(INDEX(Equipamentos!$H:$H,Auxiliar!$H$11)="","",INDEX(Equipamentos!$H:$H,Auxiliar!$H$11)))</f>
        <v/>
      </c>
      <c r="F30" s="34">
        <f>IF(Auxiliar!$H$11=0,"",IF(INDEX(Equipamentos!$I:$I,Auxiliar!$H$11)="","",INDEX(Equipamentos!$I:$I,Auxiliar!$H$11)))</f>
        <v/>
      </c>
      <c r="G30" s="35">
        <f>IF(Auxiliar!$H$11=0,"",IF(INDEX(Equipamentos!$J:$J,Auxiliar!$H$11)="","",INDEX(Equipamentos!$J:$J,Auxiliar!$H$11)))</f>
        <v/>
      </c>
      <c r="H30" s="32">
        <f>IF(Auxiliar!$H$11=0,"",IF(INDEX(Equipamentos!$K:$K,Auxiliar!$H$11)="","",INDEX(Equipamentos!$K:$K,Auxiliar!$H$11)))</f>
        <v/>
      </c>
      <c r="I30" s="36">
        <f>IF(Auxiliar!$H$11=0,"",IF(INDEX(Equipamentos!$F:$F,Auxiliar!$H$11)="","",INDEX(Equipamentos!$F:$F,Auxiliar!$H$11)))</f>
        <v/>
      </c>
    </row>
    <row r="31">
      <c r="A31" s="7">
        <f>IF(Auxiliar!$H$12=0,"",IF(INDEX(Equipamentos!$A:$A,Auxiliar!$H$12)="","",INDEX(Equipamentos!$A:$A,Auxiliar!$H$12)))</f>
        <v/>
      </c>
      <c r="B31" s="32">
        <f>IF(Auxiliar!$H$12=0,"",IF(INDEX(Equipamentos!$N:$N,Auxiliar!$H$12)="","",INDEX(Equipamentos!$N:$N,Auxiliar!$H$12)))</f>
        <v/>
      </c>
      <c r="C31" s="32">
        <f>IF(Auxiliar!$H$12=0,"",IF(INDEX(Equipamentos!$L:$L,Auxiliar!$H$12)="","",INDEX(Equipamentos!$L:$L,Auxiliar!$H$12)))</f>
        <v/>
      </c>
      <c r="D31" s="34">
        <f>IF(Auxiliar!$H$12=0,"",IF(INDEX(Equipamentos!$E:$E,Auxiliar!$H$12)="","",INDEX(Equipamentos!$E:$E,Auxiliar!$H$12)))</f>
        <v/>
      </c>
      <c r="E31" s="34">
        <f>IF(Auxiliar!$H$12=0,"",IF(INDEX(Equipamentos!$H:$H,Auxiliar!$H$12)="","",INDEX(Equipamentos!$H:$H,Auxiliar!$H$12)))</f>
        <v/>
      </c>
      <c r="F31" s="34">
        <f>IF(Auxiliar!$H$12=0,"",IF(INDEX(Equipamentos!$I:$I,Auxiliar!$H$12)="","",INDEX(Equipamentos!$I:$I,Auxiliar!$H$12)))</f>
        <v/>
      </c>
      <c r="G31" s="35">
        <f>IF(Auxiliar!$H$12=0,"",IF(INDEX(Equipamentos!$J:$J,Auxiliar!$H$12)="","",INDEX(Equipamentos!$J:$J,Auxiliar!$H$12)))</f>
        <v/>
      </c>
      <c r="H31" s="32">
        <f>IF(Auxiliar!$H$12=0,"",IF(INDEX(Equipamentos!$K:$K,Auxiliar!$H$12)="","",INDEX(Equipamentos!$K:$K,Auxiliar!$H$12)))</f>
        <v/>
      </c>
      <c r="I31" s="36">
        <f>IF(Auxiliar!$H$12=0,"",IF(INDEX(Equipamentos!$F:$F,Auxiliar!$H$12)="","",INDEX(Equipamentos!$F:$F,Auxiliar!$H$12)))</f>
        <v/>
      </c>
    </row>
    <row r="32">
      <c r="A32" s="7">
        <f>IF(Auxiliar!$H$13=0,"",IF(INDEX(Equipamentos!$A:$A,Auxiliar!$H$13)="","",INDEX(Equipamentos!$A:$A,Auxiliar!$H$13)))</f>
        <v/>
      </c>
      <c r="B32" s="32">
        <f>IF(Auxiliar!$H$13=0,"",IF(INDEX(Equipamentos!$N:$N,Auxiliar!$H$13)="","",INDEX(Equipamentos!$N:$N,Auxiliar!$H$13)))</f>
        <v/>
      </c>
      <c r="C32" s="32">
        <f>IF(Auxiliar!$H$13=0,"",IF(INDEX(Equipamentos!$L:$L,Auxiliar!$H$13)="","",INDEX(Equipamentos!$L:$L,Auxiliar!$H$13)))</f>
        <v/>
      </c>
      <c r="D32" s="34">
        <f>IF(Auxiliar!$H$13=0,"",IF(INDEX(Equipamentos!$E:$E,Auxiliar!$H$13)="","",INDEX(Equipamentos!$E:$E,Auxiliar!$H$13)))</f>
        <v/>
      </c>
      <c r="E32" s="34">
        <f>IF(Auxiliar!$H$13=0,"",IF(INDEX(Equipamentos!$H:$H,Auxiliar!$H$13)="","",INDEX(Equipamentos!$H:$H,Auxiliar!$H$13)))</f>
        <v/>
      </c>
      <c r="F32" s="34">
        <f>IF(Auxiliar!$H$13=0,"",IF(INDEX(Equipamentos!$I:$I,Auxiliar!$H$13)="","",INDEX(Equipamentos!$I:$I,Auxiliar!$H$13)))</f>
        <v/>
      </c>
      <c r="G32" s="35">
        <f>IF(Auxiliar!$H$13=0,"",IF(INDEX(Equipamentos!$J:$J,Auxiliar!$H$13)="","",INDEX(Equipamentos!$J:$J,Auxiliar!$H$13)))</f>
        <v/>
      </c>
      <c r="H32" s="32">
        <f>IF(Auxiliar!$H$13=0,"",IF(INDEX(Equipamentos!$K:$K,Auxiliar!$H$13)="","",INDEX(Equipamentos!$K:$K,Auxiliar!$H$13)))</f>
        <v/>
      </c>
      <c r="I32" s="36">
        <f>IF(Auxiliar!$H$13=0,"",IF(INDEX(Equipamentos!$F:$F,Auxiliar!$H$13)="","",INDEX(Equipamentos!$F:$F,Auxiliar!$H$13)))</f>
        <v/>
      </c>
    </row>
    <row r="33">
      <c r="A33" s="7">
        <f>IF(Auxiliar!$H$14=0,"",IF(INDEX(Equipamentos!$A:$A,Auxiliar!$H$14)="","",INDEX(Equipamentos!$A:$A,Auxiliar!$H$14)))</f>
        <v/>
      </c>
      <c r="B33" s="32">
        <f>IF(Auxiliar!$H$14=0,"",IF(INDEX(Equipamentos!$N:$N,Auxiliar!$H$14)="","",INDEX(Equipamentos!$N:$N,Auxiliar!$H$14)))</f>
        <v/>
      </c>
      <c r="C33" s="32">
        <f>IF(Auxiliar!$H$14=0,"",IF(INDEX(Equipamentos!$L:$L,Auxiliar!$H$14)="","",INDEX(Equipamentos!$L:$L,Auxiliar!$H$14)))</f>
        <v/>
      </c>
      <c r="D33" s="34">
        <f>IF(Auxiliar!$H$14=0,"",IF(INDEX(Equipamentos!$E:$E,Auxiliar!$H$14)="","",INDEX(Equipamentos!$E:$E,Auxiliar!$H$14)))</f>
        <v/>
      </c>
      <c r="E33" s="34">
        <f>IF(Auxiliar!$H$14=0,"",IF(INDEX(Equipamentos!$H:$H,Auxiliar!$H$14)="","",INDEX(Equipamentos!$H:$H,Auxiliar!$H$14)))</f>
        <v/>
      </c>
      <c r="F33" s="34">
        <f>IF(Auxiliar!$H$14=0,"",IF(INDEX(Equipamentos!$I:$I,Auxiliar!$H$14)="","",INDEX(Equipamentos!$I:$I,Auxiliar!$H$14)))</f>
        <v/>
      </c>
      <c r="G33" s="35">
        <f>IF(Auxiliar!$H$14=0,"",IF(INDEX(Equipamentos!$J:$J,Auxiliar!$H$14)="","",INDEX(Equipamentos!$J:$J,Auxiliar!$H$14)))</f>
        <v/>
      </c>
      <c r="H33" s="32">
        <f>IF(Auxiliar!$H$14=0,"",IF(INDEX(Equipamentos!$K:$K,Auxiliar!$H$14)="","",INDEX(Equipamentos!$K:$K,Auxiliar!$H$14)))</f>
        <v/>
      </c>
      <c r="I33" s="36">
        <f>IF(Auxiliar!$H$14=0,"",IF(INDEX(Equipamentos!$F:$F,Auxiliar!$H$14)="","",INDEX(Equipamentos!$F:$F,Auxiliar!$H$14)))</f>
        <v/>
      </c>
    </row>
    <row r="34">
      <c r="A34" s="7">
        <f>IF(Auxiliar!$H$15=0,"",IF(INDEX(Equipamentos!$A:$A,Auxiliar!$H$15)="","",INDEX(Equipamentos!$A:$A,Auxiliar!$H$15)))</f>
        <v/>
      </c>
      <c r="B34" s="32">
        <f>IF(Auxiliar!$H$15=0,"",IF(INDEX(Equipamentos!$N:$N,Auxiliar!$H$15)="","",INDEX(Equipamentos!$N:$N,Auxiliar!$H$15)))</f>
        <v/>
      </c>
      <c r="C34" s="32">
        <f>IF(Auxiliar!$H$15=0,"",IF(INDEX(Equipamentos!$L:$L,Auxiliar!$H$15)="","",INDEX(Equipamentos!$L:$L,Auxiliar!$H$15)))</f>
        <v/>
      </c>
      <c r="D34" s="34">
        <f>IF(Auxiliar!$H$15=0,"",IF(INDEX(Equipamentos!$E:$E,Auxiliar!$H$15)="","",INDEX(Equipamentos!$E:$E,Auxiliar!$H$15)))</f>
        <v/>
      </c>
      <c r="E34" s="34">
        <f>IF(Auxiliar!$H$15=0,"",IF(INDEX(Equipamentos!$H:$H,Auxiliar!$H$15)="","",INDEX(Equipamentos!$H:$H,Auxiliar!$H$15)))</f>
        <v/>
      </c>
      <c r="F34" s="34">
        <f>IF(Auxiliar!$H$15=0,"",IF(INDEX(Equipamentos!$I:$I,Auxiliar!$H$15)="","",INDEX(Equipamentos!$I:$I,Auxiliar!$H$15)))</f>
        <v/>
      </c>
      <c r="G34" s="35">
        <f>IF(Auxiliar!$H$15=0,"",IF(INDEX(Equipamentos!$J:$J,Auxiliar!$H$15)="","",INDEX(Equipamentos!$J:$J,Auxiliar!$H$15)))</f>
        <v/>
      </c>
      <c r="H34" s="32">
        <f>IF(Auxiliar!$H$15=0,"",IF(INDEX(Equipamentos!$K:$K,Auxiliar!$H$15)="","",INDEX(Equipamentos!$K:$K,Auxiliar!$H$15)))</f>
        <v/>
      </c>
      <c r="I34" s="36">
        <f>IF(Auxiliar!$H$15=0,"",IF(INDEX(Equipamentos!$F:$F,Auxiliar!$H$15)="","",INDEX(Equipamentos!$F:$F,Auxiliar!$H$15)))</f>
        <v/>
      </c>
    </row>
    <row r="35">
      <c r="A35" s="7">
        <f>IF(Auxiliar!$H$16=0,"",IF(INDEX(Equipamentos!$A:$A,Auxiliar!$H$16)="","",INDEX(Equipamentos!$A:$A,Auxiliar!$H$16)))</f>
        <v/>
      </c>
      <c r="B35" s="32">
        <f>IF(Auxiliar!$H$16=0,"",IF(INDEX(Equipamentos!$N:$N,Auxiliar!$H$16)="","",INDEX(Equipamentos!$N:$N,Auxiliar!$H$16)))</f>
        <v/>
      </c>
      <c r="C35" s="32">
        <f>IF(Auxiliar!$H$16=0,"",IF(INDEX(Equipamentos!$L:$L,Auxiliar!$H$16)="","",INDEX(Equipamentos!$L:$L,Auxiliar!$H$16)))</f>
        <v/>
      </c>
      <c r="D35" s="34">
        <f>IF(Auxiliar!$H$16=0,"",IF(INDEX(Equipamentos!$E:$E,Auxiliar!$H$16)="","",INDEX(Equipamentos!$E:$E,Auxiliar!$H$16)))</f>
        <v/>
      </c>
      <c r="E35" s="34">
        <f>IF(Auxiliar!$H$16=0,"",IF(INDEX(Equipamentos!$H:$H,Auxiliar!$H$16)="","",INDEX(Equipamentos!$H:$H,Auxiliar!$H$16)))</f>
        <v/>
      </c>
      <c r="F35" s="34">
        <f>IF(Auxiliar!$H$16=0,"",IF(INDEX(Equipamentos!$I:$I,Auxiliar!$H$16)="","",INDEX(Equipamentos!$I:$I,Auxiliar!$H$16)))</f>
        <v/>
      </c>
      <c r="G35" s="35">
        <f>IF(Auxiliar!$H$16=0,"",IF(INDEX(Equipamentos!$J:$J,Auxiliar!$H$16)="","",INDEX(Equipamentos!$J:$J,Auxiliar!$H$16)))</f>
        <v/>
      </c>
      <c r="H35" s="32">
        <f>IF(Auxiliar!$H$16=0,"",IF(INDEX(Equipamentos!$K:$K,Auxiliar!$H$16)="","",INDEX(Equipamentos!$K:$K,Auxiliar!$H$16)))</f>
        <v/>
      </c>
      <c r="I35" s="36">
        <f>IF(Auxiliar!$H$16=0,"",IF(INDEX(Equipamentos!$F:$F,Auxiliar!$H$16)="","",INDEX(Equipamentos!$F:$F,Auxiliar!$H$16)))</f>
        <v/>
      </c>
    </row>
    <row r="36">
      <c r="A36" s="7">
        <f>IF(Auxiliar!$H$17=0,"",IF(INDEX(Equipamentos!$A:$A,Auxiliar!$H$17)="","",INDEX(Equipamentos!$A:$A,Auxiliar!$H$17)))</f>
        <v/>
      </c>
      <c r="B36" s="32">
        <f>IF(Auxiliar!$H$17=0,"",IF(INDEX(Equipamentos!$N:$N,Auxiliar!$H$17)="","",INDEX(Equipamentos!$N:$N,Auxiliar!$H$17)))</f>
        <v/>
      </c>
      <c r="C36" s="32">
        <f>IF(Auxiliar!$H$17=0,"",IF(INDEX(Equipamentos!$L:$L,Auxiliar!$H$17)="","",INDEX(Equipamentos!$L:$L,Auxiliar!$H$17)))</f>
        <v/>
      </c>
      <c r="D36" s="34">
        <f>IF(Auxiliar!$H$17=0,"",IF(INDEX(Equipamentos!$E:$E,Auxiliar!$H$17)="","",INDEX(Equipamentos!$E:$E,Auxiliar!$H$17)))</f>
        <v/>
      </c>
      <c r="E36" s="34">
        <f>IF(Auxiliar!$H$17=0,"",IF(INDEX(Equipamentos!$H:$H,Auxiliar!$H$17)="","",INDEX(Equipamentos!$H:$H,Auxiliar!$H$17)))</f>
        <v/>
      </c>
      <c r="F36" s="34">
        <f>IF(Auxiliar!$H$17=0,"",IF(INDEX(Equipamentos!$I:$I,Auxiliar!$H$17)="","",INDEX(Equipamentos!$I:$I,Auxiliar!$H$17)))</f>
        <v/>
      </c>
      <c r="G36" s="35">
        <f>IF(Auxiliar!$H$17=0,"",IF(INDEX(Equipamentos!$J:$J,Auxiliar!$H$17)="","",INDEX(Equipamentos!$J:$J,Auxiliar!$H$17)))</f>
        <v/>
      </c>
      <c r="H36" s="32">
        <f>IF(Auxiliar!$H$17=0,"",IF(INDEX(Equipamentos!$K:$K,Auxiliar!$H$17)="","",INDEX(Equipamentos!$K:$K,Auxiliar!$H$17)))</f>
        <v/>
      </c>
      <c r="I36" s="36">
        <f>IF(Auxiliar!$H$17=0,"",IF(INDEX(Equipamentos!$F:$F,Auxiliar!$H$17)="","",INDEX(Equipamentos!$F:$F,Auxiliar!$H$17)))</f>
        <v/>
      </c>
    </row>
    <row r="37">
      <c r="A37" s="7">
        <f>IF(Auxiliar!$H$18=0,"",IF(INDEX(Equipamentos!$A:$A,Auxiliar!$H$18)="","",INDEX(Equipamentos!$A:$A,Auxiliar!$H$18)))</f>
        <v/>
      </c>
      <c r="B37" s="32">
        <f>IF(Auxiliar!$H$18=0,"",IF(INDEX(Equipamentos!$N:$N,Auxiliar!$H$18)="","",INDEX(Equipamentos!$N:$N,Auxiliar!$H$18)))</f>
        <v/>
      </c>
      <c r="C37" s="32">
        <f>IF(Auxiliar!$H$18=0,"",IF(INDEX(Equipamentos!$L:$L,Auxiliar!$H$18)="","",INDEX(Equipamentos!$L:$L,Auxiliar!$H$18)))</f>
        <v/>
      </c>
      <c r="D37" s="34">
        <f>IF(Auxiliar!$H$18=0,"",IF(INDEX(Equipamentos!$E:$E,Auxiliar!$H$18)="","",INDEX(Equipamentos!$E:$E,Auxiliar!$H$18)))</f>
        <v/>
      </c>
      <c r="E37" s="34">
        <f>IF(Auxiliar!$H$18=0,"",IF(INDEX(Equipamentos!$H:$H,Auxiliar!$H$18)="","",INDEX(Equipamentos!$H:$H,Auxiliar!$H$18)))</f>
        <v/>
      </c>
      <c r="F37" s="34">
        <f>IF(Auxiliar!$H$18=0,"",IF(INDEX(Equipamentos!$I:$I,Auxiliar!$H$18)="","",INDEX(Equipamentos!$I:$I,Auxiliar!$H$18)))</f>
        <v/>
      </c>
      <c r="G37" s="35">
        <f>IF(Auxiliar!$H$18=0,"",IF(INDEX(Equipamentos!$J:$J,Auxiliar!$H$18)="","",INDEX(Equipamentos!$J:$J,Auxiliar!$H$18)))</f>
        <v/>
      </c>
      <c r="H37" s="32">
        <f>IF(Auxiliar!$H$18=0,"",IF(INDEX(Equipamentos!$K:$K,Auxiliar!$H$18)="","",INDEX(Equipamentos!$K:$K,Auxiliar!$H$18)))</f>
        <v/>
      </c>
      <c r="I37" s="36">
        <f>IF(Auxiliar!$H$18=0,"",IF(INDEX(Equipamentos!$F:$F,Auxiliar!$H$18)="","",INDEX(Equipamentos!$F:$F,Auxiliar!$H$18)))</f>
        <v/>
      </c>
    </row>
    <row r="38">
      <c r="A38" s="7">
        <f>IF(Auxiliar!$H$19=0,"",IF(INDEX(Equipamentos!$A:$A,Auxiliar!$H$19)="","",INDEX(Equipamentos!$A:$A,Auxiliar!$H$19)))</f>
        <v/>
      </c>
      <c r="B38" s="32">
        <f>IF(Auxiliar!$H$19=0,"",IF(INDEX(Equipamentos!$N:$N,Auxiliar!$H$19)="","",INDEX(Equipamentos!$N:$N,Auxiliar!$H$19)))</f>
        <v/>
      </c>
      <c r="C38" s="32">
        <f>IF(Auxiliar!$H$19=0,"",IF(INDEX(Equipamentos!$L:$L,Auxiliar!$H$19)="","",INDEX(Equipamentos!$L:$L,Auxiliar!$H$19)))</f>
        <v/>
      </c>
      <c r="D38" s="34">
        <f>IF(Auxiliar!$H$19=0,"",IF(INDEX(Equipamentos!$E:$E,Auxiliar!$H$19)="","",INDEX(Equipamentos!$E:$E,Auxiliar!$H$19)))</f>
        <v/>
      </c>
      <c r="E38" s="34">
        <f>IF(Auxiliar!$H$19=0,"",IF(INDEX(Equipamentos!$H:$H,Auxiliar!$H$19)="","",INDEX(Equipamentos!$H:$H,Auxiliar!$H$19)))</f>
        <v/>
      </c>
      <c r="F38" s="34">
        <f>IF(Auxiliar!$H$19=0,"",IF(INDEX(Equipamentos!$I:$I,Auxiliar!$H$19)="","",INDEX(Equipamentos!$I:$I,Auxiliar!$H$19)))</f>
        <v/>
      </c>
      <c r="G38" s="35">
        <f>IF(Auxiliar!$H$19=0,"",IF(INDEX(Equipamentos!$J:$J,Auxiliar!$H$19)="","",INDEX(Equipamentos!$J:$J,Auxiliar!$H$19)))</f>
        <v/>
      </c>
      <c r="H38" s="32">
        <f>IF(Auxiliar!$H$19=0,"",IF(INDEX(Equipamentos!$K:$K,Auxiliar!$H$19)="","",INDEX(Equipamentos!$K:$K,Auxiliar!$H$19)))</f>
        <v/>
      </c>
      <c r="I38" s="36">
        <f>IF(Auxiliar!$H$19=0,"",IF(INDEX(Equipamentos!$F:$F,Auxiliar!$H$19)="","",INDEX(Equipamentos!$F:$F,Auxiliar!$H$19)))</f>
        <v/>
      </c>
    </row>
    <row r="39">
      <c r="A39" s="7">
        <f>IF(Auxiliar!$H$20=0,"",IF(INDEX(Equipamentos!$A:$A,Auxiliar!$H$20)="","",INDEX(Equipamentos!$A:$A,Auxiliar!$H$20)))</f>
        <v/>
      </c>
      <c r="B39" s="32">
        <f>IF(Auxiliar!$H$20=0,"",IF(INDEX(Equipamentos!$N:$N,Auxiliar!$H$20)="","",INDEX(Equipamentos!$N:$N,Auxiliar!$H$20)))</f>
        <v/>
      </c>
      <c r="C39" s="32">
        <f>IF(Auxiliar!$H$20=0,"",IF(INDEX(Equipamentos!$L:$L,Auxiliar!$H$20)="","",INDEX(Equipamentos!$L:$L,Auxiliar!$H$20)))</f>
        <v/>
      </c>
      <c r="D39" s="34">
        <f>IF(Auxiliar!$H$20=0,"",IF(INDEX(Equipamentos!$E:$E,Auxiliar!$H$20)="","",INDEX(Equipamentos!$E:$E,Auxiliar!$H$20)))</f>
        <v/>
      </c>
      <c r="E39" s="34">
        <f>IF(Auxiliar!$H$20=0,"",IF(INDEX(Equipamentos!$H:$H,Auxiliar!$H$20)="","",INDEX(Equipamentos!$H:$H,Auxiliar!$H$20)))</f>
        <v/>
      </c>
      <c r="F39" s="34">
        <f>IF(Auxiliar!$H$20=0,"",IF(INDEX(Equipamentos!$I:$I,Auxiliar!$H$20)="","",INDEX(Equipamentos!$I:$I,Auxiliar!$H$20)))</f>
        <v/>
      </c>
      <c r="G39" s="35">
        <f>IF(Auxiliar!$H$20=0,"",IF(INDEX(Equipamentos!$J:$J,Auxiliar!$H$20)="","",INDEX(Equipamentos!$J:$J,Auxiliar!$H$20)))</f>
        <v/>
      </c>
      <c r="H39" s="32">
        <f>IF(Auxiliar!$H$20=0,"",IF(INDEX(Equipamentos!$K:$K,Auxiliar!$H$20)="","",INDEX(Equipamentos!$K:$K,Auxiliar!$H$20)))</f>
        <v/>
      </c>
      <c r="I39" s="36">
        <f>IF(Auxiliar!$H$20=0,"",IF(INDEX(Equipamentos!$F:$F,Auxiliar!$H$20)="","",INDEX(Equipamentos!$F:$F,Auxiliar!$H$20)))</f>
        <v/>
      </c>
    </row>
    <row r="40">
      <c r="A40" s="7">
        <f>IF(Auxiliar!$H$21=0,"",IF(INDEX(Equipamentos!$A:$A,Auxiliar!$H$21)="","",INDEX(Equipamentos!$A:$A,Auxiliar!$H$21)))</f>
        <v/>
      </c>
      <c r="B40" s="32">
        <f>IF(Auxiliar!$H$21=0,"",IF(INDEX(Equipamentos!$N:$N,Auxiliar!$H$21)="","",INDEX(Equipamentos!$N:$N,Auxiliar!$H$21)))</f>
        <v/>
      </c>
      <c r="C40" s="32">
        <f>IF(Auxiliar!$H$21=0,"",IF(INDEX(Equipamentos!$L:$L,Auxiliar!$H$21)="","",INDEX(Equipamentos!$L:$L,Auxiliar!$H$21)))</f>
        <v/>
      </c>
      <c r="D40" s="34">
        <f>IF(Auxiliar!$H$21=0,"",IF(INDEX(Equipamentos!$E:$E,Auxiliar!$H$21)="","",INDEX(Equipamentos!$E:$E,Auxiliar!$H$21)))</f>
        <v/>
      </c>
      <c r="E40" s="34">
        <f>IF(Auxiliar!$H$21=0,"",IF(INDEX(Equipamentos!$H:$H,Auxiliar!$H$21)="","",INDEX(Equipamentos!$H:$H,Auxiliar!$H$21)))</f>
        <v/>
      </c>
      <c r="F40" s="34">
        <f>IF(Auxiliar!$H$21=0,"",IF(INDEX(Equipamentos!$I:$I,Auxiliar!$H$21)="","",INDEX(Equipamentos!$I:$I,Auxiliar!$H$21)))</f>
        <v/>
      </c>
      <c r="G40" s="35">
        <f>IF(Auxiliar!$H$21=0,"",IF(INDEX(Equipamentos!$J:$J,Auxiliar!$H$21)="","",INDEX(Equipamentos!$J:$J,Auxiliar!$H$21)))</f>
        <v/>
      </c>
      <c r="H40" s="32">
        <f>IF(Auxiliar!$H$21=0,"",IF(INDEX(Equipamentos!$K:$K,Auxiliar!$H$21)="","",INDEX(Equipamentos!$K:$K,Auxiliar!$H$21)))</f>
        <v/>
      </c>
      <c r="I40" s="36">
        <f>IF(Auxiliar!$H$21=0,"",IF(INDEX(Equipamentos!$F:$F,Auxiliar!$H$21)="","",INDEX(Equipamentos!$F:$F,Auxiliar!$H$21)))</f>
        <v/>
      </c>
    </row>
    <row r="41">
      <c r="A41" s="7">
        <f>IF(Auxiliar!$H$22=0,"",IF(INDEX(Equipamentos!$A:$A,Auxiliar!$H$22)="","",INDEX(Equipamentos!$A:$A,Auxiliar!$H$22)))</f>
        <v/>
      </c>
      <c r="B41" s="32">
        <f>IF(Auxiliar!$H$22=0,"",IF(INDEX(Equipamentos!$N:$N,Auxiliar!$H$22)="","",INDEX(Equipamentos!$N:$N,Auxiliar!$H$22)))</f>
        <v/>
      </c>
      <c r="C41" s="32">
        <f>IF(Auxiliar!$H$22=0,"",IF(INDEX(Equipamentos!$L:$L,Auxiliar!$H$22)="","",INDEX(Equipamentos!$L:$L,Auxiliar!$H$22)))</f>
        <v/>
      </c>
      <c r="D41" s="34">
        <f>IF(Auxiliar!$H$22=0,"",IF(INDEX(Equipamentos!$E:$E,Auxiliar!$H$22)="","",INDEX(Equipamentos!$E:$E,Auxiliar!$H$22)))</f>
        <v/>
      </c>
      <c r="E41" s="34">
        <f>IF(Auxiliar!$H$22=0,"",IF(INDEX(Equipamentos!$H:$H,Auxiliar!$H$22)="","",INDEX(Equipamentos!$H:$H,Auxiliar!$H$22)))</f>
        <v/>
      </c>
      <c r="F41" s="34">
        <f>IF(Auxiliar!$H$22=0,"",IF(INDEX(Equipamentos!$I:$I,Auxiliar!$H$22)="","",INDEX(Equipamentos!$I:$I,Auxiliar!$H$22)))</f>
        <v/>
      </c>
      <c r="G41" s="35">
        <f>IF(Auxiliar!$H$22=0,"",IF(INDEX(Equipamentos!$J:$J,Auxiliar!$H$22)="","",INDEX(Equipamentos!$J:$J,Auxiliar!$H$22)))</f>
        <v/>
      </c>
      <c r="H41" s="32">
        <f>IF(Auxiliar!$H$22=0,"",IF(INDEX(Equipamentos!$K:$K,Auxiliar!$H$22)="","",INDEX(Equipamentos!$K:$K,Auxiliar!$H$22)))</f>
        <v/>
      </c>
      <c r="I41" s="36">
        <f>IF(Auxiliar!$H$22=0,"",IF(INDEX(Equipamentos!$F:$F,Auxiliar!$H$22)="","",INDEX(Equipamentos!$F:$F,Auxiliar!$H$22)))</f>
        <v/>
      </c>
    </row>
    <row r="42">
      <c r="A42" s="7">
        <f>IF(Auxiliar!$H$23=0,"",IF(INDEX(Equipamentos!$A:$A,Auxiliar!$H$23)="","",INDEX(Equipamentos!$A:$A,Auxiliar!$H$23)))</f>
        <v/>
      </c>
      <c r="B42" s="32">
        <f>IF(Auxiliar!$H$23=0,"",IF(INDEX(Equipamentos!$N:$N,Auxiliar!$H$23)="","",INDEX(Equipamentos!$N:$N,Auxiliar!$H$23)))</f>
        <v/>
      </c>
      <c r="C42" s="32">
        <f>IF(Auxiliar!$H$23=0,"",IF(INDEX(Equipamentos!$L:$L,Auxiliar!$H$23)="","",INDEX(Equipamentos!$L:$L,Auxiliar!$H$23)))</f>
        <v/>
      </c>
      <c r="D42" s="34">
        <f>IF(Auxiliar!$H$23=0,"",IF(INDEX(Equipamentos!$E:$E,Auxiliar!$H$23)="","",INDEX(Equipamentos!$E:$E,Auxiliar!$H$23)))</f>
        <v/>
      </c>
      <c r="E42" s="34">
        <f>IF(Auxiliar!$H$23=0,"",IF(INDEX(Equipamentos!$H:$H,Auxiliar!$H$23)="","",INDEX(Equipamentos!$H:$H,Auxiliar!$H$23)))</f>
        <v/>
      </c>
      <c r="F42" s="34">
        <f>IF(Auxiliar!$H$23=0,"",IF(INDEX(Equipamentos!$I:$I,Auxiliar!$H$23)="","",INDEX(Equipamentos!$I:$I,Auxiliar!$H$23)))</f>
        <v/>
      </c>
      <c r="G42" s="35">
        <f>IF(Auxiliar!$H$23=0,"",IF(INDEX(Equipamentos!$J:$J,Auxiliar!$H$23)="","",INDEX(Equipamentos!$J:$J,Auxiliar!$H$23)))</f>
        <v/>
      </c>
      <c r="H42" s="32">
        <f>IF(Auxiliar!$H$23=0,"",IF(INDEX(Equipamentos!$K:$K,Auxiliar!$H$23)="","",INDEX(Equipamentos!$K:$K,Auxiliar!$H$23)))</f>
        <v/>
      </c>
      <c r="I42" s="36">
        <f>IF(Auxiliar!$H$23=0,"",IF(INDEX(Equipamentos!$F:$F,Auxiliar!$H$23)="","",INDEX(Equipamentos!$F:$F,Auxiliar!$H$23)))</f>
        <v/>
      </c>
    </row>
    <row r="43">
      <c r="A43" s="7">
        <f>IF(Auxiliar!$H$24=0,"",IF(INDEX(Equipamentos!$A:$A,Auxiliar!$H$24)="","",INDEX(Equipamentos!$A:$A,Auxiliar!$H$24)))</f>
        <v/>
      </c>
      <c r="B43" s="32">
        <f>IF(Auxiliar!$H$24=0,"",IF(INDEX(Equipamentos!$N:$N,Auxiliar!$H$24)="","",INDEX(Equipamentos!$N:$N,Auxiliar!$H$24)))</f>
        <v/>
      </c>
      <c r="C43" s="32">
        <f>IF(Auxiliar!$H$24=0,"",IF(INDEX(Equipamentos!$L:$L,Auxiliar!$H$24)="","",INDEX(Equipamentos!$L:$L,Auxiliar!$H$24)))</f>
        <v/>
      </c>
      <c r="D43" s="34">
        <f>IF(Auxiliar!$H$24=0,"",IF(INDEX(Equipamentos!$E:$E,Auxiliar!$H$24)="","",INDEX(Equipamentos!$E:$E,Auxiliar!$H$24)))</f>
        <v/>
      </c>
      <c r="E43" s="34">
        <f>IF(Auxiliar!$H$24=0,"",IF(INDEX(Equipamentos!$H:$H,Auxiliar!$H$24)="","",INDEX(Equipamentos!$H:$H,Auxiliar!$H$24)))</f>
        <v/>
      </c>
      <c r="F43" s="34">
        <f>IF(Auxiliar!$H$24=0,"",IF(INDEX(Equipamentos!$I:$I,Auxiliar!$H$24)="","",INDEX(Equipamentos!$I:$I,Auxiliar!$H$24)))</f>
        <v/>
      </c>
      <c r="G43" s="35">
        <f>IF(Auxiliar!$H$24=0,"",IF(INDEX(Equipamentos!$J:$J,Auxiliar!$H$24)="","",INDEX(Equipamentos!$J:$J,Auxiliar!$H$24)))</f>
        <v/>
      </c>
      <c r="H43" s="32">
        <f>IF(Auxiliar!$H$24=0,"",IF(INDEX(Equipamentos!$K:$K,Auxiliar!$H$24)="","",INDEX(Equipamentos!$K:$K,Auxiliar!$H$24)))</f>
        <v/>
      </c>
      <c r="I43" s="36">
        <f>IF(Auxiliar!$H$24=0,"",IF(INDEX(Equipamentos!$F:$F,Auxiliar!$H$24)="","",INDEX(Equipamentos!$F:$F,Auxiliar!$H$24)))</f>
        <v/>
      </c>
    </row>
    <row r="44">
      <c r="A44" s="7">
        <f>IF(Auxiliar!$H$25=0,"",IF(INDEX(Equipamentos!$A:$A,Auxiliar!$H$25)="","",INDEX(Equipamentos!$A:$A,Auxiliar!$H$25)))</f>
        <v/>
      </c>
      <c r="B44" s="32">
        <f>IF(Auxiliar!$H$25=0,"",IF(INDEX(Equipamentos!$N:$N,Auxiliar!$H$25)="","",INDEX(Equipamentos!$N:$N,Auxiliar!$H$25)))</f>
        <v/>
      </c>
      <c r="C44" s="32">
        <f>IF(Auxiliar!$H$25=0,"",IF(INDEX(Equipamentos!$L:$L,Auxiliar!$H$25)="","",INDEX(Equipamentos!$L:$L,Auxiliar!$H$25)))</f>
        <v/>
      </c>
      <c r="D44" s="34">
        <f>IF(Auxiliar!$H$25=0,"",IF(INDEX(Equipamentos!$E:$E,Auxiliar!$H$25)="","",INDEX(Equipamentos!$E:$E,Auxiliar!$H$25)))</f>
        <v/>
      </c>
      <c r="E44" s="34">
        <f>IF(Auxiliar!$H$25=0,"",IF(INDEX(Equipamentos!$H:$H,Auxiliar!$H$25)="","",INDEX(Equipamentos!$H:$H,Auxiliar!$H$25)))</f>
        <v/>
      </c>
      <c r="F44" s="34">
        <f>IF(Auxiliar!$H$25=0,"",IF(INDEX(Equipamentos!$I:$I,Auxiliar!$H$25)="","",INDEX(Equipamentos!$I:$I,Auxiliar!$H$25)))</f>
        <v/>
      </c>
      <c r="G44" s="35">
        <f>IF(Auxiliar!$H$25=0,"",IF(INDEX(Equipamentos!$J:$J,Auxiliar!$H$25)="","",INDEX(Equipamentos!$J:$J,Auxiliar!$H$25)))</f>
        <v/>
      </c>
      <c r="H44" s="32">
        <f>IF(Auxiliar!$H$25=0,"",IF(INDEX(Equipamentos!$K:$K,Auxiliar!$H$25)="","",INDEX(Equipamentos!$K:$K,Auxiliar!$H$25)))</f>
        <v/>
      </c>
      <c r="I44" s="36">
        <f>IF(Auxiliar!$H$25=0,"",IF(INDEX(Equipamentos!$F:$F,Auxiliar!$H$25)="","",INDEX(Equipamentos!$F:$F,Auxiliar!$H$25)))</f>
        <v/>
      </c>
    </row>
    <row r="45">
      <c r="A45" s="7">
        <f>IF(Auxiliar!$H$26=0,"",IF(INDEX(Equipamentos!$A:$A,Auxiliar!$H$26)="","",INDEX(Equipamentos!$A:$A,Auxiliar!$H$26)))</f>
        <v/>
      </c>
      <c r="B45" s="32">
        <f>IF(Auxiliar!$H$26=0,"",IF(INDEX(Equipamentos!$N:$N,Auxiliar!$H$26)="","",INDEX(Equipamentos!$N:$N,Auxiliar!$H$26)))</f>
        <v/>
      </c>
      <c r="C45" s="32">
        <f>IF(Auxiliar!$H$26=0,"",IF(INDEX(Equipamentos!$L:$L,Auxiliar!$H$26)="","",INDEX(Equipamentos!$L:$L,Auxiliar!$H$26)))</f>
        <v/>
      </c>
      <c r="D45" s="34">
        <f>IF(Auxiliar!$H$26=0,"",IF(INDEX(Equipamentos!$E:$E,Auxiliar!$H$26)="","",INDEX(Equipamentos!$E:$E,Auxiliar!$H$26)))</f>
        <v/>
      </c>
      <c r="E45" s="34">
        <f>IF(Auxiliar!$H$26=0,"",IF(INDEX(Equipamentos!$H:$H,Auxiliar!$H$26)="","",INDEX(Equipamentos!$H:$H,Auxiliar!$H$26)))</f>
        <v/>
      </c>
      <c r="F45" s="34">
        <f>IF(Auxiliar!$H$26=0,"",IF(INDEX(Equipamentos!$I:$I,Auxiliar!$H$26)="","",INDEX(Equipamentos!$I:$I,Auxiliar!$H$26)))</f>
        <v/>
      </c>
      <c r="G45" s="35">
        <f>IF(Auxiliar!$H$26=0,"",IF(INDEX(Equipamentos!$J:$J,Auxiliar!$H$26)="","",INDEX(Equipamentos!$J:$J,Auxiliar!$H$26)))</f>
        <v/>
      </c>
      <c r="H45" s="32">
        <f>IF(Auxiliar!$H$26=0,"",IF(INDEX(Equipamentos!$K:$K,Auxiliar!$H$26)="","",INDEX(Equipamentos!$K:$K,Auxiliar!$H$26)))</f>
        <v/>
      </c>
      <c r="I45" s="36">
        <f>IF(Auxiliar!$H$26=0,"",IF(INDEX(Equipamentos!$F:$F,Auxiliar!$H$26)="","",INDEX(Equipamentos!$F:$F,Auxiliar!$H$26)))</f>
        <v/>
      </c>
    </row>
    <row r="46">
      <c r="A46" s="7">
        <f>IF(Auxiliar!$H$27=0,"",IF(INDEX(Equipamentos!$A:$A,Auxiliar!$H$27)="","",INDEX(Equipamentos!$A:$A,Auxiliar!$H$27)))</f>
        <v/>
      </c>
      <c r="B46" s="32">
        <f>IF(Auxiliar!$H$27=0,"",IF(INDEX(Equipamentos!$N:$N,Auxiliar!$H$27)="","",INDEX(Equipamentos!$N:$N,Auxiliar!$H$27)))</f>
        <v/>
      </c>
      <c r="C46" s="32">
        <f>IF(Auxiliar!$H$27=0,"",IF(INDEX(Equipamentos!$L:$L,Auxiliar!$H$27)="","",INDEX(Equipamentos!$L:$L,Auxiliar!$H$27)))</f>
        <v/>
      </c>
      <c r="D46" s="34">
        <f>IF(Auxiliar!$H$27=0,"",IF(INDEX(Equipamentos!$E:$E,Auxiliar!$H$27)="","",INDEX(Equipamentos!$E:$E,Auxiliar!$H$27)))</f>
        <v/>
      </c>
      <c r="E46" s="34">
        <f>IF(Auxiliar!$H$27=0,"",IF(INDEX(Equipamentos!$H:$H,Auxiliar!$H$27)="","",INDEX(Equipamentos!$H:$H,Auxiliar!$H$27)))</f>
        <v/>
      </c>
      <c r="F46" s="34">
        <f>IF(Auxiliar!$H$27=0,"",IF(INDEX(Equipamentos!$I:$I,Auxiliar!$H$27)="","",INDEX(Equipamentos!$I:$I,Auxiliar!$H$27)))</f>
        <v/>
      </c>
      <c r="G46" s="35">
        <f>IF(Auxiliar!$H$27=0,"",IF(INDEX(Equipamentos!$J:$J,Auxiliar!$H$27)="","",INDEX(Equipamentos!$J:$J,Auxiliar!$H$27)))</f>
        <v/>
      </c>
      <c r="H46" s="32">
        <f>IF(Auxiliar!$H$27=0,"",IF(INDEX(Equipamentos!$K:$K,Auxiliar!$H$27)="","",INDEX(Equipamentos!$K:$K,Auxiliar!$H$27)))</f>
        <v/>
      </c>
      <c r="I46" s="36">
        <f>IF(Auxiliar!$H$27=0,"",IF(INDEX(Equipamentos!$F:$F,Auxiliar!$H$27)="","",INDEX(Equipamentos!$F:$F,Auxiliar!$H$27)))</f>
        <v/>
      </c>
    </row>
    <row r="47">
      <c r="A47" s="7">
        <f>IF(Auxiliar!$H$28=0,"",IF(INDEX(Equipamentos!$A:$A,Auxiliar!$H$28)="","",INDEX(Equipamentos!$A:$A,Auxiliar!$H$28)))</f>
        <v/>
      </c>
      <c r="B47" s="32">
        <f>IF(Auxiliar!$H$28=0,"",IF(INDEX(Equipamentos!$N:$N,Auxiliar!$H$28)="","",INDEX(Equipamentos!$N:$N,Auxiliar!$H$28)))</f>
        <v/>
      </c>
      <c r="C47" s="32">
        <f>IF(Auxiliar!$H$28=0,"",IF(INDEX(Equipamentos!$L:$L,Auxiliar!$H$28)="","",INDEX(Equipamentos!$L:$L,Auxiliar!$H$28)))</f>
        <v/>
      </c>
      <c r="D47" s="34">
        <f>IF(Auxiliar!$H$28=0,"",IF(INDEX(Equipamentos!$E:$E,Auxiliar!$H$28)="","",INDEX(Equipamentos!$E:$E,Auxiliar!$H$28)))</f>
        <v/>
      </c>
      <c r="E47" s="34">
        <f>IF(Auxiliar!$H$28=0,"",IF(INDEX(Equipamentos!$H:$H,Auxiliar!$H$28)="","",INDEX(Equipamentos!$H:$H,Auxiliar!$H$28)))</f>
        <v/>
      </c>
      <c r="F47" s="34">
        <f>IF(Auxiliar!$H$28=0,"",IF(INDEX(Equipamentos!$I:$I,Auxiliar!$H$28)="","",INDEX(Equipamentos!$I:$I,Auxiliar!$H$28)))</f>
        <v/>
      </c>
      <c r="G47" s="35">
        <f>IF(Auxiliar!$H$28=0,"",IF(INDEX(Equipamentos!$J:$J,Auxiliar!$H$28)="","",INDEX(Equipamentos!$J:$J,Auxiliar!$H$28)))</f>
        <v/>
      </c>
      <c r="H47" s="32">
        <f>IF(Auxiliar!$H$28=0,"",IF(INDEX(Equipamentos!$K:$K,Auxiliar!$H$28)="","",INDEX(Equipamentos!$K:$K,Auxiliar!$H$28)))</f>
        <v/>
      </c>
      <c r="I47" s="36">
        <f>IF(Auxiliar!$H$28=0,"",IF(INDEX(Equipamentos!$F:$F,Auxiliar!$H$28)="","",INDEX(Equipamentos!$F:$F,Auxiliar!$H$28)))</f>
        <v/>
      </c>
    </row>
    <row r="49">
      <c r="A49" s="4" t="inlineStr">
        <is>
          <t>Gráficos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</row>
  </sheetData>
  <mergeCells count="15">
    <mergeCell ref="D6:E6"/>
    <mergeCell ref="B6:C6"/>
    <mergeCell ref="A2:I2"/>
    <mergeCell ref="H6:I6"/>
    <mergeCell ref="A8:D8"/>
    <mergeCell ref="A19:I19"/>
    <mergeCell ref="A49:I49"/>
    <mergeCell ref="F8:I8"/>
    <mergeCell ref="B5:C5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7">
    <cfRule type="dataBar" priority="7">
      <dataBar showValue="1">
        <cfvo type="num" val="0"/>
        <cfvo type="num" val="1"/>
        <color rgb="005B9BD5"/>
      </dataBar>
    </cfRule>
  </conditionalFormatting>
  <conditionalFormatting sqref="H21:H47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7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Q2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7" customWidth="1" min="4" max="4"/>
    <col width="13" customWidth="1" min="5" max="5"/>
    <col width="12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7" customWidth="1" min="12" max="12"/>
    <col hidden="1" width="13" customWidth="1" min="13" max="13"/>
    <col width="18" customWidth="1" min="14" max="14"/>
    <col width="18" customWidth="1" min="15" max="15"/>
    <col hidden="1" width="13" customWidth="1" min="17" max="17"/>
  </cols>
  <sheetData>
    <row r="1" ht="30" customHeight="1">
      <c r="A1" s="37" t="inlineStr">
        <is>
          <t>Tag / Equipamento</t>
        </is>
      </c>
      <c r="B1" s="37" t="inlineStr">
        <is>
          <t>Tipo</t>
        </is>
      </c>
      <c r="C1" s="37" t="inlineStr">
        <is>
          <t>Unidade</t>
        </is>
      </c>
      <c r="D1" s="37" t="inlineStr">
        <is>
          <t>MCC</t>
        </is>
      </c>
      <c r="E1" s="37" t="inlineStr">
        <is>
          <t>Meta</t>
        </is>
      </c>
      <c r="F1" s="37" t="inlineStr">
        <is>
          <t>Desde</t>
        </is>
      </c>
      <c r="G1" s="37" t="inlineStr">
        <is>
          <t>Acumulado inicial</t>
        </is>
      </c>
      <c r="H1" s="37" t="inlineStr">
        <is>
          <t>Acumulado</t>
        </is>
      </c>
      <c r="I1" s="37" t="inlineStr">
        <is>
          <t>Falta</t>
        </is>
      </c>
      <c r="J1" s="37" t="inlineStr">
        <is>
          <t>% da vida</t>
        </is>
      </c>
      <c r="K1" s="37" t="inlineStr">
        <is>
          <t>Situação</t>
        </is>
      </c>
      <c r="L1" s="37" t="inlineStr">
        <is>
          <t>Veio</t>
        </is>
      </c>
      <c r="M1" s="37" t="inlineStr">
        <is>
          <t>chave</t>
        </is>
      </c>
      <c r="N1" s="37" t="inlineStr">
        <is>
          <t>Posição</t>
        </is>
      </c>
      <c r="O1" s="37" t="inlineStr">
        <is>
          <t>ID no app</t>
        </is>
      </c>
      <c r="P1" s="37" t="inlineStr">
        <is>
          <t>Saída (TrocasEquip)</t>
        </is>
      </c>
      <c r="Q1" s="37" t="inlineStr">
        <is>
          <t>ativo</t>
        </is>
      </c>
    </row>
    <row r="2">
      <c r="A2" s="38" t="inlineStr">
        <is>
          <t>Molde G</t>
        </is>
      </c>
      <c r="B2" s="39" t="inlineStr">
        <is>
          <t>Molde</t>
        </is>
      </c>
      <c r="C2" s="32">
        <f>IF(B2="","",IF(B2="Molde","corridas",IF(B2="Oscilador","dias","t")))</f>
        <v/>
      </c>
      <c r="D2" s="40" t="n"/>
      <c r="E2" s="41">
        <f>IF(SUMPRODUCT(MAX((Historico!$B$2:$B$5000=L2)*Historico!$A$2:$A$5000))=0,1100,SUMIFS(Historico!$D:$D,Historico!$B:$B,L2,Historico!$A:$A,SUMPRODUCT(MAX((Historico!$B$2:$B$5000=L2)*Historico!$A$2:$A$5000))))</f>
        <v/>
      </c>
      <c r="F2" s="42" t="n"/>
      <c r="G2" s="41" t="n"/>
      <c r="H2" s="34">
        <f>IF(A2="","",IF(C2="corridas",SUMIFS(Historico!$E:$E,Historico!$B:$B,L2,Historico!$A:$A,SUMPRODUCT(MAX((Historico!$B$2:$B$5000=L2)*Historico!$A$2:$A$5000))),N(G2)+IF(F2="",0,IF(C2="dias",MAX(0,IF(P2="",TODAY(),P2)-F2),IF(D2=2,SUMIFS(Producao!$D:$D,Producao!$A:$A,"&gt;="&amp;F2,Producao!$A:$A,"&lt;"&amp;IF(P2="",TODAY()+1,P2)),IF(D2=3,SUMIFS(Producao!$E:$E,Producao!$A:$A,"&gt;="&amp;F2,Producao!$A:$A,"&lt;"&amp;IF(P2="",TODAY()+1,P2)),SUMIFS(Producao!$B:$B,Producao!$A:$A,"&gt;="&amp;F2,Producao!$A:$A,"&lt;"&amp;IF(P2="",TODAY()+1,P2))))))))</f>
        <v/>
      </c>
      <c r="I2" s="34">
        <f>IF(OR(A2="",E2=""),"",E2-H2)</f>
        <v/>
      </c>
      <c r="J2" s="35">
        <f>IF(OR(A2="",N(E2)&lt;=0),"",H2/E2)</f>
        <v/>
      </c>
      <c r="K2" s="32">
        <f>IF(I2="","",IF(P2&lt;&gt;"","Saiu",IF(I2&lt;0,"Além da meta",IF(J2&gt;=Regras!$B$3,"Atenção","OK"))))</f>
        <v/>
      </c>
      <c r="L2" s="32" t="inlineStr">
        <is>
          <t>G</t>
        </is>
      </c>
      <c r="M2">
        <f>IF(OR(J2="",K2="Saiu"),-1,J2+ROW()/1000000000)</f>
        <v/>
      </c>
      <c r="N2" s="43" t="inlineStr">
        <is>
          <t>Molde (relatório)</t>
        </is>
      </c>
      <c r="O2" s="43" t="n"/>
      <c r="P2" s="44">
        <f>IF(OR(A2="",B2="Molde",F2=""),"",IF(COUNTIFS(TrocasEquip!$B$2:$B$1000,A2,TrocasEquip!$A$2:$A$1000,"&gt;="&amp;F2)=0,"",_xlfn.MINIFS(TrocasEquip!$A$2:$A$1000,TrocasEquip!$B$2:$B$1000,A2,TrocasEquip!$A$2:$A$1000,"&gt;="&amp;F2)))</f>
        <v/>
      </c>
      <c r="Q2">
        <f>IF(AND(A2&lt;&gt;"",K2&lt;&gt;"Saiu"),ROW(),"")</f>
        <v/>
      </c>
    </row>
    <row r="3">
      <c r="A3" s="38" t="inlineStr">
        <is>
          <t>Molde H</t>
        </is>
      </c>
      <c r="B3" s="39" t="inlineStr">
        <is>
          <t>Molde</t>
        </is>
      </c>
      <c r="C3" s="32">
        <f>IF(B3="","",IF(B3="Molde","corridas",IF(B3="Oscilador","dias","t")))</f>
        <v/>
      </c>
      <c r="D3" s="40" t="n"/>
      <c r="E3" s="41">
        <f>IF(SUMPRODUCT(MAX((Historico!$B$2:$B$5000=L3)*Historico!$A$2:$A$5000))=0,1100,SUMIFS(Historico!$D:$D,Historico!$B:$B,L3,Historico!$A:$A,SUMPRODUCT(MAX((Historico!$B$2:$B$5000=L3)*Historico!$A$2:$A$5000))))</f>
        <v/>
      </c>
      <c r="F3" s="42" t="n"/>
      <c r="G3" s="41" t="n"/>
      <c r="H3" s="34">
        <f>IF(A3="","",IF(C3="corridas",SUMIFS(Historico!$E:$E,Historico!$B:$B,L3,Historico!$A:$A,SUMPRODUCT(MAX((Historico!$B$2:$B$5000=L3)*Historico!$A$2:$A$5000))),N(G3)+IF(F3="",0,IF(C3="dias",MAX(0,IF(P3="",TODAY(),P3)-F3),IF(D3=2,SUMIFS(Producao!$D:$D,Producao!$A:$A,"&gt;="&amp;F3,Producao!$A:$A,"&lt;"&amp;IF(P3="",TODAY()+1,P3)),IF(D3=3,SUMIFS(Producao!$E:$E,Producao!$A:$A,"&gt;="&amp;F3,Producao!$A:$A,"&lt;"&amp;IF(P3="",TODAY()+1,P3)),SUMIFS(Producao!$B:$B,Producao!$A:$A,"&gt;="&amp;F3,Producao!$A:$A,"&lt;"&amp;IF(P3="",TODAY()+1,P3))))))))</f>
        <v/>
      </c>
      <c r="I3" s="34">
        <f>IF(OR(A3="",E3=""),"",E3-H3)</f>
        <v/>
      </c>
      <c r="J3" s="35">
        <f>IF(OR(A3="",N(E3)&lt;=0),"",H3/E3)</f>
        <v/>
      </c>
      <c r="K3" s="32">
        <f>IF(I3="","",IF(P3&lt;&gt;"","Saiu",IF(I3&lt;0,"Além da meta",IF(J3&gt;=Regras!$B$3,"Atenção","OK"))))</f>
        <v/>
      </c>
      <c r="L3" s="32" t="inlineStr">
        <is>
          <t>H</t>
        </is>
      </c>
      <c r="M3">
        <f>IF(OR(J3="",K3="Saiu"),-1,J3+ROW()/1000000000)</f>
        <v/>
      </c>
      <c r="N3" s="43" t="inlineStr">
        <is>
          <t>Molde (relatório)</t>
        </is>
      </c>
      <c r="O3" s="43" t="n"/>
      <c r="P3" s="44">
        <f>IF(OR(A3="",B3="Molde",F3=""),"",IF(COUNTIFS(TrocasEquip!$B$2:$B$1000,A3,TrocasEquip!$A$2:$A$1000,"&gt;="&amp;F3)=0,"",_xlfn.MINIFS(TrocasEquip!$A$2:$A$1000,TrocasEquip!$B$2:$B$1000,A3,TrocasEquip!$A$2:$A$1000,"&gt;="&amp;F3)))</f>
        <v/>
      </c>
      <c r="Q3">
        <f>IF(AND(A3&lt;&gt;"",K3&lt;&gt;"Saiu"),ROW(),"")</f>
        <v/>
      </c>
    </row>
    <row r="4">
      <c r="A4" s="38" t="inlineStr">
        <is>
          <t>Oscilador</t>
        </is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45" t="n">
        <v>730</v>
      </c>
      <c r="F4" s="46" t="n">
        <v>46235</v>
      </c>
      <c r="G4" s="45" t="n"/>
      <c r="H4" s="34">
        <f>IF(A4="","",IF(C4="corridas",SUMIFS(Historico!$E:$E,Historico!$B:$B,L4,Historico!$A:$A,SUMPRODUCT(MAX((Historico!$B$2:$B$5000=L4)*Historico!$A$2:$A$5000))),N(G4)+IF(F4="",0,IF(C4="dias",MAX(0,IF(P4="",TODAY(),P4)-F4),IF(D4=2,SUMIFS(Producao!$D:$D,Producao!$A:$A,"&gt;="&amp;F4,Producao!$A:$A,"&lt;"&amp;IF(P4="",TODAY()+1,P4)),IF(D4=3,SUMIFS(Producao!$E:$E,Producao!$A:$A,"&gt;="&amp;F4,Producao!$A:$A,"&lt;"&amp;IF(P4="",TODAY()+1,P4)),SUMIFS(Producao!$B:$B,Producao!$A:$A,"&gt;="&amp;F4,Producao!$A:$A,"&lt;"&amp;IF(P4="",TODAY()+1,P4))))))))</f>
        <v/>
      </c>
      <c r="I4" s="34">
        <f>IF(OR(A4="",E4=""),"",E4-H4)</f>
        <v/>
      </c>
      <c r="J4" s="35">
        <f>IF(OR(A4="",N(E4)&lt;=0),"",H4/E4)</f>
        <v/>
      </c>
      <c r="K4" s="32">
        <f>IF(I4="","",IF(P4&lt;&gt;"","Saiu",IF(I4&lt;0,"Além da meta",IF(J4&gt;=Regras!$B$3,"Atenção","OK"))))</f>
        <v/>
      </c>
      <c r="L4" s="32" t="n"/>
      <c r="M4">
        <f>IF(OR(J4="",K4="Saiu"),-1,J4+ROW()/1000000000)</f>
        <v/>
      </c>
      <c r="N4" s="43" t="inlineStr">
        <is>
          <t>Oscilador</t>
        </is>
      </c>
      <c r="O4" s="43" t="n"/>
      <c r="P4" s="44">
        <f>IF(OR(A4="",B4="Molde",F4=""),"",IF(COUNTIFS(TrocasEquip!$B$2:$B$1000,A4,TrocasEquip!$A$2:$A$1000,"&gt;="&amp;F4)=0,"",_xlfn.MINIFS(TrocasEquip!$A$2:$A$1000,TrocasEquip!$B$2:$B$1000,A4,TrocasEquip!$A$2:$A$1000,"&gt;="&amp;F4)))</f>
        <v/>
      </c>
      <c r="Q4">
        <f>IF(AND(A4&lt;&gt;"",K4&lt;&gt;"Saiu"),ROW(),"")</f>
        <v/>
      </c>
    </row>
    <row r="5">
      <c r="A5" s="38" t="inlineStr">
        <is>
          <t>Bender</t>
        </is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45" t="n">
        <v>1100000</v>
      </c>
      <c r="F5" s="46" t="n">
        <v>46235</v>
      </c>
      <c r="G5" s="45" t="n"/>
      <c r="H5" s="34">
        <f>IF(A5="","",IF(C5="corridas",SUMIFS(Historico!$E:$E,Historico!$B:$B,L5,Historico!$A:$A,SUMPRODUCT(MAX((Historico!$B$2:$B$5000=L5)*Historico!$A$2:$A$5000))),N(G5)+IF(F5="",0,IF(C5="dias",MAX(0,IF(P5="",TODAY(),P5)-F5),IF(D5=2,SUMIFS(Producao!$D:$D,Producao!$A:$A,"&gt;="&amp;F5,Producao!$A:$A,"&lt;"&amp;IF(P5="",TODAY()+1,P5)),IF(D5=3,SUMIFS(Producao!$E:$E,Producao!$A:$A,"&gt;="&amp;F5,Producao!$A:$A,"&lt;"&amp;IF(P5="",TODAY()+1,P5)),SUMIFS(Producao!$B:$B,Producao!$A:$A,"&gt;="&amp;F5,Producao!$A:$A,"&lt;"&amp;IF(P5="",TODAY()+1,P5))))))))</f>
        <v/>
      </c>
      <c r="I5" s="34">
        <f>IF(OR(A5="",E5=""),"",E5-H5)</f>
        <v/>
      </c>
      <c r="J5" s="35">
        <f>IF(OR(A5="",N(E5)&lt;=0),"",H5/E5)</f>
        <v/>
      </c>
      <c r="K5" s="32">
        <f>IF(I5="","",IF(P5&lt;&gt;"","Saiu",IF(I5&lt;0,"Além da meta",IF(J5&gt;=Regras!$B$3,"Atenção","OK"))))</f>
        <v/>
      </c>
      <c r="L5" s="32" t="n"/>
      <c r="M5">
        <f>IF(OR(J5="",K5="Saiu"),-1,J5+ROW()/1000000000)</f>
        <v/>
      </c>
      <c r="N5" s="43" t="inlineStr">
        <is>
          <t>Bender</t>
        </is>
      </c>
      <c r="O5" s="43" t="n"/>
      <c r="P5" s="44">
        <f>IF(OR(A5="",B5="Molde",F5=""),"",IF(COUNTIFS(TrocasEquip!$B$2:$B$1000,A5,TrocasEquip!$A$2:$A$1000,"&gt;="&amp;F5)=0,"",_xlfn.MINIFS(TrocasEquip!$A$2:$A$1000,TrocasEquip!$B$2:$B$1000,A5,TrocasEquip!$A$2:$A$1000,"&gt;="&amp;F5)))</f>
        <v/>
      </c>
      <c r="Q5">
        <f>IF(AND(A5&lt;&gt;"",K5&lt;&gt;"Saiu"),ROW(),"")</f>
        <v/>
      </c>
    </row>
    <row r="6">
      <c r="A6" s="38" t="inlineStr">
        <is>
          <t>Bow 1</t>
        </is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45" t="n">
        <v>1900000</v>
      </c>
      <c r="F6" s="46" t="n">
        <v>46235</v>
      </c>
      <c r="G6" s="45" t="n"/>
      <c r="H6" s="34">
        <f>IF(A6="","",IF(C6="corridas",SUMIFS(Historico!$E:$E,Historico!$B:$B,L6,Historico!$A:$A,SUMPRODUCT(MAX((Historico!$B$2:$B$5000=L6)*Historico!$A$2:$A$5000))),N(G6)+IF(F6="",0,IF(C6="dias",MAX(0,IF(P6="",TODAY(),P6)-F6),IF(D6=2,SUMIFS(Producao!$D:$D,Producao!$A:$A,"&gt;="&amp;F6,Producao!$A:$A,"&lt;"&amp;IF(P6="",TODAY()+1,P6)),IF(D6=3,SUMIFS(Producao!$E:$E,Producao!$A:$A,"&gt;="&amp;F6,Producao!$A:$A,"&lt;"&amp;IF(P6="",TODAY()+1,P6)),SUMIFS(Producao!$B:$B,Producao!$A:$A,"&gt;="&amp;F6,Producao!$A:$A,"&lt;"&amp;IF(P6="",TODAY()+1,P6))))))))</f>
        <v/>
      </c>
      <c r="I6" s="34">
        <f>IF(OR(A6="",E6=""),"",E6-H6)</f>
        <v/>
      </c>
      <c r="J6" s="35">
        <f>IF(OR(A6="",N(E6)&lt;=0),"",H6/E6)</f>
        <v/>
      </c>
      <c r="K6" s="32">
        <f>IF(I6="","",IF(P6&lt;&gt;"","Saiu",IF(I6&lt;0,"Além da meta",IF(J6&gt;=Regras!$B$3,"Atenção","OK"))))</f>
        <v/>
      </c>
      <c r="L6" s="32" t="n"/>
      <c r="M6">
        <f>IF(OR(J6="",K6="Saiu"),-1,J6+ROW()/1000000000)</f>
        <v/>
      </c>
      <c r="N6" s="43" t="inlineStr">
        <is>
          <t>Bow 1</t>
        </is>
      </c>
      <c r="O6" s="43" t="n"/>
      <c r="P6" s="44">
        <f>IF(OR(A6="",B6="Molde",F6=""),"",IF(COUNTIFS(TrocasEquip!$B$2:$B$1000,A6,TrocasEquip!$A$2:$A$1000,"&gt;="&amp;F6)=0,"",_xlfn.MINIFS(TrocasEquip!$A$2:$A$1000,TrocasEquip!$B$2:$B$1000,A6,TrocasEquip!$A$2:$A$1000,"&gt;="&amp;F6)))</f>
        <v/>
      </c>
      <c r="Q6">
        <f>IF(AND(A6&lt;&gt;"",K6&lt;&gt;"Saiu"),ROW(),"")</f>
        <v/>
      </c>
    </row>
    <row r="7">
      <c r="A7" s="38" t="inlineStr">
        <is>
          <t>Bow 2</t>
        </is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45" t="n">
        <v>1900000</v>
      </c>
      <c r="F7" s="46" t="n">
        <v>46235</v>
      </c>
      <c r="G7" s="45" t="n"/>
      <c r="H7" s="34">
        <f>IF(A7="","",IF(C7="corridas",SUMIFS(Historico!$E:$E,Historico!$B:$B,L7,Historico!$A:$A,SUMPRODUCT(MAX((Historico!$B$2:$B$5000=L7)*Historico!$A$2:$A$5000))),N(G7)+IF(F7="",0,IF(C7="dias",MAX(0,IF(P7="",TODAY(),P7)-F7),IF(D7=2,SUMIFS(Producao!$D:$D,Producao!$A:$A,"&gt;="&amp;F7,Producao!$A:$A,"&lt;"&amp;IF(P7="",TODAY()+1,P7)),IF(D7=3,SUMIFS(Producao!$E:$E,Producao!$A:$A,"&gt;="&amp;F7,Producao!$A:$A,"&lt;"&amp;IF(P7="",TODAY()+1,P7)),SUMIFS(Producao!$B:$B,Producao!$A:$A,"&gt;="&amp;F7,Producao!$A:$A,"&lt;"&amp;IF(P7="",TODAY()+1,P7))))))))</f>
        <v/>
      </c>
      <c r="I7" s="34">
        <f>IF(OR(A7="",E7=""),"",E7-H7)</f>
        <v/>
      </c>
      <c r="J7" s="35">
        <f>IF(OR(A7="",N(E7)&lt;=0),"",H7/E7)</f>
        <v/>
      </c>
      <c r="K7" s="32">
        <f>IF(I7="","",IF(P7&lt;&gt;"","Saiu",IF(I7&lt;0,"Além da meta",IF(J7&gt;=Regras!$B$3,"Atenção","OK"))))</f>
        <v/>
      </c>
      <c r="L7" s="32" t="n"/>
      <c r="M7">
        <f>IF(OR(J7="",K7="Saiu"),-1,J7+ROW()/1000000000)</f>
        <v/>
      </c>
      <c r="N7" s="43" t="inlineStr">
        <is>
          <t>Bow 2</t>
        </is>
      </c>
      <c r="O7" s="43" t="n"/>
      <c r="P7" s="44">
        <f>IF(OR(A7="",B7="Molde",F7=""),"",IF(COUNTIFS(TrocasEquip!$B$2:$B$1000,A7,TrocasEquip!$A$2:$A$1000,"&gt;="&amp;F7)=0,"",_xlfn.MINIFS(TrocasEquip!$A$2:$A$1000,TrocasEquip!$B$2:$B$1000,A7,TrocasEquip!$A$2:$A$1000,"&gt;="&amp;F7)))</f>
        <v/>
      </c>
      <c r="Q7">
        <f>IF(AND(A7&lt;&gt;"",K7&lt;&gt;"Saiu"),ROW(),"")</f>
        <v/>
      </c>
    </row>
    <row r="8">
      <c r="A8" s="38" t="inlineStr">
        <is>
          <t>Bow 3</t>
        </is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45" t="n">
        <v>1900000</v>
      </c>
      <c r="F8" s="46" t="n">
        <v>46235</v>
      </c>
      <c r="G8" s="45" t="n"/>
      <c r="H8" s="34">
        <f>IF(A8="","",IF(C8="corridas",SUMIFS(Historico!$E:$E,Historico!$B:$B,L8,Historico!$A:$A,SUMPRODUCT(MAX((Historico!$B$2:$B$5000=L8)*Historico!$A$2:$A$5000))),N(G8)+IF(F8="",0,IF(C8="dias",MAX(0,IF(P8="",TODAY(),P8)-F8),IF(D8=2,SUMIFS(Producao!$D:$D,Producao!$A:$A,"&gt;="&amp;F8,Producao!$A:$A,"&lt;"&amp;IF(P8="",TODAY()+1,P8)),IF(D8=3,SUMIFS(Producao!$E:$E,Producao!$A:$A,"&gt;="&amp;F8,Producao!$A:$A,"&lt;"&amp;IF(P8="",TODAY()+1,P8)),SUMIFS(Producao!$B:$B,Producao!$A:$A,"&gt;="&amp;F8,Producao!$A:$A,"&lt;"&amp;IF(P8="",TODAY()+1,P8))))))))</f>
        <v/>
      </c>
      <c r="I8" s="34">
        <f>IF(OR(A8="",E8=""),"",E8-H8)</f>
        <v/>
      </c>
      <c r="J8" s="35">
        <f>IF(OR(A8="",N(E8)&lt;=0),"",H8/E8)</f>
        <v/>
      </c>
      <c r="K8" s="32">
        <f>IF(I8="","",IF(P8&lt;&gt;"","Saiu",IF(I8&lt;0,"Além da meta",IF(J8&gt;=Regras!$B$3,"Atenção","OK"))))</f>
        <v/>
      </c>
      <c r="L8" s="32" t="n"/>
      <c r="M8">
        <f>IF(OR(J8="",K8="Saiu"),-1,J8+ROW()/1000000000)</f>
        <v/>
      </c>
      <c r="N8" s="43" t="inlineStr">
        <is>
          <t>Bow 3</t>
        </is>
      </c>
      <c r="O8" s="43" t="n"/>
      <c r="P8" s="44">
        <f>IF(OR(A8="",B8="Molde",F8=""),"",IF(COUNTIFS(TrocasEquip!$B$2:$B$1000,A8,TrocasEquip!$A$2:$A$1000,"&gt;="&amp;F8)=0,"",_xlfn.MINIFS(TrocasEquip!$A$2:$A$1000,TrocasEquip!$B$2:$B$1000,A8,TrocasEquip!$A$2:$A$1000,"&gt;="&amp;F8)))</f>
        <v/>
      </c>
      <c r="Q8">
        <f>IF(AND(A8&lt;&gt;"",K8&lt;&gt;"Saiu"),ROW(),"")</f>
        <v/>
      </c>
    </row>
    <row r="9">
      <c r="A9" s="38" t="inlineStr">
        <is>
          <t>Bow 4</t>
        </is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45" t="n">
        <v>1900000</v>
      </c>
      <c r="F9" s="46" t="n">
        <v>46235</v>
      </c>
      <c r="G9" s="45" t="n"/>
      <c r="H9" s="34">
        <f>IF(A9="","",IF(C9="corridas",SUMIFS(Historico!$E:$E,Historico!$B:$B,L9,Historico!$A:$A,SUMPRODUCT(MAX((Historico!$B$2:$B$5000=L9)*Historico!$A$2:$A$5000))),N(G9)+IF(F9="",0,IF(C9="dias",MAX(0,IF(P9="",TODAY(),P9)-F9),IF(D9=2,SUMIFS(Producao!$D:$D,Producao!$A:$A,"&gt;="&amp;F9,Producao!$A:$A,"&lt;"&amp;IF(P9="",TODAY()+1,P9)),IF(D9=3,SUMIFS(Producao!$E:$E,Producao!$A:$A,"&gt;="&amp;F9,Producao!$A:$A,"&lt;"&amp;IF(P9="",TODAY()+1,P9)),SUMIFS(Producao!$B:$B,Producao!$A:$A,"&gt;="&amp;F9,Producao!$A:$A,"&lt;"&amp;IF(P9="",TODAY()+1,P9))))))))</f>
        <v/>
      </c>
      <c r="I9" s="34">
        <f>IF(OR(A9="",E9=""),"",E9-H9)</f>
        <v/>
      </c>
      <c r="J9" s="35">
        <f>IF(OR(A9="",N(E9)&lt;=0),"",H9/E9)</f>
        <v/>
      </c>
      <c r="K9" s="32">
        <f>IF(I9="","",IF(P9&lt;&gt;"","Saiu",IF(I9&lt;0,"Além da meta",IF(J9&gt;=Regras!$B$3,"Atenção","OK"))))</f>
        <v/>
      </c>
      <c r="L9" s="32" t="n"/>
      <c r="M9">
        <f>IF(OR(J9="",K9="Saiu"),-1,J9+ROW()/1000000000)</f>
        <v/>
      </c>
      <c r="N9" s="43" t="inlineStr">
        <is>
          <t>Bow 4</t>
        </is>
      </c>
      <c r="O9" s="43" t="n"/>
      <c r="P9" s="44">
        <f>IF(OR(A9="",B9="Molde",F9=""),"",IF(COUNTIFS(TrocasEquip!$B$2:$B$1000,A9,TrocasEquip!$A$2:$A$1000,"&gt;="&amp;F9)=0,"",_xlfn.MINIFS(TrocasEquip!$A$2:$A$1000,TrocasEquip!$B$2:$B$1000,A9,TrocasEquip!$A$2:$A$1000,"&gt;="&amp;F9)))</f>
        <v/>
      </c>
      <c r="Q9">
        <f>IF(AND(A9&lt;&gt;"",K9&lt;&gt;"Saiu"),ROW(),"")</f>
        <v/>
      </c>
    </row>
    <row r="10">
      <c r="A10" s="38" t="inlineStr">
        <is>
          <t>Bow 5</t>
        </is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45" t="n">
        <v>1900000</v>
      </c>
      <c r="F10" s="46" t="n">
        <v>46235</v>
      </c>
      <c r="G10" s="45" t="n"/>
      <c r="H10" s="34">
        <f>IF(A10="","",IF(C10="corridas",SUMIFS(Historico!$E:$E,Historico!$B:$B,L10,Historico!$A:$A,SUMPRODUCT(MAX((Historico!$B$2:$B$5000=L10)*Historico!$A$2:$A$5000))),N(G10)+IF(F10="",0,IF(C10="dias",MAX(0,IF(P10="",TODAY(),P10)-F10),IF(D10=2,SUMIFS(Producao!$D:$D,Producao!$A:$A,"&gt;="&amp;F10,Producao!$A:$A,"&lt;"&amp;IF(P10="",TODAY()+1,P10)),IF(D10=3,SUMIFS(Producao!$E:$E,Producao!$A:$A,"&gt;="&amp;F10,Producao!$A:$A,"&lt;"&amp;IF(P10="",TODAY()+1,P10)),SUMIFS(Producao!$B:$B,Producao!$A:$A,"&gt;="&amp;F10,Producao!$A:$A,"&lt;"&amp;IF(P10="",TODAY()+1,P10)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IF(I10="","",IF(P10&lt;&gt;"","Saiu",IF(I10&lt;0,"Além da meta",IF(J10&gt;=Regras!$B$3,"Atenção","OK"))))</f>
        <v/>
      </c>
      <c r="L10" s="32" t="n"/>
      <c r="M10">
        <f>IF(OR(J10="",K10="Saiu"),-1,J10+ROW()/1000000000)</f>
        <v/>
      </c>
      <c r="N10" s="43" t="inlineStr">
        <is>
          <t>Bow 5</t>
        </is>
      </c>
      <c r="O10" s="43" t="n"/>
      <c r="P10" s="44">
        <f>IF(OR(A10="",B10="Molde",F10=""),"",IF(COUNTIFS(TrocasEquip!$B$2:$B$1000,A10,TrocasEquip!$A$2:$A$1000,"&gt;="&amp;F10)=0,"",_xlfn.MINIFS(TrocasEquip!$A$2:$A$1000,TrocasEquip!$B$2:$B$1000,A10,TrocasEquip!$A$2:$A$1000,"&gt;="&amp;F10)))</f>
        <v/>
      </c>
      <c r="Q10">
        <f>IF(AND(A10&lt;&gt;"",K10&lt;&gt;"Saiu"),ROW(),"")</f>
        <v/>
      </c>
    </row>
    <row r="11">
      <c r="A11" s="38" t="inlineStr">
        <is>
          <t>Straightener R1</t>
        </is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45" t="n">
        <v>1700000</v>
      </c>
      <c r="F11" s="46" t="n">
        <v>46235</v>
      </c>
      <c r="G11" s="45" t="n"/>
      <c r="H11" s="34">
        <f>IF(A11="","",IF(C11="corridas",SUMIFS(Historico!$E:$E,Historico!$B:$B,L11,Historico!$A:$A,SUMPRODUCT(MAX((Historico!$B$2:$B$5000=L11)*Historico!$A$2:$A$5000))),N(G11)+IF(F11="",0,IF(C11="dias",MAX(0,IF(P11="",TODAY(),P11)-F11),IF(D11=2,SUMIFS(Producao!$D:$D,Producao!$A:$A,"&gt;="&amp;F11,Producao!$A:$A,"&lt;"&amp;IF(P11="",TODAY()+1,P11)),IF(D11=3,SUMIFS(Producao!$E:$E,Producao!$A:$A,"&gt;="&amp;F11,Producao!$A:$A,"&lt;"&amp;IF(P11="",TODAY()+1,P11)),SUMIFS(Producao!$B:$B,Producao!$A:$A,"&gt;="&amp;F11,Producao!$A:$A,"&lt;"&amp;IF(P11="",TODAY()+1,P11)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IF(I11="","",IF(P11&lt;&gt;"","Saiu",IF(I11&lt;0,"Além da meta",IF(J11&gt;=Regras!$B$3,"Atenção","OK"))))</f>
        <v/>
      </c>
      <c r="L11" s="32" t="n"/>
      <c r="M11">
        <f>IF(OR(J11="",K11="Saiu"),-1,J11+ROW()/1000000000)</f>
        <v/>
      </c>
      <c r="N11" s="43" t="inlineStr">
        <is>
          <t>Straightener R1</t>
        </is>
      </c>
      <c r="O11" s="43" t="n"/>
      <c r="P11" s="44">
        <f>IF(OR(A11="",B11="Molde",F11=""),"",IF(COUNTIFS(TrocasEquip!$B$2:$B$1000,A11,TrocasEquip!$A$2:$A$1000,"&gt;="&amp;F11)=0,"",_xlfn.MINIFS(TrocasEquip!$A$2:$A$1000,TrocasEquip!$B$2:$B$1000,A11,TrocasEquip!$A$2:$A$1000,"&gt;="&amp;F11)))</f>
        <v/>
      </c>
      <c r="Q11">
        <f>IF(AND(A11&lt;&gt;"",K11&lt;&gt;"Saiu"),ROW(),"")</f>
        <v/>
      </c>
    </row>
    <row r="12">
      <c r="A12" s="38" t="inlineStr">
        <is>
          <t>Straightener R2</t>
        </is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45" t="n">
        <v>1700000</v>
      </c>
      <c r="F12" s="46" t="n">
        <v>46235</v>
      </c>
      <c r="G12" s="45" t="n"/>
      <c r="H12" s="34">
        <f>IF(A12="","",IF(C12="corridas",SUMIFS(Historico!$E:$E,Historico!$B:$B,L12,Historico!$A:$A,SUMPRODUCT(MAX((Historico!$B$2:$B$5000=L12)*Historico!$A$2:$A$5000))),N(G12)+IF(F12="",0,IF(C12="dias",MAX(0,IF(P12="",TODAY(),P12)-F12),IF(D12=2,SUMIFS(Producao!$D:$D,Producao!$A:$A,"&gt;="&amp;F12,Producao!$A:$A,"&lt;"&amp;IF(P12="",TODAY()+1,P12)),IF(D12=3,SUMIFS(Producao!$E:$E,Producao!$A:$A,"&gt;="&amp;F12,Producao!$A:$A,"&lt;"&amp;IF(P12="",TODAY()+1,P12)),SUMIFS(Producao!$B:$B,Producao!$A:$A,"&gt;="&amp;F12,Producao!$A:$A,"&lt;"&amp;IF(P12="",TODAY()+1,P12)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IF(I12="","",IF(P12&lt;&gt;"","Saiu",IF(I12&lt;0,"Além da meta",IF(J12&gt;=Regras!$B$3,"Atenção","OK"))))</f>
        <v/>
      </c>
      <c r="L12" s="32" t="n"/>
      <c r="M12">
        <f>IF(OR(J12="",K12="Saiu"),-1,J12+ROW()/1000000000)</f>
        <v/>
      </c>
      <c r="N12" s="43" t="inlineStr">
        <is>
          <t>Straightener R2</t>
        </is>
      </c>
      <c r="O12" s="43" t="n"/>
      <c r="P12" s="44">
        <f>IF(OR(A12="",B12="Molde",F12=""),"",IF(COUNTIFS(TrocasEquip!$B$2:$B$1000,A12,TrocasEquip!$A$2:$A$1000,"&gt;="&amp;F12)=0,"",_xlfn.MINIFS(TrocasEquip!$A$2:$A$1000,TrocasEquip!$B$2:$B$1000,A12,TrocasEquip!$A$2:$A$1000,"&gt;="&amp;F12)))</f>
        <v/>
      </c>
      <c r="Q12">
        <f>IF(AND(A12&lt;&gt;"",K12&lt;&gt;"Saiu"),ROW(),"")</f>
        <v/>
      </c>
    </row>
    <row r="13">
      <c r="A13" s="38" t="inlineStr">
        <is>
          <t>Horizontal 01</t>
        </is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45" t="n">
        <v>3300000</v>
      </c>
      <c r="F13" s="46" t="n">
        <v>46235</v>
      </c>
      <c r="G13" s="45" t="n"/>
      <c r="H13" s="34">
        <f>IF(A13="","",IF(C13="corridas",SUMIFS(Historico!$E:$E,Historico!$B:$B,L13,Historico!$A:$A,SUMPRODUCT(MAX((Historico!$B$2:$B$5000=L13)*Historico!$A$2:$A$5000))),N(G13)+IF(F13="",0,IF(C13="dias",MAX(0,IF(P13="",TODAY(),P13)-F13),IF(D13=2,SUMIFS(Producao!$D:$D,Producao!$A:$A,"&gt;="&amp;F13,Producao!$A:$A,"&lt;"&amp;IF(P13="",TODAY()+1,P13)),IF(D13=3,SUMIFS(Producao!$E:$E,Producao!$A:$A,"&gt;="&amp;F13,Producao!$A:$A,"&lt;"&amp;IF(P13="",TODAY()+1,P13)),SUMIFS(Producao!$B:$B,Producao!$A:$A,"&gt;="&amp;F13,Producao!$A:$A,"&lt;"&amp;IF(P13="",TODAY()+1,P13)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IF(I13="","",IF(P13&lt;&gt;"","Saiu",IF(I13&lt;0,"Além da meta",IF(J13&gt;=Regras!$B$3,"Atenção","OK"))))</f>
        <v/>
      </c>
      <c r="L13" s="32" t="n"/>
      <c r="M13">
        <f>IF(OR(J13="",K13="Saiu"),-1,J13+ROW()/1000000000)</f>
        <v/>
      </c>
      <c r="N13" s="43" t="inlineStr">
        <is>
          <t>Horizontal 01</t>
        </is>
      </c>
      <c r="O13" s="43" t="n"/>
      <c r="P13" s="44">
        <f>IF(OR(A13="",B13="Molde",F13=""),"",IF(COUNTIFS(TrocasEquip!$B$2:$B$1000,A13,TrocasEquip!$A$2:$A$1000,"&gt;="&amp;F13)=0,"",_xlfn.MINIFS(TrocasEquip!$A$2:$A$1000,TrocasEquip!$B$2:$B$1000,A13,TrocasEquip!$A$2:$A$1000,"&gt;="&amp;F13)))</f>
        <v/>
      </c>
      <c r="Q13">
        <f>IF(AND(A13&lt;&gt;"",K13&lt;&gt;"Saiu"),ROW(),"")</f>
        <v/>
      </c>
    </row>
    <row r="14">
      <c r="A14" s="38" t="inlineStr">
        <is>
          <t>Horizontal 02</t>
        </is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45" t="n">
        <v>3300000</v>
      </c>
      <c r="F14" s="46" t="n">
        <v>46235</v>
      </c>
      <c r="G14" s="45" t="n"/>
      <c r="H14" s="34">
        <f>IF(A14="","",IF(C14="corridas",SUMIFS(Historico!$E:$E,Historico!$B:$B,L14,Historico!$A:$A,SUMPRODUCT(MAX((Historico!$B$2:$B$5000=L14)*Historico!$A$2:$A$5000))),N(G14)+IF(F14="",0,IF(C14="dias",MAX(0,IF(P14="",TODAY(),P14)-F14),IF(D14=2,SUMIFS(Producao!$D:$D,Producao!$A:$A,"&gt;="&amp;F14,Producao!$A:$A,"&lt;"&amp;IF(P14="",TODAY()+1,P14)),IF(D14=3,SUMIFS(Producao!$E:$E,Producao!$A:$A,"&gt;="&amp;F14,Producao!$A:$A,"&lt;"&amp;IF(P14="",TODAY()+1,P14)),SUMIFS(Producao!$B:$B,Producao!$A:$A,"&gt;="&amp;F14,Producao!$A:$A,"&lt;"&amp;IF(P14="",TODAY()+1,P14)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IF(I14="","",IF(P14&lt;&gt;"","Saiu",IF(I14&lt;0,"Além da meta",IF(J14&gt;=Regras!$B$3,"Atenção","OK"))))</f>
        <v/>
      </c>
      <c r="L14" s="32" t="n"/>
      <c r="M14">
        <f>IF(OR(J14="",K14="Saiu"),-1,J14+ROW()/1000000000)</f>
        <v/>
      </c>
      <c r="N14" s="43" t="inlineStr">
        <is>
          <t>Horizontal 02</t>
        </is>
      </c>
      <c r="O14" s="43" t="n"/>
      <c r="P14" s="44">
        <f>IF(OR(A14="",B14="Molde",F14=""),"",IF(COUNTIFS(TrocasEquip!$B$2:$B$1000,A14,TrocasEquip!$A$2:$A$1000,"&gt;="&amp;F14)=0,"",_xlfn.MINIFS(TrocasEquip!$A$2:$A$1000,TrocasEquip!$B$2:$B$1000,A14,TrocasEquip!$A$2:$A$1000,"&gt;="&amp;F14)))</f>
        <v/>
      </c>
      <c r="Q14">
        <f>IF(AND(A14&lt;&gt;"",K14&lt;&gt;"Saiu"),ROW(),"")</f>
        <v/>
      </c>
    </row>
    <row r="15">
      <c r="A15" s="38" t="inlineStr">
        <is>
          <t>Horizontal 03</t>
        </is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45" t="n">
        <v>3300000</v>
      </c>
      <c r="F15" s="46" t="n">
        <v>46235</v>
      </c>
      <c r="G15" s="45" t="n"/>
      <c r="H15" s="34">
        <f>IF(A15="","",IF(C15="corridas",SUMIFS(Historico!$E:$E,Historico!$B:$B,L15,Historico!$A:$A,SUMPRODUCT(MAX((Historico!$B$2:$B$5000=L15)*Historico!$A$2:$A$5000))),N(G15)+IF(F15="",0,IF(C15="dias",MAX(0,IF(P15="",TODAY(),P15)-F15),IF(D15=2,SUMIFS(Producao!$D:$D,Producao!$A:$A,"&gt;="&amp;F15,Producao!$A:$A,"&lt;"&amp;IF(P15="",TODAY()+1,P15)),IF(D15=3,SUMIFS(Producao!$E:$E,Producao!$A:$A,"&gt;="&amp;F15,Producao!$A:$A,"&lt;"&amp;IF(P15="",TODAY()+1,P15)),SUMIFS(Producao!$B:$B,Producao!$A:$A,"&gt;="&amp;F15,Producao!$A:$A,"&lt;"&amp;IF(P15="",TODAY()+1,P15)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IF(I15="","",IF(P15&lt;&gt;"","Saiu",IF(I15&lt;0,"Além da meta",IF(J15&gt;=Regras!$B$3,"Atenção","OK"))))</f>
        <v/>
      </c>
      <c r="L15" s="32" t="n"/>
      <c r="M15">
        <f>IF(OR(J15="",K15="Saiu"),-1,J15+ROW()/1000000000)</f>
        <v/>
      </c>
      <c r="N15" s="43" t="inlineStr">
        <is>
          <t>Horizontal 03</t>
        </is>
      </c>
      <c r="O15" s="43" t="n"/>
      <c r="P15" s="44">
        <f>IF(OR(A15="",B15="Molde",F15=""),"",IF(COUNTIFS(TrocasEquip!$B$2:$B$1000,A15,TrocasEquip!$A$2:$A$1000,"&gt;="&amp;F15)=0,"",_xlfn.MINIFS(TrocasEquip!$A$2:$A$1000,TrocasEquip!$B$2:$B$1000,A15,TrocasEquip!$A$2:$A$1000,"&gt;="&amp;F15)))</f>
        <v/>
      </c>
      <c r="Q15">
        <f>IF(AND(A15&lt;&gt;"",K15&lt;&gt;"Saiu"),ROW(),"")</f>
        <v/>
      </c>
    </row>
    <row r="16">
      <c r="A16" s="38" t="inlineStr">
        <is>
          <t>Horizontal 04</t>
        </is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45" t="n">
        <v>3300000</v>
      </c>
      <c r="F16" s="46" t="n">
        <v>46235</v>
      </c>
      <c r="G16" s="45" t="n"/>
      <c r="H16" s="34">
        <f>IF(A16="","",IF(C16="corridas",SUMIFS(Historico!$E:$E,Historico!$B:$B,L16,Historico!$A:$A,SUMPRODUCT(MAX((Historico!$B$2:$B$5000=L16)*Historico!$A$2:$A$5000))),N(G16)+IF(F16="",0,IF(C16="dias",MAX(0,IF(P16="",TODAY(),P16)-F16),IF(D16=2,SUMIFS(Producao!$D:$D,Producao!$A:$A,"&gt;="&amp;F16,Producao!$A:$A,"&lt;"&amp;IF(P16="",TODAY()+1,P16)),IF(D16=3,SUMIFS(Producao!$E:$E,Producao!$A:$A,"&gt;="&amp;F16,Producao!$A:$A,"&lt;"&amp;IF(P16="",TODAY()+1,P16)),SUMIFS(Producao!$B:$B,Producao!$A:$A,"&gt;="&amp;F16,Producao!$A:$A,"&lt;"&amp;IF(P16="",TODAY()+1,P16)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IF(I16="","",IF(P16&lt;&gt;"","Saiu",IF(I16&lt;0,"Além da meta",IF(J16&gt;=Regras!$B$3,"Atenção","OK"))))</f>
        <v/>
      </c>
      <c r="L16" s="32" t="n"/>
      <c r="M16">
        <f>IF(OR(J16="",K16="Saiu"),-1,J16+ROW()/1000000000)</f>
        <v/>
      </c>
      <c r="N16" s="43" t="inlineStr">
        <is>
          <t>Horizontal 04</t>
        </is>
      </c>
      <c r="O16" s="43" t="n"/>
      <c r="P16" s="44">
        <f>IF(OR(A16="",B16="Molde",F16=""),"",IF(COUNTIFS(TrocasEquip!$B$2:$B$1000,A16,TrocasEquip!$A$2:$A$1000,"&gt;="&amp;F16)=0,"",_xlfn.MINIFS(TrocasEquip!$A$2:$A$1000,TrocasEquip!$B$2:$B$1000,A16,TrocasEquip!$A$2:$A$1000,"&gt;="&amp;F16)))</f>
        <v/>
      </c>
      <c r="Q16">
        <f>IF(AND(A16&lt;&gt;"",K16&lt;&gt;"Saiu"),ROW(),"")</f>
        <v/>
      </c>
    </row>
    <row r="17">
      <c r="A17" s="38" t="inlineStr">
        <is>
          <t>Horizontal 05</t>
        </is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45" t="n">
        <v>3300000</v>
      </c>
      <c r="F17" s="46" t="n">
        <v>46235</v>
      </c>
      <c r="G17" s="45" t="n"/>
      <c r="H17" s="34">
        <f>IF(A17="","",IF(C17="corridas",SUMIFS(Historico!$E:$E,Historico!$B:$B,L17,Historico!$A:$A,SUMPRODUCT(MAX((Historico!$B$2:$B$5000=L17)*Historico!$A$2:$A$5000))),N(G17)+IF(F17="",0,IF(C17="dias",MAX(0,IF(P17="",TODAY(),P17)-F17),IF(D17=2,SUMIFS(Producao!$D:$D,Producao!$A:$A,"&gt;="&amp;F17,Producao!$A:$A,"&lt;"&amp;IF(P17="",TODAY()+1,P17)),IF(D17=3,SUMIFS(Producao!$E:$E,Producao!$A:$A,"&gt;="&amp;F17,Producao!$A:$A,"&lt;"&amp;IF(P17="",TODAY()+1,P17)),SUMIFS(Producao!$B:$B,Producao!$A:$A,"&gt;="&amp;F17,Producao!$A:$A,"&lt;"&amp;IF(P17="",TODAY()+1,P17)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IF(I17="","",IF(P17&lt;&gt;"","Saiu",IF(I17&lt;0,"Além da meta",IF(J17&gt;=Regras!$B$3,"Atenção","OK"))))</f>
        <v/>
      </c>
      <c r="L17" s="32" t="n"/>
      <c r="M17">
        <f>IF(OR(J17="",K17="Saiu"),-1,J17+ROW()/1000000000)</f>
        <v/>
      </c>
      <c r="N17" s="43" t="inlineStr">
        <is>
          <t>Horizontal 05</t>
        </is>
      </c>
      <c r="O17" s="43" t="n"/>
      <c r="P17" s="44">
        <f>IF(OR(A17="",B17="Molde",F17=""),"",IF(COUNTIFS(TrocasEquip!$B$2:$B$1000,A17,TrocasEquip!$A$2:$A$1000,"&gt;="&amp;F17)=0,"",_xlfn.MINIFS(TrocasEquip!$A$2:$A$1000,TrocasEquip!$B$2:$B$1000,A17,TrocasEquip!$A$2:$A$1000,"&gt;="&amp;F17)))</f>
        <v/>
      </c>
      <c r="Q17">
        <f>IF(AND(A17&lt;&gt;"",K17&lt;&gt;"Saiu"),ROW(),"")</f>
        <v/>
      </c>
    </row>
    <row r="18">
      <c r="A18" s="38" t="inlineStr">
        <is>
          <t>Horizontal 06</t>
        </is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45" t="n">
        <v>3300000</v>
      </c>
      <c r="F18" s="46" t="n">
        <v>46235</v>
      </c>
      <c r="G18" s="45" t="n"/>
      <c r="H18" s="34">
        <f>IF(A18="","",IF(C18="corridas",SUMIFS(Historico!$E:$E,Historico!$B:$B,L18,Historico!$A:$A,SUMPRODUCT(MAX((Historico!$B$2:$B$5000=L18)*Historico!$A$2:$A$5000))),N(G18)+IF(F18="",0,IF(C18="dias",MAX(0,IF(P18="",TODAY(),P18)-F18),IF(D18=2,SUMIFS(Producao!$D:$D,Producao!$A:$A,"&gt;="&amp;F18,Producao!$A:$A,"&lt;"&amp;IF(P18="",TODAY()+1,P18)),IF(D18=3,SUMIFS(Producao!$E:$E,Producao!$A:$A,"&gt;="&amp;F18,Producao!$A:$A,"&lt;"&amp;IF(P18="",TODAY()+1,P18)),SUMIFS(Producao!$B:$B,Producao!$A:$A,"&gt;="&amp;F18,Producao!$A:$A,"&lt;"&amp;IF(P18="",TODAY()+1,P18)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IF(I18="","",IF(P18&lt;&gt;"","Saiu",IF(I18&lt;0,"Além da meta",IF(J18&gt;=Regras!$B$3,"Atenção","OK"))))</f>
        <v/>
      </c>
      <c r="L18" s="32" t="n"/>
      <c r="M18">
        <f>IF(OR(J18="",K18="Saiu"),-1,J18+ROW()/1000000000)</f>
        <v/>
      </c>
      <c r="N18" s="43" t="inlineStr">
        <is>
          <t>Horizontal 06</t>
        </is>
      </c>
      <c r="O18" s="43" t="n"/>
      <c r="P18" s="44">
        <f>IF(OR(A18="",B18="Molde",F18=""),"",IF(COUNTIFS(TrocasEquip!$B$2:$B$1000,A18,TrocasEquip!$A$2:$A$1000,"&gt;="&amp;F18)=0,"",_xlfn.MINIFS(TrocasEquip!$A$2:$A$1000,TrocasEquip!$B$2:$B$1000,A18,TrocasEquip!$A$2:$A$1000,"&gt;="&amp;F18)))</f>
        <v/>
      </c>
      <c r="Q18">
        <f>IF(AND(A18&lt;&gt;"",K18&lt;&gt;"Saiu"),ROW(),"")</f>
        <v/>
      </c>
    </row>
    <row r="19">
      <c r="A19" s="38" t="inlineStr">
        <is>
          <t>Horizontal 07</t>
        </is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45" t="n">
        <v>3300000</v>
      </c>
      <c r="F19" s="46" t="n">
        <v>46235</v>
      </c>
      <c r="G19" s="45" t="n"/>
      <c r="H19" s="34">
        <f>IF(A19="","",IF(C19="corridas",SUMIFS(Historico!$E:$E,Historico!$B:$B,L19,Historico!$A:$A,SUMPRODUCT(MAX((Historico!$B$2:$B$5000=L19)*Historico!$A$2:$A$5000))),N(G19)+IF(F19="",0,IF(C19="dias",MAX(0,IF(P19="",TODAY(),P19)-F19),IF(D19=2,SUMIFS(Producao!$D:$D,Producao!$A:$A,"&gt;="&amp;F19,Producao!$A:$A,"&lt;"&amp;IF(P19="",TODAY()+1,P19)),IF(D19=3,SUMIFS(Producao!$E:$E,Producao!$A:$A,"&gt;="&amp;F19,Producao!$A:$A,"&lt;"&amp;IF(P19="",TODAY()+1,P19)),SUMIFS(Producao!$B:$B,Producao!$A:$A,"&gt;="&amp;F19,Producao!$A:$A,"&lt;"&amp;IF(P19="",TODAY()+1,P19)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IF(I19="","",IF(P19&lt;&gt;"","Saiu",IF(I19&lt;0,"Além da meta",IF(J19&gt;=Regras!$B$3,"Atenção","OK"))))</f>
        <v/>
      </c>
      <c r="L19" s="32" t="n"/>
      <c r="M19">
        <f>IF(OR(J19="",K19="Saiu"),-1,J19+ROW()/1000000000)</f>
        <v/>
      </c>
      <c r="N19" s="43" t="inlineStr">
        <is>
          <t>Horizontal 07</t>
        </is>
      </c>
      <c r="O19" s="43" t="n"/>
      <c r="P19" s="44">
        <f>IF(OR(A19="",B19="Molde",F19=""),"",IF(COUNTIFS(TrocasEquip!$B$2:$B$1000,A19,TrocasEquip!$A$2:$A$1000,"&gt;="&amp;F19)=0,"",_xlfn.MINIFS(TrocasEquip!$A$2:$A$1000,TrocasEquip!$B$2:$B$1000,A19,TrocasEquip!$A$2:$A$1000,"&gt;="&amp;F19)))</f>
        <v/>
      </c>
      <c r="Q19">
        <f>IF(AND(A19&lt;&gt;"",K19&lt;&gt;"Saiu"),ROW(),"")</f>
        <v/>
      </c>
    </row>
    <row r="20">
      <c r="A20" s="38" t="inlineStr">
        <is>
          <t>Horizontal 08</t>
        </is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45" t="n">
        <v>3300000</v>
      </c>
      <c r="F20" s="46" t="n">
        <v>46235</v>
      </c>
      <c r="G20" s="45" t="n"/>
      <c r="H20" s="34">
        <f>IF(A20="","",IF(C20="corridas",SUMIFS(Historico!$E:$E,Historico!$B:$B,L20,Historico!$A:$A,SUMPRODUCT(MAX((Historico!$B$2:$B$5000=L20)*Historico!$A$2:$A$5000))),N(G20)+IF(F20="",0,IF(C20="dias",MAX(0,IF(P20="",TODAY(),P20)-F20),IF(D20=2,SUMIFS(Producao!$D:$D,Producao!$A:$A,"&gt;="&amp;F20,Producao!$A:$A,"&lt;"&amp;IF(P20="",TODAY()+1,P20)),IF(D20=3,SUMIFS(Producao!$E:$E,Producao!$A:$A,"&gt;="&amp;F20,Producao!$A:$A,"&lt;"&amp;IF(P20="",TODAY()+1,P20)),SUMIFS(Producao!$B:$B,Producao!$A:$A,"&gt;="&amp;F20,Producao!$A:$A,"&lt;"&amp;IF(P20="",TODAY()+1,P20)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IF(I20="","",IF(P20&lt;&gt;"","Saiu",IF(I20&lt;0,"Além da meta",IF(J20&gt;=Regras!$B$3,"Atenção","OK"))))</f>
        <v/>
      </c>
      <c r="L20" s="32" t="n"/>
      <c r="M20">
        <f>IF(OR(J20="",K20="Saiu"),-1,J20+ROW()/1000000000)</f>
        <v/>
      </c>
      <c r="N20" s="43" t="inlineStr">
        <is>
          <t>Horizontal 08</t>
        </is>
      </c>
      <c r="O20" s="43" t="n"/>
      <c r="P20" s="44">
        <f>IF(OR(A20="",B20="Molde",F20=""),"",IF(COUNTIFS(TrocasEquip!$B$2:$B$1000,A20,TrocasEquip!$A$2:$A$1000,"&gt;="&amp;F20)=0,"",_xlfn.MINIFS(TrocasEquip!$A$2:$A$1000,TrocasEquip!$B$2:$B$1000,A20,TrocasEquip!$A$2:$A$1000,"&gt;="&amp;F20)))</f>
        <v/>
      </c>
      <c r="Q20">
        <f>IF(AND(A20&lt;&gt;"",K20&lt;&gt;"Saiu"),ROW(),"")</f>
        <v/>
      </c>
    </row>
    <row r="21">
      <c r="A21" s="38" t="inlineStr">
        <is>
          <t>Horizontal 09</t>
        </is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45" t="n">
        <v>3300000</v>
      </c>
      <c r="F21" s="46" t="n">
        <v>46235</v>
      </c>
      <c r="G21" s="45" t="n"/>
      <c r="H21" s="34">
        <f>IF(A21="","",IF(C21="corridas",SUMIFS(Historico!$E:$E,Historico!$B:$B,L21,Historico!$A:$A,SUMPRODUCT(MAX((Historico!$B$2:$B$5000=L21)*Historico!$A$2:$A$5000))),N(G21)+IF(F21="",0,IF(C21="dias",MAX(0,IF(P21="",TODAY(),P21)-F21),IF(D21=2,SUMIFS(Producao!$D:$D,Producao!$A:$A,"&gt;="&amp;F21,Producao!$A:$A,"&lt;"&amp;IF(P21="",TODAY()+1,P21)),IF(D21=3,SUMIFS(Producao!$E:$E,Producao!$A:$A,"&gt;="&amp;F21,Producao!$A:$A,"&lt;"&amp;IF(P21="",TODAY()+1,P21)),SUMIFS(Producao!$B:$B,Producao!$A:$A,"&gt;="&amp;F21,Producao!$A:$A,"&lt;"&amp;IF(P21="",TODAY()+1,P21)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IF(I21="","",IF(P21&lt;&gt;"","Saiu",IF(I21&lt;0,"Além da meta",IF(J21&gt;=Regras!$B$3,"Atenção","OK"))))</f>
        <v/>
      </c>
      <c r="L21" s="32" t="n"/>
      <c r="M21">
        <f>IF(OR(J21="",K21="Saiu"),-1,J21+ROW()/1000000000)</f>
        <v/>
      </c>
      <c r="N21" s="43" t="inlineStr">
        <is>
          <t>Horizontal 09</t>
        </is>
      </c>
      <c r="O21" s="43" t="n"/>
      <c r="P21" s="44">
        <f>IF(OR(A21="",B21="Molde",F21=""),"",IF(COUNTIFS(TrocasEquip!$B$2:$B$1000,A21,TrocasEquip!$A$2:$A$1000,"&gt;="&amp;F21)=0,"",_xlfn.MINIFS(TrocasEquip!$A$2:$A$1000,TrocasEquip!$B$2:$B$1000,A21,TrocasEquip!$A$2:$A$1000,"&gt;="&amp;F21)))</f>
        <v/>
      </c>
      <c r="Q21">
        <f>IF(AND(A21&lt;&gt;"",K21&lt;&gt;"Saiu"),ROW(),"")</f>
        <v/>
      </c>
    </row>
    <row r="22">
      <c r="A22" s="38" t="inlineStr">
        <is>
          <t>Horizontal 10</t>
        </is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45" t="n">
        <v>3300000</v>
      </c>
      <c r="F22" s="46" t="n">
        <v>46235</v>
      </c>
      <c r="G22" s="45" t="n"/>
      <c r="H22" s="34">
        <f>IF(A22="","",IF(C22="corridas",SUMIFS(Historico!$E:$E,Historico!$B:$B,L22,Historico!$A:$A,SUMPRODUCT(MAX((Historico!$B$2:$B$5000=L22)*Historico!$A$2:$A$5000))),N(G22)+IF(F22="",0,IF(C22="dias",MAX(0,IF(P22="",TODAY(),P22)-F22),IF(D22=2,SUMIFS(Producao!$D:$D,Producao!$A:$A,"&gt;="&amp;F22,Producao!$A:$A,"&lt;"&amp;IF(P22="",TODAY()+1,P22)),IF(D22=3,SUMIFS(Producao!$E:$E,Producao!$A:$A,"&gt;="&amp;F22,Producao!$A:$A,"&lt;"&amp;IF(P22="",TODAY()+1,P22)),SUMIFS(Producao!$B:$B,Producao!$A:$A,"&gt;="&amp;F22,Producao!$A:$A,"&lt;"&amp;IF(P22="",TODAY()+1,P22)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IF(I22="","",IF(P22&lt;&gt;"","Saiu",IF(I22&lt;0,"Além da meta",IF(J22&gt;=Regras!$B$3,"Atenção","OK"))))</f>
        <v/>
      </c>
      <c r="L22" s="32" t="n"/>
      <c r="M22">
        <f>IF(OR(J22="",K22="Saiu"),-1,J22+ROW()/1000000000)</f>
        <v/>
      </c>
      <c r="N22" s="43" t="inlineStr">
        <is>
          <t>Horizontal 10</t>
        </is>
      </c>
      <c r="O22" s="43" t="n"/>
      <c r="P22" s="44">
        <f>IF(OR(A22="",B22="Molde",F22=""),"",IF(COUNTIFS(TrocasEquip!$B$2:$B$1000,A22,TrocasEquip!$A$2:$A$1000,"&gt;="&amp;F22)=0,"",_xlfn.MINIFS(TrocasEquip!$A$2:$A$1000,TrocasEquip!$B$2:$B$1000,A22,TrocasEquip!$A$2:$A$1000,"&gt;="&amp;F22)))</f>
        <v/>
      </c>
      <c r="Q22">
        <f>IF(AND(A22&lt;&gt;"",K22&lt;&gt;"Saiu"),ROW(),"")</f>
        <v/>
      </c>
    </row>
    <row r="23">
      <c r="A23" s="38" t="n"/>
      <c r="B23" s="39" t="n"/>
      <c r="C23" s="32">
        <f>IF(B23="","",IF(B23="Molde","corridas",IF(B23="Oscilador","dias","t")))</f>
        <v/>
      </c>
      <c r="D23" s="39" t="n"/>
      <c r="E23" s="45" t="n"/>
      <c r="F23" s="46" t="n"/>
      <c r="G23" s="45" t="n"/>
      <c r="H23" s="34">
        <f>IF(A23="","",IF(C23="corridas",SUMIFS(Historico!$E:$E,Historico!$B:$B,L23,Historico!$A:$A,SUMPRODUCT(MAX((Historico!$B$2:$B$5000=L23)*Historico!$A$2:$A$5000))),N(G23)+IF(F23="",0,IF(C23="dias",MAX(0,IF(P23="",TODAY(),P23)-F23),IF(D23=2,SUMIFS(Producao!$D:$D,Producao!$A:$A,"&gt;="&amp;F23,Producao!$A:$A,"&lt;"&amp;IF(P23="",TODAY()+1,P23)),IF(D23=3,SUMIFS(Producao!$E:$E,Producao!$A:$A,"&gt;="&amp;F23,Producao!$A:$A,"&lt;"&amp;IF(P23="",TODAY()+1,P23)),SUMIFS(Producao!$B:$B,Producao!$A:$A,"&gt;="&amp;F23,Producao!$A:$A,"&lt;"&amp;IF(P23="",TODAY()+1,P23)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IF(I23="","",IF(P23&lt;&gt;"","Saiu",IF(I23&lt;0,"Além da meta",IF(J23&gt;=Regras!$B$3,"Atenção","OK"))))</f>
        <v/>
      </c>
      <c r="L23" s="32" t="n"/>
      <c r="M23">
        <f>IF(OR(J23="",K23="Saiu"),-1,J23+ROW()/1000000000)</f>
        <v/>
      </c>
      <c r="N23" s="43" t="n"/>
      <c r="O23" s="43" t="n"/>
      <c r="P23" s="44">
        <f>IF(OR(A23="",B23="Molde",F23=""),"",IF(COUNTIFS(TrocasEquip!$B$2:$B$1000,A23,TrocasEquip!$A$2:$A$1000,"&gt;="&amp;F23)=0,"",_xlfn.MINIFS(TrocasEquip!$A$2:$A$1000,TrocasEquip!$B$2:$B$1000,A23,TrocasEquip!$A$2:$A$1000,"&gt;="&amp;F23)))</f>
        <v/>
      </c>
      <c r="Q23">
        <f>IF(AND(A23&lt;&gt;"",K23&lt;&gt;"Saiu"),ROW(),"")</f>
        <v/>
      </c>
    </row>
    <row r="24">
      <c r="A24" s="38" t="n"/>
      <c r="B24" s="39" t="n"/>
      <c r="C24" s="32">
        <f>IF(B24="","",IF(B24="Molde","corridas",IF(B24="Oscilador","dias","t")))</f>
        <v/>
      </c>
      <c r="D24" s="39" t="n"/>
      <c r="E24" s="45" t="n"/>
      <c r="F24" s="46" t="n"/>
      <c r="G24" s="45" t="n"/>
      <c r="H24" s="34">
        <f>IF(A24="","",IF(C24="corridas",SUMIFS(Historico!$E:$E,Historico!$B:$B,L24,Historico!$A:$A,SUMPRODUCT(MAX((Historico!$B$2:$B$5000=L24)*Historico!$A$2:$A$5000))),N(G24)+IF(F24="",0,IF(C24="dias",MAX(0,IF(P24="",TODAY(),P24)-F24),IF(D24=2,SUMIFS(Producao!$D:$D,Producao!$A:$A,"&gt;="&amp;F24,Producao!$A:$A,"&lt;"&amp;IF(P24="",TODAY()+1,P24)),IF(D24=3,SUMIFS(Producao!$E:$E,Producao!$A:$A,"&gt;="&amp;F24,Producao!$A:$A,"&lt;"&amp;IF(P24="",TODAY()+1,P24)),SUMIFS(Producao!$B:$B,Producao!$A:$A,"&gt;="&amp;F24,Producao!$A:$A,"&lt;"&amp;IF(P24="",TODAY()+1,P24)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IF(I24="","",IF(P24&lt;&gt;"","Saiu",IF(I24&lt;0,"Além da meta",IF(J24&gt;=Regras!$B$3,"Atenção","OK"))))</f>
        <v/>
      </c>
      <c r="L24" s="32" t="n"/>
      <c r="M24">
        <f>IF(OR(J24="",K24="Saiu"),-1,J24+ROW()/1000000000)</f>
        <v/>
      </c>
      <c r="N24" s="43" t="n"/>
      <c r="O24" s="43" t="n"/>
      <c r="P24" s="44">
        <f>IF(OR(A24="",B24="Molde",F24=""),"",IF(COUNTIFS(TrocasEquip!$B$2:$B$1000,A24,TrocasEquip!$A$2:$A$1000,"&gt;="&amp;F24)=0,"",_xlfn.MINIFS(TrocasEquip!$A$2:$A$1000,TrocasEquip!$B$2:$B$1000,A24,TrocasEquip!$A$2:$A$1000,"&gt;="&amp;F24)))</f>
        <v/>
      </c>
      <c r="Q24">
        <f>IF(AND(A24&lt;&gt;"",K24&lt;&gt;"Saiu"),ROW(),"")</f>
        <v/>
      </c>
    </row>
    <row r="25">
      <c r="A25" s="38" t="n"/>
      <c r="B25" s="39" t="n"/>
      <c r="C25" s="32">
        <f>IF(B25="","",IF(B25="Molde","corridas",IF(B25="Oscilador","dias","t")))</f>
        <v/>
      </c>
      <c r="D25" s="39" t="n"/>
      <c r="E25" s="45" t="n"/>
      <c r="F25" s="46" t="n"/>
      <c r="G25" s="45" t="n"/>
      <c r="H25" s="34">
        <f>IF(A25="","",IF(C25="corridas",SUMIFS(Historico!$E:$E,Historico!$B:$B,L25,Historico!$A:$A,SUMPRODUCT(MAX((Historico!$B$2:$B$5000=L25)*Historico!$A$2:$A$5000))),N(G25)+IF(F25="",0,IF(C25="dias",MAX(0,IF(P25="",TODAY(),P25)-F25),IF(D25=2,SUMIFS(Producao!$D:$D,Producao!$A:$A,"&gt;="&amp;F25,Producao!$A:$A,"&lt;"&amp;IF(P25="",TODAY()+1,P25)),IF(D25=3,SUMIFS(Producao!$E:$E,Producao!$A:$A,"&gt;="&amp;F25,Producao!$A:$A,"&lt;"&amp;IF(P25="",TODAY()+1,P25)),SUMIFS(Producao!$B:$B,Producao!$A:$A,"&gt;="&amp;F25,Producao!$A:$A,"&lt;"&amp;IF(P25="",TODAY()+1,P25)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IF(I25="","",IF(P25&lt;&gt;"","Saiu",IF(I25&lt;0,"Além da meta",IF(J25&gt;=Regras!$B$3,"Atenção","OK"))))</f>
        <v/>
      </c>
      <c r="L25" s="32" t="n"/>
      <c r="M25">
        <f>IF(OR(J25="",K25="Saiu"),-1,J25+ROW()/1000000000)</f>
        <v/>
      </c>
      <c r="N25" s="43" t="n"/>
      <c r="O25" s="43" t="n"/>
      <c r="P25" s="44">
        <f>IF(OR(A25="",B25="Molde",F25=""),"",IF(COUNTIFS(TrocasEquip!$B$2:$B$1000,A25,TrocasEquip!$A$2:$A$1000,"&gt;="&amp;F25)=0,"",_xlfn.MINIFS(TrocasEquip!$A$2:$A$1000,TrocasEquip!$B$2:$B$1000,A25,TrocasEquip!$A$2:$A$1000,"&gt;="&amp;F25)))</f>
        <v/>
      </c>
      <c r="Q25">
        <f>IF(AND(A25&lt;&gt;"",K25&lt;&gt;"Saiu"),ROW(),"")</f>
        <v/>
      </c>
    </row>
    <row r="26">
      <c r="A26" s="38" t="n"/>
      <c r="B26" s="39" t="n"/>
      <c r="C26" s="32">
        <f>IF(B26="","",IF(B26="Molde","corridas",IF(B26="Oscilador","dias","t")))</f>
        <v/>
      </c>
      <c r="D26" s="39" t="n"/>
      <c r="E26" s="45" t="n"/>
      <c r="F26" s="46" t="n"/>
      <c r="G26" s="45" t="n"/>
      <c r="H26" s="34">
        <f>IF(A26="","",IF(C26="corridas",SUMIFS(Historico!$E:$E,Historico!$B:$B,L26,Historico!$A:$A,SUMPRODUCT(MAX((Historico!$B$2:$B$5000=L26)*Historico!$A$2:$A$5000))),N(G26)+IF(F26="",0,IF(C26="dias",MAX(0,IF(P26="",TODAY(),P26)-F26),IF(D26=2,SUMIFS(Producao!$D:$D,Producao!$A:$A,"&gt;="&amp;F26,Producao!$A:$A,"&lt;"&amp;IF(P26="",TODAY()+1,P26)),IF(D26=3,SUMIFS(Producao!$E:$E,Producao!$A:$A,"&gt;="&amp;F26,Producao!$A:$A,"&lt;"&amp;IF(P26="",TODAY()+1,P26)),SUMIFS(Producao!$B:$B,Producao!$A:$A,"&gt;="&amp;F26,Producao!$A:$A,"&lt;"&amp;IF(P26="",TODAY()+1,P26)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IF(I26="","",IF(P26&lt;&gt;"","Saiu",IF(I26&lt;0,"Além da meta",IF(J26&gt;=Regras!$B$3,"Atenção","OK"))))</f>
        <v/>
      </c>
      <c r="L26" s="32" t="n"/>
      <c r="M26">
        <f>IF(OR(J26="",K26="Saiu"),-1,J26+ROW()/1000000000)</f>
        <v/>
      </c>
      <c r="N26" s="43" t="n"/>
      <c r="O26" s="43" t="n"/>
      <c r="P26" s="44">
        <f>IF(OR(A26="",B26="Molde",F26=""),"",IF(COUNTIFS(TrocasEquip!$B$2:$B$1000,A26,TrocasEquip!$A$2:$A$1000,"&gt;="&amp;F26)=0,"",_xlfn.MINIFS(TrocasEquip!$A$2:$A$1000,TrocasEquip!$B$2:$B$1000,A26,TrocasEquip!$A$2:$A$1000,"&gt;="&amp;F26)))</f>
        <v/>
      </c>
      <c r="Q26">
        <f>IF(AND(A26&lt;&gt;"",K26&lt;&gt;"Saiu"),ROW(),"")</f>
        <v/>
      </c>
    </row>
    <row r="27">
      <c r="A27" s="38" t="n"/>
      <c r="B27" s="39" t="n"/>
      <c r="C27" s="32">
        <f>IF(B27="","",IF(B27="Molde","corridas",IF(B27="Oscilador","dias","t")))</f>
        <v/>
      </c>
      <c r="D27" s="39" t="n"/>
      <c r="E27" s="45" t="n"/>
      <c r="F27" s="46" t="n"/>
      <c r="G27" s="45" t="n"/>
      <c r="H27" s="34">
        <f>IF(A27="","",IF(C27="corridas",SUMIFS(Historico!$E:$E,Historico!$B:$B,L27,Historico!$A:$A,SUMPRODUCT(MAX((Historico!$B$2:$B$5000=L27)*Historico!$A$2:$A$5000))),N(G27)+IF(F27="",0,IF(C27="dias",MAX(0,IF(P27="",TODAY(),P27)-F27),IF(D27=2,SUMIFS(Producao!$D:$D,Producao!$A:$A,"&gt;="&amp;F27,Producao!$A:$A,"&lt;"&amp;IF(P27="",TODAY()+1,P27)),IF(D27=3,SUMIFS(Producao!$E:$E,Producao!$A:$A,"&gt;="&amp;F27,Producao!$A:$A,"&lt;"&amp;IF(P27="",TODAY()+1,P27)),SUMIFS(Producao!$B:$B,Producao!$A:$A,"&gt;="&amp;F27,Producao!$A:$A,"&lt;"&amp;IF(P27="",TODAY()+1,P27)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IF(I27="","",IF(P27&lt;&gt;"","Saiu",IF(I27&lt;0,"Além da meta",IF(J27&gt;=Regras!$B$3,"Atenção","OK"))))</f>
        <v/>
      </c>
      <c r="L27" s="32" t="n"/>
      <c r="M27">
        <f>IF(OR(J27="",K27="Saiu"),-1,J27+ROW()/1000000000)</f>
        <v/>
      </c>
      <c r="N27" s="43" t="n"/>
      <c r="O27" s="43" t="n"/>
      <c r="P27" s="44">
        <f>IF(OR(A27="",B27="Molde",F27=""),"",IF(COUNTIFS(TrocasEquip!$B$2:$B$1000,A27,TrocasEquip!$A$2:$A$1000,"&gt;="&amp;F27)=0,"",_xlfn.MINIFS(TrocasEquip!$A$2:$A$1000,TrocasEquip!$B$2:$B$1000,A27,TrocasEquip!$A$2:$A$1000,"&gt;="&amp;F27)))</f>
        <v/>
      </c>
      <c r="Q27">
        <f>IF(AND(A27&lt;&gt;"",K27&lt;&gt;"Saiu"),ROW(),"")</f>
        <v/>
      </c>
    </row>
    <row r="28">
      <c r="A28" s="38" t="n"/>
      <c r="B28" s="39" t="n"/>
      <c r="C28" s="32">
        <f>IF(B28="","",IF(B28="Molde","corridas",IF(B28="Oscilador","dias","t")))</f>
        <v/>
      </c>
      <c r="D28" s="39" t="n"/>
      <c r="E28" s="45" t="n"/>
      <c r="F28" s="46" t="n"/>
      <c r="G28" s="45" t="n"/>
      <c r="H28" s="34">
        <f>IF(A28="","",IF(C28="corridas",SUMIFS(Historico!$E:$E,Historico!$B:$B,L28,Historico!$A:$A,SUMPRODUCT(MAX((Historico!$B$2:$B$5000=L28)*Historico!$A$2:$A$5000))),N(G28)+IF(F28="",0,IF(C28="dias",MAX(0,IF(P28="",TODAY(),P28)-F28),IF(D28=2,SUMIFS(Producao!$D:$D,Producao!$A:$A,"&gt;="&amp;F28,Producao!$A:$A,"&lt;"&amp;IF(P28="",TODAY()+1,P28)),IF(D28=3,SUMIFS(Producao!$E:$E,Producao!$A:$A,"&gt;="&amp;F28,Producao!$A:$A,"&lt;"&amp;IF(P28="",TODAY()+1,P28)),SUMIFS(Producao!$B:$B,Producao!$A:$A,"&gt;="&amp;F28,Producao!$A:$A,"&lt;"&amp;IF(P28="",TODAY()+1,P28)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IF(I28="","",IF(P28&lt;&gt;"","Saiu",IF(I28&lt;0,"Além da meta",IF(J28&gt;=Regras!$B$3,"Atenção","OK"))))</f>
        <v/>
      </c>
      <c r="L28" s="32" t="n"/>
      <c r="M28">
        <f>IF(OR(J28="",K28="Saiu"),-1,J28+ROW()/1000000000)</f>
        <v/>
      </c>
      <c r="N28" s="43" t="n"/>
      <c r="O28" s="43" t="n"/>
      <c r="P28" s="44">
        <f>IF(OR(A28="",B28="Molde",F28=""),"",IF(COUNTIFS(TrocasEquip!$B$2:$B$1000,A28,TrocasEquip!$A$2:$A$1000,"&gt;="&amp;F28)=0,"",_xlfn.MINIFS(TrocasEquip!$A$2:$A$1000,TrocasEquip!$B$2:$B$1000,A28,TrocasEquip!$A$2:$A$1000,"&gt;="&amp;F28)))</f>
        <v/>
      </c>
      <c r="Q28">
        <f>IF(AND(A28&lt;&gt;"",K28&lt;&gt;"Saiu"),ROW(),"")</f>
        <v/>
      </c>
    </row>
    <row r="29">
      <c r="A29" s="38" t="n"/>
      <c r="B29" s="39" t="n"/>
      <c r="C29" s="32">
        <f>IF(B29="","",IF(B29="Molde","corridas",IF(B29="Oscilador","dias","t")))</f>
        <v/>
      </c>
      <c r="D29" s="39" t="n"/>
      <c r="E29" s="45" t="n"/>
      <c r="F29" s="46" t="n"/>
      <c r="G29" s="45" t="n"/>
      <c r="H29" s="34">
        <f>IF(A29="","",IF(C29="corridas",SUMIFS(Historico!$E:$E,Historico!$B:$B,L29,Historico!$A:$A,SUMPRODUCT(MAX((Historico!$B$2:$B$5000=L29)*Historico!$A$2:$A$5000))),N(G29)+IF(F29="",0,IF(C29="dias",MAX(0,IF(P29="",TODAY(),P29)-F29),IF(D29=2,SUMIFS(Producao!$D:$D,Producao!$A:$A,"&gt;="&amp;F29,Producao!$A:$A,"&lt;"&amp;IF(P29="",TODAY()+1,P29)),IF(D29=3,SUMIFS(Producao!$E:$E,Producao!$A:$A,"&gt;="&amp;F29,Producao!$A:$A,"&lt;"&amp;IF(P29="",TODAY()+1,P29)),SUMIFS(Producao!$B:$B,Producao!$A:$A,"&gt;="&amp;F29,Producao!$A:$A,"&lt;"&amp;IF(P29="",TODAY()+1,P29)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IF(I29="","",IF(P29&lt;&gt;"","Saiu",IF(I29&lt;0,"Além da meta",IF(J29&gt;=Regras!$B$3,"Atenção","OK"))))</f>
        <v/>
      </c>
      <c r="L29" s="32" t="n"/>
      <c r="M29">
        <f>IF(OR(J29="",K29="Saiu"),-1,J29+ROW()/1000000000)</f>
        <v/>
      </c>
      <c r="N29" s="43" t="n"/>
      <c r="O29" s="43" t="n"/>
      <c r="P29" s="44">
        <f>IF(OR(A29="",B29="Molde",F29=""),"",IF(COUNTIFS(TrocasEquip!$B$2:$B$1000,A29,TrocasEquip!$A$2:$A$1000,"&gt;="&amp;F29)=0,"",_xlfn.MINIFS(TrocasEquip!$A$2:$A$1000,TrocasEquip!$B$2:$B$1000,A29,TrocasEquip!$A$2:$A$1000,"&gt;="&amp;F29)))</f>
        <v/>
      </c>
      <c r="Q29">
        <f>IF(AND(A29&lt;&gt;"",K29&lt;&gt;"Saiu"),ROW(),"")</f>
        <v/>
      </c>
    </row>
    <row r="30">
      <c r="A30" s="38" t="n"/>
      <c r="B30" s="39" t="n"/>
      <c r="C30" s="32">
        <f>IF(B30="","",IF(B30="Molde","corridas",IF(B30="Oscilador","dias","t")))</f>
        <v/>
      </c>
      <c r="D30" s="39" t="n"/>
      <c r="E30" s="45" t="n"/>
      <c r="F30" s="46" t="n"/>
      <c r="G30" s="45" t="n"/>
      <c r="H30" s="34">
        <f>IF(A30="","",IF(C30="corridas",SUMIFS(Historico!$E:$E,Historico!$B:$B,L30,Historico!$A:$A,SUMPRODUCT(MAX((Historico!$B$2:$B$5000=L30)*Historico!$A$2:$A$5000))),N(G30)+IF(F30="",0,IF(C30="dias",MAX(0,IF(P30="",TODAY(),P30)-F30),IF(D30=2,SUMIFS(Producao!$D:$D,Producao!$A:$A,"&gt;="&amp;F30,Producao!$A:$A,"&lt;"&amp;IF(P30="",TODAY()+1,P30)),IF(D30=3,SUMIFS(Producao!$E:$E,Producao!$A:$A,"&gt;="&amp;F30,Producao!$A:$A,"&lt;"&amp;IF(P30="",TODAY()+1,P30)),SUMIFS(Producao!$B:$B,Producao!$A:$A,"&gt;="&amp;F30,Producao!$A:$A,"&lt;"&amp;IF(P30="",TODAY()+1,P30)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IF(I30="","",IF(P30&lt;&gt;"","Saiu",IF(I30&lt;0,"Além da meta",IF(J30&gt;=Regras!$B$3,"Atenção","OK"))))</f>
        <v/>
      </c>
      <c r="L30" s="32" t="n"/>
      <c r="M30">
        <f>IF(OR(J30="",K30="Saiu"),-1,J30+ROW()/1000000000)</f>
        <v/>
      </c>
      <c r="N30" s="43" t="n"/>
      <c r="O30" s="43" t="n"/>
      <c r="P30" s="44">
        <f>IF(OR(A30="",B30="Molde",F30=""),"",IF(COUNTIFS(TrocasEquip!$B$2:$B$1000,A30,TrocasEquip!$A$2:$A$1000,"&gt;="&amp;F30)=0,"",_xlfn.MINIFS(TrocasEquip!$A$2:$A$1000,TrocasEquip!$B$2:$B$1000,A30,TrocasEquip!$A$2:$A$1000,"&gt;="&amp;F30)))</f>
        <v/>
      </c>
      <c r="Q30">
        <f>IF(AND(A30&lt;&gt;"",K30&lt;&gt;"Saiu"),ROW(),"")</f>
        <v/>
      </c>
    </row>
    <row r="31">
      <c r="A31" s="38" t="n"/>
      <c r="B31" s="39" t="n"/>
      <c r="C31" s="32">
        <f>IF(B31="","",IF(B31="Molde","corridas",IF(B31="Oscilador","dias","t")))</f>
        <v/>
      </c>
      <c r="D31" s="39" t="n"/>
      <c r="E31" s="45" t="n"/>
      <c r="F31" s="46" t="n"/>
      <c r="G31" s="45" t="n"/>
      <c r="H31" s="34">
        <f>IF(A31="","",IF(C31="corridas",SUMIFS(Historico!$E:$E,Historico!$B:$B,L31,Historico!$A:$A,SUMPRODUCT(MAX((Historico!$B$2:$B$5000=L31)*Historico!$A$2:$A$5000))),N(G31)+IF(F31="",0,IF(C31="dias",MAX(0,IF(P31="",TODAY(),P31)-F31),IF(D31=2,SUMIFS(Producao!$D:$D,Producao!$A:$A,"&gt;="&amp;F31,Producao!$A:$A,"&lt;"&amp;IF(P31="",TODAY()+1,P31)),IF(D31=3,SUMIFS(Producao!$E:$E,Producao!$A:$A,"&gt;="&amp;F31,Producao!$A:$A,"&lt;"&amp;IF(P31="",TODAY()+1,P31)),SUMIFS(Producao!$B:$B,Producao!$A:$A,"&gt;="&amp;F31,Producao!$A:$A,"&lt;"&amp;IF(P31="",TODAY()+1,P31)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IF(I31="","",IF(P31&lt;&gt;"","Saiu",IF(I31&lt;0,"Além da meta",IF(J31&gt;=Regras!$B$3,"Atenção","OK"))))</f>
        <v/>
      </c>
      <c r="L31" s="32" t="n"/>
      <c r="M31">
        <f>IF(OR(J31="",K31="Saiu"),-1,J31+ROW()/1000000000)</f>
        <v/>
      </c>
      <c r="N31" s="43" t="n"/>
      <c r="O31" s="43" t="n"/>
      <c r="P31" s="44">
        <f>IF(OR(A31="",B31="Molde",F31=""),"",IF(COUNTIFS(TrocasEquip!$B$2:$B$1000,A31,TrocasEquip!$A$2:$A$1000,"&gt;="&amp;F31)=0,"",_xlfn.MINIFS(TrocasEquip!$A$2:$A$1000,TrocasEquip!$B$2:$B$1000,A31,TrocasEquip!$A$2:$A$1000,"&gt;="&amp;F31)))</f>
        <v/>
      </c>
      <c r="Q31">
        <f>IF(AND(A31&lt;&gt;"",K31&lt;&gt;"Saiu"),ROW(),"")</f>
        <v/>
      </c>
    </row>
    <row r="32">
      <c r="A32" s="38" t="n"/>
      <c r="B32" s="39" t="n"/>
      <c r="C32" s="32">
        <f>IF(B32="","",IF(B32="Molde","corridas",IF(B32="Oscilador","dias","t")))</f>
        <v/>
      </c>
      <c r="D32" s="39" t="n"/>
      <c r="E32" s="45" t="n"/>
      <c r="F32" s="46" t="n"/>
      <c r="G32" s="45" t="n"/>
      <c r="H32" s="34">
        <f>IF(A32="","",IF(C32="corridas",SUMIFS(Historico!$E:$E,Historico!$B:$B,L32,Historico!$A:$A,SUMPRODUCT(MAX((Historico!$B$2:$B$5000=L32)*Historico!$A$2:$A$5000))),N(G32)+IF(F32="",0,IF(C32="dias",MAX(0,IF(P32="",TODAY(),P32)-F32),IF(D32=2,SUMIFS(Producao!$D:$D,Producao!$A:$A,"&gt;="&amp;F32,Producao!$A:$A,"&lt;"&amp;IF(P32="",TODAY()+1,P32)),IF(D32=3,SUMIFS(Producao!$E:$E,Producao!$A:$A,"&gt;="&amp;F32,Producao!$A:$A,"&lt;"&amp;IF(P32="",TODAY()+1,P32)),SUMIFS(Producao!$B:$B,Producao!$A:$A,"&gt;="&amp;F32,Producao!$A:$A,"&lt;"&amp;IF(P32="",TODAY()+1,P32)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IF(I32="","",IF(P32&lt;&gt;"","Saiu",IF(I32&lt;0,"Além da meta",IF(J32&gt;=Regras!$B$3,"Atenção","OK"))))</f>
        <v/>
      </c>
      <c r="L32" s="32" t="n"/>
      <c r="M32">
        <f>IF(OR(J32="",K32="Saiu"),-1,J32+ROW()/1000000000)</f>
        <v/>
      </c>
      <c r="N32" s="43" t="n"/>
      <c r="O32" s="43" t="n"/>
      <c r="P32" s="44">
        <f>IF(OR(A32="",B32="Molde",F32=""),"",IF(COUNTIFS(TrocasEquip!$B$2:$B$1000,A32,TrocasEquip!$A$2:$A$1000,"&gt;="&amp;F32)=0,"",_xlfn.MINIFS(TrocasEquip!$A$2:$A$1000,TrocasEquip!$B$2:$B$1000,A32,TrocasEquip!$A$2:$A$1000,"&gt;="&amp;F32)))</f>
        <v/>
      </c>
      <c r="Q32">
        <f>IF(AND(A32&lt;&gt;"",K32&lt;&gt;"Saiu"),ROW(),"")</f>
        <v/>
      </c>
    </row>
    <row r="33">
      <c r="A33" s="38" t="n"/>
      <c r="B33" s="39" t="n"/>
      <c r="C33" s="32">
        <f>IF(B33="","",IF(B33="Molde","corridas",IF(B33="Oscilador","dias","t")))</f>
        <v/>
      </c>
      <c r="D33" s="39" t="n"/>
      <c r="E33" s="45" t="n"/>
      <c r="F33" s="46" t="n"/>
      <c r="G33" s="45" t="n"/>
      <c r="H33" s="34">
        <f>IF(A33="","",IF(C33="corridas",SUMIFS(Historico!$E:$E,Historico!$B:$B,L33,Historico!$A:$A,SUMPRODUCT(MAX((Historico!$B$2:$B$5000=L33)*Historico!$A$2:$A$5000))),N(G33)+IF(F33="",0,IF(C33="dias",MAX(0,IF(P33="",TODAY(),P33)-F33),IF(D33=2,SUMIFS(Producao!$D:$D,Producao!$A:$A,"&gt;="&amp;F33,Producao!$A:$A,"&lt;"&amp;IF(P33="",TODAY()+1,P33)),IF(D33=3,SUMIFS(Producao!$E:$E,Producao!$A:$A,"&gt;="&amp;F33,Producao!$A:$A,"&lt;"&amp;IF(P33="",TODAY()+1,P33)),SUMIFS(Producao!$B:$B,Producao!$A:$A,"&gt;="&amp;F33,Producao!$A:$A,"&lt;"&amp;IF(P33="",TODAY()+1,P33)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IF(I33="","",IF(P33&lt;&gt;"","Saiu",IF(I33&lt;0,"Além da meta",IF(J33&gt;=Regras!$B$3,"Atenção","OK"))))</f>
        <v/>
      </c>
      <c r="L33" s="32" t="n"/>
      <c r="M33">
        <f>IF(OR(J33="",K33="Saiu"),-1,J33+ROW()/1000000000)</f>
        <v/>
      </c>
      <c r="N33" s="43" t="n"/>
      <c r="O33" s="43" t="n"/>
      <c r="P33" s="44">
        <f>IF(OR(A33="",B33="Molde",F33=""),"",IF(COUNTIFS(TrocasEquip!$B$2:$B$1000,A33,TrocasEquip!$A$2:$A$1000,"&gt;="&amp;F33)=0,"",_xlfn.MINIFS(TrocasEquip!$A$2:$A$1000,TrocasEquip!$B$2:$B$1000,A33,TrocasEquip!$A$2:$A$1000,"&gt;="&amp;F33)))</f>
        <v/>
      </c>
      <c r="Q33">
        <f>IF(AND(A33&lt;&gt;"",K33&lt;&gt;"Saiu"),ROW(),"")</f>
        <v/>
      </c>
    </row>
    <row r="34">
      <c r="A34" s="38" t="n"/>
      <c r="B34" s="39" t="n"/>
      <c r="C34" s="32">
        <f>IF(B34="","",IF(B34="Molde","corridas",IF(B34="Oscilador","dias","t")))</f>
        <v/>
      </c>
      <c r="D34" s="39" t="n"/>
      <c r="E34" s="45" t="n"/>
      <c r="F34" s="46" t="n"/>
      <c r="G34" s="45" t="n"/>
      <c r="H34" s="34">
        <f>IF(A34="","",IF(C34="corridas",SUMIFS(Historico!$E:$E,Historico!$B:$B,L34,Historico!$A:$A,SUMPRODUCT(MAX((Historico!$B$2:$B$5000=L34)*Historico!$A$2:$A$5000))),N(G34)+IF(F34="",0,IF(C34="dias",MAX(0,IF(P34="",TODAY(),P34)-F34),IF(D34=2,SUMIFS(Producao!$D:$D,Producao!$A:$A,"&gt;="&amp;F34,Producao!$A:$A,"&lt;"&amp;IF(P34="",TODAY()+1,P34)),IF(D34=3,SUMIFS(Producao!$E:$E,Producao!$A:$A,"&gt;="&amp;F34,Producao!$A:$A,"&lt;"&amp;IF(P34="",TODAY()+1,P34)),SUMIFS(Producao!$B:$B,Producao!$A:$A,"&gt;="&amp;F34,Producao!$A:$A,"&lt;"&amp;IF(P34="",TODAY()+1,P34)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IF(I34="","",IF(P34&lt;&gt;"","Saiu",IF(I34&lt;0,"Além da meta",IF(J34&gt;=Regras!$B$3,"Atenção","OK"))))</f>
        <v/>
      </c>
      <c r="L34" s="32" t="n"/>
      <c r="M34">
        <f>IF(OR(J34="",K34="Saiu"),-1,J34+ROW()/1000000000)</f>
        <v/>
      </c>
      <c r="N34" s="43" t="n"/>
      <c r="O34" s="43" t="n"/>
      <c r="P34" s="44">
        <f>IF(OR(A34="",B34="Molde",F34=""),"",IF(COUNTIFS(TrocasEquip!$B$2:$B$1000,A34,TrocasEquip!$A$2:$A$1000,"&gt;="&amp;F34)=0,"",_xlfn.MINIFS(TrocasEquip!$A$2:$A$1000,TrocasEquip!$B$2:$B$1000,A34,TrocasEquip!$A$2:$A$1000,"&gt;="&amp;F34)))</f>
        <v/>
      </c>
      <c r="Q34">
        <f>IF(AND(A34&lt;&gt;"",K34&lt;&gt;"Saiu"),ROW(),"")</f>
        <v/>
      </c>
    </row>
    <row r="35">
      <c r="A35" s="38" t="n"/>
      <c r="B35" s="39" t="n"/>
      <c r="C35" s="32">
        <f>IF(B35="","",IF(B35="Molde","corridas",IF(B35="Oscilador","dias","t")))</f>
        <v/>
      </c>
      <c r="D35" s="39" t="n"/>
      <c r="E35" s="45" t="n"/>
      <c r="F35" s="46" t="n"/>
      <c r="G35" s="45" t="n"/>
      <c r="H35" s="34">
        <f>IF(A35="","",IF(C35="corridas",SUMIFS(Historico!$E:$E,Historico!$B:$B,L35,Historico!$A:$A,SUMPRODUCT(MAX((Historico!$B$2:$B$5000=L35)*Historico!$A$2:$A$5000))),N(G35)+IF(F35="",0,IF(C35="dias",MAX(0,IF(P35="",TODAY(),P35)-F35),IF(D35=2,SUMIFS(Producao!$D:$D,Producao!$A:$A,"&gt;="&amp;F35,Producao!$A:$A,"&lt;"&amp;IF(P35="",TODAY()+1,P35)),IF(D35=3,SUMIFS(Producao!$E:$E,Producao!$A:$A,"&gt;="&amp;F35,Producao!$A:$A,"&lt;"&amp;IF(P35="",TODAY()+1,P35)),SUMIFS(Producao!$B:$B,Producao!$A:$A,"&gt;="&amp;F35,Producao!$A:$A,"&lt;"&amp;IF(P35="",TODAY()+1,P35)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IF(I35="","",IF(P35&lt;&gt;"","Saiu",IF(I35&lt;0,"Além da meta",IF(J35&gt;=Regras!$B$3,"Atenção","OK"))))</f>
        <v/>
      </c>
      <c r="L35" s="32" t="n"/>
      <c r="M35">
        <f>IF(OR(J35="",K35="Saiu"),-1,J35+ROW()/1000000000)</f>
        <v/>
      </c>
      <c r="N35" s="43" t="n"/>
      <c r="O35" s="43" t="n"/>
      <c r="P35" s="44">
        <f>IF(OR(A35="",B35="Molde",F35=""),"",IF(COUNTIFS(TrocasEquip!$B$2:$B$1000,A35,TrocasEquip!$A$2:$A$1000,"&gt;="&amp;F35)=0,"",_xlfn.MINIFS(TrocasEquip!$A$2:$A$1000,TrocasEquip!$B$2:$B$1000,A35,TrocasEquip!$A$2:$A$1000,"&gt;="&amp;F35)))</f>
        <v/>
      </c>
      <c r="Q35">
        <f>IF(AND(A35&lt;&gt;"",K35&lt;&gt;"Saiu"),ROW(),"")</f>
        <v/>
      </c>
    </row>
    <row r="36">
      <c r="A36" s="38" t="n"/>
      <c r="B36" s="39" t="n"/>
      <c r="C36" s="32">
        <f>IF(B36="","",IF(B36="Molde","corridas",IF(B36="Oscilador","dias","t")))</f>
        <v/>
      </c>
      <c r="D36" s="39" t="n"/>
      <c r="E36" s="45" t="n"/>
      <c r="F36" s="46" t="n"/>
      <c r="G36" s="45" t="n"/>
      <c r="H36" s="34">
        <f>IF(A36="","",IF(C36="corridas",SUMIFS(Historico!$E:$E,Historico!$B:$B,L36,Historico!$A:$A,SUMPRODUCT(MAX((Historico!$B$2:$B$5000=L36)*Historico!$A$2:$A$5000))),N(G36)+IF(F36="",0,IF(C36="dias",MAX(0,IF(P36="",TODAY(),P36)-F36),IF(D36=2,SUMIFS(Producao!$D:$D,Producao!$A:$A,"&gt;="&amp;F36,Producao!$A:$A,"&lt;"&amp;IF(P36="",TODAY()+1,P36)),IF(D36=3,SUMIFS(Producao!$E:$E,Producao!$A:$A,"&gt;="&amp;F36,Producao!$A:$A,"&lt;"&amp;IF(P36="",TODAY()+1,P36)),SUMIFS(Producao!$B:$B,Producao!$A:$A,"&gt;="&amp;F36,Producao!$A:$A,"&lt;"&amp;IF(P36="",TODAY()+1,P36)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IF(I36="","",IF(P36&lt;&gt;"","Saiu",IF(I36&lt;0,"Além da meta",IF(J36&gt;=Regras!$B$3,"Atenção","OK"))))</f>
        <v/>
      </c>
      <c r="L36" s="32" t="n"/>
      <c r="M36">
        <f>IF(OR(J36="",K36="Saiu"),-1,J36+ROW()/1000000000)</f>
        <v/>
      </c>
      <c r="N36" s="43" t="n"/>
      <c r="O36" s="43" t="n"/>
      <c r="P36" s="44">
        <f>IF(OR(A36="",B36="Molde",F36=""),"",IF(COUNTIFS(TrocasEquip!$B$2:$B$1000,A36,TrocasEquip!$A$2:$A$1000,"&gt;="&amp;F36)=0,"",_xlfn.MINIFS(TrocasEquip!$A$2:$A$1000,TrocasEquip!$B$2:$B$1000,A36,TrocasEquip!$A$2:$A$1000,"&gt;="&amp;F36)))</f>
        <v/>
      </c>
      <c r="Q36">
        <f>IF(AND(A36&lt;&gt;"",K36&lt;&gt;"Saiu"),ROW(),"")</f>
        <v/>
      </c>
    </row>
    <row r="37">
      <c r="A37" s="38" t="n"/>
      <c r="B37" s="39" t="n"/>
      <c r="C37" s="32">
        <f>IF(B37="","",IF(B37="Molde","corridas",IF(B37="Oscilador","dias","t")))</f>
        <v/>
      </c>
      <c r="D37" s="39" t="n"/>
      <c r="E37" s="45" t="n"/>
      <c r="F37" s="46" t="n"/>
      <c r="G37" s="45" t="n"/>
      <c r="H37" s="34">
        <f>IF(A37="","",IF(C37="corridas",SUMIFS(Historico!$E:$E,Historico!$B:$B,L37,Historico!$A:$A,SUMPRODUCT(MAX((Historico!$B$2:$B$5000=L37)*Historico!$A$2:$A$5000))),N(G37)+IF(F37="",0,IF(C37="dias",MAX(0,IF(P37="",TODAY(),P37)-F37),IF(D37=2,SUMIFS(Producao!$D:$D,Producao!$A:$A,"&gt;="&amp;F37,Producao!$A:$A,"&lt;"&amp;IF(P37="",TODAY()+1,P37)),IF(D37=3,SUMIFS(Producao!$E:$E,Producao!$A:$A,"&gt;="&amp;F37,Producao!$A:$A,"&lt;"&amp;IF(P37="",TODAY()+1,P37)),SUMIFS(Producao!$B:$B,Producao!$A:$A,"&gt;="&amp;F37,Producao!$A:$A,"&lt;"&amp;IF(P37="",TODAY()+1,P37)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IF(I37="","",IF(P37&lt;&gt;"","Saiu",IF(I37&lt;0,"Além da meta",IF(J37&gt;=Regras!$B$3,"Atenção","OK"))))</f>
        <v/>
      </c>
      <c r="L37" s="32" t="n"/>
      <c r="M37">
        <f>IF(OR(J37="",K37="Saiu"),-1,J37+ROW()/1000000000)</f>
        <v/>
      </c>
      <c r="N37" s="43" t="n"/>
      <c r="O37" s="43" t="n"/>
      <c r="P37" s="44">
        <f>IF(OR(A37="",B37="Molde",F37=""),"",IF(COUNTIFS(TrocasEquip!$B$2:$B$1000,A37,TrocasEquip!$A$2:$A$1000,"&gt;="&amp;F37)=0,"",_xlfn.MINIFS(TrocasEquip!$A$2:$A$1000,TrocasEquip!$B$2:$B$1000,A37,TrocasEquip!$A$2:$A$1000,"&gt;="&amp;F37)))</f>
        <v/>
      </c>
      <c r="Q37">
        <f>IF(AND(A37&lt;&gt;"",K37&lt;&gt;"Saiu"),ROW(),"")</f>
        <v/>
      </c>
    </row>
    <row r="38">
      <c r="A38" s="38" t="n"/>
      <c r="B38" s="39" t="n"/>
      <c r="C38" s="32">
        <f>IF(B38="","",IF(B38="Molde","corridas",IF(B38="Oscilador","dias","t")))</f>
        <v/>
      </c>
      <c r="D38" s="39" t="n"/>
      <c r="E38" s="45" t="n"/>
      <c r="F38" s="46" t="n"/>
      <c r="G38" s="45" t="n"/>
      <c r="H38" s="34">
        <f>IF(A38="","",IF(C38="corridas",SUMIFS(Historico!$E:$E,Historico!$B:$B,L38,Historico!$A:$A,SUMPRODUCT(MAX((Historico!$B$2:$B$5000=L38)*Historico!$A$2:$A$5000))),N(G38)+IF(F38="",0,IF(C38="dias",MAX(0,IF(P38="",TODAY(),P38)-F38),IF(D38=2,SUMIFS(Producao!$D:$D,Producao!$A:$A,"&gt;="&amp;F38,Producao!$A:$A,"&lt;"&amp;IF(P38="",TODAY()+1,P38)),IF(D38=3,SUMIFS(Producao!$E:$E,Producao!$A:$A,"&gt;="&amp;F38,Producao!$A:$A,"&lt;"&amp;IF(P38="",TODAY()+1,P38)),SUMIFS(Producao!$B:$B,Producao!$A:$A,"&gt;="&amp;F38,Producao!$A:$A,"&lt;"&amp;IF(P38="",TODAY()+1,P38)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IF(I38="","",IF(P38&lt;&gt;"","Saiu",IF(I38&lt;0,"Além da meta",IF(J38&gt;=Regras!$B$3,"Atenção","OK"))))</f>
        <v/>
      </c>
      <c r="L38" s="32" t="n"/>
      <c r="M38">
        <f>IF(OR(J38="",K38="Saiu"),-1,J38+ROW()/1000000000)</f>
        <v/>
      </c>
      <c r="N38" s="43" t="n"/>
      <c r="O38" s="43" t="n"/>
      <c r="P38" s="44">
        <f>IF(OR(A38="",B38="Molde",F38=""),"",IF(COUNTIFS(TrocasEquip!$B$2:$B$1000,A38,TrocasEquip!$A$2:$A$1000,"&gt;="&amp;F38)=0,"",_xlfn.MINIFS(TrocasEquip!$A$2:$A$1000,TrocasEquip!$B$2:$B$1000,A38,TrocasEquip!$A$2:$A$1000,"&gt;="&amp;F38)))</f>
        <v/>
      </c>
      <c r="Q38">
        <f>IF(AND(A38&lt;&gt;"",K38&lt;&gt;"Saiu"),ROW(),"")</f>
        <v/>
      </c>
    </row>
    <row r="39">
      <c r="A39" s="38" t="n"/>
      <c r="B39" s="39" t="n"/>
      <c r="C39" s="32">
        <f>IF(B39="","",IF(B39="Molde","corridas",IF(B39="Oscilador","dias","t")))</f>
        <v/>
      </c>
      <c r="D39" s="39" t="n"/>
      <c r="E39" s="45" t="n"/>
      <c r="F39" s="46" t="n"/>
      <c r="G39" s="45" t="n"/>
      <c r="H39" s="34">
        <f>IF(A39="","",IF(C39="corridas",SUMIFS(Historico!$E:$E,Historico!$B:$B,L39,Historico!$A:$A,SUMPRODUCT(MAX((Historico!$B$2:$B$5000=L39)*Historico!$A$2:$A$5000))),N(G39)+IF(F39="",0,IF(C39="dias",MAX(0,IF(P39="",TODAY(),P39)-F39),IF(D39=2,SUMIFS(Producao!$D:$D,Producao!$A:$A,"&gt;="&amp;F39,Producao!$A:$A,"&lt;"&amp;IF(P39="",TODAY()+1,P39)),IF(D39=3,SUMIFS(Producao!$E:$E,Producao!$A:$A,"&gt;="&amp;F39,Producao!$A:$A,"&lt;"&amp;IF(P39="",TODAY()+1,P39)),SUMIFS(Producao!$B:$B,Producao!$A:$A,"&gt;="&amp;F39,Producao!$A:$A,"&lt;"&amp;IF(P39="",TODAY()+1,P39)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IF(I39="","",IF(P39&lt;&gt;"","Saiu",IF(I39&lt;0,"Além da meta",IF(J39&gt;=Regras!$B$3,"Atenção","OK"))))</f>
        <v/>
      </c>
      <c r="L39" s="32" t="n"/>
      <c r="M39">
        <f>IF(OR(J39="",K39="Saiu"),-1,J39+ROW()/1000000000)</f>
        <v/>
      </c>
      <c r="N39" s="43" t="n"/>
      <c r="O39" s="43" t="n"/>
      <c r="P39" s="44">
        <f>IF(OR(A39="",B39="Molde",F39=""),"",IF(COUNTIFS(TrocasEquip!$B$2:$B$1000,A39,TrocasEquip!$A$2:$A$1000,"&gt;="&amp;F39)=0,"",_xlfn.MINIFS(TrocasEquip!$A$2:$A$1000,TrocasEquip!$B$2:$B$1000,A39,TrocasEquip!$A$2:$A$1000,"&gt;="&amp;F39)))</f>
        <v/>
      </c>
      <c r="Q39">
        <f>IF(AND(A39&lt;&gt;"",K39&lt;&gt;"Saiu"),ROW(),"")</f>
        <v/>
      </c>
    </row>
    <row r="40">
      <c r="A40" s="38" t="n"/>
      <c r="B40" s="39" t="n"/>
      <c r="C40" s="32">
        <f>IF(B40="","",IF(B40="Molde","corridas",IF(B40="Oscilador","dias","t")))</f>
        <v/>
      </c>
      <c r="D40" s="39" t="n"/>
      <c r="E40" s="45" t="n"/>
      <c r="F40" s="46" t="n"/>
      <c r="G40" s="45" t="n"/>
      <c r="H40" s="34">
        <f>IF(A40="","",IF(C40="corridas",SUMIFS(Historico!$E:$E,Historico!$B:$B,L40,Historico!$A:$A,SUMPRODUCT(MAX((Historico!$B$2:$B$5000=L40)*Historico!$A$2:$A$5000))),N(G40)+IF(F40="",0,IF(C40="dias",MAX(0,IF(P40="",TODAY(),P40)-F40),IF(D40=2,SUMIFS(Producao!$D:$D,Producao!$A:$A,"&gt;="&amp;F40,Producao!$A:$A,"&lt;"&amp;IF(P40="",TODAY()+1,P40)),IF(D40=3,SUMIFS(Producao!$E:$E,Producao!$A:$A,"&gt;="&amp;F40,Producao!$A:$A,"&lt;"&amp;IF(P40="",TODAY()+1,P40)),SUMIFS(Producao!$B:$B,Producao!$A:$A,"&gt;="&amp;F40,Producao!$A:$A,"&lt;"&amp;IF(P40="",TODAY()+1,P40)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IF(I40="","",IF(P40&lt;&gt;"","Saiu",IF(I40&lt;0,"Além da meta",IF(J40&gt;=Regras!$B$3,"Atenção","OK"))))</f>
        <v/>
      </c>
      <c r="L40" s="32" t="n"/>
      <c r="M40">
        <f>IF(OR(J40="",K40="Saiu"),-1,J40+ROW()/1000000000)</f>
        <v/>
      </c>
      <c r="N40" s="43" t="n"/>
      <c r="O40" s="43" t="n"/>
      <c r="P40" s="44">
        <f>IF(OR(A40="",B40="Molde",F40=""),"",IF(COUNTIFS(TrocasEquip!$B$2:$B$1000,A40,TrocasEquip!$A$2:$A$1000,"&gt;="&amp;F40)=0,"",_xlfn.MINIFS(TrocasEquip!$A$2:$A$1000,TrocasEquip!$B$2:$B$1000,A40,TrocasEquip!$A$2:$A$1000,"&gt;="&amp;F40)))</f>
        <v/>
      </c>
      <c r="Q40">
        <f>IF(AND(A40&lt;&gt;"",K40&lt;&gt;"Saiu"),ROW(),"")</f>
        <v/>
      </c>
    </row>
    <row r="41">
      <c r="A41" s="38" t="n"/>
      <c r="B41" s="39" t="n"/>
      <c r="C41" s="32">
        <f>IF(B41="","",IF(B41="Molde","corridas",IF(B41="Oscilador","dias","t")))</f>
        <v/>
      </c>
      <c r="D41" s="39" t="n"/>
      <c r="E41" s="45" t="n"/>
      <c r="F41" s="46" t="n"/>
      <c r="G41" s="45" t="n"/>
      <c r="H41" s="34">
        <f>IF(A41="","",IF(C41="corridas",SUMIFS(Historico!$E:$E,Historico!$B:$B,L41,Historico!$A:$A,SUMPRODUCT(MAX((Historico!$B$2:$B$5000=L41)*Historico!$A$2:$A$5000))),N(G41)+IF(F41="",0,IF(C41="dias",MAX(0,IF(P41="",TODAY(),P41)-F41),IF(D41=2,SUMIFS(Producao!$D:$D,Producao!$A:$A,"&gt;="&amp;F41,Producao!$A:$A,"&lt;"&amp;IF(P41="",TODAY()+1,P41)),IF(D41=3,SUMIFS(Producao!$E:$E,Producao!$A:$A,"&gt;="&amp;F41,Producao!$A:$A,"&lt;"&amp;IF(P41="",TODAY()+1,P41)),SUMIFS(Producao!$B:$B,Producao!$A:$A,"&gt;="&amp;F41,Producao!$A:$A,"&lt;"&amp;IF(P41="",TODAY()+1,P41)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IF(I41="","",IF(P41&lt;&gt;"","Saiu",IF(I41&lt;0,"Além da meta",IF(J41&gt;=Regras!$B$3,"Atenção","OK"))))</f>
        <v/>
      </c>
      <c r="L41" s="32" t="n"/>
      <c r="M41">
        <f>IF(OR(J41="",K41="Saiu"),-1,J41+ROW()/1000000000)</f>
        <v/>
      </c>
      <c r="N41" s="43" t="n"/>
      <c r="O41" s="43" t="n"/>
      <c r="P41" s="44">
        <f>IF(OR(A41="",B41="Molde",F41=""),"",IF(COUNTIFS(TrocasEquip!$B$2:$B$1000,A41,TrocasEquip!$A$2:$A$1000,"&gt;="&amp;F41)=0,"",_xlfn.MINIFS(TrocasEquip!$A$2:$A$1000,TrocasEquip!$B$2:$B$1000,A41,TrocasEquip!$A$2:$A$1000,"&gt;="&amp;F41)))</f>
        <v/>
      </c>
      <c r="Q41">
        <f>IF(AND(A41&lt;&gt;"",K41&lt;&gt;"Saiu"),ROW(),"")</f>
        <v/>
      </c>
    </row>
    <row r="42">
      <c r="A42" s="38" t="n"/>
      <c r="B42" s="39" t="n"/>
      <c r="C42" s="32">
        <f>IF(B42="","",IF(B42="Molde","corridas",IF(B42="Oscilador","dias","t")))</f>
        <v/>
      </c>
      <c r="D42" s="39" t="n"/>
      <c r="E42" s="45" t="n"/>
      <c r="F42" s="46" t="n"/>
      <c r="G42" s="45" t="n"/>
      <c r="H42" s="34">
        <f>IF(A42="","",IF(C42="corridas",SUMIFS(Historico!$E:$E,Historico!$B:$B,L42,Historico!$A:$A,SUMPRODUCT(MAX((Historico!$B$2:$B$5000=L42)*Historico!$A$2:$A$5000))),N(G42)+IF(F42="",0,IF(C42="dias",MAX(0,IF(P42="",TODAY(),P42)-F42),IF(D42=2,SUMIFS(Producao!$D:$D,Producao!$A:$A,"&gt;="&amp;F42,Producao!$A:$A,"&lt;"&amp;IF(P42="",TODAY()+1,P42)),IF(D42=3,SUMIFS(Producao!$E:$E,Producao!$A:$A,"&gt;="&amp;F42,Producao!$A:$A,"&lt;"&amp;IF(P42="",TODAY()+1,P42)),SUMIFS(Producao!$B:$B,Producao!$A:$A,"&gt;="&amp;F42,Producao!$A:$A,"&lt;"&amp;IF(P42="",TODAY()+1,P42))))))))</f>
        <v/>
      </c>
      <c r="I42" s="34">
        <f>IF(OR(A42="",E42=""),"",E42-H42)</f>
        <v/>
      </c>
      <c r="J42" s="35">
        <f>IF(OR(A42="",N(E42)&lt;=0),"",H42/E42)</f>
        <v/>
      </c>
      <c r="K42" s="32">
        <f>IF(I42="","",IF(P42&lt;&gt;"","Saiu",IF(I42&lt;0,"Além da meta",IF(J42&gt;=Regras!$B$3,"Atenção","OK"))))</f>
        <v/>
      </c>
      <c r="L42" s="32" t="n"/>
      <c r="M42">
        <f>IF(OR(J42="",K42="Saiu"),-1,J42+ROW()/1000000000)</f>
        <v/>
      </c>
      <c r="N42" s="43" t="n"/>
      <c r="O42" s="43" t="n"/>
      <c r="P42" s="44">
        <f>IF(OR(A42="",B42="Molde",F42=""),"",IF(COUNTIFS(TrocasEquip!$B$2:$B$1000,A42,TrocasEquip!$A$2:$A$1000,"&gt;="&amp;F42)=0,"",_xlfn.MINIFS(TrocasEquip!$A$2:$A$1000,TrocasEquip!$B$2:$B$1000,A42,TrocasEquip!$A$2:$A$1000,"&gt;="&amp;F42)))</f>
        <v/>
      </c>
      <c r="Q42">
        <f>IF(AND(A42&lt;&gt;"",K42&lt;&gt;"Saiu"),ROW(),"")</f>
        <v/>
      </c>
    </row>
    <row r="43">
      <c r="A43" s="38" t="n"/>
      <c r="B43" s="39" t="n"/>
      <c r="C43" s="32">
        <f>IF(B43="","",IF(B43="Molde","corridas",IF(B43="Oscilador","dias","t")))</f>
        <v/>
      </c>
      <c r="D43" s="39" t="n"/>
      <c r="E43" s="45" t="n"/>
      <c r="F43" s="46" t="n"/>
      <c r="G43" s="45" t="n"/>
      <c r="H43" s="34">
        <f>IF(A43="","",IF(C43="corridas",SUMIFS(Historico!$E:$E,Historico!$B:$B,L43,Historico!$A:$A,SUMPRODUCT(MAX((Historico!$B$2:$B$5000=L43)*Historico!$A$2:$A$5000))),N(G43)+IF(F43="",0,IF(C43="dias",MAX(0,IF(P43="",TODAY(),P43)-F43),IF(D43=2,SUMIFS(Producao!$D:$D,Producao!$A:$A,"&gt;="&amp;F43,Producao!$A:$A,"&lt;"&amp;IF(P43="",TODAY()+1,P43)),IF(D43=3,SUMIFS(Producao!$E:$E,Producao!$A:$A,"&gt;="&amp;F43,Producao!$A:$A,"&lt;"&amp;IF(P43="",TODAY()+1,P43)),SUMIFS(Producao!$B:$B,Producao!$A:$A,"&gt;="&amp;F43,Producao!$A:$A,"&lt;"&amp;IF(P43="",TODAY()+1,P43))))))))</f>
        <v/>
      </c>
      <c r="I43" s="34">
        <f>IF(OR(A43="",E43=""),"",E43-H43)</f>
        <v/>
      </c>
      <c r="J43" s="35">
        <f>IF(OR(A43="",N(E43)&lt;=0),"",H43/E43)</f>
        <v/>
      </c>
      <c r="K43" s="32">
        <f>IF(I43="","",IF(P43&lt;&gt;"","Saiu",IF(I43&lt;0,"Além da meta",IF(J43&gt;=Regras!$B$3,"Atenção","OK"))))</f>
        <v/>
      </c>
      <c r="L43" s="32" t="n"/>
      <c r="M43">
        <f>IF(OR(J43="",K43="Saiu"),-1,J43+ROW()/1000000000)</f>
        <v/>
      </c>
      <c r="N43" s="43" t="n"/>
      <c r="O43" s="43" t="n"/>
      <c r="P43" s="44">
        <f>IF(OR(A43="",B43="Molde",F43=""),"",IF(COUNTIFS(TrocasEquip!$B$2:$B$1000,A43,TrocasEquip!$A$2:$A$1000,"&gt;="&amp;F43)=0,"",_xlfn.MINIFS(TrocasEquip!$A$2:$A$1000,TrocasEquip!$B$2:$B$1000,A43,TrocasEquip!$A$2:$A$1000,"&gt;="&amp;F43)))</f>
        <v/>
      </c>
      <c r="Q43">
        <f>IF(AND(A43&lt;&gt;"",K43&lt;&gt;"Saiu"),ROW(),"")</f>
        <v/>
      </c>
    </row>
    <row r="44">
      <c r="A44" s="38" t="n"/>
      <c r="B44" s="39" t="n"/>
      <c r="C44" s="32">
        <f>IF(B44="","",IF(B44="Molde","corridas",IF(B44="Oscilador","dias","t")))</f>
        <v/>
      </c>
      <c r="D44" s="39" t="n"/>
      <c r="E44" s="45" t="n"/>
      <c r="F44" s="46" t="n"/>
      <c r="G44" s="45" t="n"/>
      <c r="H44" s="34">
        <f>IF(A44="","",IF(C44="corridas",SUMIFS(Historico!$E:$E,Historico!$B:$B,L44,Historico!$A:$A,SUMPRODUCT(MAX((Historico!$B$2:$B$5000=L44)*Historico!$A$2:$A$5000))),N(G44)+IF(F44="",0,IF(C44="dias",MAX(0,IF(P44="",TODAY(),P44)-F44),IF(D44=2,SUMIFS(Producao!$D:$D,Producao!$A:$A,"&gt;="&amp;F44,Producao!$A:$A,"&lt;"&amp;IF(P44="",TODAY()+1,P44)),IF(D44=3,SUMIFS(Producao!$E:$E,Producao!$A:$A,"&gt;="&amp;F44,Producao!$A:$A,"&lt;"&amp;IF(P44="",TODAY()+1,P44)),SUMIFS(Producao!$B:$B,Producao!$A:$A,"&gt;="&amp;F44,Producao!$A:$A,"&lt;"&amp;IF(P44="",TODAY()+1,P44))))))))</f>
        <v/>
      </c>
      <c r="I44" s="34">
        <f>IF(OR(A44="",E44=""),"",E44-H44)</f>
        <v/>
      </c>
      <c r="J44" s="35">
        <f>IF(OR(A44="",N(E44)&lt;=0),"",H44/E44)</f>
        <v/>
      </c>
      <c r="K44" s="32">
        <f>IF(I44="","",IF(P44&lt;&gt;"","Saiu",IF(I44&lt;0,"Além da meta",IF(J44&gt;=Regras!$B$3,"Atenção","OK"))))</f>
        <v/>
      </c>
      <c r="L44" s="32" t="n"/>
      <c r="M44">
        <f>IF(OR(J44="",K44="Saiu"),-1,J44+ROW()/1000000000)</f>
        <v/>
      </c>
      <c r="N44" s="43" t="n"/>
      <c r="O44" s="43" t="n"/>
      <c r="P44" s="44">
        <f>IF(OR(A44="",B44="Molde",F44=""),"",IF(COUNTIFS(TrocasEquip!$B$2:$B$1000,A44,TrocasEquip!$A$2:$A$1000,"&gt;="&amp;F44)=0,"",_xlfn.MINIFS(TrocasEquip!$A$2:$A$1000,TrocasEquip!$B$2:$B$1000,A44,TrocasEquip!$A$2:$A$1000,"&gt;="&amp;F44)))</f>
        <v/>
      </c>
      <c r="Q44">
        <f>IF(AND(A44&lt;&gt;"",K44&lt;&gt;"Saiu"),ROW(),"")</f>
        <v/>
      </c>
    </row>
    <row r="45">
      <c r="A45" s="38" t="n"/>
      <c r="B45" s="39" t="n"/>
      <c r="C45" s="32">
        <f>IF(B45="","",IF(B45="Molde","corridas",IF(B45="Oscilador","dias","t")))</f>
        <v/>
      </c>
      <c r="D45" s="39" t="n"/>
      <c r="E45" s="45" t="n"/>
      <c r="F45" s="46" t="n"/>
      <c r="G45" s="45" t="n"/>
      <c r="H45" s="34">
        <f>IF(A45="","",IF(C45="corridas",SUMIFS(Historico!$E:$E,Historico!$B:$B,L45,Historico!$A:$A,SUMPRODUCT(MAX((Historico!$B$2:$B$5000=L45)*Historico!$A$2:$A$5000))),N(G45)+IF(F45="",0,IF(C45="dias",MAX(0,IF(P45="",TODAY(),P45)-F45),IF(D45=2,SUMIFS(Producao!$D:$D,Producao!$A:$A,"&gt;="&amp;F45,Producao!$A:$A,"&lt;"&amp;IF(P45="",TODAY()+1,P45)),IF(D45=3,SUMIFS(Producao!$E:$E,Producao!$A:$A,"&gt;="&amp;F45,Producao!$A:$A,"&lt;"&amp;IF(P45="",TODAY()+1,P45)),SUMIFS(Producao!$B:$B,Producao!$A:$A,"&gt;="&amp;F45,Producao!$A:$A,"&lt;"&amp;IF(P45="",TODAY()+1,P45))))))))</f>
        <v/>
      </c>
      <c r="I45" s="34">
        <f>IF(OR(A45="",E45=""),"",E45-H45)</f>
        <v/>
      </c>
      <c r="J45" s="35">
        <f>IF(OR(A45="",N(E45)&lt;=0),"",H45/E45)</f>
        <v/>
      </c>
      <c r="K45" s="32">
        <f>IF(I45="","",IF(P45&lt;&gt;"","Saiu",IF(I45&lt;0,"Além da meta",IF(J45&gt;=Regras!$B$3,"Atenção","OK"))))</f>
        <v/>
      </c>
      <c r="L45" s="32" t="n"/>
      <c r="M45">
        <f>IF(OR(J45="",K45="Saiu"),-1,J45+ROW()/1000000000)</f>
        <v/>
      </c>
      <c r="N45" s="43" t="n"/>
      <c r="O45" s="43" t="n"/>
      <c r="P45" s="44">
        <f>IF(OR(A45="",B45="Molde",F45=""),"",IF(COUNTIFS(TrocasEquip!$B$2:$B$1000,A45,TrocasEquip!$A$2:$A$1000,"&gt;="&amp;F45)=0,"",_xlfn.MINIFS(TrocasEquip!$A$2:$A$1000,TrocasEquip!$B$2:$B$1000,A45,TrocasEquip!$A$2:$A$1000,"&gt;="&amp;F45)))</f>
        <v/>
      </c>
      <c r="Q45">
        <f>IF(AND(A45&lt;&gt;"",K45&lt;&gt;"Saiu"),ROW(),"")</f>
        <v/>
      </c>
    </row>
    <row r="46">
      <c r="A46" s="38" t="n"/>
      <c r="B46" s="39" t="n"/>
      <c r="C46" s="32">
        <f>IF(B46="","",IF(B46="Molde","corridas",IF(B46="Oscilador","dias","t")))</f>
        <v/>
      </c>
      <c r="D46" s="39" t="n"/>
      <c r="E46" s="45" t="n"/>
      <c r="F46" s="46" t="n"/>
      <c r="G46" s="45" t="n"/>
      <c r="H46" s="34">
        <f>IF(A46="","",IF(C46="corridas",SUMIFS(Historico!$E:$E,Historico!$B:$B,L46,Historico!$A:$A,SUMPRODUCT(MAX((Historico!$B$2:$B$5000=L46)*Historico!$A$2:$A$5000))),N(G46)+IF(F46="",0,IF(C46="dias",MAX(0,IF(P46="",TODAY(),P46)-F46),IF(D46=2,SUMIFS(Producao!$D:$D,Producao!$A:$A,"&gt;="&amp;F46,Producao!$A:$A,"&lt;"&amp;IF(P46="",TODAY()+1,P46)),IF(D46=3,SUMIFS(Producao!$E:$E,Producao!$A:$A,"&gt;="&amp;F46,Producao!$A:$A,"&lt;"&amp;IF(P46="",TODAY()+1,P46)),SUMIFS(Producao!$B:$B,Producao!$A:$A,"&gt;="&amp;F46,Producao!$A:$A,"&lt;"&amp;IF(P46="",TODAY()+1,P46))))))))</f>
        <v/>
      </c>
      <c r="I46" s="34">
        <f>IF(OR(A46="",E46=""),"",E46-H46)</f>
        <v/>
      </c>
      <c r="J46" s="35">
        <f>IF(OR(A46="",N(E46)&lt;=0),"",H46/E46)</f>
        <v/>
      </c>
      <c r="K46" s="32">
        <f>IF(I46="","",IF(P46&lt;&gt;"","Saiu",IF(I46&lt;0,"Além da meta",IF(J46&gt;=Regras!$B$3,"Atenção","OK"))))</f>
        <v/>
      </c>
      <c r="L46" s="32" t="n"/>
      <c r="M46">
        <f>IF(OR(J46="",K46="Saiu"),-1,J46+ROW()/1000000000)</f>
        <v/>
      </c>
      <c r="N46" s="43" t="n"/>
      <c r="O46" s="43" t="n"/>
      <c r="P46" s="44">
        <f>IF(OR(A46="",B46="Molde",F46=""),"",IF(COUNTIFS(TrocasEquip!$B$2:$B$1000,A46,TrocasEquip!$A$2:$A$1000,"&gt;="&amp;F46)=0,"",_xlfn.MINIFS(TrocasEquip!$A$2:$A$1000,TrocasEquip!$B$2:$B$1000,A46,TrocasEquip!$A$2:$A$1000,"&gt;="&amp;F46)))</f>
        <v/>
      </c>
      <c r="Q46">
        <f>IF(AND(A46&lt;&gt;"",K46&lt;&gt;"Saiu"),ROW(),"")</f>
        <v/>
      </c>
    </row>
    <row r="47">
      <c r="A47" s="38" t="n"/>
      <c r="B47" s="39" t="n"/>
      <c r="C47" s="32">
        <f>IF(B47="","",IF(B47="Molde","corridas",IF(B47="Oscilador","dias","t")))</f>
        <v/>
      </c>
      <c r="D47" s="39" t="n"/>
      <c r="E47" s="45" t="n"/>
      <c r="F47" s="46" t="n"/>
      <c r="G47" s="45" t="n"/>
      <c r="H47" s="34">
        <f>IF(A47="","",IF(C47="corridas",SUMIFS(Historico!$E:$E,Historico!$B:$B,L47,Historico!$A:$A,SUMPRODUCT(MAX((Historico!$B$2:$B$5000=L47)*Historico!$A$2:$A$5000))),N(G47)+IF(F47="",0,IF(C47="dias",MAX(0,IF(P47="",TODAY(),P47)-F47),IF(D47=2,SUMIFS(Producao!$D:$D,Producao!$A:$A,"&gt;="&amp;F47,Producao!$A:$A,"&lt;"&amp;IF(P47="",TODAY()+1,P47)),IF(D47=3,SUMIFS(Producao!$E:$E,Producao!$A:$A,"&gt;="&amp;F47,Producao!$A:$A,"&lt;"&amp;IF(P47="",TODAY()+1,P47)),SUMIFS(Producao!$B:$B,Producao!$A:$A,"&gt;="&amp;F47,Producao!$A:$A,"&lt;"&amp;IF(P47="",TODAY()+1,P47))))))))</f>
        <v/>
      </c>
      <c r="I47" s="34">
        <f>IF(OR(A47="",E47=""),"",E47-H47)</f>
        <v/>
      </c>
      <c r="J47" s="35">
        <f>IF(OR(A47="",N(E47)&lt;=0),"",H47/E47)</f>
        <v/>
      </c>
      <c r="K47" s="32">
        <f>IF(I47="","",IF(P47&lt;&gt;"","Saiu",IF(I47&lt;0,"Além da meta",IF(J47&gt;=Regras!$B$3,"Atenção","OK"))))</f>
        <v/>
      </c>
      <c r="L47" s="32" t="n"/>
      <c r="M47">
        <f>IF(OR(J47="",K47="Saiu"),-1,J47+ROW()/1000000000)</f>
        <v/>
      </c>
      <c r="N47" s="43" t="n"/>
      <c r="O47" s="43" t="n"/>
      <c r="P47" s="44">
        <f>IF(OR(A47="",B47="Molde",F47=""),"",IF(COUNTIFS(TrocasEquip!$B$2:$B$1000,A47,TrocasEquip!$A$2:$A$1000,"&gt;="&amp;F47)=0,"",_xlfn.MINIFS(TrocasEquip!$A$2:$A$1000,TrocasEquip!$B$2:$B$1000,A47,TrocasEquip!$A$2:$A$1000,"&gt;="&amp;F47)))</f>
        <v/>
      </c>
      <c r="Q47">
        <f>IF(AND(A47&lt;&gt;"",K47&lt;&gt;"Saiu"),ROW(),"")</f>
        <v/>
      </c>
    </row>
    <row r="48">
      <c r="A48" s="38" t="n"/>
      <c r="B48" s="39" t="n"/>
      <c r="C48" s="32">
        <f>IF(B48="","",IF(B48="Molde","corridas",IF(B48="Oscilador","dias","t")))</f>
        <v/>
      </c>
      <c r="D48" s="39" t="n"/>
      <c r="E48" s="45" t="n"/>
      <c r="F48" s="46" t="n"/>
      <c r="G48" s="45" t="n"/>
      <c r="H48" s="34">
        <f>IF(A48="","",IF(C48="corridas",SUMIFS(Historico!$E:$E,Historico!$B:$B,L48,Historico!$A:$A,SUMPRODUCT(MAX((Historico!$B$2:$B$5000=L48)*Historico!$A$2:$A$5000))),N(G48)+IF(F48="",0,IF(C48="dias",MAX(0,IF(P48="",TODAY(),P48)-F48),IF(D48=2,SUMIFS(Producao!$D:$D,Producao!$A:$A,"&gt;="&amp;F48,Producao!$A:$A,"&lt;"&amp;IF(P48="",TODAY()+1,P48)),IF(D48=3,SUMIFS(Producao!$E:$E,Producao!$A:$A,"&gt;="&amp;F48,Producao!$A:$A,"&lt;"&amp;IF(P48="",TODAY()+1,P48)),SUMIFS(Producao!$B:$B,Producao!$A:$A,"&gt;="&amp;F48,Producao!$A:$A,"&lt;"&amp;IF(P48="",TODAY()+1,P48))))))))</f>
        <v/>
      </c>
      <c r="I48" s="34">
        <f>IF(OR(A48="",E48=""),"",E48-H48)</f>
        <v/>
      </c>
      <c r="J48" s="35">
        <f>IF(OR(A48="",N(E48)&lt;=0),"",H48/E48)</f>
        <v/>
      </c>
      <c r="K48" s="32">
        <f>IF(I48="","",IF(P48&lt;&gt;"","Saiu",IF(I48&lt;0,"Além da meta",IF(J48&gt;=Regras!$B$3,"Atenção","OK"))))</f>
        <v/>
      </c>
      <c r="L48" s="32" t="n"/>
      <c r="M48">
        <f>IF(OR(J48="",K48="Saiu"),-1,J48+ROW()/1000000000)</f>
        <v/>
      </c>
      <c r="N48" s="43" t="n"/>
      <c r="O48" s="43" t="n"/>
      <c r="P48" s="44">
        <f>IF(OR(A48="",B48="Molde",F48=""),"",IF(COUNTIFS(TrocasEquip!$B$2:$B$1000,A48,TrocasEquip!$A$2:$A$1000,"&gt;="&amp;F48)=0,"",_xlfn.MINIFS(TrocasEquip!$A$2:$A$1000,TrocasEquip!$B$2:$B$1000,A48,TrocasEquip!$A$2:$A$1000,"&gt;="&amp;F48)))</f>
        <v/>
      </c>
      <c r="Q48">
        <f>IF(AND(A48&lt;&gt;"",K48&lt;&gt;"Saiu"),ROW(),"")</f>
        <v/>
      </c>
    </row>
    <row r="49">
      <c r="A49" s="38" t="n"/>
      <c r="B49" s="39" t="n"/>
      <c r="C49" s="32">
        <f>IF(B49="","",IF(B49="Molde","corridas",IF(B49="Oscilador","dias","t")))</f>
        <v/>
      </c>
      <c r="D49" s="39" t="n"/>
      <c r="E49" s="45" t="n"/>
      <c r="F49" s="46" t="n"/>
      <c r="G49" s="45" t="n"/>
      <c r="H49" s="34">
        <f>IF(A49="","",IF(C49="corridas",SUMIFS(Historico!$E:$E,Historico!$B:$B,L49,Historico!$A:$A,SUMPRODUCT(MAX((Historico!$B$2:$B$5000=L49)*Historico!$A$2:$A$5000))),N(G49)+IF(F49="",0,IF(C49="dias",MAX(0,IF(P49="",TODAY(),P49)-F49),IF(D49=2,SUMIFS(Producao!$D:$D,Producao!$A:$A,"&gt;="&amp;F49,Producao!$A:$A,"&lt;"&amp;IF(P49="",TODAY()+1,P49)),IF(D49=3,SUMIFS(Producao!$E:$E,Producao!$A:$A,"&gt;="&amp;F49,Producao!$A:$A,"&lt;"&amp;IF(P49="",TODAY()+1,P49)),SUMIFS(Producao!$B:$B,Producao!$A:$A,"&gt;="&amp;F49,Producao!$A:$A,"&lt;"&amp;IF(P49="",TODAY()+1,P49))))))))</f>
        <v/>
      </c>
      <c r="I49" s="34">
        <f>IF(OR(A49="",E49=""),"",E49-H49)</f>
        <v/>
      </c>
      <c r="J49" s="35">
        <f>IF(OR(A49="",N(E49)&lt;=0),"",H49/E49)</f>
        <v/>
      </c>
      <c r="K49" s="32">
        <f>IF(I49="","",IF(P49&lt;&gt;"","Saiu",IF(I49&lt;0,"Além da meta",IF(J49&gt;=Regras!$B$3,"Atenção","OK"))))</f>
        <v/>
      </c>
      <c r="L49" s="32" t="n"/>
      <c r="M49">
        <f>IF(OR(J49="",K49="Saiu"),-1,J49+ROW()/1000000000)</f>
        <v/>
      </c>
      <c r="N49" s="43" t="n"/>
      <c r="O49" s="43" t="n"/>
      <c r="P49" s="44">
        <f>IF(OR(A49="",B49="Molde",F49=""),"",IF(COUNTIFS(TrocasEquip!$B$2:$B$1000,A49,TrocasEquip!$A$2:$A$1000,"&gt;="&amp;F49)=0,"",_xlfn.MINIFS(TrocasEquip!$A$2:$A$1000,TrocasEquip!$B$2:$B$1000,A49,TrocasEquip!$A$2:$A$1000,"&gt;="&amp;F49)))</f>
        <v/>
      </c>
      <c r="Q49">
        <f>IF(AND(A49&lt;&gt;"",K49&lt;&gt;"Saiu"),ROW(),"")</f>
        <v/>
      </c>
    </row>
    <row r="50">
      <c r="A50" s="38" t="n"/>
      <c r="B50" s="39" t="n"/>
      <c r="C50" s="32">
        <f>IF(B50="","",IF(B50="Molde","corridas",IF(B50="Oscilador","dias","t")))</f>
        <v/>
      </c>
      <c r="D50" s="39" t="n"/>
      <c r="E50" s="45" t="n"/>
      <c r="F50" s="46" t="n"/>
      <c r="G50" s="45" t="n"/>
      <c r="H50" s="34">
        <f>IF(A50="","",IF(C50="corridas",SUMIFS(Historico!$E:$E,Historico!$B:$B,L50,Historico!$A:$A,SUMPRODUCT(MAX((Historico!$B$2:$B$5000=L50)*Historico!$A$2:$A$5000))),N(G50)+IF(F50="",0,IF(C50="dias",MAX(0,IF(P50="",TODAY(),P50)-F50),IF(D50=2,SUMIFS(Producao!$D:$D,Producao!$A:$A,"&gt;="&amp;F50,Producao!$A:$A,"&lt;"&amp;IF(P50="",TODAY()+1,P50)),IF(D50=3,SUMIFS(Producao!$E:$E,Producao!$A:$A,"&gt;="&amp;F50,Producao!$A:$A,"&lt;"&amp;IF(P50="",TODAY()+1,P50)),SUMIFS(Producao!$B:$B,Producao!$A:$A,"&gt;="&amp;F50,Producao!$A:$A,"&lt;"&amp;IF(P50="",TODAY()+1,P50))))))))</f>
        <v/>
      </c>
      <c r="I50" s="34">
        <f>IF(OR(A50="",E50=""),"",E50-H50)</f>
        <v/>
      </c>
      <c r="J50" s="35">
        <f>IF(OR(A50="",N(E50)&lt;=0),"",H50/E50)</f>
        <v/>
      </c>
      <c r="K50" s="32">
        <f>IF(I50="","",IF(P50&lt;&gt;"","Saiu",IF(I50&lt;0,"Além da meta",IF(J50&gt;=Regras!$B$3,"Atenção","OK"))))</f>
        <v/>
      </c>
      <c r="L50" s="32" t="n"/>
      <c r="M50">
        <f>IF(OR(J50="",K50="Saiu"),-1,J50+ROW()/1000000000)</f>
        <v/>
      </c>
      <c r="N50" s="43" t="n"/>
      <c r="O50" s="43" t="n"/>
      <c r="P50" s="44">
        <f>IF(OR(A50="",B50="Molde",F50=""),"",IF(COUNTIFS(TrocasEquip!$B$2:$B$1000,A50,TrocasEquip!$A$2:$A$1000,"&gt;="&amp;F50)=0,"",_xlfn.MINIFS(TrocasEquip!$A$2:$A$1000,TrocasEquip!$B$2:$B$1000,A50,TrocasEquip!$A$2:$A$1000,"&gt;="&amp;F50)))</f>
        <v/>
      </c>
      <c r="Q50">
        <f>IF(AND(A50&lt;&gt;"",K50&lt;&gt;"Saiu"),ROW(),"")</f>
        <v/>
      </c>
    </row>
    <row r="51">
      <c r="A51" s="38" t="n"/>
      <c r="B51" s="39" t="n"/>
      <c r="C51" s="32">
        <f>IF(B51="","",IF(B51="Molde","corridas",IF(B51="Oscilador","dias","t")))</f>
        <v/>
      </c>
      <c r="D51" s="39" t="n"/>
      <c r="E51" s="45" t="n"/>
      <c r="F51" s="46" t="n"/>
      <c r="G51" s="45" t="n"/>
      <c r="H51" s="34">
        <f>IF(A51="","",IF(C51="corridas",SUMIFS(Historico!$E:$E,Historico!$B:$B,L51,Historico!$A:$A,SUMPRODUCT(MAX((Historico!$B$2:$B$5000=L51)*Historico!$A$2:$A$5000))),N(G51)+IF(F51="",0,IF(C51="dias",MAX(0,IF(P51="",TODAY(),P51)-F51),IF(D51=2,SUMIFS(Producao!$D:$D,Producao!$A:$A,"&gt;="&amp;F51,Producao!$A:$A,"&lt;"&amp;IF(P51="",TODAY()+1,P51)),IF(D51=3,SUMIFS(Producao!$E:$E,Producao!$A:$A,"&gt;="&amp;F51,Producao!$A:$A,"&lt;"&amp;IF(P51="",TODAY()+1,P51)),SUMIFS(Producao!$B:$B,Producao!$A:$A,"&gt;="&amp;F51,Producao!$A:$A,"&lt;"&amp;IF(P51="",TODAY()+1,P51))))))))</f>
        <v/>
      </c>
      <c r="I51" s="34">
        <f>IF(OR(A51="",E51=""),"",E51-H51)</f>
        <v/>
      </c>
      <c r="J51" s="35">
        <f>IF(OR(A51="",N(E51)&lt;=0),"",H51/E51)</f>
        <v/>
      </c>
      <c r="K51" s="32">
        <f>IF(I51="","",IF(P51&lt;&gt;"","Saiu",IF(I51&lt;0,"Além da meta",IF(J51&gt;=Regras!$B$3,"Atenção","OK"))))</f>
        <v/>
      </c>
      <c r="L51" s="32" t="n"/>
      <c r="M51">
        <f>IF(OR(J51="",K51="Saiu"),-1,J51+ROW()/1000000000)</f>
        <v/>
      </c>
      <c r="N51" s="43" t="n"/>
      <c r="O51" s="43" t="n"/>
      <c r="P51" s="44">
        <f>IF(OR(A51="",B51="Molde",F51=""),"",IF(COUNTIFS(TrocasEquip!$B$2:$B$1000,A51,TrocasEquip!$A$2:$A$1000,"&gt;="&amp;F51)=0,"",_xlfn.MINIFS(TrocasEquip!$A$2:$A$1000,TrocasEquip!$B$2:$B$1000,A51,TrocasEquip!$A$2:$A$1000,"&gt;="&amp;F51)))</f>
        <v/>
      </c>
      <c r="Q51">
        <f>IF(AND(A51&lt;&gt;"",K51&lt;&gt;"Saiu"),ROW(),"")</f>
        <v/>
      </c>
    </row>
    <row r="52">
      <c r="A52" s="38" t="n"/>
      <c r="B52" s="39" t="n"/>
      <c r="C52" s="32">
        <f>IF(B52="","",IF(B52="Molde","corridas",IF(B52="Oscilador","dias","t")))</f>
        <v/>
      </c>
      <c r="D52" s="39" t="n"/>
      <c r="E52" s="45" t="n"/>
      <c r="F52" s="46" t="n"/>
      <c r="G52" s="45" t="n"/>
      <c r="H52" s="34">
        <f>IF(A52="","",IF(C52="corridas",SUMIFS(Historico!$E:$E,Historico!$B:$B,L52,Historico!$A:$A,SUMPRODUCT(MAX((Historico!$B$2:$B$5000=L52)*Historico!$A$2:$A$5000))),N(G52)+IF(F52="",0,IF(C52="dias",MAX(0,IF(P52="",TODAY(),P52)-F52),IF(D52=2,SUMIFS(Producao!$D:$D,Producao!$A:$A,"&gt;="&amp;F52,Producao!$A:$A,"&lt;"&amp;IF(P52="",TODAY()+1,P52)),IF(D52=3,SUMIFS(Producao!$E:$E,Producao!$A:$A,"&gt;="&amp;F52,Producao!$A:$A,"&lt;"&amp;IF(P52="",TODAY()+1,P52)),SUMIFS(Producao!$B:$B,Producao!$A:$A,"&gt;="&amp;F52,Producao!$A:$A,"&lt;"&amp;IF(P52="",TODAY()+1,P52))))))))</f>
        <v/>
      </c>
      <c r="I52" s="34">
        <f>IF(OR(A52="",E52=""),"",E52-H52)</f>
        <v/>
      </c>
      <c r="J52" s="35">
        <f>IF(OR(A52="",N(E52)&lt;=0),"",H52/E52)</f>
        <v/>
      </c>
      <c r="K52" s="32">
        <f>IF(I52="","",IF(P52&lt;&gt;"","Saiu",IF(I52&lt;0,"Além da meta",IF(J52&gt;=Regras!$B$3,"Atenção","OK"))))</f>
        <v/>
      </c>
      <c r="L52" s="32" t="n"/>
      <c r="M52">
        <f>IF(OR(J52="",K52="Saiu"),-1,J52+ROW()/1000000000)</f>
        <v/>
      </c>
      <c r="N52" s="43" t="n"/>
      <c r="O52" s="43" t="n"/>
      <c r="P52" s="44">
        <f>IF(OR(A52="",B52="Molde",F52=""),"",IF(COUNTIFS(TrocasEquip!$B$2:$B$1000,A52,TrocasEquip!$A$2:$A$1000,"&gt;="&amp;F52)=0,"",_xlfn.MINIFS(TrocasEquip!$A$2:$A$1000,TrocasEquip!$B$2:$B$1000,A52,TrocasEquip!$A$2:$A$1000,"&gt;="&amp;F52)))</f>
        <v/>
      </c>
      <c r="Q52">
        <f>IF(AND(A52&lt;&gt;"",K52&lt;&gt;"Saiu"),ROW(),"")</f>
        <v/>
      </c>
    </row>
    <row r="53">
      <c r="A53" s="38" t="n"/>
      <c r="B53" s="39" t="n"/>
      <c r="C53" s="32">
        <f>IF(B53="","",IF(B53="Molde","corridas",IF(B53="Oscilador","dias","t")))</f>
        <v/>
      </c>
      <c r="D53" s="39" t="n"/>
      <c r="E53" s="45" t="n"/>
      <c r="F53" s="46" t="n"/>
      <c r="G53" s="45" t="n"/>
      <c r="H53" s="34">
        <f>IF(A53="","",IF(C53="corridas",SUMIFS(Historico!$E:$E,Historico!$B:$B,L53,Historico!$A:$A,SUMPRODUCT(MAX((Historico!$B$2:$B$5000=L53)*Historico!$A$2:$A$5000))),N(G53)+IF(F53="",0,IF(C53="dias",MAX(0,IF(P53="",TODAY(),P53)-F53),IF(D53=2,SUMIFS(Producao!$D:$D,Producao!$A:$A,"&gt;="&amp;F53,Producao!$A:$A,"&lt;"&amp;IF(P53="",TODAY()+1,P53)),IF(D53=3,SUMIFS(Producao!$E:$E,Producao!$A:$A,"&gt;="&amp;F53,Producao!$A:$A,"&lt;"&amp;IF(P53="",TODAY()+1,P53)),SUMIFS(Producao!$B:$B,Producao!$A:$A,"&gt;="&amp;F53,Producao!$A:$A,"&lt;"&amp;IF(P53="",TODAY()+1,P53))))))))</f>
        <v/>
      </c>
      <c r="I53" s="34">
        <f>IF(OR(A53="",E53=""),"",E53-H53)</f>
        <v/>
      </c>
      <c r="J53" s="35">
        <f>IF(OR(A53="",N(E53)&lt;=0),"",H53/E53)</f>
        <v/>
      </c>
      <c r="K53" s="32">
        <f>IF(I53="","",IF(P53&lt;&gt;"","Saiu",IF(I53&lt;0,"Além da meta",IF(J53&gt;=Regras!$B$3,"Atenção","OK"))))</f>
        <v/>
      </c>
      <c r="L53" s="32" t="n"/>
      <c r="M53">
        <f>IF(OR(J53="",K53="Saiu"),-1,J53+ROW()/1000000000)</f>
        <v/>
      </c>
      <c r="N53" s="43" t="n"/>
      <c r="O53" s="43" t="n"/>
      <c r="P53" s="44">
        <f>IF(OR(A53="",B53="Molde",F53=""),"",IF(COUNTIFS(TrocasEquip!$B$2:$B$1000,A53,TrocasEquip!$A$2:$A$1000,"&gt;="&amp;F53)=0,"",_xlfn.MINIFS(TrocasEquip!$A$2:$A$1000,TrocasEquip!$B$2:$B$1000,A53,TrocasEquip!$A$2:$A$1000,"&gt;="&amp;F53)))</f>
        <v/>
      </c>
      <c r="Q53">
        <f>IF(AND(A53&lt;&gt;"",K53&lt;&gt;"Saiu"),ROW(),"")</f>
        <v/>
      </c>
    </row>
    <row r="54">
      <c r="A54" s="38" t="n"/>
      <c r="B54" s="39" t="n"/>
      <c r="C54" s="32">
        <f>IF(B54="","",IF(B54="Molde","corridas",IF(B54="Oscilador","dias","t")))</f>
        <v/>
      </c>
      <c r="D54" s="39" t="n"/>
      <c r="E54" s="45" t="n"/>
      <c r="F54" s="46" t="n"/>
      <c r="G54" s="45" t="n"/>
      <c r="H54" s="34">
        <f>IF(A54="","",IF(C54="corridas",SUMIFS(Historico!$E:$E,Historico!$B:$B,L54,Historico!$A:$A,SUMPRODUCT(MAX((Historico!$B$2:$B$5000=L54)*Historico!$A$2:$A$5000))),N(G54)+IF(F54="",0,IF(C54="dias",MAX(0,IF(P54="",TODAY(),P54)-F54),IF(D54=2,SUMIFS(Producao!$D:$D,Producao!$A:$A,"&gt;="&amp;F54,Producao!$A:$A,"&lt;"&amp;IF(P54="",TODAY()+1,P54)),IF(D54=3,SUMIFS(Producao!$E:$E,Producao!$A:$A,"&gt;="&amp;F54,Producao!$A:$A,"&lt;"&amp;IF(P54="",TODAY()+1,P54)),SUMIFS(Producao!$B:$B,Producao!$A:$A,"&gt;="&amp;F54,Producao!$A:$A,"&lt;"&amp;IF(P54="",TODAY()+1,P54))))))))</f>
        <v/>
      </c>
      <c r="I54" s="34">
        <f>IF(OR(A54="",E54=""),"",E54-H54)</f>
        <v/>
      </c>
      <c r="J54" s="35">
        <f>IF(OR(A54="",N(E54)&lt;=0),"",H54/E54)</f>
        <v/>
      </c>
      <c r="K54" s="32">
        <f>IF(I54="","",IF(P54&lt;&gt;"","Saiu",IF(I54&lt;0,"Além da meta",IF(J54&gt;=Regras!$B$3,"Atenção","OK"))))</f>
        <v/>
      </c>
      <c r="L54" s="32" t="n"/>
      <c r="M54">
        <f>IF(OR(J54="",K54="Saiu"),-1,J54+ROW()/1000000000)</f>
        <v/>
      </c>
      <c r="N54" s="43" t="n"/>
      <c r="O54" s="43" t="n"/>
      <c r="P54" s="44">
        <f>IF(OR(A54="",B54="Molde",F54=""),"",IF(COUNTIFS(TrocasEquip!$B$2:$B$1000,A54,TrocasEquip!$A$2:$A$1000,"&gt;="&amp;F54)=0,"",_xlfn.MINIFS(TrocasEquip!$A$2:$A$1000,TrocasEquip!$B$2:$B$1000,A54,TrocasEquip!$A$2:$A$1000,"&gt;="&amp;F54)))</f>
        <v/>
      </c>
      <c r="Q54">
        <f>IF(AND(A54&lt;&gt;"",K54&lt;&gt;"Saiu"),ROW(),"")</f>
        <v/>
      </c>
    </row>
    <row r="55">
      <c r="A55" s="38" t="n"/>
      <c r="B55" s="39" t="n"/>
      <c r="C55" s="32">
        <f>IF(B55="","",IF(B55="Molde","corridas",IF(B55="Oscilador","dias","t")))</f>
        <v/>
      </c>
      <c r="D55" s="39" t="n"/>
      <c r="E55" s="45" t="n"/>
      <c r="F55" s="46" t="n"/>
      <c r="G55" s="45" t="n"/>
      <c r="H55" s="34">
        <f>IF(A55="","",IF(C55="corridas",SUMIFS(Historico!$E:$E,Historico!$B:$B,L55,Historico!$A:$A,SUMPRODUCT(MAX((Historico!$B$2:$B$5000=L55)*Historico!$A$2:$A$5000))),N(G55)+IF(F55="",0,IF(C55="dias",MAX(0,IF(P55="",TODAY(),P55)-F55),IF(D55=2,SUMIFS(Producao!$D:$D,Producao!$A:$A,"&gt;="&amp;F55,Producao!$A:$A,"&lt;"&amp;IF(P55="",TODAY()+1,P55)),IF(D55=3,SUMIFS(Producao!$E:$E,Producao!$A:$A,"&gt;="&amp;F55,Producao!$A:$A,"&lt;"&amp;IF(P55="",TODAY()+1,P55)),SUMIFS(Producao!$B:$B,Producao!$A:$A,"&gt;="&amp;F55,Producao!$A:$A,"&lt;"&amp;IF(P55="",TODAY()+1,P55))))))))</f>
        <v/>
      </c>
      <c r="I55" s="34">
        <f>IF(OR(A55="",E55=""),"",E55-H55)</f>
        <v/>
      </c>
      <c r="J55" s="35">
        <f>IF(OR(A55="",N(E55)&lt;=0),"",H55/E55)</f>
        <v/>
      </c>
      <c r="K55" s="32">
        <f>IF(I55="","",IF(P55&lt;&gt;"","Saiu",IF(I55&lt;0,"Além da meta",IF(J55&gt;=Regras!$B$3,"Atenção","OK"))))</f>
        <v/>
      </c>
      <c r="L55" s="32" t="n"/>
      <c r="M55">
        <f>IF(OR(J55="",K55="Saiu"),-1,J55+ROW()/1000000000)</f>
        <v/>
      </c>
      <c r="N55" s="43" t="n"/>
      <c r="O55" s="43" t="n"/>
      <c r="P55" s="44">
        <f>IF(OR(A55="",B55="Molde",F55=""),"",IF(COUNTIFS(TrocasEquip!$B$2:$B$1000,A55,TrocasEquip!$A$2:$A$1000,"&gt;="&amp;F55)=0,"",_xlfn.MINIFS(TrocasEquip!$A$2:$A$1000,TrocasEquip!$B$2:$B$1000,A55,TrocasEquip!$A$2:$A$1000,"&gt;="&amp;F55)))</f>
        <v/>
      </c>
      <c r="Q55">
        <f>IF(AND(A55&lt;&gt;"",K55&lt;&gt;"Saiu"),ROW(),"")</f>
        <v/>
      </c>
    </row>
    <row r="56">
      <c r="A56" s="38" t="n"/>
      <c r="B56" s="39" t="n"/>
      <c r="C56" s="32">
        <f>IF(B56="","",IF(B56="Molde","corridas",IF(B56="Oscilador","dias","t")))</f>
        <v/>
      </c>
      <c r="D56" s="39" t="n"/>
      <c r="E56" s="45" t="n"/>
      <c r="F56" s="46" t="n"/>
      <c r="G56" s="45" t="n"/>
      <c r="H56" s="34">
        <f>IF(A56="","",IF(C56="corridas",SUMIFS(Historico!$E:$E,Historico!$B:$B,L56,Historico!$A:$A,SUMPRODUCT(MAX((Historico!$B$2:$B$5000=L56)*Historico!$A$2:$A$5000))),N(G56)+IF(F56="",0,IF(C56="dias",MAX(0,IF(P56="",TODAY(),P56)-F56),IF(D56=2,SUMIFS(Producao!$D:$D,Producao!$A:$A,"&gt;="&amp;F56,Producao!$A:$A,"&lt;"&amp;IF(P56="",TODAY()+1,P56)),IF(D56=3,SUMIFS(Producao!$E:$E,Producao!$A:$A,"&gt;="&amp;F56,Producao!$A:$A,"&lt;"&amp;IF(P56="",TODAY()+1,P56)),SUMIFS(Producao!$B:$B,Producao!$A:$A,"&gt;="&amp;F56,Producao!$A:$A,"&lt;"&amp;IF(P56="",TODAY()+1,P56))))))))</f>
        <v/>
      </c>
      <c r="I56" s="34">
        <f>IF(OR(A56="",E56=""),"",E56-H56)</f>
        <v/>
      </c>
      <c r="J56" s="35">
        <f>IF(OR(A56="",N(E56)&lt;=0),"",H56/E56)</f>
        <v/>
      </c>
      <c r="K56" s="32">
        <f>IF(I56="","",IF(P56&lt;&gt;"","Saiu",IF(I56&lt;0,"Além da meta",IF(J56&gt;=Regras!$B$3,"Atenção","OK"))))</f>
        <v/>
      </c>
      <c r="L56" s="32" t="n"/>
      <c r="M56">
        <f>IF(OR(J56="",K56="Saiu"),-1,J56+ROW()/1000000000)</f>
        <v/>
      </c>
      <c r="N56" s="43" t="n"/>
      <c r="O56" s="43" t="n"/>
      <c r="P56" s="44">
        <f>IF(OR(A56="",B56="Molde",F56=""),"",IF(COUNTIFS(TrocasEquip!$B$2:$B$1000,A56,TrocasEquip!$A$2:$A$1000,"&gt;="&amp;F56)=0,"",_xlfn.MINIFS(TrocasEquip!$A$2:$A$1000,TrocasEquip!$B$2:$B$1000,A56,TrocasEquip!$A$2:$A$1000,"&gt;="&amp;F56)))</f>
        <v/>
      </c>
      <c r="Q56">
        <f>IF(AND(A56&lt;&gt;"",K56&lt;&gt;"Saiu"),ROW(),"")</f>
        <v/>
      </c>
    </row>
    <row r="57">
      <c r="A57" s="38" t="n"/>
      <c r="B57" s="39" t="n"/>
      <c r="C57" s="32">
        <f>IF(B57="","",IF(B57="Molde","corridas",IF(B57="Oscilador","dias","t")))</f>
        <v/>
      </c>
      <c r="D57" s="39" t="n"/>
      <c r="E57" s="45" t="n"/>
      <c r="F57" s="46" t="n"/>
      <c r="G57" s="45" t="n"/>
      <c r="H57" s="34">
        <f>IF(A57="","",IF(C57="corridas",SUMIFS(Historico!$E:$E,Historico!$B:$B,L57,Historico!$A:$A,SUMPRODUCT(MAX((Historico!$B$2:$B$5000=L57)*Historico!$A$2:$A$5000))),N(G57)+IF(F57="",0,IF(C57="dias",MAX(0,IF(P57="",TODAY(),P57)-F57),IF(D57=2,SUMIFS(Producao!$D:$D,Producao!$A:$A,"&gt;="&amp;F57,Producao!$A:$A,"&lt;"&amp;IF(P57="",TODAY()+1,P57)),IF(D57=3,SUMIFS(Producao!$E:$E,Producao!$A:$A,"&gt;="&amp;F57,Producao!$A:$A,"&lt;"&amp;IF(P57="",TODAY()+1,P57)),SUMIFS(Producao!$B:$B,Producao!$A:$A,"&gt;="&amp;F57,Producao!$A:$A,"&lt;"&amp;IF(P57="",TODAY()+1,P57))))))))</f>
        <v/>
      </c>
      <c r="I57" s="34">
        <f>IF(OR(A57="",E57=""),"",E57-H57)</f>
        <v/>
      </c>
      <c r="J57" s="35">
        <f>IF(OR(A57="",N(E57)&lt;=0),"",H57/E57)</f>
        <v/>
      </c>
      <c r="K57" s="32">
        <f>IF(I57="","",IF(P57&lt;&gt;"","Saiu",IF(I57&lt;0,"Além da meta",IF(J57&gt;=Regras!$B$3,"Atenção","OK"))))</f>
        <v/>
      </c>
      <c r="L57" s="32" t="n"/>
      <c r="M57">
        <f>IF(OR(J57="",K57="Saiu"),-1,J57+ROW()/1000000000)</f>
        <v/>
      </c>
      <c r="N57" s="43" t="n"/>
      <c r="O57" s="43" t="n"/>
      <c r="P57" s="44">
        <f>IF(OR(A57="",B57="Molde",F57=""),"",IF(COUNTIFS(TrocasEquip!$B$2:$B$1000,A57,TrocasEquip!$A$2:$A$1000,"&gt;="&amp;F57)=0,"",_xlfn.MINIFS(TrocasEquip!$A$2:$A$1000,TrocasEquip!$B$2:$B$1000,A57,TrocasEquip!$A$2:$A$1000,"&gt;="&amp;F57)))</f>
        <v/>
      </c>
      <c r="Q57">
        <f>IF(AND(A57&lt;&gt;"",K57&lt;&gt;"Saiu"),ROW(),"")</f>
        <v/>
      </c>
    </row>
    <row r="58">
      <c r="A58" s="38" t="n"/>
      <c r="B58" s="39" t="n"/>
      <c r="C58" s="32">
        <f>IF(B58="","",IF(B58="Molde","corridas",IF(B58="Oscilador","dias","t")))</f>
        <v/>
      </c>
      <c r="D58" s="39" t="n"/>
      <c r="E58" s="45" t="n"/>
      <c r="F58" s="46" t="n"/>
      <c r="G58" s="45" t="n"/>
      <c r="H58" s="34">
        <f>IF(A58="","",IF(C58="corridas",SUMIFS(Historico!$E:$E,Historico!$B:$B,L58,Historico!$A:$A,SUMPRODUCT(MAX((Historico!$B$2:$B$5000=L58)*Historico!$A$2:$A$5000))),N(G58)+IF(F58="",0,IF(C58="dias",MAX(0,IF(P58="",TODAY(),P58)-F58),IF(D58=2,SUMIFS(Producao!$D:$D,Producao!$A:$A,"&gt;="&amp;F58,Producao!$A:$A,"&lt;"&amp;IF(P58="",TODAY()+1,P58)),IF(D58=3,SUMIFS(Producao!$E:$E,Producao!$A:$A,"&gt;="&amp;F58,Producao!$A:$A,"&lt;"&amp;IF(P58="",TODAY()+1,P58)),SUMIFS(Producao!$B:$B,Producao!$A:$A,"&gt;="&amp;F58,Producao!$A:$A,"&lt;"&amp;IF(P58="",TODAY()+1,P58))))))))</f>
        <v/>
      </c>
      <c r="I58" s="34">
        <f>IF(OR(A58="",E58=""),"",E58-H58)</f>
        <v/>
      </c>
      <c r="J58" s="35">
        <f>IF(OR(A58="",N(E58)&lt;=0),"",H58/E58)</f>
        <v/>
      </c>
      <c r="K58" s="32">
        <f>IF(I58="","",IF(P58&lt;&gt;"","Saiu",IF(I58&lt;0,"Além da meta",IF(J58&gt;=Regras!$B$3,"Atenção","OK"))))</f>
        <v/>
      </c>
      <c r="L58" s="32" t="n"/>
      <c r="M58">
        <f>IF(OR(J58="",K58="Saiu"),-1,J58+ROW()/1000000000)</f>
        <v/>
      </c>
      <c r="N58" s="43" t="n"/>
      <c r="O58" s="43" t="n"/>
      <c r="P58" s="44">
        <f>IF(OR(A58="",B58="Molde",F58=""),"",IF(COUNTIFS(TrocasEquip!$B$2:$B$1000,A58,TrocasEquip!$A$2:$A$1000,"&gt;="&amp;F58)=0,"",_xlfn.MINIFS(TrocasEquip!$A$2:$A$1000,TrocasEquip!$B$2:$B$1000,A58,TrocasEquip!$A$2:$A$1000,"&gt;="&amp;F58)))</f>
        <v/>
      </c>
      <c r="Q58">
        <f>IF(AND(A58&lt;&gt;"",K58&lt;&gt;"Saiu"),ROW(),"")</f>
        <v/>
      </c>
    </row>
    <row r="59">
      <c r="A59" s="38" t="n"/>
      <c r="B59" s="39" t="n"/>
      <c r="C59" s="32">
        <f>IF(B59="","",IF(B59="Molde","corridas",IF(B59="Oscilador","dias","t")))</f>
        <v/>
      </c>
      <c r="D59" s="39" t="n"/>
      <c r="E59" s="45" t="n"/>
      <c r="F59" s="46" t="n"/>
      <c r="G59" s="45" t="n"/>
      <c r="H59" s="34">
        <f>IF(A59="","",IF(C59="corridas",SUMIFS(Historico!$E:$E,Historico!$B:$B,L59,Historico!$A:$A,SUMPRODUCT(MAX((Historico!$B$2:$B$5000=L59)*Historico!$A$2:$A$5000))),N(G59)+IF(F59="",0,IF(C59="dias",MAX(0,IF(P59="",TODAY(),P59)-F59),IF(D59=2,SUMIFS(Producao!$D:$D,Producao!$A:$A,"&gt;="&amp;F59,Producao!$A:$A,"&lt;"&amp;IF(P59="",TODAY()+1,P59)),IF(D59=3,SUMIFS(Producao!$E:$E,Producao!$A:$A,"&gt;="&amp;F59,Producao!$A:$A,"&lt;"&amp;IF(P59="",TODAY()+1,P59)),SUMIFS(Producao!$B:$B,Producao!$A:$A,"&gt;="&amp;F59,Producao!$A:$A,"&lt;"&amp;IF(P59="",TODAY()+1,P59))))))))</f>
        <v/>
      </c>
      <c r="I59" s="34">
        <f>IF(OR(A59="",E59=""),"",E59-H59)</f>
        <v/>
      </c>
      <c r="J59" s="35">
        <f>IF(OR(A59="",N(E59)&lt;=0),"",H59/E59)</f>
        <v/>
      </c>
      <c r="K59" s="32">
        <f>IF(I59="","",IF(P59&lt;&gt;"","Saiu",IF(I59&lt;0,"Além da meta",IF(J59&gt;=Regras!$B$3,"Atenção","OK"))))</f>
        <v/>
      </c>
      <c r="L59" s="32" t="n"/>
      <c r="M59">
        <f>IF(OR(J59="",K59="Saiu"),-1,J59+ROW()/1000000000)</f>
        <v/>
      </c>
      <c r="N59" s="43" t="n"/>
      <c r="O59" s="43" t="n"/>
      <c r="P59" s="44">
        <f>IF(OR(A59="",B59="Molde",F59=""),"",IF(COUNTIFS(TrocasEquip!$B$2:$B$1000,A59,TrocasEquip!$A$2:$A$1000,"&gt;="&amp;F59)=0,"",_xlfn.MINIFS(TrocasEquip!$A$2:$A$1000,TrocasEquip!$B$2:$B$1000,A59,TrocasEquip!$A$2:$A$1000,"&gt;="&amp;F59)))</f>
        <v/>
      </c>
      <c r="Q59">
        <f>IF(AND(A59&lt;&gt;"",K59&lt;&gt;"Saiu"),ROW(),"")</f>
        <v/>
      </c>
    </row>
    <row r="60">
      <c r="A60" s="38" t="n"/>
      <c r="B60" s="39" t="n"/>
      <c r="C60" s="32">
        <f>IF(B60="","",IF(B60="Molde","corridas",IF(B60="Oscilador","dias","t")))</f>
        <v/>
      </c>
      <c r="D60" s="39" t="n"/>
      <c r="E60" s="45" t="n"/>
      <c r="F60" s="46" t="n"/>
      <c r="G60" s="45" t="n"/>
      <c r="H60" s="34">
        <f>IF(A60="","",IF(C60="corridas",SUMIFS(Historico!$E:$E,Historico!$B:$B,L60,Historico!$A:$A,SUMPRODUCT(MAX((Historico!$B$2:$B$5000=L60)*Historico!$A$2:$A$5000))),N(G60)+IF(F60="",0,IF(C60="dias",MAX(0,IF(P60="",TODAY(),P60)-F60),IF(D60=2,SUMIFS(Producao!$D:$D,Producao!$A:$A,"&gt;="&amp;F60,Producao!$A:$A,"&lt;"&amp;IF(P60="",TODAY()+1,P60)),IF(D60=3,SUMIFS(Producao!$E:$E,Producao!$A:$A,"&gt;="&amp;F60,Producao!$A:$A,"&lt;"&amp;IF(P60="",TODAY()+1,P60)),SUMIFS(Producao!$B:$B,Producao!$A:$A,"&gt;="&amp;F60,Producao!$A:$A,"&lt;"&amp;IF(P60="",TODAY()+1,P60))))))))</f>
        <v/>
      </c>
      <c r="I60" s="34">
        <f>IF(OR(A60="",E60=""),"",E60-H60)</f>
        <v/>
      </c>
      <c r="J60" s="35">
        <f>IF(OR(A60="",N(E60)&lt;=0),"",H60/E60)</f>
        <v/>
      </c>
      <c r="K60" s="32">
        <f>IF(I60="","",IF(P60&lt;&gt;"","Saiu",IF(I60&lt;0,"Além da meta",IF(J60&gt;=Regras!$B$3,"Atenção","OK"))))</f>
        <v/>
      </c>
      <c r="L60" s="32" t="n"/>
      <c r="M60">
        <f>IF(OR(J60="",K60="Saiu"),-1,J60+ROW()/1000000000)</f>
        <v/>
      </c>
      <c r="N60" s="43" t="n"/>
      <c r="O60" s="43" t="n"/>
      <c r="P60" s="44">
        <f>IF(OR(A60="",B60="Molde",F60=""),"",IF(COUNTIFS(TrocasEquip!$B$2:$B$1000,A60,TrocasEquip!$A$2:$A$1000,"&gt;="&amp;F60)=0,"",_xlfn.MINIFS(TrocasEquip!$A$2:$A$1000,TrocasEquip!$B$2:$B$1000,A60,TrocasEquip!$A$2:$A$1000,"&gt;="&amp;F60)))</f>
        <v/>
      </c>
      <c r="Q60">
        <f>IF(AND(A60&lt;&gt;"",K60&lt;&gt;"Saiu"),ROW(),"")</f>
        <v/>
      </c>
    </row>
    <row r="61">
      <c r="A61" s="38" t="n"/>
      <c r="B61" s="39" t="n"/>
      <c r="C61" s="32">
        <f>IF(B61="","",IF(B61="Molde","corridas",IF(B61="Oscilador","dias","t")))</f>
        <v/>
      </c>
      <c r="D61" s="39" t="n"/>
      <c r="E61" s="45" t="n"/>
      <c r="F61" s="46" t="n"/>
      <c r="G61" s="45" t="n"/>
      <c r="H61" s="34">
        <f>IF(A61="","",IF(C61="corridas",SUMIFS(Historico!$E:$E,Historico!$B:$B,L61,Historico!$A:$A,SUMPRODUCT(MAX((Historico!$B$2:$B$5000=L61)*Historico!$A$2:$A$5000))),N(G61)+IF(F61="",0,IF(C61="dias",MAX(0,IF(P61="",TODAY(),P61)-F61),IF(D61=2,SUMIFS(Producao!$D:$D,Producao!$A:$A,"&gt;="&amp;F61,Producao!$A:$A,"&lt;"&amp;IF(P61="",TODAY()+1,P61)),IF(D61=3,SUMIFS(Producao!$E:$E,Producao!$A:$A,"&gt;="&amp;F61,Producao!$A:$A,"&lt;"&amp;IF(P61="",TODAY()+1,P61)),SUMIFS(Producao!$B:$B,Producao!$A:$A,"&gt;="&amp;F61,Producao!$A:$A,"&lt;"&amp;IF(P61="",TODAY()+1,P61))))))))</f>
        <v/>
      </c>
      <c r="I61" s="34">
        <f>IF(OR(A61="",E61=""),"",E61-H61)</f>
        <v/>
      </c>
      <c r="J61" s="35">
        <f>IF(OR(A61="",N(E61)&lt;=0),"",H61/E61)</f>
        <v/>
      </c>
      <c r="K61" s="32">
        <f>IF(I61="","",IF(P61&lt;&gt;"","Saiu",IF(I61&lt;0,"Além da meta",IF(J61&gt;=Regras!$B$3,"Atenção","OK"))))</f>
        <v/>
      </c>
      <c r="L61" s="32" t="n"/>
      <c r="M61">
        <f>IF(OR(J61="",K61="Saiu"),-1,J61+ROW()/1000000000)</f>
        <v/>
      </c>
      <c r="N61" s="43" t="n"/>
      <c r="O61" s="43" t="n"/>
      <c r="P61" s="44">
        <f>IF(OR(A61="",B61="Molde",F61=""),"",IF(COUNTIFS(TrocasEquip!$B$2:$B$1000,A61,TrocasEquip!$A$2:$A$1000,"&gt;="&amp;F61)=0,"",_xlfn.MINIFS(TrocasEquip!$A$2:$A$1000,TrocasEquip!$B$2:$B$1000,A61,TrocasEquip!$A$2:$A$1000,"&gt;="&amp;F61)))</f>
        <v/>
      </c>
      <c r="Q61">
        <f>IF(AND(A61&lt;&gt;"",K61&lt;&gt;"Saiu"),ROW(),"")</f>
        <v/>
      </c>
    </row>
    <row r="62">
      <c r="A62" s="38" t="n"/>
      <c r="B62" s="39" t="n"/>
      <c r="C62" s="32">
        <f>IF(B62="","",IF(B62="Molde","corridas",IF(B62="Oscilador","dias","t")))</f>
        <v/>
      </c>
      <c r="D62" s="39" t="n"/>
      <c r="E62" s="45" t="n"/>
      <c r="F62" s="46" t="n"/>
      <c r="G62" s="45" t="n"/>
      <c r="H62" s="34">
        <f>IF(A62="","",IF(C62="corridas",SUMIFS(Historico!$E:$E,Historico!$B:$B,L62,Historico!$A:$A,SUMPRODUCT(MAX((Historico!$B$2:$B$5000=L62)*Historico!$A$2:$A$5000))),N(G62)+IF(F62="",0,IF(C62="dias",MAX(0,IF(P62="",TODAY(),P62)-F62),IF(D62=2,SUMIFS(Producao!$D:$D,Producao!$A:$A,"&gt;="&amp;F62,Producao!$A:$A,"&lt;"&amp;IF(P62="",TODAY()+1,P62)),IF(D62=3,SUMIFS(Producao!$E:$E,Producao!$A:$A,"&gt;="&amp;F62,Producao!$A:$A,"&lt;"&amp;IF(P62="",TODAY()+1,P62)),SUMIFS(Producao!$B:$B,Producao!$A:$A,"&gt;="&amp;F62,Producao!$A:$A,"&lt;"&amp;IF(P62="",TODAY()+1,P62))))))))</f>
        <v/>
      </c>
      <c r="I62" s="34">
        <f>IF(OR(A62="",E62=""),"",E62-H62)</f>
        <v/>
      </c>
      <c r="J62" s="35">
        <f>IF(OR(A62="",N(E62)&lt;=0),"",H62/E62)</f>
        <v/>
      </c>
      <c r="K62" s="32">
        <f>IF(I62="","",IF(P62&lt;&gt;"","Saiu",IF(I62&lt;0,"Além da meta",IF(J62&gt;=Regras!$B$3,"Atenção","OK"))))</f>
        <v/>
      </c>
      <c r="L62" s="32" t="n"/>
      <c r="M62">
        <f>IF(OR(J62="",K62="Saiu"),-1,J62+ROW()/1000000000)</f>
        <v/>
      </c>
      <c r="N62" s="43" t="n"/>
      <c r="O62" s="43" t="n"/>
      <c r="P62" s="44">
        <f>IF(OR(A62="",B62="Molde",F62=""),"",IF(COUNTIFS(TrocasEquip!$B$2:$B$1000,A62,TrocasEquip!$A$2:$A$1000,"&gt;="&amp;F62)=0,"",_xlfn.MINIFS(TrocasEquip!$A$2:$A$1000,TrocasEquip!$B$2:$B$1000,A62,TrocasEquip!$A$2:$A$1000,"&gt;="&amp;F62)))</f>
        <v/>
      </c>
      <c r="Q62">
        <f>IF(AND(A62&lt;&gt;"",K62&lt;&gt;"Saiu"),ROW(),"")</f>
        <v/>
      </c>
    </row>
    <row r="63">
      <c r="A63" s="38" t="n"/>
      <c r="B63" s="39" t="n"/>
      <c r="C63" s="32">
        <f>IF(B63="","",IF(B63="Molde","corridas",IF(B63="Oscilador","dias","t")))</f>
        <v/>
      </c>
      <c r="D63" s="39" t="n"/>
      <c r="E63" s="45" t="n"/>
      <c r="F63" s="46" t="n"/>
      <c r="G63" s="45" t="n"/>
      <c r="H63" s="34">
        <f>IF(A63="","",IF(C63="corridas",SUMIFS(Historico!$E:$E,Historico!$B:$B,L63,Historico!$A:$A,SUMPRODUCT(MAX((Historico!$B$2:$B$5000=L63)*Historico!$A$2:$A$5000))),N(G63)+IF(F63="",0,IF(C63="dias",MAX(0,IF(P63="",TODAY(),P63)-F63),IF(D63=2,SUMIFS(Producao!$D:$D,Producao!$A:$A,"&gt;="&amp;F63,Producao!$A:$A,"&lt;"&amp;IF(P63="",TODAY()+1,P63)),IF(D63=3,SUMIFS(Producao!$E:$E,Producao!$A:$A,"&gt;="&amp;F63,Producao!$A:$A,"&lt;"&amp;IF(P63="",TODAY()+1,P63)),SUMIFS(Producao!$B:$B,Producao!$A:$A,"&gt;="&amp;F63,Producao!$A:$A,"&lt;"&amp;IF(P63="",TODAY()+1,P63))))))))</f>
        <v/>
      </c>
      <c r="I63" s="34">
        <f>IF(OR(A63="",E63=""),"",E63-H63)</f>
        <v/>
      </c>
      <c r="J63" s="35">
        <f>IF(OR(A63="",N(E63)&lt;=0),"",H63/E63)</f>
        <v/>
      </c>
      <c r="K63" s="32">
        <f>IF(I63="","",IF(P63&lt;&gt;"","Saiu",IF(I63&lt;0,"Além da meta",IF(J63&gt;=Regras!$B$3,"Atenção","OK"))))</f>
        <v/>
      </c>
      <c r="L63" s="32" t="n"/>
      <c r="M63">
        <f>IF(OR(J63="",K63="Saiu"),-1,J63+ROW()/1000000000)</f>
        <v/>
      </c>
      <c r="N63" s="43" t="n"/>
      <c r="O63" s="43" t="n"/>
      <c r="P63" s="44">
        <f>IF(OR(A63="",B63="Molde",F63=""),"",IF(COUNTIFS(TrocasEquip!$B$2:$B$1000,A63,TrocasEquip!$A$2:$A$1000,"&gt;="&amp;F63)=0,"",_xlfn.MINIFS(TrocasEquip!$A$2:$A$1000,TrocasEquip!$B$2:$B$1000,A63,TrocasEquip!$A$2:$A$1000,"&gt;="&amp;F63)))</f>
        <v/>
      </c>
      <c r="Q63">
        <f>IF(AND(A63&lt;&gt;"",K63&lt;&gt;"Saiu"),ROW(),"")</f>
        <v/>
      </c>
    </row>
    <row r="64">
      <c r="A64" s="38" t="n"/>
      <c r="B64" s="39" t="n"/>
      <c r="C64" s="32">
        <f>IF(B64="","",IF(B64="Molde","corridas",IF(B64="Oscilador","dias","t")))</f>
        <v/>
      </c>
      <c r="D64" s="39" t="n"/>
      <c r="E64" s="45" t="n"/>
      <c r="F64" s="46" t="n"/>
      <c r="G64" s="45" t="n"/>
      <c r="H64" s="34">
        <f>IF(A64="","",IF(C64="corridas",SUMIFS(Historico!$E:$E,Historico!$B:$B,L64,Historico!$A:$A,SUMPRODUCT(MAX((Historico!$B$2:$B$5000=L64)*Historico!$A$2:$A$5000))),N(G64)+IF(F64="",0,IF(C64="dias",MAX(0,IF(P64="",TODAY(),P64)-F64),IF(D64=2,SUMIFS(Producao!$D:$D,Producao!$A:$A,"&gt;="&amp;F64,Producao!$A:$A,"&lt;"&amp;IF(P64="",TODAY()+1,P64)),IF(D64=3,SUMIFS(Producao!$E:$E,Producao!$A:$A,"&gt;="&amp;F64,Producao!$A:$A,"&lt;"&amp;IF(P64="",TODAY()+1,P64)),SUMIFS(Producao!$B:$B,Producao!$A:$A,"&gt;="&amp;F64,Producao!$A:$A,"&lt;"&amp;IF(P64="",TODAY()+1,P64))))))))</f>
        <v/>
      </c>
      <c r="I64" s="34">
        <f>IF(OR(A64="",E64=""),"",E64-H64)</f>
        <v/>
      </c>
      <c r="J64" s="35">
        <f>IF(OR(A64="",N(E64)&lt;=0),"",H64/E64)</f>
        <v/>
      </c>
      <c r="K64" s="32">
        <f>IF(I64="","",IF(P64&lt;&gt;"","Saiu",IF(I64&lt;0,"Além da meta",IF(J64&gt;=Regras!$B$3,"Atenção","OK"))))</f>
        <v/>
      </c>
      <c r="L64" s="32" t="n"/>
      <c r="M64">
        <f>IF(OR(J64="",K64="Saiu"),-1,J64+ROW()/1000000000)</f>
        <v/>
      </c>
      <c r="N64" s="43" t="n"/>
      <c r="O64" s="43" t="n"/>
      <c r="P64" s="44">
        <f>IF(OR(A64="",B64="Molde",F64=""),"",IF(COUNTIFS(TrocasEquip!$B$2:$B$1000,A64,TrocasEquip!$A$2:$A$1000,"&gt;="&amp;F64)=0,"",_xlfn.MINIFS(TrocasEquip!$A$2:$A$1000,TrocasEquip!$B$2:$B$1000,A64,TrocasEquip!$A$2:$A$1000,"&gt;="&amp;F64)))</f>
        <v/>
      </c>
      <c r="Q64">
        <f>IF(AND(A64&lt;&gt;"",K64&lt;&gt;"Saiu"),ROW(),"")</f>
        <v/>
      </c>
    </row>
    <row r="65">
      <c r="A65" s="38" t="n"/>
      <c r="B65" s="39" t="n"/>
      <c r="C65" s="32">
        <f>IF(B65="","",IF(B65="Molde","corridas",IF(B65="Oscilador","dias","t")))</f>
        <v/>
      </c>
      <c r="D65" s="39" t="n"/>
      <c r="E65" s="45" t="n"/>
      <c r="F65" s="46" t="n"/>
      <c r="G65" s="45" t="n"/>
      <c r="H65" s="34">
        <f>IF(A65="","",IF(C65="corridas",SUMIFS(Historico!$E:$E,Historico!$B:$B,L65,Historico!$A:$A,SUMPRODUCT(MAX((Historico!$B$2:$B$5000=L65)*Historico!$A$2:$A$5000))),N(G65)+IF(F65="",0,IF(C65="dias",MAX(0,IF(P65="",TODAY(),P65)-F65),IF(D65=2,SUMIFS(Producao!$D:$D,Producao!$A:$A,"&gt;="&amp;F65,Producao!$A:$A,"&lt;"&amp;IF(P65="",TODAY()+1,P65)),IF(D65=3,SUMIFS(Producao!$E:$E,Producao!$A:$A,"&gt;="&amp;F65,Producao!$A:$A,"&lt;"&amp;IF(P65="",TODAY()+1,P65)),SUMIFS(Producao!$B:$B,Producao!$A:$A,"&gt;="&amp;F65,Producao!$A:$A,"&lt;"&amp;IF(P65="",TODAY()+1,P65))))))))</f>
        <v/>
      </c>
      <c r="I65" s="34">
        <f>IF(OR(A65="",E65=""),"",E65-H65)</f>
        <v/>
      </c>
      <c r="J65" s="35">
        <f>IF(OR(A65="",N(E65)&lt;=0),"",H65/E65)</f>
        <v/>
      </c>
      <c r="K65" s="32">
        <f>IF(I65="","",IF(P65&lt;&gt;"","Saiu",IF(I65&lt;0,"Além da meta",IF(J65&gt;=Regras!$B$3,"Atenção","OK"))))</f>
        <v/>
      </c>
      <c r="L65" s="32" t="n"/>
      <c r="M65">
        <f>IF(OR(J65="",K65="Saiu"),-1,J65+ROW()/1000000000)</f>
        <v/>
      </c>
      <c r="N65" s="43" t="n"/>
      <c r="O65" s="43" t="n"/>
      <c r="P65" s="44">
        <f>IF(OR(A65="",B65="Molde",F65=""),"",IF(COUNTIFS(TrocasEquip!$B$2:$B$1000,A65,TrocasEquip!$A$2:$A$1000,"&gt;="&amp;F65)=0,"",_xlfn.MINIFS(TrocasEquip!$A$2:$A$1000,TrocasEquip!$B$2:$B$1000,A65,TrocasEquip!$A$2:$A$1000,"&gt;="&amp;F65)))</f>
        <v/>
      </c>
      <c r="Q65">
        <f>IF(AND(A65&lt;&gt;"",K65&lt;&gt;"Saiu"),ROW(),"")</f>
        <v/>
      </c>
    </row>
    <row r="66">
      <c r="A66" s="38" t="n"/>
      <c r="B66" s="39" t="n"/>
      <c r="C66" s="32">
        <f>IF(B66="","",IF(B66="Molde","corridas",IF(B66="Oscilador","dias","t")))</f>
        <v/>
      </c>
      <c r="D66" s="39" t="n"/>
      <c r="E66" s="45" t="n"/>
      <c r="F66" s="46" t="n"/>
      <c r="G66" s="45" t="n"/>
      <c r="H66" s="34">
        <f>IF(A66="","",IF(C66="corridas",SUMIFS(Historico!$E:$E,Historico!$B:$B,L66,Historico!$A:$A,SUMPRODUCT(MAX((Historico!$B$2:$B$5000=L66)*Historico!$A$2:$A$5000))),N(G66)+IF(F66="",0,IF(C66="dias",MAX(0,IF(P66="",TODAY(),P66)-F66),IF(D66=2,SUMIFS(Producao!$D:$D,Producao!$A:$A,"&gt;="&amp;F66,Producao!$A:$A,"&lt;"&amp;IF(P66="",TODAY()+1,P66)),IF(D66=3,SUMIFS(Producao!$E:$E,Producao!$A:$A,"&gt;="&amp;F66,Producao!$A:$A,"&lt;"&amp;IF(P66="",TODAY()+1,P66)),SUMIFS(Producao!$B:$B,Producao!$A:$A,"&gt;="&amp;F66,Producao!$A:$A,"&lt;"&amp;IF(P66="",TODAY()+1,P66))))))))</f>
        <v/>
      </c>
      <c r="I66" s="34">
        <f>IF(OR(A66="",E66=""),"",E66-H66)</f>
        <v/>
      </c>
      <c r="J66" s="35">
        <f>IF(OR(A66="",N(E66)&lt;=0),"",H66/E66)</f>
        <v/>
      </c>
      <c r="K66" s="32">
        <f>IF(I66="","",IF(P66&lt;&gt;"","Saiu",IF(I66&lt;0,"Além da meta",IF(J66&gt;=Regras!$B$3,"Atenção","OK"))))</f>
        <v/>
      </c>
      <c r="L66" s="32" t="n"/>
      <c r="M66">
        <f>IF(OR(J66="",K66="Saiu"),-1,J66+ROW()/1000000000)</f>
        <v/>
      </c>
      <c r="N66" s="43" t="n"/>
      <c r="O66" s="43" t="n"/>
      <c r="P66" s="44">
        <f>IF(OR(A66="",B66="Molde",F66=""),"",IF(COUNTIFS(TrocasEquip!$B$2:$B$1000,A66,TrocasEquip!$A$2:$A$1000,"&gt;="&amp;F66)=0,"",_xlfn.MINIFS(TrocasEquip!$A$2:$A$1000,TrocasEquip!$B$2:$B$1000,A66,TrocasEquip!$A$2:$A$1000,"&gt;="&amp;F66)))</f>
        <v/>
      </c>
      <c r="Q66">
        <f>IF(AND(A66&lt;&gt;"",K66&lt;&gt;"Saiu"),ROW(),"")</f>
        <v/>
      </c>
    </row>
    <row r="67">
      <c r="A67" s="38" t="n"/>
      <c r="B67" s="39" t="n"/>
      <c r="C67" s="32">
        <f>IF(B67="","",IF(B67="Molde","corridas",IF(B67="Oscilador","dias","t")))</f>
        <v/>
      </c>
      <c r="D67" s="39" t="n"/>
      <c r="E67" s="45" t="n"/>
      <c r="F67" s="46" t="n"/>
      <c r="G67" s="45" t="n"/>
      <c r="H67" s="34">
        <f>IF(A67="","",IF(C67="corridas",SUMIFS(Historico!$E:$E,Historico!$B:$B,L67,Historico!$A:$A,SUMPRODUCT(MAX((Historico!$B$2:$B$5000=L67)*Historico!$A$2:$A$5000))),N(G67)+IF(F67="",0,IF(C67="dias",MAX(0,IF(P67="",TODAY(),P67)-F67),IF(D67=2,SUMIFS(Producao!$D:$D,Producao!$A:$A,"&gt;="&amp;F67,Producao!$A:$A,"&lt;"&amp;IF(P67="",TODAY()+1,P67)),IF(D67=3,SUMIFS(Producao!$E:$E,Producao!$A:$A,"&gt;="&amp;F67,Producao!$A:$A,"&lt;"&amp;IF(P67="",TODAY()+1,P67)),SUMIFS(Producao!$B:$B,Producao!$A:$A,"&gt;="&amp;F67,Producao!$A:$A,"&lt;"&amp;IF(P67="",TODAY()+1,P67))))))))</f>
        <v/>
      </c>
      <c r="I67" s="34">
        <f>IF(OR(A67="",E67=""),"",E67-H67)</f>
        <v/>
      </c>
      <c r="J67" s="35">
        <f>IF(OR(A67="",N(E67)&lt;=0),"",H67/E67)</f>
        <v/>
      </c>
      <c r="K67" s="32">
        <f>IF(I67="","",IF(P67&lt;&gt;"","Saiu",IF(I67&lt;0,"Além da meta",IF(J67&gt;=Regras!$B$3,"Atenção","OK"))))</f>
        <v/>
      </c>
      <c r="L67" s="32" t="n"/>
      <c r="M67">
        <f>IF(OR(J67="",K67="Saiu"),-1,J67+ROW()/1000000000)</f>
        <v/>
      </c>
      <c r="N67" s="43" t="n"/>
      <c r="O67" s="43" t="n"/>
      <c r="P67" s="44">
        <f>IF(OR(A67="",B67="Molde",F67=""),"",IF(COUNTIFS(TrocasEquip!$B$2:$B$1000,A67,TrocasEquip!$A$2:$A$1000,"&gt;="&amp;F67)=0,"",_xlfn.MINIFS(TrocasEquip!$A$2:$A$1000,TrocasEquip!$B$2:$B$1000,A67,TrocasEquip!$A$2:$A$1000,"&gt;="&amp;F67)))</f>
        <v/>
      </c>
      <c r="Q67">
        <f>IF(AND(A67&lt;&gt;"",K67&lt;&gt;"Saiu"),ROW(),"")</f>
        <v/>
      </c>
    </row>
    <row r="68">
      <c r="A68" s="38" t="n"/>
      <c r="B68" s="39" t="n"/>
      <c r="C68" s="32">
        <f>IF(B68="","",IF(B68="Molde","corridas",IF(B68="Oscilador","dias","t")))</f>
        <v/>
      </c>
      <c r="D68" s="39" t="n"/>
      <c r="E68" s="45" t="n"/>
      <c r="F68" s="46" t="n"/>
      <c r="G68" s="45" t="n"/>
      <c r="H68" s="34">
        <f>IF(A68="","",IF(C68="corridas",SUMIFS(Historico!$E:$E,Historico!$B:$B,L68,Historico!$A:$A,SUMPRODUCT(MAX((Historico!$B$2:$B$5000=L68)*Historico!$A$2:$A$5000))),N(G68)+IF(F68="",0,IF(C68="dias",MAX(0,IF(P68="",TODAY(),P68)-F68),IF(D68=2,SUMIFS(Producao!$D:$D,Producao!$A:$A,"&gt;="&amp;F68,Producao!$A:$A,"&lt;"&amp;IF(P68="",TODAY()+1,P68)),IF(D68=3,SUMIFS(Producao!$E:$E,Producao!$A:$A,"&gt;="&amp;F68,Producao!$A:$A,"&lt;"&amp;IF(P68="",TODAY()+1,P68)),SUMIFS(Producao!$B:$B,Producao!$A:$A,"&gt;="&amp;F68,Producao!$A:$A,"&lt;"&amp;IF(P68="",TODAY()+1,P68))))))))</f>
        <v/>
      </c>
      <c r="I68" s="34">
        <f>IF(OR(A68="",E68=""),"",E68-H68)</f>
        <v/>
      </c>
      <c r="J68" s="35">
        <f>IF(OR(A68="",N(E68)&lt;=0),"",H68/E68)</f>
        <v/>
      </c>
      <c r="K68" s="32">
        <f>IF(I68="","",IF(P68&lt;&gt;"","Saiu",IF(I68&lt;0,"Além da meta",IF(J68&gt;=Regras!$B$3,"Atenção","OK"))))</f>
        <v/>
      </c>
      <c r="L68" s="32" t="n"/>
      <c r="M68">
        <f>IF(OR(J68="",K68="Saiu"),-1,J68+ROW()/1000000000)</f>
        <v/>
      </c>
      <c r="N68" s="43" t="n"/>
      <c r="O68" s="43" t="n"/>
      <c r="P68" s="44">
        <f>IF(OR(A68="",B68="Molde",F68=""),"",IF(COUNTIFS(TrocasEquip!$B$2:$B$1000,A68,TrocasEquip!$A$2:$A$1000,"&gt;="&amp;F68)=0,"",_xlfn.MINIFS(TrocasEquip!$A$2:$A$1000,TrocasEquip!$B$2:$B$1000,A68,TrocasEquip!$A$2:$A$1000,"&gt;="&amp;F68)))</f>
        <v/>
      </c>
      <c r="Q68">
        <f>IF(AND(A68&lt;&gt;"",K68&lt;&gt;"Saiu"),ROW(),"")</f>
        <v/>
      </c>
    </row>
    <row r="69">
      <c r="A69" s="38" t="n"/>
      <c r="B69" s="39" t="n"/>
      <c r="C69" s="32">
        <f>IF(B69="","",IF(B69="Molde","corridas",IF(B69="Oscilador","dias","t")))</f>
        <v/>
      </c>
      <c r="D69" s="39" t="n"/>
      <c r="E69" s="45" t="n"/>
      <c r="F69" s="46" t="n"/>
      <c r="G69" s="45" t="n"/>
      <c r="H69" s="34">
        <f>IF(A69="","",IF(C69="corridas",SUMIFS(Historico!$E:$E,Historico!$B:$B,L69,Historico!$A:$A,SUMPRODUCT(MAX((Historico!$B$2:$B$5000=L69)*Historico!$A$2:$A$5000))),N(G69)+IF(F69="",0,IF(C69="dias",MAX(0,IF(P69="",TODAY(),P69)-F69),IF(D69=2,SUMIFS(Producao!$D:$D,Producao!$A:$A,"&gt;="&amp;F69,Producao!$A:$A,"&lt;"&amp;IF(P69="",TODAY()+1,P69)),IF(D69=3,SUMIFS(Producao!$E:$E,Producao!$A:$A,"&gt;="&amp;F69,Producao!$A:$A,"&lt;"&amp;IF(P69="",TODAY()+1,P69)),SUMIFS(Producao!$B:$B,Producao!$A:$A,"&gt;="&amp;F69,Producao!$A:$A,"&lt;"&amp;IF(P69="",TODAY()+1,P69))))))))</f>
        <v/>
      </c>
      <c r="I69" s="34">
        <f>IF(OR(A69="",E69=""),"",E69-H69)</f>
        <v/>
      </c>
      <c r="J69" s="35">
        <f>IF(OR(A69="",N(E69)&lt;=0),"",H69/E69)</f>
        <v/>
      </c>
      <c r="K69" s="32">
        <f>IF(I69="","",IF(P69&lt;&gt;"","Saiu",IF(I69&lt;0,"Além da meta",IF(J69&gt;=Regras!$B$3,"Atenção","OK"))))</f>
        <v/>
      </c>
      <c r="L69" s="32" t="n"/>
      <c r="M69">
        <f>IF(OR(J69="",K69="Saiu"),-1,J69+ROW()/1000000000)</f>
        <v/>
      </c>
      <c r="N69" s="43" t="n"/>
      <c r="O69" s="43" t="n"/>
      <c r="P69" s="44">
        <f>IF(OR(A69="",B69="Molde",F69=""),"",IF(COUNTIFS(TrocasEquip!$B$2:$B$1000,A69,TrocasEquip!$A$2:$A$1000,"&gt;="&amp;F69)=0,"",_xlfn.MINIFS(TrocasEquip!$A$2:$A$1000,TrocasEquip!$B$2:$B$1000,A69,TrocasEquip!$A$2:$A$1000,"&gt;="&amp;F69)))</f>
        <v/>
      </c>
      <c r="Q69">
        <f>IF(AND(A69&lt;&gt;"",K69&lt;&gt;"Saiu"),ROW(),"")</f>
        <v/>
      </c>
    </row>
    <row r="70">
      <c r="A70" s="38" t="n"/>
      <c r="B70" s="39" t="n"/>
      <c r="C70" s="32">
        <f>IF(B70="","",IF(B70="Molde","corridas",IF(B70="Oscilador","dias","t")))</f>
        <v/>
      </c>
      <c r="D70" s="39" t="n"/>
      <c r="E70" s="45" t="n"/>
      <c r="F70" s="46" t="n"/>
      <c r="G70" s="45" t="n"/>
      <c r="H70" s="34">
        <f>IF(A70="","",IF(C70="corridas",SUMIFS(Historico!$E:$E,Historico!$B:$B,L70,Historico!$A:$A,SUMPRODUCT(MAX((Historico!$B$2:$B$5000=L70)*Historico!$A$2:$A$5000))),N(G70)+IF(F70="",0,IF(C70="dias",MAX(0,IF(P70="",TODAY(),P70)-F70),IF(D70=2,SUMIFS(Producao!$D:$D,Producao!$A:$A,"&gt;="&amp;F70,Producao!$A:$A,"&lt;"&amp;IF(P70="",TODAY()+1,P70)),IF(D70=3,SUMIFS(Producao!$E:$E,Producao!$A:$A,"&gt;="&amp;F70,Producao!$A:$A,"&lt;"&amp;IF(P70="",TODAY()+1,P70)),SUMIFS(Producao!$B:$B,Producao!$A:$A,"&gt;="&amp;F70,Producao!$A:$A,"&lt;"&amp;IF(P70="",TODAY()+1,P70))))))))</f>
        <v/>
      </c>
      <c r="I70" s="34">
        <f>IF(OR(A70="",E70=""),"",E70-H70)</f>
        <v/>
      </c>
      <c r="J70" s="35">
        <f>IF(OR(A70="",N(E70)&lt;=0),"",H70/E70)</f>
        <v/>
      </c>
      <c r="K70" s="32">
        <f>IF(I70="","",IF(P70&lt;&gt;"","Saiu",IF(I70&lt;0,"Além da meta",IF(J70&gt;=Regras!$B$3,"Atenção","OK"))))</f>
        <v/>
      </c>
      <c r="L70" s="32" t="n"/>
      <c r="M70">
        <f>IF(OR(J70="",K70="Saiu"),-1,J70+ROW()/1000000000)</f>
        <v/>
      </c>
      <c r="N70" s="43" t="n"/>
      <c r="O70" s="43" t="n"/>
      <c r="P70" s="44">
        <f>IF(OR(A70="",B70="Molde",F70=""),"",IF(COUNTIFS(TrocasEquip!$B$2:$B$1000,A70,TrocasEquip!$A$2:$A$1000,"&gt;="&amp;F70)=0,"",_xlfn.MINIFS(TrocasEquip!$A$2:$A$1000,TrocasEquip!$B$2:$B$1000,A70,TrocasEquip!$A$2:$A$1000,"&gt;="&amp;F70)))</f>
        <v/>
      </c>
      <c r="Q70">
        <f>IF(AND(A70&lt;&gt;"",K70&lt;&gt;"Saiu"),ROW(),"")</f>
        <v/>
      </c>
    </row>
    <row r="71">
      <c r="A71" s="38" t="n"/>
      <c r="B71" s="39" t="n"/>
      <c r="C71" s="32">
        <f>IF(B71="","",IF(B71="Molde","corridas",IF(B71="Oscilador","dias","t")))</f>
        <v/>
      </c>
      <c r="D71" s="39" t="n"/>
      <c r="E71" s="45" t="n"/>
      <c r="F71" s="46" t="n"/>
      <c r="G71" s="45" t="n"/>
      <c r="H71" s="34">
        <f>IF(A71="","",IF(C71="corridas",SUMIFS(Historico!$E:$E,Historico!$B:$B,L71,Historico!$A:$A,SUMPRODUCT(MAX((Historico!$B$2:$B$5000=L71)*Historico!$A$2:$A$5000))),N(G71)+IF(F71="",0,IF(C71="dias",MAX(0,IF(P71="",TODAY(),P71)-F71),IF(D71=2,SUMIFS(Producao!$D:$D,Producao!$A:$A,"&gt;="&amp;F71,Producao!$A:$A,"&lt;"&amp;IF(P71="",TODAY()+1,P71)),IF(D71=3,SUMIFS(Producao!$E:$E,Producao!$A:$A,"&gt;="&amp;F71,Producao!$A:$A,"&lt;"&amp;IF(P71="",TODAY()+1,P71)),SUMIFS(Producao!$B:$B,Producao!$A:$A,"&gt;="&amp;F71,Producao!$A:$A,"&lt;"&amp;IF(P71="",TODAY()+1,P71))))))))</f>
        <v/>
      </c>
      <c r="I71" s="34">
        <f>IF(OR(A71="",E71=""),"",E71-H71)</f>
        <v/>
      </c>
      <c r="J71" s="35">
        <f>IF(OR(A71="",N(E71)&lt;=0),"",H71/E71)</f>
        <v/>
      </c>
      <c r="K71" s="32">
        <f>IF(I71="","",IF(P71&lt;&gt;"","Saiu",IF(I71&lt;0,"Além da meta",IF(J71&gt;=Regras!$B$3,"Atenção","OK"))))</f>
        <v/>
      </c>
      <c r="L71" s="32" t="n"/>
      <c r="M71">
        <f>IF(OR(J71="",K71="Saiu"),-1,J71+ROW()/1000000000)</f>
        <v/>
      </c>
      <c r="N71" s="43" t="n"/>
      <c r="O71" s="43" t="n"/>
      <c r="P71" s="44">
        <f>IF(OR(A71="",B71="Molde",F71=""),"",IF(COUNTIFS(TrocasEquip!$B$2:$B$1000,A71,TrocasEquip!$A$2:$A$1000,"&gt;="&amp;F71)=0,"",_xlfn.MINIFS(TrocasEquip!$A$2:$A$1000,TrocasEquip!$B$2:$B$1000,A71,TrocasEquip!$A$2:$A$1000,"&gt;="&amp;F71)))</f>
        <v/>
      </c>
      <c r="Q71">
        <f>IF(AND(A71&lt;&gt;"",K71&lt;&gt;"Saiu"),ROW(),"")</f>
        <v/>
      </c>
    </row>
    <row r="72">
      <c r="A72" s="38" t="n"/>
      <c r="B72" s="39" t="n"/>
      <c r="C72" s="32">
        <f>IF(B72="","",IF(B72="Molde","corridas",IF(B72="Oscilador","dias","t")))</f>
        <v/>
      </c>
      <c r="D72" s="39" t="n"/>
      <c r="E72" s="45" t="n"/>
      <c r="F72" s="46" t="n"/>
      <c r="G72" s="45" t="n"/>
      <c r="H72" s="34">
        <f>IF(A72="","",IF(C72="corridas",SUMIFS(Historico!$E:$E,Historico!$B:$B,L72,Historico!$A:$A,SUMPRODUCT(MAX((Historico!$B$2:$B$5000=L72)*Historico!$A$2:$A$5000))),N(G72)+IF(F72="",0,IF(C72="dias",MAX(0,IF(P72="",TODAY(),P72)-F72),IF(D72=2,SUMIFS(Producao!$D:$D,Producao!$A:$A,"&gt;="&amp;F72,Producao!$A:$A,"&lt;"&amp;IF(P72="",TODAY()+1,P72)),IF(D72=3,SUMIFS(Producao!$E:$E,Producao!$A:$A,"&gt;="&amp;F72,Producao!$A:$A,"&lt;"&amp;IF(P72="",TODAY()+1,P72)),SUMIFS(Producao!$B:$B,Producao!$A:$A,"&gt;="&amp;F72,Producao!$A:$A,"&lt;"&amp;IF(P72="",TODAY()+1,P72))))))))</f>
        <v/>
      </c>
      <c r="I72" s="34">
        <f>IF(OR(A72="",E72=""),"",E72-H72)</f>
        <v/>
      </c>
      <c r="J72" s="35">
        <f>IF(OR(A72="",N(E72)&lt;=0),"",H72/E72)</f>
        <v/>
      </c>
      <c r="K72" s="32">
        <f>IF(I72="","",IF(P72&lt;&gt;"","Saiu",IF(I72&lt;0,"Além da meta",IF(J72&gt;=Regras!$B$3,"Atenção","OK"))))</f>
        <v/>
      </c>
      <c r="L72" s="32" t="n"/>
      <c r="M72">
        <f>IF(OR(J72="",K72="Saiu"),-1,J72+ROW()/1000000000)</f>
        <v/>
      </c>
      <c r="N72" s="43" t="n"/>
      <c r="O72" s="43" t="n"/>
      <c r="P72" s="44">
        <f>IF(OR(A72="",B72="Molde",F72=""),"",IF(COUNTIFS(TrocasEquip!$B$2:$B$1000,A72,TrocasEquip!$A$2:$A$1000,"&gt;="&amp;F72)=0,"",_xlfn.MINIFS(TrocasEquip!$A$2:$A$1000,TrocasEquip!$B$2:$B$1000,A72,TrocasEquip!$A$2:$A$1000,"&gt;="&amp;F72)))</f>
        <v/>
      </c>
      <c r="Q72">
        <f>IF(AND(A72&lt;&gt;"",K72&lt;&gt;"Saiu"),ROW(),"")</f>
        <v/>
      </c>
    </row>
    <row r="73">
      <c r="A73" s="38" t="n"/>
      <c r="B73" s="39" t="n"/>
      <c r="C73" s="32">
        <f>IF(B73="","",IF(B73="Molde","corridas",IF(B73="Oscilador","dias","t")))</f>
        <v/>
      </c>
      <c r="D73" s="39" t="n"/>
      <c r="E73" s="45" t="n"/>
      <c r="F73" s="46" t="n"/>
      <c r="G73" s="45" t="n"/>
      <c r="H73" s="34">
        <f>IF(A73="","",IF(C73="corridas",SUMIFS(Historico!$E:$E,Historico!$B:$B,L73,Historico!$A:$A,SUMPRODUCT(MAX((Historico!$B$2:$B$5000=L73)*Historico!$A$2:$A$5000))),N(G73)+IF(F73="",0,IF(C73="dias",MAX(0,IF(P73="",TODAY(),P73)-F73),IF(D73=2,SUMIFS(Producao!$D:$D,Producao!$A:$A,"&gt;="&amp;F73,Producao!$A:$A,"&lt;"&amp;IF(P73="",TODAY()+1,P73)),IF(D73=3,SUMIFS(Producao!$E:$E,Producao!$A:$A,"&gt;="&amp;F73,Producao!$A:$A,"&lt;"&amp;IF(P73="",TODAY()+1,P73)),SUMIFS(Producao!$B:$B,Producao!$A:$A,"&gt;="&amp;F73,Producao!$A:$A,"&lt;"&amp;IF(P73="",TODAY()+1,P73))))))))</f>
        <v/>
      </c>
      <c r="I73" s="34">
        <f>IF(OR(A73="",E73=""),"",E73-H73)</f>
        <v/>
      </c>
      <c r="J73" s="35">
        <f>IF(OR(A73="",N(E73)&lt;=0),"",H73/E73)</f>
        <v/>
      </c>
      <c r="K73" s="32">
        <f>IF(I73="","",IF(P73&lt;&gt;"","Saiu",IF(I73&lt;0,"Além da meta",IF(J73&gt;=Regras!$B$3,"Atenção","OK"))))</f>
        <v/>
      </c>
      <c r="L73" s="32" t="n"/>
      <c r="M73">
        <f>IF(OR(J73="",K73="Saiu"),-1,J73+ROW()/1000000000)</f>
        <v/>
      </c>
      <c r="N73" s="43" t="n"/>
      <c r="O73" s="43" t="n"/>
      <c r="P73" s="44">
        <f>IF(OR(A73="",B73="Molde",F73=""),"",IF(COUNTIFS(TrocasEquip!$B$2:$B$1000,A73,TrocasEquip!$A$2:$A$1000,"&gt;="&amp;F73)=0,"",_xlfn.MINIFS(TrocasEquip!$A$2:$A$1000,TrocasEquip!$B$2:$B$1000,A73,TrocasEquip!$A$2:$A$1000,"&gt;="&amp;F73)))</f>
        <v/>
      </c>
      <c r="Q73">
        <f>IF(AND(A73&lt;&gt;"",K73&lt;&gt;"Saiu"),ROW(),"")</f>
        <v/>
      </c>
    </row>
    <row r="74">
      <c r="A74" s="38" t="n"/>
      <c r="B74" s="39" t="n"/>
      <c r="C74" s="32">
        <f>IF(B74="","",IF(B74="Molde","corridas",IF(B74="Oscilador","dias","t")))</f>
        <v/>
      </c>
      <c r="D74" s="39" t="n"/>
      <c r="E74" s="45" t="n"/>
      <c r="F74" s="46" t="n"/>
      <c r="G74" s="45" t="n"/>
      <c r="H74" s="34">
        <f>IF(A74="","",IF(C74="corridas",SUMIFS(Historico!$E:$E,Historico!$B:$B,L74,Historico!$A:$A,SUMPRODUCT(MAX((Historico!$B$2:$B$5000=L74)*Historico!$A$2:$A$5000))),N(G74)+IF(F74="",0,IF(C74="dias",MAX(0,IF(P74="",TODAY(),P74)-F74),IF(D74=2,SUMIFS(Producao!$D:$D,Producao!$A:$A,"&gt;="&amp;F74,Producao!$A:$A,"&lt;"&amp;IF(P74="",TODAY()+1,P74)),IF(D74=3,SUMIFS(Producao!$E:$E,Producao!$A:$A,"&gt;="&amp;F74,Producao!$A:$A,"&lt;"&amp;IF(P74="",TODAY()+1,P74)),SUMIFS(Producao!$B:$B,Producao!$A:$A,"&gt;="&amp;F74,Producao!$A:$A,"&lt;"&amp;IF(P74="",TODAY()+1,P74))))))))</f>
        <v/>
      </c>
      <c r="I74" s="34">
        <f>IF(OR(A74="",E74=""),"",E74-H74)</f>
        <v/>
      </c>
      <c r="J74" s="35">
        <f>IF(OR(A74="",N(E74)&lt;=0),"",H74/E74)</f>
        <v/>
      </c>
      <c r="K74" s="32">
        <f>IF(I74="","",IF(P74&lt;&gt;"","Saiu",IF(I74&lt;0,"Além da meta",IF(J74&gt;=Regras!$B$3,"Atenção","OK"))))</f>
        <v/>
      </c>
      <c r="L74" s="32" t="n"/>
      <c r="M74">
        <f>IF(OR(J74="",K74="Saiu"),-1,J74+ROW()/1000000000)</f>
        <v/>
      </c>
      <c r="N74" s="43" t="n"/>
      <c r="O74" s="43" t="n"/>
      <c r="P74" s="44">
        <f>IF(OR(A74="",B74="Molde",F74=""),"",IF(COUNTIFS(TrocasEquip!$B$2:$B$1000,A74,TrocasEquip!$A$2:$A$1000,"&gt;="&amp;F74)=0,"",_xlfn.MINIFS(TrocasEquip!$A$2:$A$1000,TrocasEquip!$B$2:$B$1000,A74,TrocasEquip!$A$2:$A$1000,"&gt;="&amp;F74)))</f>
        <v/>
      </c>
      <c r="Q74">
        <f>IF(AND(A74&lt;&gt;"",K74&lt;&gt;"Saiu"),ROW(),"")</f>
        <v/>
      </c>
    </row>
    <row r="75">
      <c r="A75" s="38" t="n"/>
      <c r="B75" s="39" t="n"/>
      <c r="C75" s="32">
        <f>IF(B75="","",IF(B75="Molde","corridas",IF(B75="Oscilador","dias","t")))</f>
        <v/>
      </c>
      <c r="D75" s="39" t="n"/>
      <c r="E75" s="45" t="n"/>
      <c r="F75" s="46" t="n"/>
      <c r="G75" s="45" t="n"/>
      <c r="H75" s="34">
        <f>IF(A75="","",IF(C75="corridas",SUMIFS(Historico!$E:$E,Historico!$B:$B,L75,Historico!$A:$A,SUMPRODUCT(MAX((Historico!$B$2:$B$5000=L75)*Historico!$A$2:$A$5000))),N(G75)+IF(F75="",0,IF(C75="dias",MAX(0,IF(P75="",TODAY(),P75)-F75),IF(D75=2,SUMIFS(Producao!$D:$D,Producao!$A:$A,"&gt;="&amp;F75,Producao!$A:$A,"&lt;"&amp;IF(P75="",TODAY()+1,P75)),IF(D75=3,SUMIFS(Producao!$E:$E,Producao!$A:$A,"&gt;="&amp;F75,Producao!$A:$A,"&lt;"&amp;IF(P75="",TODAY()+1,P75)),SUMIFS(Producao!$B:$B,Producao!$A:$A,"&gt;="&amp;F75,Producao!$A:$A,"&lt;"&amp;IF(P75="",TODAY()+1,P75))))))))</f>
        <v/>
      </c>
      <c r="I75" s="34">
        <f>IF(OR(A75="",E75=""),"",E75-H75)</f>
        <v/>
      </c>
      <c r="J75" s="35">
        <f>IF(OR(A75="",N(E75)&lt;=0),"",H75/E75)</f>
        <v/>
      </c>
      <c r="K75" s="32">
        <f>IF(I75="","",IF(P75&lt;&gt;"","Saiu",IF(I75&lt;0,"Além da meta",IF(J75&gt;=Regras!$B$3,"Atenção","OK"))))</f>
        <v/>
      </c>
      <c r="L75" s="32" t="n"/>
      <c r="M75">
        <f>IF(OR(J75="",K75="Saiu"),-1,J75+ROW()/1000000000)</f>
        <v/>
      </c>
      <c r="N75" s="43" t="n"/>
      <c r="O75" s="43" t="n"/>
      <c r="P75" s="44">
        <f>IF(OR(A75="",B75="Molde",F75=""),"",IF(COUNTIFS(TrocasEquip!$B$2:$B$1000,A75,TrocasEquip!$A$2:$A$1000,"&gt;="&amp;F75)=0,"",_xlfn.MINIFS(TrocasEquip!$A$2:$A$1000,TrocasEquip!$B$2:$B$1000,A75,TrocasEquip!$A$2:$A$1000,"&gt;="&amp;F75)))</f>
        <v/>
      </c>
      <c r="Q75">
        <f>IF(AND(A75&lt;&gt;"",K75&lt;&gt;"Saiu"),ROW(),"")</f>
        <v/>
      </c>
    </row>
    <row r="76">
      <c r="A76" s="38" t="n"/>
      <c r="B76" s="39" t="n"/>
      <c r="C76" s="32">
        <f>IF(B76="","",IF(B76="Molde","corridas",IF(B76="Oscilador","dias","t")))</f>
        <v/>
      </c>
      <c r="D76" s="39" t="n"/>
      <c r="E76" s="45" t="n"/>
      <c r="F76" s="46" t="n"/>
      <c r="G76" s="45" t="n"/>
      <c r="H76" s="34">
        <f>IF(A76="","",IF(C76="corridas",SUMIFS(Historico!$E:$E,Historico!$B:$B,L76,Historico!$A:$A,SUMPRODUCT(MAX((Historico!$B$2:$B$5000=L76)*Historico!$A$2:$A$5000))),N(G76)+IF(F76="",0,IF(C76="dias",MAX(0,IF(P76="",TODAY(),P76)-F76),IF(D76=2,SUMIFS(Producao!$D:$D,Producao!$A:$A,"&gt;="&amp;F76,Producao!$A:$A,"&lt;"&amp;IF(P76="",TODAY()+1,P76)),IF(D76=3,SUMIFS(Producao!$E:$E,Producao!$A:$A,"&gt;="&amp;F76,Producao!$A:$A,"&lt;"&amp;IF(P76="",TODAY()+1,P76)),SUMIFS(Producao!$B:$B,Producao!$A:$A,"&gt;="&amp;F76,Producao!$A:$A,"&lt;"&amp;IF(P76="",TODAY()+1,P76))))))))</f>
        <v/>
      </c>
      <c r="I76" s="34">
        <f>IF(OR(A76="",E76=""),"",E76-H76)</f>
        <v/>
      </c>
      <c r="J76" s="35">
        <f>IF(OR(A76="",N(E76)&lt;=0),"",H76/E76)</f>
        <v/>
      </c>
      <c r="K76" s="32">
        <f>IF(I76="","",IF(P76&lt;&gt;"","Saiu",IF(I76&lt;0,"Além da meta",IF(J76&gt;=Regras!$B$3,"Atenção","OK"))))</f>
        <v/>
      </c>
      <c r="L76" s="32" t="n"/>
      <c r="M76">
        <f>IF(OR(J76="",K76="Saiu"),-1,J76+ROW()/1000000000)</f>
        <v/>
      </c>
      <c r="N76" s="43" t="n"/>
      <c r="O76" s="43" t="n"/>
      <c r="P76" s="44">
        <f>IF(OR(A76="",B76="Molde",F76=""),"",IF(COUNTIFS(TrocasEquip!$B$2:$B$1000,A76,TrocasEquip!$A$2:$A$1000,"&gt;="&amp;F76)=0,"",_xlfn.MINIFS(TrocasEquip!$A$2:$A$1000,TrocasEquip!$B$2:$B$1000,A76,TrocasEquip!$A$2:$A$1000,"&gt;="&amp;F76)))</f>
        <v/>
      </c>
      <c r="Q76">
        <f>IF(AND(A76&lt;&gt;"",K76&lt;&gt;"Saiu"),ROW(),"")</f>
        <v/>
      </c>
    </row>
    <row r="77">
      <c r="A77" s="38" t="n"/>
      <c r="B77" s="39" t="n"/>
      <c r="C77" s="32">
        <f>IF(B77="","",IF(B77="Molde","corridas",IF(B77="Oscilador","dias","t")))</f>
        <v/>
      </c>
      <c r="D77" s="39" t="n"/>
      <c r="E77" s="45" t="n"/>
      <c r="F77" s="46" t="n"/>
      <c r="G77" s="45" t="n"/>
      <c r="H77" s="34">
        <f>IF(A77="","",IF(C77="corridas",SUMIFS(Historico!$E:$E,Historico!$B:$B,L77,Historico!$A:$A,SUMPRODUCT(MAX((Historico!$B$2:$B$5000=L77)*Historico!$A$2:$A$5000))),N(G77)+IF(F77="",0,IF(C77="dias",MAX(0,IF(P77="",TODAY(),P77)-F77),IF(D77=2,SUMIFS(Producao!$D:$D,Producao!$A:$A,"&gt;="&amp;F77,Producao!$A:$A,"&lt;"&amp;IF(P77="",TODAY()+1,P77)),IF(D77=3,SUMIFS(Producao!$E:$E,Producao!$A:$A,"&gt;="&amp;F77,Producao!$A:$A,"&lt;"&amp;IF(P77="",TODAY()+1,P77)),SUMIFS(Producao!$B:$B,Producao!$A:$A,"&gt;="&amp;F77,Producao!$A:$A,"&lt;"&amp;IF(P77="",TODAY()+1,P77))))))))</f>
        <v/>
      </c>
      <c r="I77" s="34">
        <f>IF(OR(A77="",E77=""),"",E77-H77)</f>
        <v/>
      </c>
      <c r="J77" s="35">
        <f>IF(OR(A77="",N(E77)&lt;=0),"",H77/E77)</f>
        <v/>
      </c>
      <c r="K77" s="32">
        <f>IF(I77="","",IF(P77&lt;&gt;"","Saiu",IF(I77&lt;0,"Além da meta",IF(J77&gt;=Regras!$B$3,"Atenção","OK"))))</f>
        <v/>
      </c>
      <c r="L77" s="32" t="n"/>
      <c r="M77">
        <f>IF(OR(J77="",K77="Saiu"),-1,J77+ROW()/1000000000)</f>
        <v/>
      </c>
      <c r="N77" s="43" t="n"/>
      <c r="O77" s="43" t="n"/>
      <c r="P77" s="44">
        <f>IF(OR(A77="",B77="Molde",F77=""),"",IF(COUNTIFS(TrocasEquip!$B$2:$B$1000,A77,TrocasEquip!$A$2:$A$1000,"&gt;="&amp;F77)=0,"",_xlfn.MINIFS(TrocasEquip!$A$2:$A$1000,TrocasEquip!$B$2:$B$1000,A77,TrocasEquip!$A$2:$A$1000,"&gt;="&amp;F77)))</f>
        <v/>
      </c>
      <c r="Q77">
        <f>IF(AND(A77&lt;&gt;"",K77&lt;&gt;"Saiu"),ROW(),"")</f>
        <v/>
      </c>
    </row>
    <row r="78">
      <c r="A78" s="38" t="n"/>
      <c r="B78" s="39" t="n"/>
      <c r="C78" s="32">
        <f>IF(B78="","",IF(B78="Molde","corridas",IF(B78="Oscilador","dias","t")))</f>
        <v/>
      </c>
      <c r="D78" s="39" t="n"/>
      <c r="E78" s="45" t="n"/>
      <c r="F78" s="46" t="n"/>
      <c r="G78" s="45" t="n"/>
      <c r="H78" s="34">
        <f>IF(A78="","",IF(C78="corridas",SUMIFS(Historico!$E:$E,Historico!$B:$B,L78,Historico!$A:$A,SUMPRODUCT(MAX((Historico!$B$2:$B$5000=L78)*Historico!$A$2:$A$5000))),N(G78)+IF(F78="",0,IF(C78="dias",MAX(0,IF(P78="",TODAY(),P78)-F78),IF(D78=2,SUMIFS(Producao!$D:$D,Producao!$A:$A,"&gt;="&amp;F78,Producao!$A:$A,"&lt;"&amp;IF(P78="",TODAY()+1,P78)),IF(D78=3,SUMIFS(Producao!$E:$E,Producao!$A:$A,"&gt;="&amp;F78,Producao!$A:$A,"&lt;"&amp;IF(P78="",TODAY()+1,P78)),SUMIFS(Producao!$B:$B,Producao!$A:$A,"&gt;="&amp;F78,Producao!$A:$A,"&lt;"&amp;IF(P78="",TODAY()+1,P78))))))))</f>
        <v/>
      </c>
      <c r="I78" s="34">
        <f>IF(OR(A78="",E78=""),"",E78-H78)</f>
        <v/>
      </c>
      <c r="J78" s="35">
        <f>IF(OR(A78="",N(E78)&lt;=0),"",H78/E78)</f>
        <v/>
      </c>
      <c r="K78" s="32">
        <f>IF(I78="","",IF(P78&lt;&gt;"","Saiu",IF(I78&lt;0,"Além da meta",IF(J78&gt;=Regras!$B$3,"Atenção","OK"))))</f>
        <v/>
      </c>
      <c r="L78" s="32" t="n"/>
      <c r="M78">
        <f>IF(OR(J78="",K78="Saiu"),-1,J78+ROW()/1000000000)</f>
        <v/>
      </c>
      <c r="N78" s="43" t="n"/>
      <c r="O78" s="43" t="n"/>
      <c r="P78" s="44">
        <f>IF(OR(A78="",B78="Molde",F78=""),"",IF(COUNTIFS(TrocasEquip!$B$2:$B$1000,A78,TrocasEquip!$A$2:$A$1000,"&gt;="&amp;F78)=0,"",_xlfn.MINIFS(TrocasEquip!$A$2:$A$1000,TrocasEquip!$B$2:$B$1000,A78,TrocasEquip!$A$2:$A$1000,"&gt;="&amp;F78)))</f>
        <v/>
      </c>
      <c r="Q78">
        <f>IF(AND(A78&lt;&gt;"",K78&lt;&gt;"Saiu"),ROW(),"")</f>
        <v/>
      </c>
    </row>
    <row r="79">
      <c r="A79" s="38" t="n"/>
      <c r="B79" s="39" t="n"/>
      <c r="C79" s="32">
        <f>IF(B79="","",IF(B79="Molde","corridas",IF(B79="Oscilador","dias","t")))</f>
        <v/>
      </c>
      <c r="D79" s="39" t="n"/>
      <c r="E79" s="45" t="n"/>
      <c r="F79" s="46" t="n"/>
      <c r="G79" s="45" t="n"/>
      <c r="H79" s="34">
        <f>IF(A79="","",IF(C79="corridas",SUMIFS(Historico!$E:$E,Historico!$B:$B,L79,Historico!$A:$A,SUMPRODUCT(MAX((Historico!$B$2:$B$5000=L79)*Historico!$A$2:$A$5000))),N(G79)+IF(F79="",0,IF(C79="dias",MAX(0,IF(P79="",TODAY(),P79)-F79),IF(D79=2,SUMIFS(Producao!$D:$D,Producao!$A:$A,"&gt;="&amp;F79,Producao!$A:$A,"&lt;"&amp;IF(P79="",TODAY()+1,P79)),IF(D79=3,SUMIFS(Producao!$E:$E,Producao!$A:$A,"&gt;="&amp;F79,Producao!$A:$A,"&lt;"&amp;IF(P79="",TODAY()+1,P79)),SUMIFS(Producao!$B:$B,Producao!$A:$A,"&gt;="&amp;F79,Producao!$A:$A,"&lt;"&amp;IF(P79="",TODAY()+1,P79))))))))</f>
        <v/>
      </c>
      <c r="I79" s="34">
        <f>IF(OR(A79="",E79=""),"",E79-H79)</f>
        <v/>
      </c>
      <c r="J79" s="35">
        <f>IF(OR(A79="",N(E79)&lt;=0),"",H79/E79)</f>
        <v/>
      </c>
      <c r="K79" s="32">
        <f>IF(I79="","",IF(P79&lt;&gt;"","Saiu",IF(I79&lt;0,"Além da meta",IF(J79&gt;=Regras!$B$3,"Atenção","OK"))))</f>
        <v/>
      </c>
      <c r="L79" s="32" t="n"/>
      <c r="M79">
        <f>IF(OR(J79="",K79="Saiu"),-1,J79+ROW()/1000000000)</f>
        <v/>
      </c>
      <c r="N79" s="43" t="n"/>
      <c r="O79" s="43" t="n"/>
      <c r="P79" s="44">
        <f>IF(OR(A79="",B79="Molde",F79=""),"",IF(COUNTIFS(TrocasEquip!$B$2:$B$1000,A79,TrocasEquip!$A$2:$A$1000,"&gt;="&amp;F79)=0,"",_xlfn.MINIFS(TrocasEquip!$A$2:$A$1000,TrocasEquip!$B$2:$B$1000,A79,TrocasEquip!$A$2:$A$1000,"&gt;="&amp;F79)))</f>
        <v/>
      </c>
      <c r="Q79">
        <f>IF(AND(A79&lt;&gt;"",K79&lt;&gt;"Saiu"),ROW(),"")</f>
        <v/>
      </c>
    </row>
    <row r="80">
      <c r="A80" s="38" t="n"/>
      <c r="B80" s="39" t="n"/>
      <c r="C80" s="32">
        <f>IF(B80="","",IF(B80="Molde","corridas",IF(B80="Oscilador","dias","t")))</f>
        <v/>
      </c>
      <c r="D80" s="39" t="n"/>
      <c r="E80" s="45" t="n"/>
      <c r="F80" s="46" t="n"/>
      <c r="G80" s="45" t="n"/>
      <c r="H80" s="34">
        <f>IF(A80="","",IF(C80="corridas",SUMIFS(Historico!$E:$E,Historico!$B:$B,L80,Historico!$A:$A,SUMPRODUCT(MAX((Historico!$B$2:$B$5000=L80)*Historico!$A$2:$A$5000))),N(G80)+IF(F80="",0,IF(C80="dias",MAX(0,IF(P80="",TODAY(),P80)-F80),IF(D80=2,SUMIFS(Producao!$D:$D,Producao!$A:$A,"&gt;="&amp;F80,Producao!$A:$A,"&lt;"&amp;IF(P80="",TODAY()+1,P80)),IF(D80=3,SUMIFS(Producao!$E:$E,Producao!$A:$A,"&gt;="&amp;F80,Producao!$A:$A,"&lt;"&amp;IF(P80="",TODAY()+1,P80)),SUMIFS(Producao!$B:$B,Producao!$A:$A,"&gt;="&amp;F80,Producao!$A:$A,"&lt;"&amp;IF(P80="",TODAY()+1,P80))))))))</f>
        <v/>
      </c>
      <c r="I80" s="34">
        <f>IF(OR(A80="",E80=""),"",E80-H80)</f>
        <v/>
      </c>
      <c r="J80" s="35">
        <f>IF(OR(A80="",N(E80)&lt;=0),"",H80/E80)</f>
        <v/>
      </c>
      <c r="K80" s="32">
        <f>IF(I80="","",IF(P80&lt;&gt;"","Saiu",IF(I80&lt;0,"Além da meta",IF(J80&gt;=Regras!$B$3,"Atenção","OK"))))</f>
        <v/>
      </c>
      <c r="L80" s="32" t="n"/>
      <c r="M80">
        <f>IF(OR(J80="",K80="Saiu"),-1,J80+ROW()/1000000000)</f>
        <v/>
      </c>
      <c r="N80" s="43" t="n"/>
      <c r="O80" s="43" t="n"/>
      <c r="P80" s="44">
        <f>IF(OR(A80="",B80="Molde",F80=""),"",IF(COUNTIFS(TrocasEquip!$B$2:$B$1000,A80,TrocasEquip!$A$2:$A$1000,"&gt;="&amp;F80)=0,"",_xlfn.MINIFS(TrocasEquip!$A$2:$A$1000,TrocasEquip!$B$2:$B$1000,A80,TrocasEquip!$A$2:$A$1000,"&gt;="&amp;F80)))</f>
        <v/>
      </c>
      <c r="Q80">
        <f>IF(AND(A80&lt;&gt;"",K80&lt;&gt;"Saiu"),ROW(),"")</f>
        <v/>
      </c>
    </row>
    <row r="81">
      <c r="A81" s="38" t="n"/>
      <c r="B81" s="39" t="n"/>
      <c r="C81" s="32">
        <f>IF(B81="","",IF(B81="Molde","corridas",IF(B81="Oscilador","dias","t")))</f>
        <v/>
      </c>
      <c r="D81" s="39" t="n"/>
      <c r="E81" s="45" t="n"/>
      <c r="F81" s="46" t="n"/>
      <c r="G81" s="45" t="n"/>
      <c r="H81" s="34">
        <f>IF(A81="","",IF(C81="corridas",SUMIFS(Historico!$E:$E,Historico!$B:$B,L81,Historico!$A:$A,SUMPRODUCT(MAX((Historico!$B$2:$B$5000=L81)*Historico!$A$2:$A$5000))),N(G81)+IF(F81="",0,IF(C81="dias",MAX(0,IF(P81="",TODAY(),P81)-F81),IF(D81=2,SUMIFS(Producao!$D:$D,Producao!$A:$A,"&gt;="&amp;F81,Producao!$A:$A,"&lt;"&amp;IF(P81="",TODAY()+1,P81)),IF(D81=3,SUMIFS(Producao!$E:$E,Producao!$A:$A,"&gt;="&amp;F81,Producao!$A:$A,"&lt;"&amp;IF(P81="",TODAY()+1,P81)),SUMIFS(Producao!$B:$B,Producao!$A:$A,"&gt;="&amp;F81,Producao!$A:$A,"&lt;"&amp;IF(P81="",TODAY()+1,P81))))))))</f>
        <v/>
      </c>
      <c r="I81" s="34">
        <f>IF(OR(A81="",E81=""),"",E81-H81)</f>
        <v/>
      </c>
      <c r="J81" s="35">
        <f>IF(OR(A81="",N(E81)&lt;=0),"",H81/E81)</f>
        <v/>
      </c>
      <c r="K81" s="32">
        <f>IF(I81="","",IF(P81&lt;&gt;"","Saiu",IF(I81&lt;0,"Além da meta",IF(J81&gt;=Regras!$B$3,"Atenção","OK"))))</f>
        <v/>
      </c>
      <c r="L81" s="32" t="n"/>
      <c r="M81">
        <f>IF(OR(J81="",K81="Saiu"),-1,J81+ROW()/1000000000)</f>
        <v/>
      </c>
      <c r="N81" s="43" t="n"/>
      <c r="O81" s="43" t="n"/>
      <c r="P81" s="44">
        <f>IF(OR(A81="",B81="Molde",F81=""),"",IF(COUNTIFS(TrocasEquip!$B$2:$B$1000,A81,TrocasEquip!$A$2:$A$1000,"&gt;="&amp;F81)=0,"",_xlfn.MINIFS(TrocasEquip!$A$2:$A$1000,TrocasEquip!$B$2:$B$1000,A81,TrocasEquip!$A$2:$A$1000,"&gt;="&amp;F81)))</f>
        <v/>
      </c>
      <c r="Q81">
        <f>IF(AND(A81&lt;&gt;"",K81&lt;&gt;"Saiu"),ROW(),"")</f>
        <v/>
      </c>
    </row>
    <row r="82">
      <c r="A82" s="38" t="n"/>
      <c r="B82" s="39" t="n"/>
      <c r="C82" s="32">
        <f>IF(B82="","",IF(B82="Molde","corridas",IF(B82="Oscilador","dias","t")))</f>
        <v/>
      </c>
      <c r="D82" s="39" t="n"/>
      <c r="E82" s="45" t="n"/>
      <c r="F82" s="46" t="n"/>
      <c r="G82" s="45" t="n"/>
      <c r="H82" s="34">
        <f>IF(A82="","",IF(C82="corridas",SUMIFS(Historico!$E:$E,Historico!$B:$B,L82,Historico!$A:$A,SUMPRODUCT(MAX((Historico!$B$2:$B$5000=L82)*Historico!$A$2:$A$5000))),N(G82)+IF(F82="",0,IF(C82="dias",MAX(0,IF(P82="",TODAY(),P82)-F82),IF(D82=2,SUMIFS(Producao!$D:$D,Producao!$A:$A,"&gt;="&amp;F82,Producao!$A:$A,"&lt;"&amp;IF(P82="",TODAY()+1,P82)),IF(D82=3,SUMIFS(Producao!$E:$E,Producao!$A:$A,"&gt;="&amp;F82,Producao!$A:$A,"&lt;"&amp;IF(P82="",TODAY()+1,P82)),SUMIFS(Producao!$B:$B,Producao!$A:$A,"&gt;="&amp;F82,Producao!$A:$A,"&lt;"&amp;IF(P82="",TODAY()+1,P82))))))))</f>
        <v/>
      </c>
      <c r="I82" s="34">
        <f>IF(OR(A82="",E82=""),"",E82-H82)</f>
        <v/>
      </c>
      <c r="J82" s="35">
        <f>IF(OR(A82="",N(E82)&lt;=0),"",H82/E82)</f>
        <v/>
      </c>
      <c r="K82" s="32">
        <f>IF(I82="","",IF(P82&lt;&gt;"","Saiu",IF(I82&lt;0,"Além da meta",IF(J82&gt;=Regras!$B$3,"Atenção","OK"))))</f>
        <v/>
      </c>
      <c r="L82" s="32" t="n"/>
      <c r="M82">
        <f>IF(OR(J82="",K82="Saiu"),-1,J82+ROW()/1000000000)</f>
        <v/>
      </c>
      <c r="N82" s="43" t="n"/>
      <c r="O82" s="43" t="n"/>
      <c r="P82" s="44">
        <f>IF(OR(A82="",B82="Molde",F82=""),"",IF(COUNTIFS(TrocasEquip!$B$2:$B$1000,A82,TrocasEquip!$A$2:$A$1000,"&gt;="&amp;F82)=0,"",_xlfn.MINIFS(TrocasEquip!$A$2:$A$1000,TrocasEquip!$B$2:$B$1000,A82,TrocasEquip!$A$2:$A$1000,"&gt;="&amp;F82)))</f>
        <v/>
      </c>
      <c r="Q82">
        <f>IF(AND(A82&lt;&gt;"",K82&lt;&gt;"Saiu"),ROW(),"")</f>
        <v/>
      </c>
    </row>
    <row r="83">
      <c r="A83" s="38" t="n"/>
      <c r="B83" s="39" t="n"/>
      <c r="C83" s="32">
        <f>IF(B83="","",IF(B83="Molde","corridas",IF(B83="Oscilador","dias","t")))</f>
        <v/>
      </c>
      <c r="D83" s="39" t="n"/>
      <c r="E83" s="45" t="n"/>
      <c r="F83" s="46" t="n"/>
      <c r="G83" s="45" t="n"/>
      <c r="H83" s="34">
        <f>IF(A83="","",IF(C83="corridas",SUMIFS(Historico!$E:$E,Historico!$B:$B,L83,Historico!$A:$A,SUMPRODUCT(MAX((Historico!$B$2:$B$5000=L83)*Historico!$A$2:$A$5000))),N(G83)+IF(F83="",0,IF(C83="dias",MAX(0,IF(P83="",TODAY(),P83)-F83),IF(D83=2,SUMIFS(Producao!$D:$D,Producao!$A:$A,"&gt;="&amp;F83,Producao!$A:$A,"&lt;"&amp;IF(P83="",TODAY()+1,P83)),IF(D83=3,SUMIFS(Producao!$E:$E,Producao!$A:$A,"&gt;="&amp;F83,Producao!$A:$A,"&lt;"&amp;IF(P83="",TODAY()+1,P83)),SUMIFS(Producao!$B:$B,Producao!$A:$A,"&gt;="&amp;F83,Producao!$A:$A,"&lt;"&amp;IF(P83="",TODAY()+1,P83))))))))</f>
        <v/>
      </c>
      <c r="I83" s="34">
        <f>IF(OR(A83="",E83=""),"",E83-H83)</f>
        <v/>
      </c>
      <c r="J83" s="35">
        <f>IF(OR(A83="",N(E83)&lt;=0),"",H83/E83)</f>
        <v/>
      </c>
      <c r="K83" s="32">
        <f>IF(I83="","",IF(P83&lt;&gt;"","Saiu",IF(I83&lt;0,"Além da meta",IF(J83&gt;=Regras!$B$3,"Atenção","OK"))))</f>
        <v/>
      </c>
      <c r="L83" s="32" t="n"/>
      <c r="M83">
        <f>IF(OR(J83="",K83="Saiu"),-1,J83+ROW()/1000000000)</f>
        <v/>
      </c>
      <c r="N83" s="43" t="n"/>
      <c r="O83" s="43" t="n"/>
      <c r="P83" s="44">
        <f>IF(OR(A83="",B83="Molde",F83=""),"",IF(COUNTIFS(TrocasEquip!$B$2:$B$1000,A83,TrocasEquip!$A$2:$A$1000,"&gt;="&amp;F83)=0,"",_xlfn.MINIFS(TrocasEquip!$A$2:$A$1000,TrocasEquip!$B$2:$B$1000,A83,TrocasEquip!$A$2:$A$1000,"&gt;="&amp;F83)))</f>
        <v/>
      </c>
      <c r="Q83">
        <f>IF(AND(A83&lt;&gt;"",K83&lt;&gt;"Saiu"),ROW(),"")</f>
        <v/>
      </c>
    </row>
    <row r="84">
      <c r="A84" s="38" t="n"/>
      <c r="B84" s="39" t="n"/>
      <c r="C84" s="32">
        <f>IF(B84="","",IF(B84="Molde","corridas",IF(B84="Oscilador","dias","t")))</f>
        <v/>
      </c>
      <c r="D84" s="39" t="n"/>
      <c r="E84" s="45" t="n"/>
      <c r="F84" s="46" t="n"/>
      <c r="G84" s="45" t="n"/>
      <c r="H84" s="34">
        <f>IF(A84="","",IF(C84="corridas",SUMIFS(Historico!$E:$E,Historico!$B:$B,L84,Historico!$A:$A,SUMPRODUCT(MAX((Historico!$B$2:$B$5000=L84)*Historico!$A$2:$A$5000))),N(G84)+IF(F84="",0,IF(C84="dias",MAX(0,IF(P84="",TODAY(),P84)-F84),IF(D84=2,SUMIFS(Producao!$D:$D,Producao!$A:$A,"&gt;="&amp;F84,Producao!$A:$A,"&lt;"&amp;IF(P84="",TODAY()+1,P84)),IF(D84=3,SUMIFS(Producao!$E:$E,Producao!$A:$A,"&gt;="&amp;F84,Producao!$A:$A,"&lt;"&amp;IF(P84="",TODAY()+1,P84)),SUMIFS(Producao!$B:$B,Producao!$A:$A,"&gt;="&amp;F84,Producao!$A:$A,"&lt;"&amp;IF(P84="",TODAY()+1,P84))))))))</f>
        <v/>
      </c>
      <c r="I84" s="34">
        <f>IF(OR(A84="",E84=""),"",E84-H84)</f>
        <v/>
      </c>
      <c r="J84" s="35">
        <f>IF(OR(A84="",N(E84)&lt;=0),"",H84/E84)</f>
        <v/>
      </c>
      <c r="K84" s="32">
        <f>IF(I84="","",IF(P84&lt;&gt;"","Saiu",IF(I84&lt;0,"Além da meta",IF(J84&gt;=Regras!$B$3,"Atenção","OK"))))</f>
        <v/>
      </c>
      <c r="L84" s="32" t="n"/>
      <c r="M84">
        <f>IF(OR(J84="",K84="Saiu"),-1,J84+ROW()/1000000000)</f>
        <v/>
      </c>
      <c r="N84" s="43" t="n"/>
      <c r="O84" s="43" t="n"/>
      <c r="P84" s="44">
        <f>IF(OR(A84="",B84="Molde",F84=""),"",IF(COUNTIFS(TrocasEquip!$B$2:$B$1000,A84,TrocasEquip!$A$2:$A$1000,"&gt;="&amp;F84)=0,"",_xlfn.MINIFS(TrocasEquip!$A$2:$A$1000,TrocasEquip!$B$2:$B$1000,A84,TrocasEquip!$A$2:$A$1000,"&gt;="&amp;F84)))</f>
        <v/>
      </c>
      <c r="Q84">
        <f>IF(AND(A84&lt;&gt;"",K84&lt;&gt;"Saiu"),ROW(),"")</f>
        <v/>
      </c>
    </row>
    <row r="85">
      <c r="A85" s="38" t="n"/>
      <c r="B85" s="39" t="n"/>
      <c r="C85" s="32">
        <f>IF(B85="","",IF(B85="Molde","corridas",IF(B85="Oscilador","dias","t")))</f>
        <v/>
      </c>
      <c r="D85" s="39" t="n"/>
      <c r="E85" s="45" t="n"/>
      <c r="F85" s="46" t="n"/>
      <c r="G85" s="45" t="n"/>
      <c r="H85" s="34">
        <f>IF(A85="","",IF(C85="corridas",SUMIFS(Historico!$E:$E,Historico!$B:$B,L85,Historico!$A:$A,SUMPRODUCT(MAX((Historico!$B$2:$B$5000=L85)*Historico!$A$2:$A$5000))),N(G85)+IF(F85="",0,IF(C85="dias",MAX(0,IF(P85="",TODAY(),P85)-F85),IF(D85=2,SUMIFS(Producao!$D:$D,Producao!$A:$A,"&gt;="&amp;F85,Producao!$A:$A,"&lt;"&amp;IF(P85="",TODAY()+1,P85)),IF(D85=3,SUMIFS(Producao!$E:$E,Producao!$A:$A,"&gt;="&amp;F85,Producao!$A:$A,"&lt;"&amp;IF(P85="",TODAY()+1,P85)),SUMIFS(Producao!$B:$B,Producao!$A:$A,"&gt;="&amp;F85,Producao!$A:$A,"&lt;"&amp;IF(P85="",TODAY()+1,P85))))))))</f>
        <v/>
      </c>
      <c r="I85" s="34">
        <f>IF(OR(A85="",E85=""),"",E85-H85)</f>
        <v/>
      </c>
      <c r="J85" s="35">
        <f>IF(OR(A85="",N(E85)&lt;=0),"",H85/E85)</f>
        <v/>
      </c>
      <c r="K85" s="32">
        <f>IF(I85="","",IF(P85&lt;&gt;"","Saiu",IF(I85&lt;0,"Além da meta",IF(J85&gt;=Regras!$B$3,"Atenção","OK"))))</f>
        <v/>
      </c>
      <c r="L85" s="32" t="n"/>
      <c r="M85">
        <f>IF(OR(J85="",K85="Saiu"),-1,J85+ROW()/1000000000)</f>
        <v/>
      </c>
      <c r="N85" s="43" t="n"/>
      <c r="O85" s="43" t="n"/>
      <c r="P85" s="44">
        <f>IF(OR(A85="",B85="Molde",F85=""),"",IF(COUNTIFS(TrocasEquip!$B$2:$B$1000,A85,TrocasEquip!$A$2:$A$1000,"&gt;="&amp;F85)=0,"",_xlfn.MINIFS(TrocasEquip!$A$2:$A$1000,TrocasEquip!$B$2:$B$1000,A85,TrocasEquip!$A$2:$A$1000,"&gt;="&amp;F85)))</f>
        <v/>
      </c>
      <c r="Q85">
        <f>IF(AND(A85&lt;&gt;"",K85&lt;&gt;"Saiu"),ROW(),"")</f>
        <v/>
      </c>
    </row>
    <row r="86">
      <c r="A86" s="38" t="n"/>
      <c r="B86" s="39" t="n"/>
      <c r="C86" s="32">
        <f>IF(B86="","",IF(B86="Molde","corridas",IF(B86="Oscilador","dias","t")))</f>
        <v/>
      </c>
      <c r="D86" s="39" t="n"/>
      <c r="E86" s="45" t="n"/>
      <c r="F86" s="46" t="n"/>
      <c r="G86" s="45" t="n"/>
      <c r="H86" s="34">
        <f>IF(A86="","",IF(C86="corridas",SUMIFS(Historico!$E:$E,Historico!$B:$B,L86,Historico!$A:$A,SUMPRODUCT(MAX((Historico!$B$2:$B$5000=L86)*Historico!$A$2:$A$5000))),N(G86)+IF(F86="",0,IF(C86="dias",MAX(0,IF(P86="",TODAY(),P86)-F86),IF(D86=2,SUMIFS(Producao!$D:$D,Producao!$A:$A,"&gt;="&amp;F86,Producao!$A:$A,"&lt;"&amp;IF(P86="",TODAY()+1,P86)),IF(D86=3,SUMIFS(Producao!$E:$E,Producao!$A:$A,"&gt;="&amp;F86,Producao!$A:$A,"&lt;"&amp;IF(P86="",TODAY()+1,P86)),SUMIFS(Producao!$B:$B,Producao!$A:$A,"&gt;="&amp;F86,Producao!$A:$A,"&lt;"&amp;IF(P86="",TODAY()+1,P86))))))))</f>
        <v/>
      </c>
      <c r="I86" s="34">
        <f>IF(OR(A86="",E86=""),"",E86-H86)</f>
        <v/>
      </c>
      <c r="J86" s="35">
        <f>IF(OR(A86="",N(E86)&lt;=0),"",H86/E86)</f>
        <v/>
      </c>
      <c r="K86" s="32">
        <f>IF(I86="","",IF(P86&lt;&gt;"","Saiu",IF(I86&lt;0,"Além da meta",IF(J86&gt;=Regras!$B$3,"Atenção","OK"))))</f>
        <v/>
      </c>
      <c r="L86" s="32" t="n"/>
      <c r="M86">
        <f>IF(OR(J86="",K86="Saiu"),-1,J86+ROW()/1000000000)</f>
        <v/>
      </c>
      <c r="N86" s="43" t="n"/>
      <c r="O86" s="43" t="n"/>
      <c r="P86" s="44">
        <f>IF(OR(A86="",B86="Molde",F86=""),"",IF(COUNTIFS(TrocasEquip!$B$2:$B$1000,A86,TrocasEquip!$A$2:$A$1000,"&gt;="&amp;F86)=0,"",_xlfn.MINIFS(TrocasEquip!$A$2:$A$1000,TrocasEquip!$B$2:$B$1000,A86,TrocasEquip!$A$2:$A$1000,"&gt;="&amp;F86)))</f>
        <v/>
      </c>
      <c r="Q86">
        <f>IF(AND(A86&lt;&gt;"",K86&lt;&gt;"Saiu"),ROW(),"")</f>
        <v/>
      </c>
    </row>
    <row r="87">
      <c r="A87" s="38" t="n"/>
      <c r="B87" s="39" t="n"/>
      <c r="C87" s="32">
        <f>IF(B87="","",IF(B87="Molde","corridas",IF(B87="Oscilador","dias","t")))</f>
        <v/>
      </c>
      <c r="D87" s="39" t="n"/>
      <c r="E87" s="45" t="n"/>
      <c r="F87" s="46" t="n"/>
      <c r="G87" s="45" t="n"/>
      <c r="H87" s="34">
        <f>IF(A87="","",IF(C87="corridas",SUMIFS(Historico!$E:$E,Historico!$B:$B,L87,Historico!$A:$A,SUMPRODUCT(MAX((Historico!$B$2:$B$5000=L87)*Historico!$A$2:$A$5000))),N(G87)+IF(F87="",0,IF(C87="dias",MAX(0,IF(P87="",TODAY(),P87)-F87),IF(D87=2,SUMIFS(Producao!$D:$D,Producao!$A:$A,"&gt;="&amp;F87,Producao!$A:$A,"&lt;"&amp;IF(P87="",TODAY()+1,P87)),IF(D87=3,SUMIFS(Producao!$E:$E,Producao!$A:$A,"&gt;="&amp;F87,Producao!$A:$A,"&lt;"&amp;IF(P87="",TODAY()+1,P87)),SUMIFS(Producao!$B:$B,Producao!$A:$A,"&gt;="&amp;F87,Producao!$A:$A,"&lt;"&amp;IF(P87="",TODAY()+1,P87))))))))</f>
        <v/>
      </c>
      <c r="I87" s="34">
        <f>IF(OR(A87="",E87=""),"",E87-H87)</f>
        <v/>
      </c>
      <c r="J87" s="35">
        <f>IF(OR(A87="",N(E87)&lt;=0),"",H87/E87)</f>
        <v/>
      </c>
      <c r="K87" s="32">
        <f>IF(I87="","",IF(P87&lt;&gt;"","Saiu",IF(I87&lt;0,"Além da meta",IF(J87&gt;=Regras!$B$3,"Atenção","OK"))))</f>
        <v/>
      </c>
      <c r="L87" s="32" t="n"/>
      <c r="M87">
        <f>IF(OR(J87="",K87="Saiu"),-1,J87+ROW()/1000000000)</f>
        <v/>
      </c>
      <c r="N87" s="43" t="n"/>
      <c r="O87" s="43" t="n"/>
      <c r="P87" s="44">
        <f>IF(OR(A87="",B87="Molde",F87=""),"",IF(COUNTIFS(TrocasEquip!$B$2:$B$1000,A87,TrocasEquip!$A$2:$A$1000,"&gt;="&amp;F87)=0,"",_xlfn.MINIFS(TrocasEquip!$A$2:$A$1000,TrocasEquip!$B$2:$B$1000,A87,TrocasEquip!$A$2:$A$1000,"&gt;="&amp;F87)))</f>
        <v/>
      </c>
      <c r="Q87">
        <f>IF(AND(A87&lt;&gt;"",K87&lt;&gt;"Saiu"),ROW(),"")</f>
        <v/>
      </c>
    </row>
    <row r="88">
      <c r="A88" s="38" t="n"/>
      <c r="B88" s="39" t="n"/>
      <c r="C88" s="32">
        <f>IF(B88="","",IF(B88="Molde","corridas",IF(B88="Oscilador","dias","t")))</f>
        <v/>
      </c>
      <c r="D88" s="39" t="n"/>
      <c r="E88" s="45" t="n"/>
      <c r="F88" s="46" t="n"/>
      <c r="G88" s="45" t="n"/>
      <c r="H88" s="34">
        <f>IF(A88="","",IF(C88="corridas",SUMIFS(Historico!$E:$E,Historico!$B:$B,L88,Historico!$A:$A,SUMPRODUCT(MAX((Historico!$B$2:$B$5000=L88)*Historico!$A$2:$A$5000))),N(G88)+IF(F88="",0,IF(C88="dias",MAX(0,IF(P88="",TODAY(),P88)-F88),IF(D88=2,SUMIFS(Producao!$D:$D,Producao!$A:$A,"&gt;="&amp;F88,Producao!$A:$A,"&lt;"&amp;IF(P88="",TODAY()+1,P88)),IF(D88=3,SUMIFS(Producao!$E:$E,Producao!$A:$A,"&gt;="&amp;F88,Producao!$A:$A,"&lt;"&amp;IF(P88="",TODAY()+1,P88)),SUMIFS(Producao!$B:$B,Producao!$A:$A,"&gt;="&amp;F88,Producao!$A:$A,"&lt;"&amp;IF(P88="",TODAY()+1,P88))))))))</f>
        <v/>
      </c>
      <c r="I88" s="34">
        <f>IF(OR(A88="",E88=""),"",E88-H88)</f>
        <v/>
      </c>
      <c r="J88" s="35">
        <f>IF(OR(A88="",N(E88)&lt;=0),"",H88/E88)</f>
        <v/>
      </c>
      <c r="K88" s="32">
        <f>IF(I88="","",IF(P88&lt;&gt;"","Saiu",IF(I88&lt;0,"Além da meta",IF(J88&gt;=Regras!$B$3,"Atenção","OK"))))</f>
        <v/>
      </c>
      <c r="L88" s="32" t="n"/>
      <c r="M88">
        <f>IF(OR(J88="",K88="Saiu"),-1,J88+ROW()/1000000000)</f>
        <v/>
      </c>
      <c r="N88" s="43" t="n"/>
      <c r="O88" s="43" t="n"/>
      <c r="P88" s="44">
        <f>IF(OR(A88="",B88="Molde",F88=""),"",IF(COUNTIFS(TrocasEquip!$B$2:$B$1000,A88,TrocasEquip!$A$2:$A$1000,"&gt;="&amp;F88)=0,"",_xlfn.MINIFS(TrocasEquip!$A$2:$A$1000,TrocasEquip!$B$2:$B$1000,A88,TrocasEquip!$A$2:$A$1000,"&gt;="&amp;F88)))</f>
        <v/>
      </c>
      <c r="Q88">
        <f>IF(AND(A88&lt;&gt;"",K88&lt;&gt;"Saiu"),ROW(),"")</f>
        <v/>
      </c>
    </row>
    <row r="89">
      <c r="A89" s="38" t="n"/>
      <c r="B89" s="39" t="n"/>
      <c r="C89" s="32">
        <f>IF(B89="","",IF(B89="Molde","corridas",IF(B89="Oscilador","dias","t")))</f>
        <v/>
      </c>
      <c r="D89" s="39" t="n"/>
      <c r="E89" s="45" t="n"/>
      <c r="F89" s="46" t="n"/>
      <c r="G89" s="45" t="n"/>
      <c r="H89" s="34">
        <f>IF(A89="","",IF(C89="corridas",SUMIFS(Historico!$E:$E,Historico!$B:$B,L89,Historico!$A:$A,SUMPRODUCT(MAX((Historico!$B$2:$B$5000=L89)*Historico!$A$2:$A$5000))),N(G89)+IF(F89="",0,IF(C89="dias",MAX(0,IF(P89="",TODAY(),P89)-F89),IF(D89=2,SUMIFS(Producao!$D:$D,Producao!$A:$A,"&gt;="&amp;F89,Producao!$A:$A,"&lt;"&amp;IF(P89="",TODAY()+1,P89)),IF(D89=3,SUMIFS(Producao!$E:$E,Producao!$A:$A,"&gt;="&amp;F89,Producao!$A:$A,"&lt;"&amp;IF(P89="",TODAY()+1,P89)),SUMIFS(Producao!$B:$B,Producao!$A:$A,"&gt;="&amp;F89,Producao!$A:$A,"&lt;"&amp;IF(P89="",TODAY()+1,P89))))))))</f>
        <v/>
      </c>
      <c r="I89" s="34">
        <f>IF(OR(A89="",E89=""),"",E89-H89)</f>
        <v/>
      </c>
      <c r="J89" s="35">
        <f>IF(OR(A89="",N(E89)&lt;=0),"",H89/E89)</f>
        <v/>
      </c>
      <c r="K89" s="32">
        <f>IF(I89="","",IF(P89&lt;&gt;"","Saiu",IF(I89&lt;0,"Além da meta",IF(J89&gt;=Regras!$B$3,"Atenção","OK"))))</f>
        <v/>
      </c>
      <c r="L89" s="32" t="n"/>
      <c r="M89">
        <f>IF(OR(J89="",K89="Saiu"),-1,J89+ROW()/1000000000)</f>
        <v/>
      </c>
      <c r="N89" s="43" t="n"/>
      <c r="O89" s="43" t="n"/>
      <c r="P89" s="44">
        <f>IF(OR(A89="",B89="Molde",F89=""),"",IF(COUNTIFS(TrocasEquip!$B$2:$B$1000,A89,TrocasEquip!$A$2:$A$1000,"&gt;="&amp;F89)=0,"",_xlfn.MINIFS(TrocasEquip!$A$2:$A$1000,TrocasEquip!$B$2:$B$1000,A89,TrocasEquip!$A$2:$A$1000,"&gt;="&amp;F89)))</f>
        <v/>
      </c>
      <c r="Q89">
        <f>IF(AND(A89&lt;&gt;"",K89&lt;&gt;"Saiu"),ROW(),"")</f>
        <v/>
      </c>
    </row>
    <row r="90">
      <c r="A90" s="38" t="n"/>
      <c r="B90" s="39" t="n"/>
      <c r="C90" s="32">
        <f>IF(B90="","",IF(B90="Molde","corridas",IF(B90="Oscilador","dias","t")))</f>
        <v/>
      </c>
      <c r="D90" s="39" t="n"/>
      <c r="E90" s="45" t="n"/>
      <c r="F90" s="46" t="n"/>
      <c r="G90" s="45" t="n"/>
      <c r="H90" s="34">
        <f>IF(A90="","",IF(C90="corridas",SUMIFS(Historico!$E:$E,Historico!$B:$B,L90,Historico!$A:$A,SUMPRODUCT(MAX((Historico!$B$2:$B$5000=L90)*Historico!$A$2:$A$5000))),N(G90)+IF(F90="",0,IF(C90="dias",MAX(0,IF(P90="",TODAY(),P90)-F90),IF(D90=2,SUMIFS(Producao!$D:$D,Producao!$A:$A,"&gt;="&amp;F90,Producao!$A:$A,"&lt;"&amp;IF(P90="",TODAY()+1,P90)),IF(D90=3,SUMIFS(Producao!$E:$E,Producao!$A:$A,"&gt;="&amp;F90,Producao!$A:$A,"&lt;"&amp;IF(P90="",TODAY()+1,P90)),SUMIFS(Producao!$B:$B,Producao!$A:$A,"&gt;="&amp;F90,Producao!$A:$A,"&lt;"&amp;IF(P90="",TODAY()+1,P90))))))))</f>
        <v/>
      </c>
      <c r="I90" s="34">
        <f>IF(OR(A90="",E90=""),"",E90-H90)</f>
        <v/>
      </c>
      <c r="J90" s="35">
        <f>IF(OR(A90="",N(E90)&lt;=0),"",H90/E90)</f>
        <v/>
      </c>
      <c r="K90" s="32">
        <f>IF(I90="","",IF(P90&lt;&gt;"","Saiu",IF(I90&lt;0,"Além da meta",IF(J90&gt;=Regras!$B$3,"Atenção","OK"))))</f>
        <v/>
      </c>
      <c r="L90" s="32" t="n"/>
      <c r="M90">
        <f>IF(OR(J90="",K90="Saiu"),-1,J90+ROW()/1000000000)</f>
        <v/>
      </c>
      <c r="N90" s="43" t="n"/>
      <c r="O90" s="43" t="n"/>
      <c r="P90" s="44">
        <f>IF(OR(A90="",B90="Molde",F90=""),"",IF(COUNTIFS(TrocasEquip!$B$2:$B$1000,A90,TrocasEquip!$A$2:$A$1000,"&gt;="&amp;F90)=0,"",_xlfn.MINIFS(TrocasEquip!$A$2:$A$1000,TrocasEquip!$B$2:$B$1000,A90,TrocasEquip!$A$2:$A$1000,"&gt;="&amp;F90)))</f>
        <v/>
      </c>
      <c r="Q90">
        <f>IF(AND(A90&lt;&gt;"",K90&lt;&gt;"Saiu"),ROW(),"")</f>
        <v/>
      </c>
    </row>
    <row r="91">
      <c r="A91" s="38" t="n"/>
      <c r="B91" s="39" t="n"/>
      <c r="C91" s="32">
        <f>IF(B91="","",IF(B91="Molde","corridas",IF(B91="Oscilador","dias","t")))</f>
        <v/>
      </c>
      <c r="D91" s="39" t="n"/>
      <c r="E91" s="45" t="n"/>
      <c r="F91" s="46" t="n"/>
      <c r="G91" s="45" t="n"/>
      <c r="H91" s="34">
        <f>IF(A91="","",IF(C91="corridas",SUMIFS(Historico!$E:$E,Historico!$B:$B,L91,Historico!$A:$A,SUMPRODUCT(MAX((Historico!$B$2:$B$5000=L91)*Historico!$A$2:$A$5000))),N(G91)+IF(F91="",0,IF(C91="dias",MAX(0,IF(P91="",TODAY(),P91)-F91),IF(D91=2,SUMIFS(Producao!$D:$D,Producao!$A:$A,"&gt;="&amp;F91,Producao!$A:$A,"&lt;"&amp;IF(P91="",TODAY()+1,P91)),IF(D91=3,SUMIFS(Producao!$E:$E,Producao!$A:$A,"&gt;="&amp;F91,Producao!$A:$A,"&lt;"&amp;IF(P91="",TODAY()+1,P91)),SUMIFS(Producao!$B:$B,Producao!$A:$A,"&gt;="&amp;F91,Producao!$A:$A,"&lt;"&amp;IF(P91="",TODAY()+1,P91))))))))</f>
        <v/>
      </c>
      <c r="I91" s="34">
        <f>IF(OR(A91="",E91=""),"",E91-H91)</f>
        <v/>
      </c>
      <c r="J91" s="35">
        <f>IF(OR(A91="",N(E91)&lt;=0),"",H91/E91)</f>
        <v/>
      </c>
      <c r="K91" s="32">
        <f>IF(I91="","",IF(P91&lt;&gt;"","Saiu",IF(I91&lt;0,"Além da meta",IF(J91&gt;=Regras!$B$3,"Atenção","OK"))))</f>
        <v/>
      </c>
      <c r="L91" s="32" t="n"/>
      <c r="M91">
        <f>IF(OR(J91="",K91="Saiu"),-1,J91+ROW()/1000000000)</f>
        <v/>
      </c>
      <c r="N91" s="43" t="n"/>
      <c r="O91" s="43" t="n"/>
      <c r="P91" s="44">
        <f>IF(OR(A91="",B91="Molde",F91=""),"",IF(COUNTIFS(TrocasEquip!$B$2:$B$1000,A91,TrocasEquip!$A$2:$A$1000,"&gt;="&amp;F91)=0,"",_xlfn.MINIFS(TrocasEquip!$A$2:$A$1000,TrocasEquip!$B$2:$B$1000,A91,TrocasEquip!$A$2:$A$1000,"&gt;="&amp;F91)))</f>
        <v/>
      </c>
      <c r="Q91">
        <f>IF(AND(A91&lt;&gt;"",K91&lt;&gt;"Saiu"),ROW(),"")</f>
        <v/>
      </c>
    </row>
    <row r="92">
      <c r="A92" s="38" t="n"/>
      <c r="B92" s="39" t="n"/>
      <c r="C92" s="32">
        <f>IF(B92="","",IF(B92="Molde","corridas",IF(B92="Oscilador","dias","t")))</f>
        <v/>
      </c>
      <c r="D92" s="39" t="n"/>
      <c r="E92" s="45" t="n"/>
      <c r="F92" s="46" t="n"/>
      <c r="G92" s="45" t="n"/>
      <c r="H92" s="34">
        <f>IF(A92="","",IF(C92="corridas",SUMIFS(Historico!$E:$E,Historico!$B:$B,L92,Historico!$A:$A,SUMPRODUCT(MAX((Historico!$B$2:$B$5000=L92)*Historico!$A$2:$A$5000))),N(G92)+IF(F92="",0,IF(C92="dias",MAX(0,IF(P92="",TODAY(),P92)-F92),IF(D92=2,SUMIFS(Producao!$D:$D,Producao!$A:$A,"&gt;="&amp;F92,Producao!$A:$A,"&lt;"&amp;IF(P92="",TODAY()+1,P92)),IF(D92=3,SUMIFS(Producao!$E:$E,Producao!$A:$A,"&gt;="&amp;F92,Producao!$A:$A,"&lt;"&amp;IF(P92="",TODAY()+1,P92)),SUMIFS(Producao!$B:$B,Producao!$A:$A,"&gt;="&amp;F92,Producao!$A:$A,"&lt;"&amp;IF(P92="",TODAY()+1,P92))))))))</f>
        <v/>
      </c>
      <c r="I92" s="34">
        <f>IF(OR(A92="",E92=""),"",E92-H92)</f>
        <v/>
      </c>
      <c r="J92" s="35">
        <f>IF(OR(A92="",N(E92)&lt;=0),"",H92/E92)</f>
        <v/>
      </c>
      <c r="K92" s="32">
        <f>IF(I92="","",IF(P92&lt;&gt;"","Saiu",IF(I92&lt;0,"Além da meta",IF(J92&gt;=Regras!$B$3,"Atenção","OK"))))</f>
        <v/>
      </c>
      <c r="L92" s="32" t="n"/>
      <c r="M92">
        <f>IF(OR(J92="",K92="Saiu"),-1,J92+ROW()/1000000000)</f>
        <v/>
      </c>
      <c r="N92" s="43" t="n"/>
      <c r="O92" s="43" t="n"/>
      <c r="P92" s="44">
        <f>IF(OR(A92="",B92="Molde",F92=""),"",IF(COUNTIFS(TrocasEquip!$B$2:$B$1000,A92,TrocasEquip!$A$2:$A$1000,"&gt;="&amp;F92)=0,"",_xlfn.MINIFS(TrocasEquip!$A$2:$A$1000,TrocasEquip!$B$2:$B$1000,A92,TrocasEquip!$A$2:$A$1000,"&gt;="&amp;F92)))</f>
        <v/>
      </c>
      <c r="Q92">
        <f>IF(AND(A92&lt;&gt;"",K92&lt;&gt;"Saiu"),ROW(),"")</f>
        <v/>
      </c>
    </row>
    <row r="93">
      <c r="A93" s="38" t="n"/>
      <c r="B93" s="39" t="n"/>
      <c r="C93" s="32">
        <f>IF(B93="","",IF(B93="Molde","corridas",IF(B93="Oscilador","dias","t")))</f>
        <v/>
      </c>
      <c r="D93" s="39" t="n"/>
      <c r="E93" s="45" t="n"/>
      <c r="F93" s="46" t="n"/>
      <c r="G93" s="45" t="n"/>
      <c r="H93" s="34">
        <f>IF(A93="","",IF(C93="corridas",SUMIFS(Historico!$E:$E,Historico!$B:$B,L93,Historico!$A:$A,SUMPRODUCT(MAX((Historico!$B$2:$B$5000=L93)*Historico!$A$2:$A$5000))),N(G93)+IF(F93="",0,IF(C93="dias",MAX(0,IF(P93="",TODAY(),P93)-F93),IF(D93=2,SUMIFS(Producao!$D:$D,Producao!$A:$A,"&gt;="&amp;F93,Producao!$A:$A,"&lt;"&amp;IF(P93="",TODAY()+1,P93)),IF(D93=3,SUMIFS(Producao!$E:$E,Producao!$A:$A,"&gt;="&amp;F93,Producao!$A:$A,"&lt;"&amp;IF(P93="",TODAY()+1,P93)),SUMIFS(Producao!$B:$B,Producao!$A:$A,"&gt;="&amp;F93,Producao!$A:$A,"&lt;"&amp;IF(P93="",TODAY()+1,P93))))))))</f>
        <v/>
      </c>
      <c r="I93" s="34">
        <f>IF(OR(A93="",E93=""),"",E93-H93)</f>
        <v/>
      </c>
      <c r="J93" s="35">
        <f>IF(OR(A93="",N(E93)&lt;=0),"",H93/E93)</f>
        <v/>
      </c>
      <c r="K93" s="32">
        <f>IF(I93="","",IF(P93&lt;&gt;"","Saiu",IF(I93&lt;0,"Além da meta",IF(J93&gt;=Regras!$B$3,"Atenção","OK"))))</f>
        <v/>
      </c>
      <c r="L93" s="32" t="n"/>
      <c r="M93">
        <f>IF(OR(J93="",K93="Saiu"),-1,J93+ROW()/1000000000)</f>
        <v/>
      </c>
      <c r="N93" s="43" t="n"/>
      <c r="O93" s="43" t="n"/>
      <c r="P93" s="44">
        <f>IF(OR(A93="",B93="Molde",F93=""),"",IF(COUNTIFS(TrocasEquip!$B$2:$B$1000,A93,TrocasEquip!$A$2:$A$1000,"&gt;="&amp;F93)=0,"",_xlfn.MINIFS(TrocasEquip!$A$2:$A$1000,TrocasEquip!$B$2:$B$1000,A93,TrocasEquip!$A$2:$A$1000,"&gt;="&amp;F93)))</f>
        <v/>
      </c>
      <c r="Q93">
        <f>IF(AND(A93&lt;&gt;"",K93&lt;&gt;"Saiu"),ROW(),"")</f>
        <v/>
      </c>
    </row>
    <row r="94">
      <c r="A94" s="38" t="n"/>
      <c r="B94" s="39" t="n"/>
      <c r="C94" s="32">
        <f>IF(B94="","",IF(B94="Molde","corridas",IF(B94="Oscilador","dias","t")))</f>
        <v/>
      </c>
      <c r="D94" s="39" t="n"/>
      <c r="E94" s="45" t="n"/>
      <c r="F94" s="46" t="n"/>
      <c r="G94" s="45" t="n"/>
      <c r="H94" s="34">
        <f>IF(A94="","",IF(C94="corridas",SUMIFS(Historico!$E:$E,Historico!$B:$B,L94,Historico!$A:$A,SUMPRODUCT(MAX((Historico!$B$2:$B$5000=L94)*Historico!$A$2:$A$5000))),N(G94)+IF(F94="",0,IF(C94="dias",MAX(0,IF(P94="",TODAY(),P94)-F94),IF(D94=2,SUMIFS(Producao!$D:$D,Producao!$A:$A,"&gt;="&amp;F94,Producao!$A:$A,"&lt;"&amp;IF(P94="",TODAY()+1,P94)),IF(D94=3,SUMIFS(Producao!$E:$E,Producao!$A:$A,"&gt;="&amp;F94,Producao!$A:$A,"&lt;"&amp;IF(P94="",TODAY()+1,P94)),SUMIFS(Producao!$B:$B,Producao!$A:$A,"&gt;="&amp;F94,Producao!$A:$A,"&lt;"&amp;IF(P94="",TODAY()+1,P94))))))))</f>
        <v/>
      </c>
      <c r="I94" s="34">
        <f>IF(OR(A94="",E94=""),"",E94-H94)</f>
        <v/>
      </c>
      <c r="J94" s="35">
        <f>IF(OR(A94="",N(E94)&lt;=0),"",H94/E94)</f>
        <v/>
      </c>
      <c r="K94" s="32">
        <f>IF(I94="","",IF(P94&lt;&gt;"","Saiu",IF(I94&lt;0,"Além da meta",IF(J94&gt;=Regras!$B$3,"Atenção","OK"))))</f>
        <v/>
      </c>
      <c r="L94" s="32" t="n"/>
      <c r="M94">
        <f>IF(OR(J94="",K94="Saiu"),-1,J94+ROW()/1000000000)</f>
        <v/>
      </c>
      <c r="N94" s="43" t="n"/>
      <c r="O94" s="43" t="n"/>
      <c r="P94" s="44">
        <f>IF(OR(A94="",B94="Molde",F94=""),"",IF(COUNTIFS(TrocasEquip!$B$2:$B$1000,A94,TrocasEquip!$A$2:$A$1000,"&gt;="&amp;F94)=0,"",_xlfn.MINIFS(TrocasEquip!$A$2:$A$1000,TrocasEquip!$B$2:$B$1000,A94,TrocasEquip!$A$2:$A$1000,"&gt;="&amp;F94)))</f>
        <v/>
      </c>
      <c r="Q94">
        <f>IF(AND(A94&lt;&gt;"",K94&lt;&gt;"Saiu"),ROW(),"")</f>
        <v/>
      </c>
    </row>
    <row r="95">
      <c r="A95" s="38" t="n"/>
      <c r="B95" s="39" t="n"/>
      <c r="C95" s="32">
        <f>IF(B95="","",IF(B95="Molde","corridas",IF(B95="Oscilador","dias","t")))</f>
        <v/>
      </c>
      <c r="D95" s="39" t="n"/>
      <c r="E95" s="45" t="n"/>
      <c r="F95" s="46" t="n"/>
      <c r="G95" s="45" t="n"/>
      <c r="H95" s="34">
        <f>IF(A95="","",IF(C95="corridas",SUMIFS(Historico!$E:$E,Historico!$B:$B,L95,Historico!$A:$A,SUMPRODUCT(MAX((Historico!$B$2:$B$5000=L95)*Historico!$A$2:$A$5000))),N(G95)+IF(F95="",0,IF(C95="dias",MAX(0,IF(P95="",TODAY(),P95)-F95),IF(D95=2,SUMIFS(Producao!$D:$D,Producao!$A:$A,"&gt;="&amp;F95,Producao!$A:$A,"&lt;"&amp;IF(P95="",TODAY()+1,P95)),IF(D95=3,SUMIFS(Producao!$E:$E,Producao!$A:$A,"&gt;="&amp;F95,Producao!$A:$A,"&lt;"&amp;IF(P95="",TODAY()+1,P95)),SUMIFS(Producao!$B:$B,Producao!$A:$A,"&gt;="&amp;F95,Producao!$A:$A,"&lt;"&amp;IF(P95="",TODAY()+1,P95))))))))</f>
        <v/>
      </c>
      <c r="I95" s="34">
        <f>IF(OR(A95="",E95=""),"",E95-H95)</f>
        <v/>
      </c>
      <c r="J95" s="35">
        <f>IF(OR(A95="",N(E95)&lt;=0),"",H95/E95)</f>
        <v/>
      </c>
      <c r="K95" s="32">
        <f>IF(I95="","",IF(P95&lt;&gt;"","Saiu",IF(I95&lt;0,"Além da meta",IF(J95&gt;=Regras!$B$3,"Atenção","OK"))))</f>
        <v/>
      </c>
      <c r="L95" s="32" t="n"/>
      <c r="M95">
        <f>IF(OR(J95="",K95="Saiu"),-1,J95+ROW()/1000000000)</f>
        <v/>
      </c>
      <c r="N95" s="43" t="n"/>
      <c r="O95" s="43" t="n"/>
      <c r="P95" s="44">
        <f>IF(OR(A95="",B95="Molde",F95=""),"",IF(COUNTIFS(TrocasEquip!$B$2:$B$1000,A95,TrocasEquip!$A$2:$A$1000,"&gt;="&amp;F95)=0,"",_xlfn.MINIFS(TrocasEquip!$A$2:$A$1000,TrocasEquip!$B$2:$B$1000,A95,TrocasEquip!$A$2:$A$1000,"&gt;="&amp;F95)))</f>
        <v/>
      </c>
      <c r="Q95">
        <f>IF(AND(A95&lt;&gt;"",K95&lt;&gt;"Saiu"),ROW(),"")</f>
        <v/>
      </c>
    </row>
    <row r="96">
      <c r="A96" s="38" t="n"/>
      <c r="B96" s="39" t="n"/>
      <c r="C96" s="32">
        <f>IF(B96="","",IF(B96="Molde","corridas",IF(B96="Oscilador","dias","t")))</f>
        <v/>
      </c>
      <c r="D96" s="39" t="n"/>
      <c r="E96" s="45" t="n"/>
      <c r="F96" s="46" t="n"/>
      <c r="G96" s="45" t="n"/>
      <c r="H96" s="34">
        <f>IF(A96="","",IF(C96="corridas",SUMIFS(Historico!$E:$E,Historico!$B:$B,L96,Historico!$A:$A,SUMPRODUCT(MAX((Historico!$B$2:$B$5000=L96)*Historico!$A$2:$A$5000))),N(G96)+IF(F96="",0,IF(C96="dias",MAX(0,IF(P96="",TODAY(),P96)-F96),IF(D96=2,SUMIFS(Producao!$D:$D,Producao!$A:$A,"&gt;="&amp;F96,Producao!$A:$A,"&lt;"&amp;IF(P96="",TODAY()+1,P96)),IF(D96=3,SUMIFS(Producao!$E:$E,Producao!$A:$A,"&gt;="&amp;F96,Producao!$A:$A,"&lt;"&amp;IF(P96="",TODAY()+1,P96)),SUMIFS(Producao!$B:$B,Producao!$A:$A,"&gt;="&amp;F96,Producao!$A:$A,"&lt;"&amp;IF(P96="",TODAY()+1,P96))))))))</f>
        <v/>
      </c>
      <c r="I96" s="34">
        <f>IF(OR(A96="",E96=""),"",E96-H96)</f>
        <v/>
      </c>
      <c r="J96" s="35">
        <f>IF(OR(A96="",N(E96)&lt;=0),"",H96/E96)</f>
        <v/>
      </c>
      <c r="K96" s="32">
        <f>IF(I96="","",IF(P96&lt;&gt;"","Saiu",IF(I96&lt;0,"Além da meta",IF(J96&gt;=Regras!$B$3,"Atenção","OK"))))</f>
        <v/>
      </c>
      <c r="L96" s="32" t="n"/>
      <c r="M96">
        <f>IF(OR(J96="",K96="Saiu"),-1,J96+ROW()/1000000000)</f>
        <v/>
      </c>
      <c r="N96" s="43" t="n"/>
      <c r="O96" s="43" t="n"/>
      <c r="P96" s="44">
        <f>IF(OR(A96="",B96="Molde",F96=""),"",IF(COUNTIFS(TrocasEquip!$B$2:$B$1000,A96,TrocasEquip!$A$2:$A$1000,"&gt;="&amp;F96)=0,"",_xlfn.MINIFS(TrocasEquip!$A$2:$A$1000,TrocasEquip!$B$2:$B$1000,A96,TrocasEquip!$A$2:$A$1000,"&gt;="&amp;F96)))</f>
        <v/>
      </c>
      <c r="Q96">
        <f>IF(AND(A96&lt;&gt;"",K96&lt;&gt;"Saiu"),ROW(),"")</f>
        <v/>
      </c>
    </row>
    <row r="97">
      <c r="A97" s="38" t="n"/>
      <c r="B97" s="39" t="n"/>
      <c r="C97" s="32">
        <f>IF(B97="","",IF(B97="Molde","corridas",IF(B97="Oscilador","dias","t")))</f>
        <v/>
      </c>
      <c r="D97" s="39" t="n"/>
      <c r="E97" s="45" t="n"/>
      <c r="F97" s="46" t="n"/>
      <c r="G97" s="45" t="n"/>
      <c r="H97" s="34">
        <f>IF(A97="","",IF(C97="corridas",SUMIFS(Historico!$E:$E,Historico!$B:$B,L97,Historico!$A:$A,SUMPRODUCT(MAX((Historico!$B$2:$B$5000=L97)*Historico!$A$2:$A$5000))),N(G97)+IF(F97="",0,IF(C97="dias",MAX(0,IF(P97="",TODAY(),P97)-F97),IF(D97=2,SUMIFS(Producao!$D:$D,Producao!$A:$A,"&gt;="&amp;F97,Producao!$A:$A,"&lt;"&amp;IF(P97="",TODAY()+1,P97)),IF(D97=3,SUMIFS(Producao!$E:$E,Producao!$A:$A,"&gt;="&amp;F97,Producao!$A:$A,"&lt;"&amp;IF(P97="",TODAY()+1,P97)),SUMIFS(Producao!$B:$B,Producao!$A:$A,"&gt;="&amp;F97,Producao!$A:$A,"&lt;"&amp;IF(P97="",TODAY()+1,P97))))))))</f>
        <v/>
      </c>
      <c r="I97" s="34">
        <f>IF(OR(A97="",E97=""),"",E97-H97)</f>
        <v/>
      </c>
      <c r="J97" s="35">
        <f>IF(OR(A97="",N(E97)&lt;=0),"",H97/E97)</f>
        <v/>
      </c>
      <c r="K97" s="32">
        <f>IF(I97="","",IF(P97&lt;&gt;"","Saiu",IF(I97&lt;0,"Além da meta",IF(J97&gt;=Regras!$B$3,"Atenção","OK"))))</f>
        <v/>
      </c>
      <c r="L97" s="32" t="n"/>
      <c r="M97">
        <f>IF(OR(J97="",K97="Saiu"),-1,J97+ROW()/1000000000)</f>
        <v/>
      </c>
      <c r="N97" s="43" t="n"/>
      <c r="O97" s="43" t="n"/>
      <c r="P97" s="44">
        <f>IF(OR(A97="",B97="Molde",F97=""),"",IF(COUNTIFS(TrocasEquip!$B$2:$B$1000,A97,TrocasEquip!$A$2:$A$1000,"&gt;="&amp;F97)=0,"",_xlfn.MINIFS(TrocasEquip!$A$2:$A$1000,TrocasEquip!$B$2:$B$1000,A97,TrocasEquip!$A$2:$A$1000,"&gt;="&amp;F97)))</f>
        <v/>
      </c>
      <c r="Q97">
        <f>IF(AND(A97&lt;&gt;"",K97&lt;&gt;"Saiu"),ROW(),"")</f>
        <v/>
      </c>
    </row>
    <row r="98">
      <c r="A98" s="38" t="n"/>
      <c r="B98" s="39" t="n"/>
      <c r="C98" s="32">
        <f>IF(B98="","",IF(B98="Molde","corridas",IF(B98="Oscilador","dias","t")))</f>
        <v/>
      </c>
      <c r="D98" s="39" t="n"/>
      <c r="E98" s="45" t="n"/>
      <c r="F98" s="46" t="n"/>
      <c r="G98" s="45" t="n"/>
      <c r="H98" s="34">
        <f>IF(A98="","",IF(C98="corridas",SUMIFS(Historico!$E:$E,Historico!$B:$B,L98,Historico!$A:$A,SUMPRODUCT(MAX((Historico!$B$2:$B$5000=L98)*Historico!$A$2:$A$5000))),N(G98)+IF(F98="",0,IF(C98="dias",MAX(0,IF(P98="",TODAY(),P98)-F98),IF(D98=2,SUMIFS(Producao!$D:$D,Producao!$A:$A,"&gt;="&amp;F98,Producao!$A:$A,"&lt;"&amp;IF(P98="",TODAY()+1,P98)),IF(D98=3,SUMIFS(Producao!$E:$E,Producao!$A:$A,"&gt;="&amp;F98,Producao!$A:$A,"&lt;"&amp;IF(P98="",TODAY()+1,P98)),SUMIFS(Producao!$B:$B,Producao!$A:$A,"&gt;="&amp;F98,Producao!$A:$A,"&lt;"&amp;IF(P98="",TODAY()+1,P98))))))))</f>
        <v/>
      </c>
      <c r="I98" s="34">
        <f>IF(OR(A98="",E98=""),"",E98-H98)</f>
        <v/>
      </c>
      <c r="J98" s="35">
        <f>IF(OR(A98="",N(E98)&lt;=0),"",H98/E98)</f>
        <v/>
      </c>
      <c r="K98" s="32">
        <f>IF(I98="","",IF(P98&lt;&gt;"","Saiu",IF(I98&lt;0,"Além da meta",IF(J98&gt;=Regras!$B$3,"Atenção","OK"))))</f>
        <v/>
      </c>
      <c r="L98" s="32" t="n"/>
      <c r="M98">
        <f>IF(OR(J98="",K98="Saiu"),-1,J98+ROW()/1000000000)</f>
        <v/>
      </c>
      <c r="N98" s="43" t="n"/>
      <c r="O98" s="43" t="n"/>
      <c r="P98" s="44">
        <f>IF(OR(A98="",B98="Molde",F98=""),"",IF(COUNTIFS(TrocasEquip!$B$2:$B$1000,A98,TrocasEquip!$A$2:$A$1000,"&gt;="&amp;F98)=0,"",_xlfn.MINIFS(TrocasEquip!$A$2:$A$1000,TrocasEquip!$B$2:$B$1000,A98,TrocasEquip!$A$2:$A$1000,"&gt;="&amp;F98)))</f>
        <v/>
      </c>
      <c r="Q98">
        <f>IF(AND(A98&lt;&gt;"",K98&lt;&gt;"Saiu"),ROW(),"")</f>
        <v/>
      </c>
    </row>
    <row r="99">
      <c r="A99" s="38" t="n"/>
      <c r="B99" s="39" t="n"/>
      <c r="C99" s="32">
        <f>IF(B99="","",IF(B99="Molde","corridas",IF(B99="Oscilador","dias","t")))</f>
        <v/>
      </c>
      <c r="D99" s="39" t="n"/>
      <c r="E99" s="45" t="n"/>
      <c r="F99" s="46" t="n"/>
      <c r="G99" s="45" t="n"/>
      <c r="H99" s="34">
        <f>IF(A99="","",IF(C99="corridas",SUMIFS(Historico!$E:$E,Historico!$B:$B,L99,Historico!$A:$A,SUMPRODUCT(MAX((Historico!$B$2:$B$5000=L99)*Historico!$A$2:$A$5000))),N(G99)+IF(F99="",0,IF(C99="dias",MAX(0,IF(P99="",TODAY(),P99)-F99),IF(D99=2,SUMIFS(Producao!$D:$D,Producao!$A:$A,"&gt;="&amp;F99,Producao!$A:$A,"&lt;"&amp;IF(P99="",TODAY()+1,P99)),IF(D99=3,SUMIFS(Producao!$E:$E,Producao!$A:$A,"&gt;="&amp;F99,Producao!$A:$A,"&lt;"&amp;IF(P99="",TODAY()+1,P99)),SUMIFS(Producao!$B:$B,Producao!$A:$A,"&gt;="&amp;F99,Producao!$A:$A,"&lt;"&amp;IF(P99="",TODAY()+1,P99))))))))</f>
        <v/>
      </c>
      <c r="I99" s="34">
        <f>IF(OR(A99="",E99=""),"",E99-H99)</f>
        <v/>
      </c>
      <c r="J99" s="35">
        <f>IF(OR(A99="",N(E99)&lt;=0),"",H99/E99)</f>
        <v/>
      </c>
      <c r="K99" s="32">
        <f>IF(I99="","",IF(P99&lt;&gt;"","Saiu",IF(I99&lt;0,"Além da meta",IF(J99&gt;=Regras!$B$3,"Atenção","OK"))))</f>
        <v/>
      </c>
      <c r="L99" s="32" t="n"/>
      <c r="M99">
        <f>IF(OR(J99="",K99="Saiu"),-1,J99+ROW()/1000000000)</f>
        <v/>
      </c>
      <c r="N99" s="43" t="n"/>
      <c r="O99" s="43" t="n"/>
      <c r="P99" s="44">
        <f>IF(OR(A99="",B99="Molde",F99=""),"",IF(COUNTIFS(TrocasEquip!$B$2:$B$1000,A99,TrocasEquip!$A$2:$A$1000,"&gt;="&amp;F99)=0,"",_xlfn.MINIFS(TrocasEquip!$A$2:$A$1000,TrocasEquip!$B$2:$B$1000,A99,TrocasEquip!$A$2:$A$1000,"&gt;="&amp;F99)))</f>
        <v/>
      </c>
      <c r="Q99">
        <f>IF(AND(A99&lt;&gt;"",K99&lt;&gt;"Saiu"),ROW(),"")</f>
        <v/>
      </c>
    </row>
    <row r="100">
      <c r="A100" s="38" t="n"/>
      <c r="B100" s="39" t="n"/>
      <c r="C100" s="32">
        <f>IF(B100="","",IF(B100="Molde","corridas",IF(B100="Oscilador","dias","t")))</f>
        <v/>
      </c>
      <c r="D100" s="39" t="n"/>
      <c r="E100" s="45" t="n"/>
      <c r="F100" s="46" t="n"/>
      <c r="G100" s="45" t="n"/>
      <c r="H100" s="34">
        <f>IF(A100="","",IF(C100="corridas",SUMIFS(Historico!$E:$E,Historico!$B:$B,L100,Historico!$A:$A,SUMPRODUCT(MAX((Historico!$B$2:$B$5000=L100)*Historico!$A$2:$A$5000))),N(G100)+IF(F100="",0,IF(C100="dias",MAX(0,IF(P100="",TODAY(),P100)-F100),IF(D100=2,SUMIFS(Producao!$D:$D,Producao!$A:$A,"&gt;="&amp;F100,Producao!$A:$A,"&lt;"&amp;IF(P100="",TODAY()+1,P100)),IF(D100=3,SUMIFS(Producao!$E:$E,Producao!$A:$A,"&gt;="&amp;F100,Producao!$A:$A,"&lt;"&amp;IF(P100="",TODAY()+1,P100)),SUMIFS(Producao!$B:$B,Producao!$A:$A,"&gt;="&amp;F100,Producao!$A:$A,"&lt;"&amp;IF(P100="",TODAY()+1,P100))))))))</f>
        <v/>
      </c>
      <c r="I100" s="34">
        <f>IF(OR(A100="",E100=""),"",E100-H100)</f>
        <v/>
      </c>
      <c r="J100" s="35">
        <f>IF(OR(A100="",N(E100)&lt;=0),"",H100/E100)</f>
        <v/>
      </c>
      <c r="K100" s="32">
        <f>IF(I100="","",IF(P100&lt;&gt;"","Saiu",IF(I100&lt;0,"Além da meta",IF(J100&gt;=Regras!$B$3,"Atenção","OK"))))</f>
        <v/>
      </c>
      <c r="L100" s="32" t="n"/>
      <c r="M100">
        <f>IF(OR(J100="",K100="Saiu"),-1,J100+ROW()/1000000000)</f>
        <v/>
      </c>
      <c r="N100" s="43" t="n"/>
      <c r="O100" s="43" t="n"/>
      <c r="P100" s="44">
        <f>IF(OR(A100="",B100="Molde",F100=""),"",IF(COUNTIFS(TrocasEquip!$B$2:$B$1000,A100,TrocasEquip!$A$2:$A$1000,"&gt;="&amp;F100)=0,"",_xlfn.MINIFS(TrocasEquip!$A$2:$A$1000,TrocasEquip!$B$2:$B$1000,A100,TrocasEquip!$A$2:$A$1000,"&gt;="&amp;F100)))</f>
        <v/>
      </c>
      <c r="Q100">
        <f>IF(AND(A100&lt;&gt;"",K100&lt;&gt;"Saiu"),ROW(),"")</f>
        <v/>
      </c>
    </row>
    <row r="101">
      <c r="A101" s="38" t="n"/>
      <c r="B101" s="39" t="n"/>
      <c r="C101" s="32">
        <f>IF(B101="","",IF(B101="Molde","corridas",IF(B101="Oscilador","dias","t")))</f>
        <v/>
      </c>
      <c r="D101" s="39" t="n"/>
      <c r="E101" s="45" t="n"/>
      <c r="F101" s="46" t="n"/>
      <c r="G101" s="45" t="n"/>
      <c r="H101" s="34">
        <f>IF(A101="","",IF(C101="corridas",SUMIFS(Historico!$E:$E,Historico!$B:$B,L101,Historico!$A:$A,SUMPRODUCT(MAX((Historico!$B$2:$B$5000=L101)*Historico!$A$2:$A$5000))),N(G101)+IF(F101="",0,IF(C101="dias",MAX(0,IF(P101="",TODAY(),P101)-F101),IF(D101=2,SUMIFS(Producao!$D:$D,Producao!$A:$A,"&gt;="&amp;F101,Producao!$A:$A,"&lt;"&amp;IF(P101="",TODAY()+1,P101)),IF(D101=3,SUMIFS(Producao!$E:$E,Producao!$A:$A,"&gt;="&amp;F101,Producao!$A:$A,"&lt;"&amp;IF(P101="",TODAY()+1,P101)),SUMIFS(Producao!$B:$B,Producao!$A:$A,"&gt;="&amp;F101,Producao!$A:$A,"&lt;"&amp;IF(P101="",TODAY()+1,P101))))))))</f>
        <v/>
      </c>
      <c r="I101" s="34">
        <f>IF(OR(A101="",E101=""),"",E101-H101)</f>
        <v/>
      </c>
      <c r="J101" s="35">
        <f>IF(OR(A101="",N(E101)&lt;=0),"",H101/E101)</f>
        <v/>
      </c>
      <c r="K101" s="32">
        <f>IF(I101="","",IF(P101&lt;&gt;"","Saiu",IF(I101&lt;0,"Além da meta",IF(J101&gt;=Regras!$B$3,"Atenção","OK"))))</f>
        <v/>
      </c>
      <c r="L101" s="32" t="n"/>
      <c r="M101">
        <f>IF(OR(J101="",K101="Saiu"),-1,J101+ROW()/1000000000)</f>
        <v/>
      </c>
      <c r="N101" s="43" t="n"/>
      <c r="O101" s="43" t="n"/>
      <c r="P101" s="44">
        <f>IF(OR(A101="",B101="Molde",F101=""),"",IF(COUNTIFS(TrocasEquip!$B$2:$B$1000,A101,TrocasEquip!$A$2:$A$1000,"&gt;="&amp;F101)=0,"",_xlfn.MINIFS(TrocasEquip!$A$2:$A$1000,TrocasEquip!$B$2:$B$1000,A101,TrocasEquip!$A$2:$A$1000,"&gt;="&amp;F101)))</f>
        <v/>
      </c>
      <c r="Q101">
        <f>IF(AND(A101&lt;&gt;"",K101&lt;&gt;"Saiu"),ROW(),"")</f>
        <v/>
      </c>
    </row>
    <row r="102">
      <c r="A102" s="38" t="n"/>
      <c r="B102" s="39" t="n"/>
      <c r="C102" s="32">
        <f>IF(B102="","",IF(B102="Molde","corridas",IF(B102="Oscilador","dias","t")))</f>
        <v/>
      </c>
      <c r="D102" s="39" t="n"/>
      <c r="E102" s="45" t="n"/>
      <c r="F102" s="46" t="n"/>
      <c r="G102" s="45" t="n"/>
      <c r="H102" s="34">
        <f>IF(A102="","",IF(C102="corridas",SUMIFS(Historico!$E:$E,Historico!$B:$B,L102,Historico!$A:$A,SUMPRODUCT(MAX((Historico!$B$2:$B$5000=L102)*Historico!$A$2:$A$5000))),N(G102)+IF(F102="",0,IF(C102="dias",MAX(0,IF(P102="",TODAY(),P102)-F102),IF(D102=2,SUMIFS(Producao!$D:$D,Producao!$A:$A,"&gt;="&amp;F102,Producao!$A:$A,"&lt;"&amp;IF(P102="",TODAY()+1,P102)),IF(D102=3,SUMIFS(Producao!$E:$E,Producao!$A:$A,"&gt;="&amp;F102,Producao!$A:$A,"&lt;"&amp;IF(P102="",TODAY()+1,P102)),SUMIFS(Producao!$B:$B,Producao!$A:$A,"&gt;="&amp;F102,Producao!$A:$A,"&lt;"&amp;IF(P102="",TODAY()+1,P102))))))))</f>
        <v/>
      </c>
      <c r="I102" s="34">
        <f>IF(OR(A102="",E102=""),"",E102-H102)</f>
        <v/>
      </c>
      <c r="J102" s="35">
        <f>IF(OR(A102="",N(E102)&lt;=0),"",H102/E102)</f>
        <v/>
      </c>
      <c r="K102" s="32">
        <f>IF(I102="","",IF(P102&lt;&gt;"","Saiu",IF(I102&lt;0,"Além da meta",IF(J102&gt;=Regras!$B$3,"Atenção","OK"))))</f>
        <v/>
      </c>
      <c r="L102" s="32" t="n"/>
      <c r="M102">
        <f>IF(OR(J102="",K102="Saiu"),-1,J102+ROW()/1000000000)</f>
        <v/>
      </c>
      <c r="N102" s="43" t="n"/>
      <c r="O102" s="43" t="n"/>
      <c r="P102" s="44">
        <f>IF(OR(A102="",B102="Molde",F102=""),"",IF(COUNTIFS(TrocasEquip!$B$2:$B$1000,A102,TrocasEquip!$A$2:$A$1000,"&gt;="&amp;F102)=0,"",_xlfn.MINIFS(TrocasEquip!$A$2:$A$1000,TrocasEquip!$B$2:$B$1000,A102,TrocasEquip!$A$2:$A$1000,"&gt;="&amp;F102)))</f>
        <v/>
      </c>
      <c r="Q102">
        <f>IF(AND(A102&lt;&gt;"",K102&lt;&gt;"Saiu"),ROW(),"")</f>
        <v/>
      </c>
    </row>
    <row r="103">
      <c r="A103" s="38" t="n"/>
      <c r="B103" s="39" t="n"/>
      <c r="C103" s="32">
        <f>IF(B103="","",IF(B103="Molde","corridas",IF(B103="Oscilador","dias","t")))</f>
        <v/>
      </c>
      <c r="D103" s="39" t="n"/>
      <c r="E103" s="45" t="n"/>
      <c r="F103" s="46" t="n"/>
      <c r="G103" s="45" t="n"/>
      <c r="H103" s="34">
        <f>IF(A103="","",IF(C103="corridas",SUMIFS(Historico!$E:$E,Historico!$B:$B,L103,Historico!$A:$A,SUMPRODUCT(MAX((Historico!$B$2:$B$5000=L103)*Historico!$A$2:$A$5000))),N(G103)+IF(F103="",0,IF(C103="dias",MAX(0,IF(P103="",TODAY(),P103)-F103),IF(D103=2,SUMIFS(Producao!$D:$D,Producao!$A:$A,"&gt;="&amp;F103,Producao!$A:$A,"&lt;"&amp;IF(P103="",TODAY()+1,P103)),IF(D103=3,SUMIFS(Producao!$E:$E,Producao!$A:$A,"&gt;="&amp;F103,Producao!$A:$A,"&lt;"&amp;IF(P103="",TODAY()+1,P103)),SUMIFS(Producao!$B:$B,Producao!$A:$A,"&gt;="&amp;F103,Producao!$A:$A,"&lt;"&amp;IF(P103="",TODAY()+1,P103))))))))</f>
        <v/>
      </c>
      <c r="I103" s="34">
        <f>IF(OR(A103="",E103=""),"",E103-H103)</f>
        <v/>
      </c>
      <c r="J103" s="35">
        <f>IF(OR(A103="",N(E103)&lt;=0),"",H103/E103)</f>
        <v/>
      </c>
      <c r="K103" s="32">
        <f>IF(I103="","",IF(P103&lt;&gt;"","Saiu",IF(I103&lt;0,"Além da meta",IF(J103&gt;=Regras!$B$3,"Atenção","OK"))))</f>
        <v/>
      </c>
      <c r="L103" s="32" t="n"/>
      <c r="M103">
        <f>IF(OR(J103="",K103="Saiu"),-1,J103+ROW()/1000000000)</f>
        <v/>
      </c>
      <c r="N103" s="43" t="n"/>
      <c r="O103" s="43" t="n"/>
      <c r="P103" s="44">
        <f>IF(OR(A103="",B103="Molde",F103=""),"",IF(COUNTIFS(TrocasEquip!$B$2:$B$1000,A103,TrocasEquip!$A$2:$A$1000,"&gt;="&amp;F103)=0,"",_xlfn.MINIFS(TrocasEquip!$A$2:$A$1000,TrocasEquip!$B$2:$B$1000,A103,TrocasEquip!$A$2:$A$1000,"&gt;="&amp;F103)))</f>
        <v/>
      </c>
      <c r="Q103">
        <f>IF(AND(A103&lt;&gt;"",K103&lt;&gt;"Saiu"),ROW(),"")</f>
        <v/>
      </c>
    </row>
    <row r="104">
      <c r="A104" s="38" t="n"/>
      <c r="B104" s="39" t="n"/>
      <c r="C104" s="32">
        <f>IF(B104="","",IF(B104="Molde","corridas",IF(B104="Oscilador","dias","t")))</f>
        <v/>
      </c>
      <c r="D104" s="39" t="n"/>
      <c r="E104" s="45" t="n"/>
      <c r="F104" s="46" t="n"/>
      <c r="G104" s="45" t="n"/>
      <c r="H104" s="34">
        <f>IF(A104="","",IF(C104="corridas",SUMIFS(Historico!$E:$E,Historico!$B:$B,L104,Historico!$A:$A,SUMPRODUCT(MAX((Historico!$B$2:$B$5000=L104)*Historico!$A$2:$A$5000))),N(G104)+IF(F104="",0,IF(C104="dias",MAX(0,IF(P104="",TODAY(),P104)-F104),IF(D104=2,SUMIFS(Producao!$D:$D,Producao!$A:$A,"&gt;="&amp;F104,Producao!$A:$A,"&lt;"&amp;IF(P104="",TODAY()+1,P104)),IF(D104=3,SUMIFS(Producao!$E:$E,Producao!$A:$A,"&gt;="&amp;F104,Producao!$A:$A,"&lt;"&amp;IF(P104="",TODAY()+1,P104)),SUMIFS(Producao!$B:$B,Producao!$A:$A,"&gt;="&amp;F104,Producao!$A:$A,"&lt;"&amp;IF(P104="",TODAY()+1,P104))))))))</f>
        <v/>
      </c>
      <c r="I104" s="34">
        <f>IF(OR(A104="",E104=""),"",E104-H104)</f>
        <v/>
      </c>
      <c r="J104" s="35">
        <f>IF(OR(A104="",N(E104)&lt;=0),"",H104/E104)</f>
        <v/>
      </c>
      <c r="K104" s="32">
        <f>IF(I104="","",IF(P104&lt;&gt;"","Saiu",IF(I104&lt;0,"Além da meta",IF(J104&gt;=Regras!$B$3,"Atenção","OK"))))</f>
        <v/>
      </c>
      <c r="L104" s="32" t="n"/>
      <c r="M104">
        <f>IF(OR(J104="",K104="Saiu"),-1,J104+ROW()/1000000000)</f>
        <v/>
      </c>
      <c r="N104" s="43" t="n"/>
      <c r="O104" s="43" t="n"/>
      <c r="P104" s="44">
        <f>IF(OR(A104="",B104="Molde",F104=""),"",IF(COUNTIFS(TrocasEquip!$B$2:$B$1000,A104,TrocasEquip!$A$2:$A$1000,"&gt;="&amp;F104)=0,"",_xlfn.MINIFS(TrocasEquip!$A$2:$A$1000,TrocasEquip!$B$2:$B$1000,A104,TrocasEquip!$A$2:$A$1000,"&gt;="&amp;F104)))</f>
        <v/>
      </c>
      <c r="Q104">
        <f>IF(AND(A104&lt;&gt;"",K104&lt;&gt;"Saiu"),ROW(),"")</f>
        <v/>
      </c>
    </row>
    <row r="105">
      <c r="A105" s="38" t="n"/>
      <c r="B105" s="39" t="n"/>
      <c r="C105" s="32">
        <f>IF(B105="","",IF(B105="Molde","corridas",IF(B105="Oscilador","dias","t")))</f>
        <v/>
      </c>
      <c r="D105" s="39" t="n"/>
      <c r="E105" s="45" t="n"/>
      <c r="F105" s="46" t="n"/>
      <c r="G105" s="45" t="n"/>
      <c r="H105" s="34">
        <f>IF(A105="","",IF(C105="corridas",SUMIFS(Historico!$E:$E,Historico!$B:$B,L105,Historico!$A:$A,SUMPRODUCT(MAX((Historico!$B$2:$B$5000=L105)*Historico!$A$2:$A$5000))),N(G105)+IF(F105="",0,IF(C105="dias",MAX(0,IF(P105="",TODAY(),P105)-F105),IF(D105=2,SUMIFS(Producao!$D:$D,Producao!$A:$A,"&gt;="&amp;F105,Producao!$A:$A,"&lt;"&amp;IF(P105="",TODAY()+1,P105)),IF(D105=3,SUMIFS(Producao!$E:$E,Producao!$A:$A,"&gt;="&amp;F105,Producao!$A:$A,"&lt;"&amp;IF(P105="",TODAY()+1,P105)),SUMIFS(Producao!$B:$B,Producao!$A:$A,"&gt;="&amp;F105,Producao!$A:$A,"&lt;"&amp;IF(P105="",TODAY()+1,P105))))))))</f>
        <v/>
      </c>
      <c r="I105" s="34">
        <f>IF(OR(A105="",E105=""),"",E105-H105)</f>
        <v/>
      </c>
      <c r="J105" s="35">
        <f>IF(OR(A105="",N(E105)&lt;=0),"",H105/E105)</f>
        <v/>
      </c>
      <c r="K105" s="32">
        <f>IF(I105="","",IF(P105&lt;&gt;"","Saiu",IF(I105&lt;0,"Além da meta",IF(J105&gt;=Regras!$B$3,"Atenção","OK"))))</f>
        <v/>
      </c>
      <c r="L105" s="32" t="n"/>
      <c r="M105">
        <f>IF(OR(J105="",K105="Saiu"),-1,J105+ROW()/1000000000)</f>
        <v/>
      </c>
      <c r="N105" s="43" t="n"/>
      <c r="O105" s="43" t="n"/>
      <c r="P105" s="44">
        <f>IF(OR(A105="",B105="Molde",F105=""),"",IF(COUNTIFS(TrocasEquip!$B$2:$B$1000,A105,TrocasEquip!$A$2:$A$1000,"&gt;="&amp;F105)=0,"",_xlfn.MINIFS(TrocasEquip!$A$2:$A$1000,TrocasEquip!$B$2:$B$1000,A105,TrocasEquip!$A$2:$A$1000,"&gt;="&amp;F105)))</f>
        <v/>
      </c>
      <c r="Q105">
        <f>IF(AND(A105&lt;&gt;"",K105&lt;&gt;"Saiu"),ROW(),"")</f>
        <v/>
      </c>
    </row>
    <row r="106">
      <c r="A106" s="38" t="n"/>
      <c r="B106" s="39" t="n"/>
      <c r="C106" s="32">
        <f>IF(B106="","",IF(B106="Molde","corridas",IF(B106="Oscilador","dias","t")))</f>
        <v/>
      </c>
      <c r="D106" s="39" t="n"/>
      <c r="E106" s="45" t="n"/>
      <c r="F106" s="46" t="n"/>
      <c r="G106" s="45" t="n"/>
      <c r="H106" s="34">
        <f>IF(A106="","",IF(C106="corridas",SUMIFS(Historico!$E:$E,Historico!$B:$B,L106,Historico!$A:$A,SUMPRODUCT(MAX((Historico!$B$2:$B$5000=L106)*Historico!$A$2:$A$5000))),N(G106)+IF(F106="",0,IF(C106="dias",MAX(0,IF(P106="",TODAY(),P106)-F106),IF(D106=2,SUMIFS(Producao!$D:$D,Producao!$A:$A,"&gt;="&amp;F106,Producao!$A:$A,"&lt;"&amp;IF(P106="",TODAY()+1,P106)),IF(D106=3,SUMIFS(Producao!$E:$E,Producao!$A:$A,"&gt;="&amp;F106,Producao!$A:$A,"&lt;"&amp;IF(P106="",TODAY()+1,P106)),SUMIFS(Producao!$B:$B,Producao!$A:$A,"&gt;="&amp;F106,Producao!$A:$A,"&lt;"&amp;IF(P106="",TODAY()+1,P106))))))))</f>
        <v/>
      </c>
      <c r="I106" s="34">
        <f>IF(OR(A106="",E106=""),"",E106-H106)</f>
        <v/>
      </c>
      <c r="J106" s="35">
        <f>IF(OR(A106="",N(E106)&lt;=0),"",H106/E106)</f>
        <v/>
      </c>
      <c r="K106" s="32">
        <f>IF(I106="","",IF(P106&lt;&gt;"","Saiu",IF(I106&lt;0,"Além da meta",IF(J106&gt;=Regras!$B$3,"Atenção","OK"))))</f>
        <v/>
      </c>
      <c r="L106" s="32" t="n"/>
      <c r="M106">
        <f>IF(OR(J106="",K106="Saiu"),-1,J106+ROW()/1000000000)</f>
        <v/>
      </c>
      <c r="N106" s="43" t="n"/>
      <c r="O106" s="43" t="n"/>
      <c r="P106" s="44">
        <f>IF(OR(A106="",B106="Molde",F106=""),"",IF(COUNTIFS(TrocasEquip!$B$2:$B$1000,A106,TrocasEquip!$A$2:$A$1000,"&gt;="&amp;F106)=0,"",_xlfn.MINIFS(TrocasEquip!$A$2:$A$1000,TrocasEquip!$B$2:$B$1000,A106,TrocasEquip!$A$2:$A$1000,"&gt;="&amp;F106)))</f>
        <v/>
      </c>
      <c r="Q106">
        <f>IF(AND(A106&lt;&gt;"",K106&lt;&gt;"Saiu"),ROW(),"")</f>
        <v/>
      </c>
    </row>
    <row r="107">
      <c r="A107" s="38" t="n"/>
      <c r="B107" s="39" t="n"/>
      <c r="C107" s="32">
        <f>IF(B107="","",IF(B107="Molde","corridas",IF(B107="Oscilador","dias","t")))</f>
        <v/>
      </c>
      <c r="D107" s="39" t="n"/>
      <c r="E107" s="45" t="n"/>
      <c r="F107" s="46" t="n"/>
      <c r="G107" s="45" t="n"/>
      <c r="H107" s="34">
        <f>IF(A107="","",IF(C107="corridas",SUMIFS(Historico!$E:$E,Historico!$B:$B,L107,Historico!$A:$A,SUMPRODUCT(MAX((Historico!$B$2:$B$5000=L107)*Historico!$A$2:$A$5000))),N(G107)+IF(F107="",0,IF(C107="dias",MAX(0,IF(P107="",TODAY(),P107)-F107),IF(D107=2,SUMIFS(Producao!$D:$D,Producao!$A:$A,"&gt;="&amp;F107,Producao!$A:$A,"&lt;"&amp;IF(P107="",TODAY()+1,P107)),IF(D107=3,SUMIFS(Producao!$E:$E,Producao!$A:$A,"&gt;="&amp;F107,Producao!$A:$A,"&lt;"&amp;IF(P107="",TODAY()+1,P107)),SUMIFS(Producao!$B:$B,Producao!$A:$A,"&gt;="&amp;F107,Producao!$A:$A,"&lt;"&amp;IF(P107="",TODAY()+1,P107))))))))</f>
        <v/>
      </c>
      <c r="I107" s="34">
        <f>IF(OR(A107="",E107=""),"",E107-H107)</f>
        <v/>
      </c>
      <c r="J107" s="35">
        <f>IF(OR(A107="",N(E107)&lt;=0),"",H107/E107)</f>
        <v/>
      </c>
      <c r="K107" s="32">
        <f>IF(I107="","",IF(P107&lt;&gt;"","Saiu",IF(I107&lt;0,"Além da meta",IF(J107&gt;=Regras!$B$3,"Atenção","OK"))))</f>
        <v/>
      </c>
      <c r="L107" s="32" t="n"/>
      <c r="M107">
        <f>IF(OR(J107="",K107="Saiu"),-1,J107+ROW()/1000000000)</f>
        <v/>
      </c>
      <c r="N107" s="43" t="n"/>
      <c r="O107" s="43" t="n"/>
      <c r="P107" s="44">
        <f>IF(OR(A107="",B107="Molde",F107=""),"",IF(COUNTIFS(TrocasEquip!$B$2:$B$1000,A107,TrocasEquip!$A$2:$A$1000,"&gt;="&amp;F107)=0,"",_xlfn.MINIFS(TrocasEquip!$A$2:$A$1000,TrocasEquip!$B$2:$B$1000,A107,TrocasEquip!$A$2:$A$1000,"&gt;="&amp;F107)))</f>
        <v/>
      </c>
      <c r="Q107">
        <f>IF(AND(A107&lt;&gt;"",K107&lt;&gt;"Saiu"),ROW(),"")</f>
        <v/>
      </c>
    </row>
    <row r="108">
      <c r="A108" s="38" t="n"/>
      <c r="B108" s="39" t="n"/>
      <c r="C108" s="32">
        <f>IF(B108="","",IF(B108="Molde","corridas",IF(B108="Oscilador","dias","t")))</f>
        <v/>
      </c>
      <c r="D108" s="39" t="n"/>
      <c r="E108" s="45" t="n"/>
      <c r="F108" s="46" t="n"/>
      <c r="G108" s="45" t="n"/>
      <c r="H108" s="34">
        <f>IF(A108="","",IF(C108="corridas",SUMIFS(Historico!$E:$E,Historico!$B:$B,L108,Historico!$A:$A,SUMPRODUCT(MAX((Historico!$B$2:$B$5000=L108)*Historico!$A$2:$A$5000))),N(G108)+IF(F108="",0,IF(C108="dias",MAX(0,IF(P108="",TODAY(),P108)-F108),IF(D108=2,SUMIFS(Producao!$D:$D,Producao!$A:$A,"&gt;="&amp;F108,Producao!$A:$A,"&lt;"&amp;IF(P108="",TODAY()+1,P108)),IF(D108=3,SUMIFS(Producao!$E:$E,Producao!$A:$A,"&gt;="&amp;F108,Producao!$A:$A,"&lt;"&amp;IF(P108="",TODAY()+1,P108)),SUMIFS(Producao!$B:$B,Producao!$A:$A,"&gt;="&amp;F108,Producao!$A:$A,"&lt;"&amp;IF(P108="",TODAY()+1,P108))))))))</f>
        <v/>
      </c>
      <c r="I108" s="34">
        <f>IF(OR(A108="",E108=""),"",E108-H108)</f>
        <v/>
      </c>
      <c r="J108" s="35">
        <f>IF(OR(A108="",N(E108)&lt;=0),"",H108/E108)</f>
        <v/>
      </c>
      <c r="K108" s="32">
        <f>IF(I108="","",IF(P108&lt;&gt;"","Saiu",IF(I108&lt;0,"Além da meta",IF(J108&gt;=Regras!$B$3,"Atenção","OK"))))</f>
        <v/>
      </c>
      <c r="L108" s="32" t="n"/>
      <c r="M108">
        <f>IF(OR(J108="",K108="Saiu"),-1,J108+ROW()/1000000000)</f>
        <v/>
      </c>
      <c r="N108" s="43" t="n"/>
      <c r="O108" s="43" t="n"/>
      <c r="P108" s="44">
        <f>IF(OR(A108="",B108="Molde",F108=""),"",IF(COUNTIFS(TrocasEquip!$B$2:$B$1000,A108,TrocasEquip!$A$2:$A$1000,"&gt;="&amp;F108)=0,"",_xlfn.MINIFS(TrocasEquip!$A$2:$A$1000,TrocasEquip!$B$2:$B$1000,A108,TrocasEquip!$A$2:$A$1000,"&gt;="&amp;F108)))</f>
        <v/>
      </c>
      <c r="Q108">
        <f>IF(AND(A108&lt;&gt;"",K108&lt;&gt;"Saiu"),ROW(),"")</f>
        <v/>
      </c>
    </row>
    <row r="109">
      <c r="A109" s="38" t="n"/>
      <c r="B109" s="39" t="n"/>
      <c r="C109" s="32">
        <f>IF(B109="","",IF(B109="Molde","corridas",IF(B109="Oscilador","dias","t")))</f>
        <v/>
      </c>
      <c r="D109" s="39" t="n"/>
      <c r="E109" s="45" t="n"/>
      <c r="F109" s="46" t="n"/>
      <c r="G109" s="45" t="n"/>
      <c r="H109" s="34">
        <f>IF(A109="","",IF(C109="corridas",SUMIFS(Historico!$E:$E,Historico!$B:$B,L109,Historico!$A:$A,SUMPRODUCT(MAX((Historico!$B$2:$B$5000=L109)*Historico!$A$2:$A$5000))),N(G109)+IF(F109="",0,IF(C109="dias",MAX(0,IF(P109="",TODAY(),P109)-F109),IF(D109=2,SUMIFS(Producao!$D:$D,Producao!$A:$A,"&gt;="&amp;F109,Producao!$A:$A,"&lt;"&amp;IF(P109="",TODAY()+1,P109)),IF(D109=3,SUMIFS(Producao!$E:$E,Producao!$A:$A,"&gt;="&amp;F109,Producao!$A:$A,"&lt;"&amp;IF(P109="",TODAY()+1,P109)),SUMIFS(Producao!$B:$B,Producao!$A:$A,"&gt;="&amp;F109,Producao!$A:$A,"&lt;"&amp;IF(P109="",TODAY()+1,P109))))))))</f>
        <v/>
      </c>
      <c r="I109" s="34">
        <f>IF(OR(A109="",E109=""),"",E109-H109)</f>
        <v/>
      </c>
      <c r="J109" s="35">
        <f>IF(OR(A109="",N(E109)&lt;=0),"",H109/E109)</f>
        <v/>
      </c>
      <c r="K109" s="32">
        <f>IF(I109="","",IF(P109&lt;&gt;"","Saiu",IF(I109&lt;0,"Além da meta",IF(J109&gt;=Regras!$B$3,"Atenção","OK"))))</f>
        <v/>
      </c>
      <c r="L109" s="32" t="n"/>
      <c r="M109">
        <f>IF(OR(J109="",K109="Saiu"),-1,J109+ROW()/1000000000)</f>
        <v/>
      </c>
      <c r="N109" s="43" t="n"/>
      <c r="O109" s="43" t="n"/>
      <c r="P109" s="44">
        <f>IF(OR(A109="",B109="Molde",F109=""),"",IF(COUNTIFS(TrocasEquip!$B$2:$B$1000,A109,TrocasEquip!$A$2:$A$1000,"&gt;="&amp;F109)=0,"",_xlfn.MINIFS(TrocasEquip!$A$2:$A$1000,TrocasEquip!$B$2:$B$1000,A109,TrocasEquip!$A$2:$A$1000,"&gt;="&amp;F109)))</f>
        <v/>
      </c>
      <c r="Q109">
        <f>IF(AND(A109&lt;&gt;"",K109&lt;&gt;"Saiu"),ROW(),"")</f>
        <v/>
      </c>
    </row>
    <row r="110">
      <c r="A110" s="38" t="n"/>
      <c r="B110" s="39" t="n"/>
      <c r="C110" s="32">
        <f>IF(B110="","",IF(B110="Molde","corridas",IF(B110="Oscilador","dias","t")))</f>
        <v/>
      </c>
      <c r="D110" s="39" t="n"/>
      <c r="E110" s="45" t="n"/>
      <c r="F110" s="46" t="n"/>
      <c r="G110" s="45" t="n"/>
      <c r="H110" s="34">
        <f>IF(A110="","",IF(C110="corridas",SUMIFS(Historico!$E:$E,Historico!$B:$B,L110,Historico!$A:$A,SUMPRODUCT(MAX((Historico!$B$2:$B$5000=L110)*Historico!$A$2:$A$5000))),N(G110)+IF(F110="",0,IF(C110="dias",MAX(0,IF(P110="",TODAY(),P110)-F110),IF(D110=2,SUMIFS(Producao!$D:$D,Producao!$A:$A,"&gt;="&amp;F110,Producao!$A:$A,"&lt;"&amp;IF(P110="",TODAY()+1,P110)),IF(D110=3,SUMIFS(Producao!$E:$E,Producao!$A:$A,"&gt;="&amp;F110,Producao!$A:$A,"&lt;"&amp;IF(P110="",TODAY()+1,P110)),SUMIFS(Producao!$B:$B,Producao!$A:$A,"&gt;="&amp;F110,Producao!$A:$A,"&lt;"&amp;IF(P110="",TODAY()+1,P110))))))))</f>
        <v/>
      </c>
      <c r="I110" s="34">
        <f>IF(OR(A110="",E110=""),"",E110-H110)</f>
        <v/>
      </c>
      <c r="J110" s="35">
        <f>IF(OR(A110="",N(E110)&lt;=0),"",H110/E110)</f>
        <v/>
      </c>
      <c r="K110" s="32">
        <f>IF(I110="","",IF(P110&lt;&gt;"","Saiu",IF(I110&lt;0,"Além da meta",IF(J110&gt;=Regras!$B$3,"Atenção","OK"))))</f>
        <v/>
      </c>
      <c r="L110" s="32" t="n"/>
      <c r="M110">
        <f>IF(OR(J110="",K110="Saiu"),-1,J110+ROW()/1000000000)</f>
        <v/>
      </c>
      <c r="N110" s="43" t="n"/>
      <c r="O110" s="43" t="n"/>
      <c r="P110" s="44">
        <f>IF(OR(A110="",B110="Molde",F110=""),"",IF(COUNTIFS(TrocasEquip!$B$2:$B$1000,A110,TrocasEquip!$A$2:$A$1000,"&gt;="&amp;F110)=0,"",_xlfn.MINIFS(TrocasEquip!$A$2:$A$1000,TrocasEquip!$B$2:$B$1000,A110,TrocasEquip!$A$2:$A$1000,"&gt;="&amp;F110)))</f>
        <v/>
      </c>
      <c r="Q110">
        <f>IF(AND(A110&lt;&gt;"",K110&lt;&gt;"Saiu"),ROW(),"")</f>
        <v/>
      </c>
    </row>
    <row r="111">
      <c r="A111" s="38" t="n"/>
      <c r="B111" s="39" t="n"/>
      <c r="C111" s="32">
        <f>IF(B111="","",IF(B111="Molde","corridas",IF(B111="Oscilador","dias","t")))</f>
        <v/>
      </c>
      <c r="D111" s="39" t="n"/>
      <c r="E111" s="45" t="n"/>
      <c r="F111" s="46" t="n"/>
      <c r="G111" s="45" t="n"/>
      <c r="H111" s="34">
        <f>IF(A111="","",IF(C111="corridas",SUMIFS(Historico!$E:$E,Historico!$B:$B,L111,Historico!$A:$A,SUMPRODUCT(MAX((Historico!$B$2:$B$5000=L111)*Historico!$A$2:$A$5000))),N(G111)+IF(F111="",0,IF(C111="dias",MAX(0,IF(P111="",TODAY(),P111)-F111),IF(D111=2,SUMIFS(Producao!$D:$D,Producao!$A:$A,"&gt;="&amp;F111,Producao!$A:$A,"&lt;"&amp;IF(P111="",TODAY()+1,P111)),IF(D111=3,SUMIFS(Producao!$E:$E,Producao!$A:$A,"&gt;="&amp;F111,Producao!$A:$A,"&lt;"&amp;IF(P111="",TODAY()+1,P111)),SUMIFS(Producao!$B:$B,Producao!$A:$A,"&gt;="&amp;F111,Producao!$A:$A,"&lt;"&amp;IF(P111="",TODAY()+1,P111))))))))</f>
        <v/>
      </c>
      <c r="I111" s="34">
        <f>IF(OR(A111="",E111=""),"",E111-H111)</f>
        <v/>
      </c>
      <c r="J111" s="35">
        <f>IF(OR(A111="",N(E111)&lt;=0),"",H111/E111)</f>
        <v/>
      </c>
      <c r="K111" s="32">
        <f>IF(I111="","",IF(P111&lt;&gt;"","Saiu",IF(I111&lt;0,"Além da meta",IF(J111&gt;=Regras!$B$3,"Atenção","OK"))))</f>
        <v/>
      </c>
      <c r="L111" s="32" t="n"/>
      <c r="M111">
        <f>IF(OR(J111="",K111="Saiu"),-1,J111+ROW()/1000000000)</f>
        <v/>
      </c>
      <c r="N111" s="43" t="n"/>
      <c r="O111" s="43" t="n"/>
      <c r="P111" s="44">
        <f>IF(OR(A111="",B111="Molde",F111=""),"",IF(COUNTIFS(TrocasEquip!$B$2:$B$1000,A111,TrocasEquip!$A$2:$A$1000,"&gt;="&amp;F111)=0,"",_xlfn.MINIFS(TrocasEquip!$A$2:$A$1000,TrocasEquip!$B$2:$B$1000,A111,TrocasEquip!$A$2:$A$1000,"&gt;="&amp;F111)))</f>
        <v/>
      </c>
      <c r="Q111">
        <f>IF(AND(A111&lt;&gt;"",K111&lt;&gt;"Saiu"),ROW(),"")</f>
        <v/>
      </c>
    </row>
    <row r="112">
      <c r="A112" s="38" t="n"/>
      <c r="B112" s="39" t="n"/>
      <c r="C112" s="32">
        <f>IF(B112="","",IF(B112="Molde","corridas",IF(B112="Oscilador","dias","t")))</f>
        <v/>
      </c>
      <c r="D112" s="39" t="n"/>
      <c r="E112" s="45" t="n"/>
      <c r="F112" s="46" t="n"/>
      <c r="G112" s="45" t="n"/>
      <c r="H112" s="34">
        <f>IF(A112="","",IF(C112="corridas",SUMIFS(Historico!$E:$E,Historico!$B:$B,L112,Historico!$A:$A,SUMPRODUCT(MAX((Historico!$B$2:$B$5000=L112)*Historico!$A$2:$A$5000))),N(G112)+IF(F112="",0,IF(C112="dias",MAX(0,IF(P112="",TODAY(),P112)-F112),IF(D112=2,SUMIFS(Producao!$D:$D,Producao!$A:$A,"&gt;="&amp;F112,Producao!$A:$A,"&lt;"&amp;IF(P112="",TODAY()+1,P112)),IF(D112=3,SUMIFS(Producao!$E:$E,Producao!$A:$A,"&gt;="&amp;F112,Producao!$A:$A,"&lt;"&amp;IF(P112="",TODAY()+1,P112)),SUMIFS(Producao!$B:$B,Producao!$A:$A,"&gt;="&amp;F112,Producao!$A:$A,"&lt;"&amp;IF(P112="",TODAY()+1,P112))))))))</f>
        <v/>
      </c>
      <c r="I112" s="34">
        <f>IF(OR(A112="",E112=""),"",E112-H112)</f>
        <v/>
      </c>
      <c r="J112" s="35">
        <f>IF(OR(A112="",N(E112)&lt;=0),"",H112/E112)</f>
        <v/>
      </c>
      <c r="K112" s="32">
        <f>IF(I112="","",IF(P112&lt;&gt;"","Saiu",IF(I112&lt;0,"Além da meta",IF(J112&gt;=Regras!$B$3,"Atenção","OK"))))</f>
        <v/>
      </c>
      <c r="L112" s="32" t="n"/>
      <c r="M112">
        <f>IF(OR(J112="",K112="Saiu"),-1,J112+ROW()/1000000000)</f>
        <v/>
      </c>
      <c r="N112" s="43" t="n"/>
      <c r="O112" s="43" t="n"/>
      <c r="P112" s="44">
        <f>IF(OR(A112="",B112="Molde",F112=""),"",IF(COUNTIFS(TrocasEquip!$B$2:$B$1000,A112,TrocasEquip!$A$2:$A$1000,"&gt;="&amp;F112)=0,"",_xlfn.MINIFS(TrocasEquip!$A$2:$A$1000,TrocasEquip!$B$2:$B$1000,A112,TrocasEquip!$A$2:$A$1000,"&gt;="&amp;F112)))</f>
        <v/>
      </c>
      <c r="Q112">
        <f>IF(AND(A112&lt;&gt;"",K112&lt;&gt;"Saiu"),ROW(),"")</f>
        <v/>
      </c>
    </row>
    <row r="113">
      <c r="A113" s="38" t="n"/>
      <c r="B113" s="39" t="n"/>
      <c r="C113" s="32">
        <f>IF(B113="","",IF(B113="Molde","corridas",IF(B113="Oscilador","dias","t")))</f>
        <v/>
      </c>
      <c r="D113" s="39" t="n"/>
      <c r="E113" s="45" t="n"/>
      <c r="F113" s="46" t="n"/>
      <c r="G113" s="45" t="n"/>
      <c r="H113" s="34">
        <f>IF(A113="","",IF(C113="corridas",SUMIFS(Historico!$E:$E,Historico!$B:$B,L113,Historico!$A:$A,SUMPRODUCT(MAX((Historico!$B$2:$B$5000=L113)*Historico!$A$2:$A$5000))),N(G113)+IF(F113="",0,IF(C113="dias",MAX(0,IF(P113="",TODAY(),P113)-F113),IF(D113=2,SUMIFS(Producao!$D:$D,Producao!$A:$A,"&gt;="&amp;F113,Producao!$A:$A,"&lt;"&amp;IF(P113="",TODAY()+1,P113)),IF(D113=3,SUMIFS(Producao!$E:$E,Producao!$A:$A,"&gt;="&amp;F113,Producao!$A:$A,"&lt;"&amp;IF(P113="",TODAY()+1,P113)),SUMIFS(Producao!$B:$B,Producao!$A:$A,"&gt;="&amp;F113,Producao!$A:$A,"&lt;"&amp;IF(P113="",TODAY()+1,P113))))))))</f>
        <v/>
      </c>
      <c r="I113" s="34">
        <f>IF(OR(A113="",E113=""),"",E113-H113)</f>
        <v/>
      </c>
      <c r="J113" s="35">
        <f>IF(OR(A113="",N(E113)&lt;=0),"",H113/E113)</f>
        <v/>
      </c>
      <c r="K113" s="32">
        <f>IF(I113="","",IF(P113&lt;&gt;"","Saiu",IF(I113&lt;0,"Além da meta",IF(J113&gt;=Regras!$B$3,"Atenção","OK"))))</f>
        <v/>
      </c>
      <c r="L113" s="32" t="n"/>
      <c r="M113">
        <f>IF(OR(J113="",K113="Saiu"),-1,J113+ROW()/1000000000)</f>
        <v/>
      </c>
      <c r="N113" s="43" t="n"/>
      <c r="O113" s="43" t="n"/>
      <c r="P113" s="44">
        <f>IF(OR(A113="",B113="Molde",F113=""),"",IF(COUNTIFS(TrocasEquip!$B$2:$B$1000,A113,TrocasEquip!$A$2:$A$1000,"&gt;="&amp;F113)=0,"",_xlfn.MINIFS(TrocasEquip!$A$2:$A$1000,TrocasEquip!$B$2:$B$1000,A113,TrocasEquip!$A$2:$A$1000,"&gt;="&amp;F113)))</f>
        <v/>
      </c>
      <c r="Q113">
        <f>IF(AND(A113&lt;&gt;"",K113&lt;&gt;"Saiu"),ROW(),"")</f>
        <v/>
      </c>
    </row>
    <row r="114">
      <c r="A114" s="38" t="n"/>
      <c r="B114" s="39" t="n"/>
      <c r="C114" s="32">
        <f>IF(B114="","",IF(B114="Molde","corridas",IF(B114="Oscilador","dias","t")))</f>
        <v/>
      </c>
      <c r="D114" s="39" t="n"/>
      <c r="E114" s="45" t="n"/>
      <c r="F114" s="46" t="n"/>
      <c r="G114" s="45" t="n"/>
      <c r="H114" s="34">
        <f>IF(A114="","",IF(C114="corridas",SUMIFS(Historico!$E:$E,Historico!$B:$B,L114,Historico!$A:$A,SUMPRODUCT(MAX((Historico!$B$2:$B$5000=L114)*Historico!$A$2:$A$5000))),N(G114)+IF(F114="",0,IF(C114="dias",MAX(0,IF(P114="",TODAY(),P114)-F114),IF(D114=2,SUMIFS(Producao!$D:$D,Producao!$A:$A,"&gt;="&amp;F114,Producao!$A:$A,"&lt;"&amp;IF(P114="",TODAY()+1,P114)),IF(D114=3,SUMIFS(Producao!$E:$E,Producao!$A:$A,"&gt;="&amp;F114,Producao!$A:$A,"&lt;"&amp;IF(P114="",TODAY()+1,P114)),SUMIFS(Producao!$B:$B,Producao!$A:$A,"&gt;="&amp;F114,Producao!$A:$A,"&lt;"&amp;IF(P114="",TODAY()+1,P114))))))))</f>
        <v/>
      </c>
      <c r="I114" s="34">
        <f>IF(OR(A114="",E114=""),"",E114-H114)</f>
        <v/>
      </c>
      <c r="J114" s="35">
        <f>IF(OR(A114="",N(E114)&lt;=0),"",H114/E114)</f>
        <v/>
      </c>
      <c r="K114" s="32">
        <f>IF(I114="","",IF(P114&lt;&gt;"","Saiu",IF(I114&lt;0,"Além da meta",IF(J114&gt;=Regras!$B$3,"Atenção","OK"))))</f>
        <v/>
      </c>
      <c r="L114" s="32" t="n"/>
      <c r="M114">
        <f>IF(OR(J114="",K114="Saiu"),-1,J114+ROW()/1000000000)</f>
        <v/>
      </c>
      <c r="N114" s="43" t="n"/>
      <c r="O114" s="43" t="n"/>
      <c r="P114" s="44">
        <f>IF(OR(A114="",B114="Molde",F114=""),"",IF(COUNTIFS(TrocasEquip!$B$2:$B$1000,A114,TrocasEquip!$A$2:$A$1000,"&gt;="&amp;F114)=0,"",_xlfn.MINIFS(TrocasEquip!$A$2:$A$1000,TrocasEquip!$B$2:$B$1000,A114,TrocasEquip!$A$2:$A$1000,"&gt;="&amp;F114)))</f>
        <v/>
      </c>
      <c r="Q114">
        <f>IF(AND(A114&lt;&gt;"",K114&lt;&gt;"Saiu"),ROW(),"")</f>
        <v/>
      </c>
    </row>
    <row r="115">
      <c r="A115" s="38" t="n"/>
      <c r="B115" s="39" t="n"/>
      <c r="C115" s="32">
        <f>IF(B115="","",IF(B115="Molde","corridas",IF(B115="Oscilador","dias","t")))</f>
        <v/>
      </c>
      <c r="D115" s="39" t="n"/>
      <c r="E115" s="45" t="n"/>
      <c r="F115" s="46" t="n"/>
      <c r="G115" s="45" t="n"/>
      <c r="H115" s="34">
        <f>IF(A115="","",IF(C115="corridas",SUMIFS(Historico!$E:$E,Historico!$B:$B,L115,Historico!$A:$A,SUMPRODUCT(MAX((Historico!$B$2:$B$5000=L115)*Historico!$A$2:$A$5000))),N(G115)+IF(F115="",0,IF(C115="dias",MAX(0,IF(P115="",TODAY(),P115)-F115),IF(D115=2,SUMIFS(Producao!$D:$D,Producao!$A:$A,"&gt;="&amp;F115,Producao!$A:$A,"&lt;"&amp;IF(P115="",TODAY()+1,P115)),IF(D115=3,SUMIFS(Producao!$E:$E,Producao!$A:$A,"&gt;="&amp;F115,Producao!$A:$A,"&lt;"&amp;IF(P115="",TODAY()+1,P115)),SUMIFS(Producao!$B:$B,Producao!$A:$A,"&gt;="&amp;F115,Producao!$A:$A,"&lt;"&amp;IF(P115="",TODAY()+1,P115))))))))</f>
        <v/>
      </c>
      <c r="I115" s="34">
        <f>IF(OR(A115="",E115=""),"",E115-H115)</f>
        <v/>
      </c>
      <c r="J115" s="35">
        <f>IF(OR(A115="",N(E115)&lt;=0),"",H115/E115)</f>
        <v/>
      </c>
      <c r="K115" s="32">
        <f>IF(I115="","",IF(P115&lt;&gt;"","Saiu",IF(I115&lt;0,"Além da meta",IF(J115&gt;=Regras!$B$3,"Atenção","OK"))))</f>
        <v/>
      </c>
      <c r="L115" s="32" t="n"/>
      <c r="M115">
        <f>IF(OR(J115="",K115="Saiu"),-1,J115+ROW()/1000000000)</f>
        <v/>
      </c>
      <c r="N115" s="43" t="n"/>
      <c r="O115" s="43" t="n"/>
      <c r="P115" s="44">
        <f>IF(OR(A115="",B115="Molde",F115=""),"",IF(COUNTIFS(TrocasEquip!$B$2:$B$1000,A115,TrocasEquip!$A$2:$A$1000,"&gt;="&amp;F115)=0,"",_xlfn.MINIFS(TrocasEquip!$A$2:$A$1000,TrocasEquip!$B$2:$B$1000,A115,TrocasEquip!$A$2:$A$1000,"&gt;="&amp;F115)))</f>
        <v/>
      </c>
      <c r="Q115">
        <f>IF(AND(A115&lt;&gt;"",K115&lt;&gt;"Saiu"),ROW(),"")</f>
        <v/>
      </c>
    </row>
    <row r="116">
      <c r="A116" s="38" t="n"/>
      <c r="B116" s="39" t="n"/>
      <c r="C116" s="32">
        <f>IF(B116="","",IF(B116="Molde","corridas",IF(B116="Oscilador","dias","t")))</f>
        <v/>
      </c>
      <c r="D116" s="39" t="n"/>
      <c r="E116" s="45" t="n"/>
      <c r="F116" s="46" t="n"/>
      <c r="G116" s="45" t="n"/>
      <c r="H116" s="34">
        <f>IF(A116="","",IF(C116="corridas",SUMIFS(Historico!$E:$E,Historico!$B:$B,L116,Historico!$A:$A,SUMPRODUCT(MAX((Historico!$B$2:$B$5000=L116)*Historico!$A$2:$A$5000))),N(G116)+IF(F116="",0,IF(C116="dias",MAX(0,IF(P116="",TODAY(),P116)-F116),IF(D116=2,SUMIFS(Producao!$D:$D,Producao!$A:$A,"&gt;="&amp;F116,Producao!$A:$A,"&lt;"&amp;IF(P116="",TODAY()+1,P116)),IF(D116=3,SUMIFS(Producao!$E:$E,Producao!$A:$A,"&gt;="&amp;F116,Producao!$A:$A,"&lt;"&amp;IF(P116="",TODAY()+1,P116)),SUMIFS(Producao!$B:$B,Producao!$A:$A,"&gt;="&amp;F116,Producao!$A:$A,"&lt;"&amp;IF(P116="",TODAY()+1,P116))))))))</f>
        <v/>
      </c>
      <c r="I116" s="34">
        <f>IF(OR(A116="",E116=""),"",E116-H116)</f>
        <v/>
      </c>
      <c r="J116" s="35">
        <f>IF(OR(A116="",N(E116)&lt;=0),"",H116/E116)</f>
        <v/>
      </c>
      <c r="K116" s="32">
        <f>IF(I116="","",IF(P116&lt;&gt;"","Saiu",IF(I116&lt;0,"Além da meta",IF(J116&gt;=Regras!$B$3,"Atenção","OK"))))</f>
        <v/>
      </c>
      <c r="L116" s="32" t="n"/>
      <c r="M116">
        <f>IF(OR(J116="",K116="Saiu"),-1,J116+ROW()/1000000000)</f>
        <v/>
      </c>
      <c r="N116" s="43" t="n"/>
      <c r="O116" s="43" t="n"/>
      <c r="P116" s="44">
        <f>IF(OR(A116="",B116="Molde",F116=""),"",IF(COUNTIFS(TrocasEquip!$B$2:$B$1000,A116,TrocasEquip!$A$2:$A$1000,"&gt;="&amp;F116)=0,"",_xlfn.MINIFS(TrocasEquip!$A$2:$A$1000,TrocasEquip!$B$2:$B$1000,A116,TrocasEquip!$A$2:$A$1000,"&gt;="&amp;F116)))</f>
        <v/>
      </c>
      <c r="Q116">
        <f>IF(AND(A116&lt;&gt;"",K116&lt;&gt;"Saiu"),ROW(),"")</f>
        <v/>
      </c>
    </row>
    <row r="117">
      <c r="A117" s="38" t="n"/>
      <c r="B117" s="39" t="n"/>
      <c r="C117" s="32">
        <f>IF(B117="","",IF(B117="Molde","corridas",IF(B117="Oscilador","dias","t")))</f>
        <v/>
      </c>
      <c r="D117" s="39" t="n"/>
      <c r="E117" s="45" t="n"/>
      <c r="F117" s="46" t="n"/>
      <c r="G117" s="45" t="n"/>
      <c r="H117" s="34">
        <f>IF(A117="","",IF(C117="corridas",SUMIFS(Historico!$E:$E,Historico!$B:$B,L117,Historico!$A:$A,SUMPRODUCT(MAX((Historico!$B$2:$B$5000=L117)*Historico!$A$2:$A$5000))),N(G117)+IF(F117="",0,IF(C117="dias",MAX(0,IF(P117="",TODAY(),P117)-F117),IF(D117=2,SUMIFS(Producao!$D:$D,Producao!$A:$A,"&gt;="&amp;F117,Producao!$A:$A,"&lt;"&amp;IF(P117="",TODAY()+1,P117)),IF(D117=3,SUMIFS(Producao!$E:$E,Producao!$A:$A,"&gt;="&amp;F117,Producao!$A:$A,"&lt;"&amp;IF(P117="",TODAY()+1,P117)),SUMIFS(Producao!$B:$B,Producao!$A:$A,"&gt;="&amp;F117,Producao!$A:$A,"&lt;"&amp;IF(P117="",TODAY()+1,P117))))))))</f>
        <v/>
      </c>
      <c r="I117" s="34">
        <f>IF(OR(A117="",E117=""),"",E117-H117)</f>
        <v/>
      </c>
      <c r="J117" s="35">
        <f>IF(OR(A117="",N(E117)&lt;=0),"",H117/E117)</f>
        <v/>
      </c>
      <c r="K117" s="32">
        <f>IF(I117="","",IF(P117&lt;&gt;"","Saiu",IF(I117&lt;0,"Além da meta",IF(J117&gt;=Regras!$B$3,"Atenção","OK"))))</f>
        <v/>
      </c>
      <c r="L117" s="32" t="n"/>
      <c r="M117">
        <f>IF(OR(J117="",K117="Saiu"),-1,J117+ROW()/1000000000)</f>
        <v/>
      </c>
      <c r="N117" s="43" t="n"/>
      <c r="O117" s="43" t="n"/>
      <c r="P117" s="44">
        <f>IF(OR(A117="",B117="Molde",F117=""),"",IF(COUNTIFS(TrocasEquip!$B$2:$B$1000,A117,TrocasEquip!$A$2:$A$1000,"&gt;="&amp;F117)=0,"",_xlfn.MINIFS(TrocasEquip!$A$2:$A$1000,TrocasEquip!$B$2:$B$1000,A117,TrocasEquip!$A$2:$A$1000,"&gt;="&amp;F117)))</f>
        <v/>
      </c>
      <c r="Q117">
        <f>IF(AND(A117&lt;&gt;"",K117&lt;&gt;"Saiu"),ROW(),"")</f>
        <v/>
      </c>
    </row>
    <row r="118">
      <c r="A118" s="38" t="n"/>
      <c r="B118" s="39" t="n"/>
      <c r="C118" s="32">
        <f>IF(B118="","",IF(B118="Molde","corridas",IF(B118="Oscilador","dias","t")))</f>
        <v/>
      </c>
      <c r="D118" s="39" t="n"/>
      <c r="E118" s="45" t="n"/>
      <c r="F118" s="46" t="n"/>
      <c r="G118" s="45" t="n"/>
      <c r="H118" s="34">
        <f>IF(A118="","",IF(C118="corridas",SUMIFS(Historico!$E:$E,Historico!$B:$B,L118,Historico!$A:$A,SUMPRODUCT(MAX((Historico!$B$2:$B$5000=L118)*Historico!$A$2:$A$5000))),N(G118)+IF(F118="",0,IF(C118="dias",MAX(0,IF(P118="",TODAY(),P118)-F118),IF(D118=2,SUMIFS(Producao!$D:$D,Producao!$A:$A,"&gt;="&amp;F118,Producao!$A:$A,"&lt;"&amp;IF(P118="",TODAY()+1,P118)),IF(D118=3,SUMIFS(Producao!$E:$E,Producao!$A:$A,"&gt;="&amp;F118,Producao!$A:$A,"&lt;"&amp;IF(P118="",TODAY()+1,P118)),SUMIFS(Producao!$B:$B,Producao!$A:$A,"&gt;="&amp;F118,Producao!$A:$A,"&lt;"&amp;IF(P118="",TODAY()+1,P118))))))))</f>
        <v/>
      </c>
      <c r="I118" s="34">
        <f>IF(OR(A118="",E118=""),"",E118-H118)</f>
        <v/>
      </c>
      <c r="J118" s="35">
        <f>IF(OR(A118="",N(E118)&lt;=0),"",H118/E118)</f>
        <v/>
      </c>
      <c r="K118" s="32">
        <f>IF(I118="","",IF(P118&lt;&gt;"","Saiu",IF(I118&lt;0,"Além da meta",IF(J118&gt;=Regras!$B$3,"Atenção","OK"))))</f>
        <v/>
      </c>
      <c r="L118" s="32" t="n"/>
      <c r="M118">
        <f>IF(OR(J118="",K118="Saiu"),-1,J118+ROW()/1000000000)</f>
        <v/>
      </c>
      <c r="N118" s="43" t="n"/>
      <c r="O118" s="43" t="n"/>
      <c r="P118" s="44">
        <f>IF(OR(A118="",B118="Molde",F118=""),"",IF(COUNTIFS(TrocasEquip!$B$2:$B$1000,A118,TrocasEquip!$A$2:$A$1000,"&gt;="&amp;F118)=0,"",_xlfn.MINIFS(TrocasEquip!$A$2:$A$1000,TrocasEquip!$B$2:$B$1000,A118,TrocasEquip!$A$2:$A$1000,"&gt;="&amp;F118)))</f>
        <v/>
      </c>
      <c r="Q118">
        <f>IF(AND(A118&lt;&gt;"",K118&lt;&gt;"Saiu"),ROW(),"")</f>
        <v/>
      </c>
    </row>
    <row r="119">
      <c r="A119" s="38" t="n"/>
      <c r="B119" s="39" t="n"/>
      <c r="C119" s="32">
        <f>IF(B119="","",IF(B119="Molde","corridas",IF(B119="Oscilador","dias","t")))</f>
        <v/>
      </c>
      <c r="D119" s="39" t="n"/>
      <c r="E119" s="45" t="n"/>
      <c r="F119" s="46" t="n"/>
      <c r="G119" s="45" t="n"/>
      <c r="H119" s="34">
        <f>IF(A119="","",IF(C119="corridas",SUMIFS(Historico!$E:$E,Historico!$B:$B,L119,Historico!$A:$A,SUMPRODUCT(MAX((Historico!$B$2:$B$5000=L119)*Historico!$A$2:$A$5000))),N(G119)+IF(F119="",0,IF(C119="dias",MAX(0,IF(P119="",TODAY(),P119)-F119),IF(D119=2,SUMIFS(Producao!$D:$D,Producao!$A:$A,"&gt;="&amp;F119,Producao!$A:$A,"&lt;"&amp;IF(P119="",TODAY()+1,P119)),IF(D119=3,SUMIFS(Producao!$E:$E,Producao!$A:$A,"&gt;="&amp;F119,Producao!$A:$A,"&lt;"&amp;IF(P119="",TODAY()+1,P119)),SUMIFS(Producao!$B:$B,Producao!$A:$A,"&gt;="&amp;F119,Producao!$A:$A,"&lt;"&amp;IF(P119="",TODAY()+1,P119))))))))</f>
        <v/>
      </c>
      <c r="I119" s="34">
        <f>IF(OR(A119="",E119=""),"",E119-H119)</f>
        <v/>
      </c>
      <c r="J119" s="35">
        <f>IF(OR(A119="",N(E119)&lt;=0),"",H119/E119)</f>
        <v/>
      </c>
      <c r="K119" s="32">
        <f>IF(I119="","",IF(P119&lt;&gt;"","Saiu",IF(I119&lt;0,"Além da meta",IF(J119&gt;=Regras!$B$3,"Atenção","OK"))))</f>
        <v/>
      </c>
      <c r="L119" s="32" t="n"/>
      <c r="M119">
        <f>IF(OR(J119="",K119="Saiu"),-1,J119+ROW()/1000000000)</f>
        <v/>
      </c>
      <c r="N119" s="43" t="n"/>
      <c r="O119" s="43" t="n"/>
      <c r="P119" s="44">
        <f>IF(OR(A119="",B119="Molde",F119=""),"",IF(COUNTIFS(TrocasEquip!$B$2:$B$1000,A119,TrocasEquip!$A$2:$A$1000,"&gt;="&amp;F119)=0,"",_xlfn.MINIFS(TrocasEquip!$A$2:$A$1000,TrocasEquip!$B$2:$B$1000,A119,TrocasEquip!$A$2:$A$1000,"&gt;="&amp;F119)))</f>
        <v/>
      </c>
      <c r="Q119">
        <f>IF(AND(A119&lt;&gt;"",K119&lt;&gt;"Saiu"),ROW(),"")</f>
        <v/>
      </c>
    </row>
    <row r="120">
      <c r="A120" s="38" t="n"/>
      <c r="B120" s="39" t="n"/>
      <c r="C120" s="32">
        <f>IF(B120="","",IF(B120="Molde","corridas",IF(B120="Oscilador","dias","t")))</f>
        <v/>
      </c>
      <c r="D120" s="39" t="n"/>
      <c r="E120" s="45" t="n"/>
      <c r="F120" s="46" t="n"/>
      <c r="G120" s="45" t="n"/>
      <c r="H120" s="34">
        <f>IF(A120="","",IF(C120="corridas",SUMIFS(Historico!$E:$E,Historico!$B:$B,L120,Historico!$A:$A,SUMPRODUCT(MAX((Historico!$B$2:$B$5000=L120)*Historico!$A$2:$A$5000))),N(G120)+IF(F120="",0,IF(C120="dias",MAX(0,IF(P120="",TODAY(),P120)-F120),IF(D120=2,SUMIFS(Producao!$D:$D,Producao!$A:$A,"&gt;="&amp;F120,Producao!$A:$A,"&lt;"&amp;IF(P120="",TODAY()+1,P120)),IF(D120=3,SUMIFS(Producao!$E:$E,Producao!$A:$A,"&gt;="&amp;F120,Producao!$A:$A,"&lt;"&amp;IF(P120="",TODAY()+1,P120)),SUMIFS(Producao!$B:$B,Producao!$A:$A,"&gt;="&amp;F120,Producao!$A:$A,"&lt;"&amp;IF(P120="",TODAY()+1,P120))))))))</f>
        <v/>
      </c>
      <c r="I120" s="34">
        <f>IF(OR(A120="",E120=""),"",E120-H120)</f>
        <v/>
      </c>
      <c r="J120" s="35">
        <f>IF(OR(A120="",N(E120)&lt;=0),"",H120/E120)</f>
        <v/>
      </c>
      <c r="K120" s="32">
        <f>IF(I120="","",IF(P120&lt;&gt;"","Saiu",IF(I120&lt;0,"Além da meta",IF(J120&gt;=Regras!$B$3,"Atenção","OK"))))</f>
        <v/>
      </c>
      <c r="L120" s="32" t="n"/>
      <c r="M120">
        <f>IF(OR(J120="",K120="Saiu"),-1,J120+ROW()/1000000000)</f>
        <v/>
      </c>
      <c r="N120" s="43" t="n"/>
      <c r="O120" s="43" t="n"/>
      <c r="P120" s="44">
        <f>IF(OR(A120="",B120="Molde",F120=""),"",IF(COUNTIFS(TrocasEquip!$B$2:$B$1000,A120,TrocasEquip!$A$2:$A$1000,"&gt;="&amp;F120)=0,"",_xlfn.MINIFS(TrocasEquip!$A$2:$A$1000,TrocasEquip!$B$2:$B$1000,A120,TrocasEquip!$A$2:$A$1000,"&gt;="&amp;F120)))</f>
        <v/>
      </c>
      <c r="Q120">
        <f>IF(AND(A120&lt;&gt;"",K120&lt;&gt;"Saiu"),ROW(),"")</f>
        <v/>
      </c>
    </row>
    <row r="121">
      <c r="A121" s="38" t="n"/>
      <c r="B121" s="39" t="n"/>
      <c r="C121" s="32">
        <f>IF(B121="","",IF(B121="Molde","corridas",IF(B121="Oscilador","dias","t")))</f>
        <v/>
      </c>
      <c r="D121" s="39" t="n"/>
      <c r="E121" s="45" t="n"/>
      <c r="F121" s="46" t="n"/>
      <c r="G121" s="45" t="n"/>
      <c r="H121" s="34">
        <f>IF(A121="","",IF(C121="corridas",SUMIFS(Historico!$E:$E,Historico!$B:$B,L121,Historico!$A:$A,SUMPRODUCT(MAX((Historico!$B$2:$B$5000=L121)*Historico!$A$2:$A$5000))),N(G121)+IF(F121="",0,IF(C121="dias",MAX(0,IF(P121="",TODAY(),P121)-F121),IF(D121=2,SUMIFS(Producao!$D:$D,Producao!$A:$A,"&gt;="&amp;F121,Producao!$A:$A,"&lt;"&amp;IF(P121="",TODAY()+1,P121)),IF(D121=3,SUMIFS(Producao!$E:$E,Producao!$A:$A,"&gt;="&amp;F121,Producao!$A:$A,"&lt;"&amp;IF(P121="",TODAY()+1,P121)),SUMIFS(Producao!$B:$B,Producao!$A:$A,"&gt;="&amp;F121,Producao!$A:$A,"&lt;"&amp;IF(P121="",TODAY()+1,P121))))))))</f>
        <v/>
      </c>
      <c r="I121" s="34">
        <f>IF(OR(A121="",E121=""),"",E121-H121)</f>
        <v/>
      </c>
      <c r="J121" s="35">
        <f>IF(OR(A121="",N(E121)&lt;=0),"",H121/E121)</f>
        <v/>
      </c>
      <c r="K121" s="32">
        <f>IF(I121="","",IF(P121&lt;&gt;"","Saiu",IF(I121&lt;0,"Além da meta",IF(J121&gt;=Regras!$B$3,"Atenção","OK"))))</f>
        <v/>
      </c>
      <c r="L121" s="32" t="n"/>
      <c r="M121">
        <f>IF(OR(J121="",K121="Saiu"),-1,J121+ROW()/1000000000)</f>
        <v/>
      </c>
      <c r="N121" s="43" t="n"/>
      <c r="O121" s="43" t="n"/>
      <c r="P121" s="44">
        <f>IF(OR(A121="",B121="Molde",F121=""),"",IF(COUNTIFS(TrocasEquip!$B$2:$B$1000,A121,TrocasEquip!$A$2:$A$1000,"&gt;="&amp;F121)=0,"",_xlfn.MINIFS(TrocasEquip!$A$2:$A$1000,TrocasEquip!$B$2:$B$1000,A121,TrocasEquip!$A$2:$A$1000,"&gt;="&amp;F121)))</f>
        <v/>
      </c>
      <c r="Q121">
        <f>IF(AND(A121&lt;&gt;"",K121&lt;&gt;"Saiu"),ROW(),"")</f>
        <v/>
      </c>
    </row>
    <row r="122">
      <c r="A122" s="38" t="n"/>
      <c r="B122" s="39" t="n"/>
      <c r="C122" s="32">
        <f>IF(B122="","",IF(B122="Molde","corridas",IF(B122="Oscilador","dias","t")))</f>
        <v/>
      </c>
      <c r="D122" s="39" t="n"/>
      <c r="E122" s="45" t="n"/>
      <c r="F122" s="46" t="n"/>
      <c r="G122" s="45" t="n"/>
      <c r="H122" s="34">
        <f>IF(A122="","",IF(C122="corridas",SUMIFS(Historico!$E:$E,Historico!$B:$B,L122,Historico!$A:$A,SUMPRODUCT(MAX((Historico!$B$2:$B$5000=L122)*Historico!$A$2:$A$5000))),N(G122)+IF(F122="",0,IF(C122="dias",MAX(0,IF(P122="",TODAY(),P122)-F122),IF(D122=2,SUMIFS(Producao!$D:$D,Producao!$A:$A,"&gt;="&amp;F122,Producao!$A:$A,"&lt;"&amp;IF(P122="",TODAY()+1,P122)),IF(D122=3,SUMIFS(Producao!$E:$E,Producao!$A:$A,"&gt;="&amp;F122,Producao!$A:$A,"&lt;"&amp;IF(P122="",TODAY()+1,P122)),SUMIFS(Producao!$B:$B,Producao!$A:$A,"&gt;="&amp;F122,Producao!$A:$A,"&lt;"&amp;IF(P122="",TODAY()+1,P122))))))))</f>
        <v/>
      </c>
      <c r="I122" s="34">
        <f>IF(OR(A122="",E122=""),"",E122-H122)</f>
        <v/>
      </c>
      <c r="J122" s="35">
        <f>IF(OR(A122="",N(E122)&lt;=0),"",H122/E122)</f>
        <v/>
      </c>
      <c r="K122" s="32">
        <f>IF(I122="","",IF(P122&lt;&gt;"","Saiu",IF(I122&lt;0,"Além da meta",IF(J122&gt;=Regras!$B$3,"Atenção","OK"))))</f>
        <v/>
      </c>
      <c r="L122" s="32" t="n"/>
      <c r="M122">
        <f>IF(OR(J122="",K122="Saiu"),-1,J122+ROW()/1000000000)</f>
        <v/>
      </c>
      <c r="N122" s="43" t="n"/>
      <c r="O122" s="43" t="n"/>
      <c r="P122" s="44">
        <f>IF(OR(A122="",B122="Molde",F122=""),"",IF(COUNTIFS(TrocasEquip!$B$2:$B$1000,A122,TrocasEquip!$A$2:$A$1000,"&gt;="&amp;F122)=0,"",_xlfn.MINIFS(TrocasEquip!$A$2:$A$1000,TrocasEquip!$B$2:$B$1000,A122,TrocasEquip!$A$2:$A$1000,"&gt;="&amp;F122)))</f>
        <v/>
      </c>
      <c r="Q122">
        <f>IF(AND(A122&lt;&gt;"",K122&lt;&gt;"Saiu"),ROW(),"")</f>
        <v/>
      </c>
    </row>
    <row r="123">
      <c r="A123" s="38" t="n"/>
      <c r="B123" s="39" t="n"/>
      <c r="C123" s="32">
        <f>IF(B123="","",IF(B123="Molde","corridas",IF(B123="Oscilador","dias","t")))</f>
        <v/>
      </c>
      <c r="D123" s="39" t="n"/>
      <c r="E123" s="45" t="n"/>
      <c r="F123" s="46" t="n"/>
      <c r="G123" s="45" t="n"/>
      <c r="H123" s="34">
        <f>IF(A123="","",IF(C123="corridas",SUMIFS(Historico!$E:$E,Historico!$B:$B,L123,Historico!$A:$A,SUMPRODUCT(MAX((Historico!$B$2:$B$5000=L123)*Historico!$A$2:$A$5000))),N(G123)+IF(F123="",0,IF(C123="dias",MAX(0,IF(P123="",TODAY(),P123)-F123),IF(D123=2,SUMIFS(Producao!$D:$D,Producao!$A:$A,"&gt;="&amp;F123,Producao!$A:$A,"&lt;"&amp;IF(P123="",TODAY()+1,P123)),IF(D123=3,SUMIFS(Producao!$E:$E,Producao!$A:$A,"&gt;="&amp;F123,Producao!$A:$A,"&lt;"&amp;IF(P123="",TODAY()+1,P123)),SUMIFS(Producao!$B:$B,Producao!$A:$A,"&gt;="&amp;F123,Producao!$A:$A,"&lt;"&amp;IF(P123="",TODAY()+1,P123))))))))</f>
        <v/>
      </c>
      <c r="I123" s="34">
        <f>IF(OR(A123="",E123=""),"",E123-H123)</f>
        <v/>
      </c>
      <c r="J123" s="35">
        <f>IF(OR(A123="",N(E123)&lt;=0),"",H123/E123)</f>
        <v/>
      </c>
      <c r="K123" s="32">
        <f>IF(I123="","",IF(P123&lt;&gt;"","Saiu",IF(I123&lt;0,"Além da meta",IF(J123&gt;=Regras!$B$3,"Atenção","OK"))))</f>
        <v/>
      </c>
      <c r="L123" s="32" t="n"/>
      <c r="M123">
        <f>IF(OR(J123="",K123="Saiu"),-1,J123+ROW()/1000000000)</f>
        <v/>
      </c>
      <c r="N123" s="43" t="n"/>
      <c r="O123" s="43" t="n"/>
      <c r="P123" s="44">
        <f>IF(OR(A123="",B123="Molde",F123=""),"",IF(COUNTIFS(TrocasEquip!$B$2:$B$1000,A123,TrocasEquip!$A$2:$A$1000,"&gt;="&amp;F123)=0,"",_xlfn.MINIFS(TrocasEquip!$A$2:$A$1000,TrocasEquip!$B$2:$B$1000,A123,TrocasEquip!$A$2:$A$1000,"&gt;="&amp;F123)))</f>
        <v/>
      </c>
      <c r="Q123">
        <f>IF(AND(A123&lt;&gt;"",K123&lt;&gt;"Saiu"),ROW(),"")</f>
        <v/>
      </c>
    </row>
    <row r="124">
      <c r="A124" s="38" t="n"/>
      <c r="B124" s="39" t="n"/>
      <c r="C124" s="32">
        <f>IF(B124="","",IF(B124="Molde","corridas",IF(B124="Oscilador","dias","t")))</f>
        <v/>
      </c>
      <c r="D124" s="39" t="n"/>
      <c r="E124" s="45" t="n"/>
      <c r="F124" s="46" t="n"/>
      <c r="G124" s="45" t="n"/>
      <c r="H124" s="34">
        <f>IF(A124="","",IF(C124="corridas",SUMIFS(Historico!$E:$E,Historico!$B:$B,L124,Historico!$A:$A,SUMPRODUCT(MAX((Historico!$B$2:$B$5000=L124)*Historico!$A$2:$A$5000))),N(G124)+IF(F124="",0,IF(C124="dias",MAX(0,IF(P124="",TODAY(),P124)-F124),IF(D124=2,SUMIFS(Producao!$D:$D,Producao!$A:$A,"&gt;="&amp;F124,Producao!$A:$A,"&lt;"&amp;IF(P124="",TODAY()+1,P124)),IF(D124=3,SUMIFS(Producao!$E:$E,Producao!$A:$A,"&gt;="&amp;F124,Producao!$A:$A,"&lt;"&amp;IF(P124="",TODAY()+1,P124)),SUMIFS(Producao!$B:$B,Producao!$A:$A,"&gt;="&amp;F124,Producao!$A:$A,"&lt;"&amp;IF(P124="",TODAY()+1,P124))))))))</f>
        <v/>
      </c>
      <c r="I124" s="34">
        <f>IF(OR(A124="",E124=""),"",E124-H124)</f>
        <v/>
      </c>
      <c r="J124" s="35">
        <f>IF(OR(A124="",N(E124)&lt;=0),"",H124/E124)</f>
        <v/>
      </c>
      <c r="K124" s="32">
        <f>IF(I124="","",IF(P124&lt;&gt;"","Saiu",IF(I124&lt;0,"Além da meta",IF(J124&gt;=Regras!$B$3,"Atenção","OK"))))</f>
        <v/>
      </c>
      <c r="L124" s="32" t="n"/>
      <c r="M124">
        <f>IF(OR(J124="",K124="Saiu"),-1,J124+ROW()/1000000000)</f>
        <v/>
      </c>
      <c r="N124" s="43" t="n"/>
      <c r="O124" s="43" t="n"/>
      <c r="P124" s="44">
        <f>IF(OR(A124="",B124="Molde",F124=""),"",IF(COUNTIFS(TrocasEquip!$B$2:$B$1000,A124,TrocasEquip!$A$2:$A$1000,"&gt;="&amp;F124)=0,"",_xlfn.MINIFS(TrocasEquip!$A$2:$A$1000,TrocasEquip!$B$2:$B$1000,A124,TrocasEquip!$A$2:$A$1000,"&gt;="&amp;F124)))</f>
        <v/>
      </c>
      <c r="Q124">
        <f>IF(AND(A124&lt;&gt;"",K124&lt;&gt;"Saiu"),ROW(),"")</f>
        <v/>
      </c>
    </row>
    <row r="125">
      <c r="A125" s="38" t="n"/>
      <c r="B125" s="39" t="n"/>
      <c r="C125" s="32">
        <f>IF(B125="","",IF(B125="Molde","corridas",IF(B125="Oscilador","dias","t")))</f>
        <v/>
      </c>
      <c r="D125" s="39" t="n"/>
      <c r="E125" s="45" t="n"/>
      <c r="F125" s="46" t="n"/>
      <c r="G125" s="45" t="n"/>
      <c r="H125" s="34">
        <f>IF(A125="","",IF(C125="corridas",SUMIFS(Historico!$E:$E,Historico!$B:$B,L125,Historico!$A:$A,SUMPRODUCT(MAX((Historico!$B$2:$B$5000=L125)*Historico!$A$2:$A$5000))),N(G125)+IF(F125="",0,IF(C125="dias",MAX(0,IF(P125="",TODAY(),P125)-F125),IF(D125=2,SUMIFS(Producao!$D:$D,Producao!$A:$A,"&gt;="&amp;F125,Producao!$A:$A,"&lt;"&amp;IF(P125="",TODAY()+1,P125)),IF(D125=3,SUMIFS(Producao!$E:$E,Producao!$A:$A,"&gt;="&amp;F125,Producao!$A:$A,"&lt;"&amp;IF(P125="",TODAY()+1,P125)),SUMIFS(Producao!$B:$B,Producao!$A:$A,"&gt;="&amp;F125,Producao!$A:$A,"&lt;"&amp;IF(P125="",TODAY()+1,P125))))))))</f>
        <v/>
      </c>
      <c r="I125" s="34">
        <f>IF(OR(A125="",E125=""),"",E125-H125)</f>
        <v/>
      </c>
      <c r="J125" s="35">
        <f>IF(OR(A125="",N(E125)&lt;=0),"",H125/E125)</f>
        <v/>
      </c>
      <c r="K125" s="32">
        <f>IF(I125="","",IF(P125&lt;&gt;"","Saiu",IF(I125&lt;0,"Além da meta",IF(J125&gt;=Regras!$B$3,"Atenção","OK"))))</f>
        <v/>
      </c>
      <c r="L125" s="32" t="n"/>
      <c r="M125">
        <f>IF(OR(J125="",K125="Saiu"),-1,J125+ROW()/1000000000)</f>
        <v/>
      </c>
      <c r="N125" s="43" t="n"/>
      <c r="O125" s="43" t="n"/>
      <c r="P125" s="44">
        <f>IF(OR(A125="",B125="Molde",F125=""),"",IF(COUNTIFS(TrocasEquip!$B$2:$B$1000,A125,TrocasEquip!$A$2:$A$1000,"&gt;="&amp;F125)=0,"",_xlfn.MINIFS(TrocasEquip!$A$2:$A$1000,TrocasEquip!$B$2:$B$1000,A125,TrocasEquip!$A$2:$A$1000,"&gt;="&amp;F125)))</f>
        <v/>
      </c>
      <c r="Q125">
        <f>IF(AND(A125&lt;&gt;"",K125&lt;&gt;"Saiu"),ROW(),"")</f>
        <v/>
      </c>
    </row>
    <row r="126">
      <c r="A126" s="38" t="n"/>
      <c r="B126" s="39" t="n"/>
      <c r="C126" s="32">
        <f>IF(B126="","",IF(B126="Molde","corridas",IF(B126="Oscilador","dias","t")))</f>
        <v/>
      </c>
      <c r="D126" s="39" t="n"/>
      <c r="E126" s="45" t="n"/>
      <c r="F126" s="46" t="n"/>
      <c r="G126" s="45" t="n"/>
      <c r="H126" s="34">
        <f>IF(A126="","",IF(C126="corridas",SUMIFS(Historico!$E:$E,Historico!$B:$B,L126,Historico!$A:$A,SUMPRODUCT(MAX((Historico!$B$2:$B$5000=L126)*Historico!$A$2:$A$5000))),N(G126)+IF(F126="",0,IF(C126="dias",MAX(0,IF(P126="",TODAY(),P126)-F126),IF(D126=2,SUMIFS(Producao!$D:$D,Producao!$A:$A,"&gt;="&amp;F126,Producao!$A:$A,"&lt;"&amp;IF(P126="",TODAY()+1,P126)),IF(D126=3,SUMIFS(Producao!$E:$E,Producao!$A:$A,"&gt;="&amp;F126,Producao!$A:$A,"&lt;"&amp;IF(P126="",TODAY()+1,P126)),SUMIFS(Producao!$B:$B,Producao!$A:$A,"&gt;="&amp;F126,Producao!$A:$A,"&lt;"&amp;IF(P126="",TODAY()+1,P126))))))))</f>
        <v/>
      </c>
      <c r="I126" s="34">
        <f>IF(OR(A126="",E126=""),"",E126-H126)</f>
        <v/>
      </c>
      <c r="J126" s="35">
        <f>IF(OR(A126="",N(E126)&lt;=0),"",H126/E126)</f>
        <v/>
      </c>
      <c r="K126" s="32">
        <f>IF(I126="","",IF(P126&lt;&gt;"","Saiu",IF(I126&lt;0,"Além da meta",IF(J126&gt;=Regras!$B$3,"Atenção","OK"))))</f>
        <v/>
      </c>
      <c r="L126" s="32" t="n"/>
      <c r="M126">
        <f>IF(OR(J126="",K126="Saiu"),-1,J126+ROW()/1000000000)</f>
        <v/>
      </c>
      <c r="N126" s="43" t="n"/>
      <c r="O126" s="43" t="n"/>
      <c r="P126" s="44">
        <f>IF(OR(A126="",B126="Molde",F126=""),"",IF(COUNTIFS(TrocasEquip!$B$2:$B$1000,A126,TrocasEquip!$A$2:$A$1000,"&gt;="&amp;F126)=0,"",_xlfn.MINIFS(TrocasEquip!$A$2:$A$1000,TrocasEquip!$B$2:$B$1000,A126,TrocasEquip!$A$2:$A$1000,"&gt;="&amp;F126)))</f>
        <v/>
      </c>
      <c r="Q126">
        <f>IF(AND(A126&lt;&gt;"",K126&lt;&gt;"Saiu"),ROW(),"")</f>
        <v/>
      </c>
    </row>
    <row r="127">
      <c r="A127" s="38" t="n"/>
      <c r="B127" s="39" t="n"/>
      <c r="C127" s="32">
        <f>IF(B127="","",IF(B127="Molde","corridas",IF(B127="Oscilador","dias","t")))</f>
        <v/>
      </c>
      <c r="D127" s="39" t="n"/>
      <c r="E127" s="45" t="n"/>
      <c r="F127" s="46" t="n"/>
      <c r="G127" s="45" t="n"/>
      <c r="H127" s="34">
        <f>IF(A127="","",IF(C127="corridas",SUMIFS(Historico!$E:$E,Historico!$B:$B,L127,Historico!$A:$A,SUMPRODUCT(MAX((Historico!$B$2:$B$5000=L127)*Historico!$A$2:$A$5000))),N(G127)+IF(F127="",0,IF(C127="dias",MAX(0,IF(P127="",TODAY(),P127)-F127),IF(D127=2,SUMIFS(Producao!$D:$D,Producao!$A:$A,"&gt;="&amp;F127,Producao!$A:$A,"&lt;"&amp;IF(P127="",TODAY()+1,P127)),IF(D127=3,SUMIFS(Producao!$E:$E,Producao!$A:$A,"&gt;="&amp;F127,Producao!$A:$A,"&lt;"&amp;IF(P127="",TODAY()+1,P127)),SUMIFS(Producao!$B:$B,Producao!$A:$A,"&gt;="&amp;F127,Producao!$A:$A,"&lt;"&amp;IF(P127="",TODAY()+1,P127))))))))</f>
        <v/>
      </c>
      <c r="I127" s="34">
        <f>IF(OR(A127="",E127=""),"",E127-H127)</f>
        <v/>
      </c>
      <c r="J127" s="35">
        <f>IF(OR(A127="",N(E127)&lt;=0),"",H127/E127)</f>
        <v/>
      </c>
      <c r="K127" s="32">
        <f>IF(I127="","",IF(P127&lt;&gt;"","Saiu",IF(I127&lt;0,"Além da meta",IF(J127&gt;=Regras!$B$3,"Atenção","OK"))))</f>
        <v/>
      </c>
      <c r="L127" s="32" t="n"/>
      <c r="M127">
        <f>IF(OR(J127="",K127="Saiu"),-1,J127+ROW()/1000000000)</f>
        <v/>
      </c>
      <c r="N127" s="43" t="n"/>
      <c r="O127" s="43" t="n"/>
      <c r="P127" s="44">
        <f>IF(OR(A127="",B127="Molde",F127=""),"",IF(COUNTIFS(TrocasEquip!$B$2:$B$1000,A127,TrocasEquip!$A$2:$A$1000,"&gt;="&amp;F127)=0,"",_xlfn.MINIFS(TrocasEquip!$A$2:$A$1000,TrocasEquip!$B$2:$B$1000,A127,TrocasEquip!$A$2:$A$1000,"&gt;="&amp;F127)))</f>
        <v/>
      </c>
      <c r="Q127">
        <f>IF(AND(A127&lt;&gt;"",K127&lt;&gt;"Saiu"),ROW(),"")</f>
        <v/>
      </c>
    </row>
    <row r="128">
      <c r="A128" s="38" t="n"/>
      <c r="B128" s="39" t="n"/>
      <c r="C128" s="32">
        <f>IF(B128="","",IF(B128="Molde","corridas",IF(B128="Oscilador","dias","t")))</f>
        <v/>
      </c>
      <c r="D128" s="39" t="n"/>
      <c r="E128" s="45" t="n"/>
      <c r="F128" s="46" t="n"/>
      <c r="G128" s="45" t="n"/>
      <c r="H128" s="34">
        <f>IF(A128="","",IF(C128="corridas",SUMIFS(Historico!$E:$E,Historico!$B:$B,L128,Historico!$A:$A,SUMPRODUCT(MAX((Historico!$B$2:$B$5000=L128)*Historico!$A$2:$A$5000))),N(G128)+IF(F128="",0,IF(C128="dias",MAX(0,IF(P128="",TODAY(),P128)-F128),IF(D128=2,SUMIFS(Producao!$D:$D,Producao!$A:$A,"&gt;="&amp;F128,Producao!$A:$A,"&lt;"&amp;IF(P128="",TODAY()+1,P128)),IF(D128=3,SUMIFS(Producao!$E:$E,Producao!$A:$A,"&gt;="&amp;F128,Producao!$A:$A,"&lt;"&amp;IF(P128="",TODAY()+1,P128)),SUMIFS(Producao!$B:$B,Producao!$A:$A,"&gt;="&amp;F128,Producao!$A:$A,"&lt;"&amp;IF(P128="",TODAY()+1,P128))))))))</f>
        <v/>
      </c>
      <c r="I128" s="34">
        <f>IF(OR(A128="",E128=""),"",E128-H128)</f>
        <v/>
      </c>
      <c r="J128" s="35">
        <f>IF(OR(A128="",N(E128)&lt;=0),"",H128/E128)</f>
        <v/>
      </c>
      <c r="K128" s="32">
        <f>IF(I128="","",IF(P128&lt;&gt;"","Saiu",IF(I128&lt;0,"Além da meta",IF(J128&gt;=Regras!$B$3,"Atenção","OK"))))</f>
        <v/>
      </c>
      <c r="L128" s="32" t="n"/>
      <c r="M128">
        <f>IF(OR(J128="",K128="Saiu"),-1,J128+ROW()/1000000000)</f>
        <v/>
      </c>
      <c r="N128" s="43" t="n"/>
      <c r="O128" s="43" t="n"/>
      <c r="P128" s="44">
        <f>IF(OR(A128="",B128="Molde",F128=""),"",IF(COUNTIFS(TrocasEquip!$B$2:$B$1000,A128,TrocasEquip!$A$2:$A$1000,"&gt;="&amp;F128)=0,"",_xlfn.MINIFS(TrocasEquip!$A$2:$A$1000,TrocasEquip!$B$2:$B$1000,A128,TrocasEquip!$A$2:$A$1000,"&gt;="&amp;F128)))</f>
        <v/>
      </c>
      <c r="Q128">
        <f>IF(AND(A128&lt;&gt;"",K128&lt;&gt;"Saiu"),ROW(),"")</f>
        <v/>
      </c>
    </row>
    <row r="129">
      <c r="A129" s="38" t="n"/>
      <c r="B129" s="39" t="n"/>
      <c r="C129" s="32">
        <f>IF(B129="","",IF(B129="Molde","corridas",IF(B129="Oscilador","dias","t")))</f>
        <v/>
      </c>
      <c r="D129" s="39" t="n"/>
      <c r="E129" s="45" t="n"/>
      <c r="F129" s="46" t="n"/>
      <c r="G129" s="45" t="n"/>
      <c r="H129" s="34">
        <f>IF(A129="","",IF(C129="corridas",SUMIFS(Historico!$E:$E,Historico!$B:$B,L129,Historico!$A:$A,SUMPRODUCT(MAX((Historico!$B$2:$B$5000=L129)*Historico!$A$2:$A$5000))),N(G129)+IF(F129="",0,IF(C129="dias",MAX(0,IF(P129="",TODAY(),P129)-F129),IF(D129=2,SUMIFS(Producao!$D:$D,Producao!$A:$A,"&gt;="&amp;F129,Producao!$A:$A,"&lt;"&amp;IF(P129="",TODAY()+1,P129)),IF(D129=3,SUMIFS(Producao!$E:$E,Producao!$A:$A,"&gt;="&amp;F129,Producao!$A:$A,"&lt;"&amp;IF(P129="",TODAY()+1,P129)),SUMIFS(Producao!$B:$B,Producao!$A:$A,"&gt;="&amp;F129,Producao!$A:$A,"&lt;"&amp;IF(P129="",TODAY()+1,P129))))))))</f>
        <v/>
      </c>
      <c r="I129" s="34">
        <f>IF(OR(A129="",E129=""),"",E129-H129)</f>
        <v/>
      </c>
      <c r="J129" s="35">
        <f>IF(OR(A129="",N(E129)&lt;=0),"",H129/E129)</f>
        <v/>
      </c>
      <c r="K129" s="32">
        <f>IF(I129="","",IF(P129&lt;&gt;"","Saiu",IF(I129&lt;0,"Além da meta",IF(J129&gt;=Regras!$B$3,"Atenção","OK"))))</f>
        <v/>
      </c>
      <c r="L129" s="32" t="n"/>
      <c r="M129">
        <f>IF(OR(J129="",K129="Saiu"),-1,J129+ROW()/1000000000)</f>
        <v/>
      </c>
      <c r="N129" s="43" t="n"/>
      <c r="O129" s="43" t="n"/>
      <c r="P129" s="44">
        <f>IF(OR(A129="",B129="Molde",F129=""),"",IF(COUNTIFS(TrocasEquip!$B$2:$B$1000,A129,TrocasEquip!$A$2:$A$1000,"&gt;="&amp;F129)=0,"",_xlfn.MINIFS(TrocasEquip!$A$2:$A$1000,TrocasEquip!$B$2:$B$1000,A129,TrocasEquip!$A$2:$A$1000,"&gt;="&amp;F129)))</f>
        <v/>
      </c>
      <c r="Q129">
        <f>IF(AND(A129&lt;&gt;"",K129&lt;&gt;"Saiu"),ROW(),"")</f>
        <v/>
      </c>
    </row>
    <row r="130">
      <c r="A130" s="38" t="n"/>
      <c r="B130" s="39" t="n"/>
      <c r="C130" s="32">
        <f>IF(B130="","",IF(B130="Molde","corridas",IF(B130="Oscilador","dias","t")))</f>
        <v/>
      </c>
      <c r="D130" s="39" t="n"/>
      <c r="E130" s="45" t="n"/>
      <c r="F130" s="46" t="n"/>
      <c r="G130" s="45" t="n"/>
      <c r="H130" s="34">
        <f>IF(A130="","",IF(C130="corridas",SUMIFS(Historico!$E:$E,Historico!$B:$B,L130,Historico!$A:$A,SUMPRODUCT(MAX((Historico!$B$2:$B$5000=L130)*Historico!$A$2:$A$5000))),N(G130)+IF(F130="",0,IF(C130="dias",MAX(0,IF(P130="",TODAY(),P130)-F130),IF(D130=2,SUMIFS(Producao!$D:$D,Producao!$A:$A,"&gt;="&amp;F130,Producao!$A:$A,"&lt;"&amp;IF(P130="",TODAY()+1,P130)),IF(D130=3,SUMIFS(Producao!$E:$E,Producao!$A:$A,"&gt;="&amp;F130,Producao!$A:$A,"&lt;"&amp;IF(P130="",TODAY()+1,P130)),SUMIFS(Producao!$B:$B,Producao!$A:$A,"&gt;="&amp;F130,Producao!$A:$A,"&lt;"&amp;IF(P130="",TODAY()+1,P130))))))))</f>
        <v/>
      </c>
      <c r="I130" s="34">
        <f>IF(OR(A130="",E130=""),"",E130-H130)</f>
        <v/>
      </c>
      <c r="J130" s="35">
        <f>IF(OR(A130="",N(E130)&lt;=0),"",H130/E130)</f>
        <v/>
      </c>
      <c r="K130" s="32">
        <f>IF(I130="","",IF(P130&lt;&gt;"","Saiu",IF(I130&lt;0,"Além da meta",IF(J130&gt;=Regras!$B$3,"Atenção","OK"))))</f>
        <v/>
      </c>
      <c r="L130" s="32" t="n"/>
      <c r="M130">
        <f>IF(OR(J130="",K130="Saiu"),-1,J130+ROW()/1000000000)</f>
        <v/>
      </c>
      <c r="N130" s="43" t="n"/>
      <c r="O130" s="43" t="n"/>
      <c r="P130" s="44">
        <f>IF(OR(A130="",B130="Molde",F130=""),"",IF(COUNTIFS(TrocasEquip!$B$2:$B$1000,A130,TrocasEquip!$A$2:$A$1000,"&gt;="&amp;F130)=0,"",_xlfn.MINIFS(TrocasEquip!$A$2:$A$1000,TrocasEquip!$B$2:$B$1000,A130,TrocasEquip!$A$2:$A$1000,"&gt;="&amp;F130)))</f>
        <v/>
      </c>
      <c r="Q130">
        <f>IF(AND(A130&lt;&gt;"",K130&lt;&gt;"Saiu"),ROW(),"")</f>
        <v/>
      </c>
    </row>
    <row r="131">
      <c r="A131" s="38" t="n"/>
      <c r="B131" s="39" t="n"/>
      <c r="C131" s="32">
        <f>IF(B131="","",IF(B131="Molde","corridas",IF(B131="Oscilador","dias","t")))</f>
        <v/>
      </c>
      <c r="D131" s="39" t="n"/>
      <c r="E131" s="45" t="n"/>
      <c r="F131" s="46" t="n"/>
      <c r="G131" s="45" t="n"/>
      <c r="H131" s="34">
        <f>IF(A131="","",IF(C131="corridas",SUMIFS(Historico!$E:$E,Historico!$B:$B,L131,Historico!$A:$A,SUMPRODUCT(MAX((Historico!$B$2:$B$5000=L131)*Historico!$A$2:$A$5000))),N(G131)+IF(F131="",0,IF(C131="dias",MAX(0,IF(P131="",TODAY(),P131)-F131),IF(D131=2,SUMIFS(Producao!$D:$D,Producao!$A:$A,"&gt;="&amp;F131,Producao!$A:$A,"&lt;"&amp;IF(P131="",TODAY()+1,P131)),IF(D131=3,SUMIFS(Producao!$E:$E,Producao!$A:$A,"&gt;="&amp;F131,Producao!$A:$A,"&lt;"&amp;IF(P131="",TODAY()+1,P131)),SUMIFS(Producao!$B:$B,Producao!$A:$A,"&gt;="&amp;F131,Producao!$A:$A,"&lt;"&amp;IF(P131="",TODAY()+1,P131))))))))</f>
        <v/>
      </c>
      <c r="I131" s="34">
        <f>IF(OR(A131="",E131=""),"",E131-H131)</f>
        <v/>
      </c>
      <c r="J131" s="35">
        <f>IF(OR(A131="",N(E131)&lt;=0),"",H131/E131)</f>
        <v/>
      </c>
      <c r="K131" s="32">
        <f>IF(I131="","",IF(P131&lt;&gt;"","Saiu",IF(I131&lt;0,"Além da meta",IF(J131&gt;=Regras!$B$3,"Atenção","OK"))))</f>
        <v/>
      </c>
      <c r="L131" s="32" t="n"/>
      <c r="M131">
        <f>IF(OR(J131="",K131="Saiu"),-1,J131+ROW()/1000000000)</f>
        <v/>
      </c>
      <c r="N131" s="43" t="n"/>
      <c r="O131" s="43" t="n"/>
      <c r="P131" s="44">
        <f>IF(OR(A131="",B131="Molde",F131=""),"",IF(COUNTIFS(TrocasEquip!$B$2:$B$1000,A131,TrocasEquip!$A$2:$A$1000,"&gt;="&amp;F131)=0,"",_xlfn.MINIFS(TrocasEquip!$A$2:$A$1000,TrocasEquip!$B$2:$B$1000,A131,TrocasEquip!$A$2:$A$1000,"&gt;="&amp;F131)))</f>
        <v/>
      </c>
      <c r="Q131">
        <f>IF(AND(A131&lt;&gt;"",K131&lt;&gt;"Saiu"),ROW(),"")</f>
        <v/>
      </c>
    </row>
    <row r="132">
      <c r="A132" s="38" t="n"/>
      <c r="B132" s="39" t="n"/>
      <c r="C132" s="32">
        <f>IF(B132="","",IF(B132="Molde","corridas",IF(B132="Oscilador","dias","t")))</f>
        <v/>
      </c>
      <c r="D132" s="39" t="n"/>
      <c r="E132" s="45" t="n"/>
      <c r="F132" s="46" t="n"/>
      <c r="G132" s="45" t="n"/>
      <c r="H132" s="34">
        <f>IF(A132="","",IF(C132="corridas",SUMIFS(Historico!$E:$E,Historico!$B:$B,L132,Historico!$A:$A,SUMPRODUCT(MAX((Historico!$B$2:$B$5000=L132)*Historico!$A$2:$A$5000))),N(G132)+IF(F132="",0,IF(C132="dias",MAX(0,IF(P132="",TODAY(),P132)-F132),IF(D132=2,SUMIFS(Producao!$D:$D,Producao!$A:$A,"&gt;="&amp;F132,Producao!$A:$A,"&lt;"&amp;IF(P132="",TODAY()+1,P132)),IF(D132=3,SUMIFS(Producao!$E:$E,Producao!$A:$A,"&gt;="&amp;F132,Producao!$A:$A,"&lt;"&amp;IF(P132="",TODAY()+1,P132)),SUMIFS(Producao!$B:$B,Producao!$A:$A,"&gt;="&amp;F132,Producao!$A:$A,"&lt;"&amp;IF(P132="",TODAY()+1,P132))))))))</f>
        <v/>
      </c>
      <c r="I132" s="34">
        <f>IF(OR(A132="",E132=""),"",E132-H132)</f>
        <v/>
      </c>
      <c r="J132" s="35">
        <f>IF(OR(A132="",N(E132)&lt;=0),"",H132/E132)</f>
        <v/>
      </c>
      <c r="K132" s="32">
        <f>IF(I132="","",IF(P132&lt;&gt;"","Saiu",IF(I132&lt;0,"Além da meta",IF(J132&gt;=Regras!$B$3,"Atenção","OK"))))</f>
        <v/>
      </c>
      <c r="L132" s="32" t="n"/>
      <c r="M132">
        <f>IF(OR(J132="",K132="Saiu"),-1,J132+ROW()/1000000000)</f>
        <v/>
      </c>
      <c r="N132" s="43" t="n"/>
      <c r="O132" s="43" t="n"/>
      <c r="P132" s="44">
        <f>IF(OR(A132="",B132="Molde",F132=""),"",IF(COUNTIFS(TrocasEquip!$B$2:$B$1000,A132,TrocasEquip!$A$2:$A$1000,"&gt;="&amp;F132)=0,"",_xlfn.MINIFS(TrocasEquip!$A$2:$A$1000,TrocasEquip!$B$2:$B$1000,A132,TrocasEquip!$A$2:$A$1000,"&gt;="&amp;F132)))</f>
        <v/>
      </c>
      <c r="Q132">
        <f>IF(AND(A132&lt;&gt;"",K132&lt;&gt;"Saiu"),ROW(),"")</f>
        <v/>
      </c>
    </row>
    <row r="133">
      <c r="A133" s="38" t="n"/>
      <c r="B133" s="39" t="n"/>
      <c r="C133" s="32">
        <f>IF(B133="","",IF(B133="Molde","corridas",IF(B133="Oscilador","dias","t")))</f>
        <v/>
      </c>
      <c r="D133" s="39" t="n"/>
      <c r="E133" s="45" t="n"/>
      <c r="F133" s="46" t="n"/>
      <c r="G133" s="45" t="n"/>
      <c r="H133" s="34">
        <f>IF(A133="","",IF(C133="corridas",SUMIFS(Historico!$E:$E,Historico!$B:$B,L133,Historico!$A:$A,SUMPRODUCT(MAX((Historico!$B$2:$B$5000=L133)*Historico!$A$2:$A$5000))),N(G133)+IF(F133="",0,IF(C133="dias",MAX(0,IF(P133="",TODAY(),P133)-F133),IF(D133=2,SUMIFS(Producao!$D:$D,Producao!$A:$A,"&gt;="&amp;F133,Producao!$A:$A,"&lt;"&amp;IF(P133="",TODAY()+1,P133)),IF(D133=3,SUMIFS(Producao!$E:$E,Producao!$A:$A,"&gt;="&amp;F133,Producao!$A:$A,"&lt;"&amp;IF(P133="",TODAY()+1,P133)),SUMIFS(Producao!$B:$B,Producao!$A:$A,"&gt;="&amp;F133,Producao!$A:$A,"&lt;"&amp;IF(P133="",TODAY()+1,P133))))))))</f>
        <v/>
      </c>
      <c r="I133" s="34">
        <f>IF(OR(A133="",E133=""),"",E133-H133)</f>
        <v/>
      </c>
      <c r="J133" s="35">
        <f>IF(OR(A133="",N(E133)&lt;=0),"",H133/E133)</f>
        <v/>
      </c>
      <c r="K133" s="32">
        <f>IF(I133="","",IF(P133&lt;&gt;"","Saiu",IF(I133&lt;0,"Além da meta",IF(J133&gt;=Regras!$B$3,"Atenção","OK"))))</f>
        <v/>
      </c>
      <c r="L133" s="32" t="n"/>
      <c r="M133">
        <f>IF(OR(J133="",K133="Saiu"),-1,J133+ROW()/1000000000)</f>
        <v/>
      </c>
      <c r="N133" s="43" t="n"/>
      <c r="O133" s="43" t="n"/>
      <c r="P133" s="44">
        <f>IF(OR(A133="",B133="Molde",F133=""),"",IF(COUNTIFS(TrocasEquip!$B$2:$B$1000,A133,TrocasEquip!$A$2:$A$1000,"&gt;="&amp;F133)=0,"",_xlfn.MINIFS(TrocasEquip!$A$2:$A$1000,TrocasEquip!$B$2:$B$1000,A133,TrocasEquip!$A$2:$A$1000,"&gt;="&amp;F133)))</f>
        <v/>
      </c>
      <c r="Q133">
        <f>IF(AND(A133&lt;&gt;"",K133&lt;&gt;"Saiu"),ROW(),"")</f>
        <v/>
      </c>
    </row>
    <row r="134">
      <c r="A134" s="38" t="n"/>
      <c r="B134" s="39" t="n"/>
      <c r="C134" s="32">
        <f>IF(B134="","",IF(B134="Molde","corridas",IF(B134="Oscilador","dias","t")))</f>
        <v/>
      </c>
      <c r="D134" s="39" t="n"/>
      <c r="E134" s="45" t="n"/>
      <c r="F134" s="46" t="n"/>
      <c r="G134" s="45" t="n"/>
      <c r="H134" s="34">
        <f>IF(A134="","",IF(C134="corridas",SUMIFS(Historico!$E:$E,Historico!$B:$B,L134,Historico!$A:$A,SUMPRODUCT(MAX((Historico!$B$2:$B$5000=L134)*Historico!$A$2:$A$5000))),N(G134)+IF(F134="",0,IF(C134="dias",MAX(0,IF(P134="",TODAY(),P134)-F134),IF(D134=2,SUMIFS(Producao!$D:$D,Producao!$A:$A,"&gt;="&amp;F134,Producao!$A:$A,"&lt;"&amp;IF(P134="",TODAY()+1,P134)),IF(D134=3,SUMIFS(Producao!$E:$E,Producao!$A:$A,"&gt;="&amp;F134,Producao!$A:$A,"&lt;"&amp;IF(P134="",TODAY()+1,P134)),SUMIFS(Producao!$B:$B,Producao!$A:$A,"&gt;="&amp;F134,Producao!$A:$A,"&lt;"&amp;IF(P134="",TODAY()+1,P134))))))))</f>
        <v/>
      </c>
      <c r="I134" s="34">
        <f>IF(OR(A134="",E134=""),"",E134-H134)</f>
        <v/>
      </c>
      <c r="J134" s="35">
        <f>IF(OR(A134="",N(E134)&lt;=0),"",H134/E134)</f>
        <v/>
      </c>
      <c r="K134" s="32">
        <f>IF(I134="","",IF(P134&lt;&gt;"","Saiu",IF(I134&lt;0,"Além da meta",IF(J134&gt;=Regras!$B$3,"Atenção","OK"))))</f>
        <v/>
      </c>
      <c r="L134" s="32" t="n"/>
      <c r="M134">
        <f>IF(OR(J134="",K134="Saiu"),-1,J134+ROW()/1000000000)</f>
        <v/>
      </c>
      <c r="N134" s="43" t="n"/>
      <c r="O134" s="43" t="n"/>
      <c r="P134" s="44">
        <f>IF(OR(A134="",B134="Molde",F134=""),"",IF(COUNTIFS(TrocasEquip!$B$2:$B$1000,A134,TrocasEquip!$A$2:$A$1000,"&gt;="&amp;F134)=0,"",_xlfn.MINIFS(TrocasEquip!$A$2:$A$1000,TrocasEquip!$B$2:$B$1000,A134,TrocasEquip!$A$2:$A$1000,"&gt;="&amp;F134)))</f>
        <v/>
      </c>
      <c r="Q134">
        <f>IF(AND(A134&lt;&gt;"",K134&lt;&gt;"Saiu"),ROW(),"")</f>
        <v/>
      </c>
    </row>
    <row r="135">
      <c r="A135" s="38" t="n"/>
      <c r="B135" s="39" t="n"/>
      <c r="C135" s="32">
        <f>IF(B135="","",IF(B135="Molde","corridas",IF(B135="Oscilador","dias","t")))</f>
        <v/>
      </c>
      <c r="D135" s="39" t="n"/>
      <c r="E135" s="45" t="n"/>
      <c r="F135" s="46" t="n"/>
      <c r="G135" s="45" t="n"/>
      <c r="H135" s="34">
        <f>IF(A135="","",IF(C135="corridas",SUMIFS(Historico!$E:$E,Historico!$B:$B,L135,Historico!$A:$A,SUMPRODUCT(MAX((Historico!$B$2:$B$5000=L135)*Historico!$A$2:$A$5000))),N(G135)+IF(F135="",0,IF(C135="dias",MAX(0,IF(P135="",TODAY(),P135)-F135),IF(D135=2,SUMIFS(Producao!$D:$D,Producao!$A:$A,"&gt;="&amp;F135,Producao!$A:$A,"&lt;"&amp;IF(P135="",TODAY()+1,P135)),IF(D135=3,SUMIFS(Producao!$E:$E,Producao!$A:$A,"&gt;="&amp;F135,Producao!$A:$A,"&lt;"&amp;IF(P135="",TODAY()+1,P135)),SUMIFS(Producao!$B:$B,Producao!$A:$A,"&gt;="&amp;F135,Producao!$A:$A,"&lt;"&amp;IF(P135="",TODAY()+1,P135))))))))</f>
        <v/>
      </c>
      <c r="I135" s="34">
        <f>IF(OR(A135="",E135=""),"",E135-H135)</f>
        <v/>
      </c>
      <c r="J135" s="35">
        <f>IF(OR(A135="",N(E135)&lt;=0),"",H135/E135)</f>
        <v/>
      </c>
      <c r="K135" s="32">
        <f>IF(I135="","",IF(P135&lt;&gt;"","Saiu",IF(I135&lt;0,"Além da meta",IF(J135&gt;=Regras!$B$3,"Atenção","OK"))))</f>
        <v/>
      </c>
      <c r="L135" s="32" t="n"/>
      <c r="M135">
        <f>IF(OR(J135="",K135="Saiu"),-1,J135+ROW()/1000000000)</f>
        <v/>
      </c>
      <c r="N135" s="43" t="n"/>
      <c r="O135" s="43" t="n"/>
      <c r="P135" s="44">
        <f>IF(OR(A135="",B135="Molde",F135=""),"",IF(COUNTIFS(TrocasEquip!$B$2:$B$1000,A135,TrocasEquip!$A$2:$A$1000,"&gt;="&amp;F135)=0,"",_xlfn.MINIFS(TrocasEquip!$A$2:$A$1000,TrocasEquip!$B$2:$B$1000,A135,TrocasEquip!$A$2:$A$1000,"&gt;="&amp;F135)))</f>
        <v/>
      </c>
      <c r="Q135">
        <f>IF(AND(A135&lt;&gt;"",K135&lt;&gt;"Saiu"),ROW(),"")</f>
        <v/>
      </c>
    </row>
    <row r="136">
      <c r="A136" s="38" t="n"/>
      <c r="B136" s="39" t="n"/>
      <c r="C136" s="32">
        <f>IF(B136="","",IF(B136="Molde","corridas",IF(B136="Oscilador","dias","t")))</f>
        <v/>
      </c>
      <c r="D136" s="39" t="n"/>
      <c r="E136" s="45" t="n"/>
      <c r="F136" s="46" t="n"/>
      <c r="G136" s="45" t="n"/>
      <c r="H136" s="34">
        <f>IF(A136="","",IF(C136="corridas",SUMIFS(Historico!$E:$E,Historico!$B:$B,L136,Historico!$A:$A,SUMPRODUCT(MAX((Historico!$B$2:$B$5000=L136)*Historico!$A$2:$A$5000))),N(G136)+IF(F136="",0,IF(C136="dias",MAX(0,IF(P136="",TODAY(),P136)-F136),IF(D136=2,SUMIFS(Producao!$D:$D,Producao!$A:$A,"&gt;="&amp;F136,Producao!$A:$A,"&lt;"&amp;IF(P136="",TODAY()+1,P136)),IF(D136=3,SUMIFS(Producao!$E:$E,Producao!$A:$A,"&gt;="&amp;F136,Producao!$A:$A,"&lt;"&amp;IF(P136="",TODAY()+1,P136)),SUMIFS(Producao!$B:$B,Producao!$A:$A,"&gt;="&amp;F136,Producao!$A:$A,"&lt;"&amp;IF(P136="",TODAY()+1,P136))))))))</f>
        <v/>
      </c>
      <c r="I136" s="34">
        <f>IF(OR(A136="",E136=""),"",E136-H136)</f>
        <v/>
      </c>
      <c r="J136" s="35">
        <f>IF(OR(A136="",N(E136)&lt;=0),"",H136/E136)</f>
        <v/>
      </c>
      <c r="K136" s="32">
        <f>IF(I136="","",IF(P136&lt;&gt;"","Saiu",IF(I136&lt;0,"Além da meta",IF(J136&gt;=Regras!$B$3,"Atenção","OK"))))</f>
        <v/>
      </c>
      <c r="L136" s="32" t="n"/>
      <c r="M136">
        <f>IF(OR(J136="",K136="Saiu"),-1,J136+ROW()/1000000000)</f>
        <v/>
      </c>
      <c r="N136" s="43" t="n"/>
      <c r="O136" s="43" t="n"/>
      <c r="P136" s="44">
        <f>IF(OR(A136="",B136="Molde",F136=""),"",IF(COUNTIFS(TrocasEquip!$B$2:$B$1000,A136,TrocasEquip!$A$2:$A$1000,"&gt;="&amp;F136)=0,"",_xlfn.MINIFS(TrocasEquip!$A$2:$A$1000,TrocasEquip!$B$2:$B$1000,A136,TrocasEquip!$A$2:$A$1000,"&gt;="&amp;F136)))</f>
        <v/>
      </c>
      <c r="Q136">
        <f>IF(AND(A136&lt;&gt;"",K136&lt;&gt;"Saiu"),ROW(),"")</f>
        <v/>
      </c>
    </row>
    <row r="137">
      <c r="A137" s="38" t="n"/>
      <c r="B137" s="39" t="n"/>
      <c r="C137" s="32">
        <f>IF(B137="","",IF(B137="Molde","corridas",IF(B137="Oscilador","dias","t")))</f>
        <v/>
      </c>
      <c r="D137" s="39" t="n"/>
      <c r="E137" s="45" t="n"/>
      <c r="F137" s="46" t="n"/>
      <c r="G137" s="45" t="n"/>
      <c r="H137" s="34">
        <f>IF(A137="","",IF(C137="corridas",SUMIFS(Historico!$E:$E,Historico!$B:$B,L137,Historico!$A:$A,SUMPRODUCT(MAX((Historico!$B$2:$B$5000=L137)*Historico!$A$2:$A$5000))),N(G137)+IF(F137="",0,IF(C137="dias",MAX(0,IF(P137="",TODAY(),P137)-F137),IF(D137=2,SUMIFS(Producao!$D:$D,Producao!$A:$A,"&gt;="&amp;F137,Producao!$A:$A,"&lt;"&amp;IF(P137="",TODAY()+1,P137)),IF(D137=3,SUMIFS(Producao!$E:$E,Producao!$A:$A,"&gt;="&amp;F137,Producao!$A:$A,"&lt;"&amp;IF(P137="",TODAY()+1,P137)),SUMIFS(Producao!$B:$B,Producao!$A:$A,"&gt;="&amp;F137,Producao!$A:$A,"&lt;"&amp;IF(P137="",TODAY()+1,P137))))))))</f>
        <v/>
      </c>
      <c r="I137" s="34">
        <f>IF(OR(A137="",E137=""),"",E137-H137)</f>
        <v/>
      </c>
      <c r="J137" s="35">
        <f>IF(OR(A137="",N(E137)&lt;=0),"",H137/E137)</f>
        <v/>
      </c>
      <c r="K137" s="32">
        <f>IF(I137="","",IF(P137&lt;&gt;"","Saiu",IF(I137&lt;0,"Além da meta",IF(J137&gt;=Regras!$B$3,"Atenção","OK"))))</f>
        <v/>
      </c>
      <c r="L137" s="32" t="n"/>
      <c r="M137">
        <f>IF(OR(J137="",K137="Saiu"),-1,J137+ROW()/1000000000)</f>
        <v/>
      </c>
      <c r="N137" s="43" t="n"/>
      <c r="O137" s="43" t="n"/>
      <c r="P137" s="44">
        <f>IF(OR(A137="",B137="Molde",F137=""),"",IF(COUNTIFS(TrocasEquip!$B$2:$B$1000,A137,TrocasEquip!$A$2:$A$1000,"&gt;="&amp;F137)=0,"",_xlfn.MINIFS(TrocasEquip!$A$2:$A$1000,TrocasEquip!$B$2:$B$1000,A137,TrocasEquip!$A$2:$A$1000,"&gt;="&amp;F137)))</f>
        <v/>
      </c>
      <c r="Q137">
        <f>IF(AND(A137&lt;&gt;"",K137&lt;&gt;"Saiu"),ROW(),"")</f>
        <v/>
      </c>
    </row>
    <row r="138">
      <c r="A138" s="38" t="n"/>
      <c r="B138" s="39" t="n"/>
      <c r="C138" s="32">
        <f>IF(B138="","",IF(B138="Molde","corridas",IF(B138="Oscilador","dias","t")))</f>
        <v/>
      </c>
      <c r="D138" s="39" t="n"/>
      <c r="E138" s="45" t="n"/>
      <c r="F138" s="46" t="n"/>
      <c r="G138" s="45" t="n"/>
      <c r="H138" s="34">
        <f>IF(A138="","",IF(C138="corridas",SUMIFS(Historico!$E:$E,Historico!$B:$B,L138,Historico!$A:$A,SUMPRODUCT(MAX((Historico!$B$2:$B$5000=L138)*Historico!$A$2:$A$5000))),N(G138)+IF(F138="",0,IF(C138="dias",MAX(0,IF(P138="",TODAY(),P138)-F138),IF(D138=2,SUMIFS(Producao!$D:$D,Producao!$A:$A,"&gt;="&amp;F138,Producao!$A:$A,"&lt;"&amp;IF(P138="",TODAY()+1,P138)),IF(D138=3,SUMIFS(Producao!$E:$E,Producao!$A:$A,"&gt;="&amp;F138,Producao!$A:$A,"&lt;"&amp;IF(P138="",TODAY()+1,P138)),SUMIFS(Producao!$B:$B,Producao!$A:$A,"&gt;="&amp;F138,Producao!$A:$A,"&lt;"&amp;IF(P138="",TODAY()+1,P138))))))))</f>
        <v/>
      </c>
      <c r="I138" s="34">
        <f>IF(OR(A138="",E138=""),"",E138-H138)</f>
        <v/>
      </c>
      <c r="J138" s="35">
        <f>IF(OR(A138="",N(E138)&lt;=0),"",H138/E138)</f>
        <v/>
      </c>
      <c r="K138" s="32">
        <f>IF(I138="","",IF(P138&lt;&gt;"","Saiu",IF(I138&lt;0,"Além da meta",IF(J138&gt;=Regras!$B$3,"Atenção","OK"))))</f>
        <v/>
      </c>
      <c r="L138" s="32" t="n"/>
      <c r="M138">
        <f>IF(OR(J138="",K138="Saiu"),-1,J138+ROW()/1000000000)</f>
        <v/>
      </c>
      <c r="N138" s="43" t="n"/>
      <c r="O138" s="43" t="n"/>
      <c r="P138" s="44">
        <f>IF(OR(A138="",B138="Molde",F138=""),"",IF(COUNTIFS(TrocasEquip!$B$2:$B$1000,A138,TrocasEquip!$A$2:$A$1000,"&gt;="&amp;F138)=0,"",_xlfn.MINIFS(TrocasEquip!$A$2:$A$1000,TrocasEquip!$B$2:$B$1000,A138,TrocasEquip!$A$2:$A$1000,"&gt;="&amp;F138)))</f>
        <v/>
      </c>
      <c r="Q138">
        <f>IF(AND(A138&lt;&gt;"",K138&lt;&gt;"Saiu"),ROW(),"")</f>
        <v/>
      </c>
    </row>
    <row r="139">
      <c r="A139" s="38" t="n"/>
      <c r="B139" s="39" t="n"/>
      <c r="C139" s="32">
        <f>IF(B139="","",IF(B139="Molde","corridas",IF(B139="Oscilador","dias","t")))</f>
        <v/>
      </c>
      <c r="D139" s="39" t="n"/>
      <c r="E139" s="45" t="n"/>
      <c r="F139" s="46" t="n"/>
      <c r="G139" s="45" t="n"/>
      <c r="H139" s="34">
        <f>IF(A139="","",IF(C139="corridas",SUMIFS(Historico!$E:$E,Historico!$B:$B,L139,Historico!$A:$A,SUMPRODUCT(MAX((Historico!$B$2:$B$5000=L139)*Historico!$A$2:$A$5000))),N(G139)+IF(F139="",0,IF(C139="dias",MAX(0,IF(P139="",TODAY(),P139)-F139),IF(D139=2,SUMIFS(Producao!$D:$D,Producao!$A:$A,"&gt;="&amp;F139,Producao!$A:$A,"&lt;"&amp;IF(P139="",TODAY()+1,P139)),IF(D139=3,SUMIFS(Producao!$E:$E,Producao!$A:$A,"&gt;="&amp;F139,Producao!$A:$A,"&lt;"&amp;IF(P139="",TODAY()+1,P139)),SUMIFS(Producao!$B:$B,Producao!$A:$A,"&gt;="&amp;F139,Producao!$A:$A,"&lt;"&amp;IF(P139="",TODAY()+1,P139))))))))</f>
        <v/>
      </c>
      <c r="I139" s="34">
        <f>IF(OR(A139="",E139=""),"",E139-H139)</f>
        <v/>
      </c>
      <c r="J139" s="35">
        <f>IF(OR(A139="",N(E139)&lt;=0),"",H139/E139)</f>
        <v/>
      </c>
      <c r="K139" s="32">
        <f>IF(I139="","",IF(P139&lt;&gt;"","Saiu",IF(I139&lt;0,"Além da meta",IF(J139&gt;=Regras!$B$3,"Atenção","OK"))))</f>
        <v/>
      </c>
      <c r="L139" s="32" t="n"/>
      <c r="M139">
        <f>IF(OR(J139="",K139="Saiu"),-1,J139+ROW()/1000000000)</f>
        <v/>
      </c>
      <c r="N139" s="43" t="n"/>
      <c r="O139" s="43" t="n"/>
      <c r="P139" s="44">
        <f>IF(OR(A139="",B139="Molde",F139=""),"",IF(COUNTIFS(TrocasEquip!$B$2:$B$1000,A139,TrocasEquip!$A$2:$A$1000,"&gt;="&amp;F139)=0,"",_xlfn.MINIFS(TrocasEquip!$A$2:$A$1000,TrocasEquip!$B$2:$B$1000,A139,TrocasEquip!$A$2:$A$1000,"&gt;="&amp;F139)))</f>
        <v/>
      </c>
      <c r="Q139">
        <f>IF(AND(A139&lt;&gt;"",K139&lt;&gt;"Saiu"),ROW(),"")</f>
        <v/>
      </c>
    </row>
    <row r="140">
      <c r="A140" s="38" t="n"/>
      <c r="B140" s="39" t="n"/>
      <c r="C140" s="32">
        <f>IF(B140="","",IF(B140="Molde","corridas",IF(B140="Oscilador","dias","t")))</f>
        <v/>
      </c>
      <c r="D140" s="39" t="n"/>
      <c r="E140" s="45" t="n"/>
      <c r="F140" s="46" t="n"/>
      <c r="G140" s="45" t="n"/>
      <c r="H140" s="34">
        <f>IF(A140="","",IF(C140="corridas",SUMIFS(Historico!$E:$E,Historico!$B:$B,L140,Historico!$A:$A,SUMPRODUCT(MAX((Historico!$B$2:$B$5000=L140)*Historico!$A$2:$A$5000))),N(G140)+IF(F140="",0,IF(C140="dias",MAX(0,IF(P140="",TODAY(),P140)-F140),IF(D140=2,SUMIFS(Producao!$D:$D,Producao!$A:$A,"&gt;="&amp;F140,Producao!$A:$A,"&lt;"&amp;IF(P140="",TODAY()+1,P140)),IF(D140=3,SUMIFS(Producao!$E:$E,Producao!$A:$A,"&gt;="&amp;F140,Producao!$A:$A,"&lt;"&amp;IF(P140="",TODAY()+1,P140)),SUMIFS(Producao!$B:$B,Producao!$A:$A,"&gt;="&amp;F140,Producao!$A:$A,"&lt;"&amp;IF(P140="",TODAY()+1,P140))))))))</f>
        <v/>
      </c>
      <c r="I140" s="34">
        <f>IF(OR(A140="",E140=""),"",E140-H140)</f>
        <v/>
      </c>
      <c r="J140" s="35">
        <f>IF(OR(A140="",N(E140)&lt;=0),"",H140/E140)</f>
        <v/>
      </c>
      <c r="K140" s="32">
        <f>IF(I140="","",IF(P140&lt;&gt;"","Saiu",IF(I140&lt;0,"Além da meta",IF(J140&gt;=Regras!$B$3,"Atenção","OK"))))</f>
        <v/>
      </c>
      <c r="L140" s="32" t="n"/>
      <c r="M140">
        <f>IF(OR(J140="",K140="Saiu"),-1,J140+ROW()/1000000000)</f>
        <v/>
      </c>
      <c r="N140" s="43" t="n"/>
      <c r="O140" s="43" t="n"/>
      <c r="P140" s="44">
        <f>IF(OR(A140="",B140="Molde",F140=""),"",IF(COUNTIFS(TrocasEquip!$B$2:$B$1000,A140,TrocasEquip!$A$2:$A$1000,"&gt;="&amp;F140)=0,"",_xlfn.MINIFS(TrocasEquip!$A$2:$A$1000,TrocasEquip!$B$2:$B$1000,A140,TrocasEquip!$A$2:$A$1000,"&gt;="&amp;F140)))</f>
        <v/>
      </c>
      <c r="Q140">
        <f>IF(AND(A140&lt;&gt;"",K140&lt;&gt;"Saiu"),ROW(),"")</f>
        <v/>
      </c>
    </row>
    <row r="141">
      <c r="A141" s="38" t="n"/>
      <c r="B141" s="39" t="n"/>
      <c r="C141" s="32">
        <f>IF(B141="","",IF(B141="Molde","corridas",IF(B141="Oscilador","dias","t")))</f>
        <v/>
      </c>
      <c r="D141" s="39" t="n"/>
      <c r="E141" s="45" t="n"/>
      <c r="F141" s="46" t="n"/>
      <c r="G141" s="45" t="n"/>
      <c r="H141" s="34">
        <f>IF(A141="","",IF(C141="corridas",SUMIFS(Historico!$E:$E,Historico!$B:$B,L141,Historico!$A:$A,SUMPRODUCT(MAX((Historico!$B$2:$B$5000=L141)*Historico!$A$2:$A$5000))),N(G141)+IF(F141="",0,IF(C141="dias",MAX(0,IF(P141="",TODAY(),P141)-F141),IF(D141=2,SUMIFS(Producao!$D:$D,Producao!$A:$A,"&gt;="&amp;F141,Producao!$A:$A,"&lt;"&amp;IF(P141="",TODAY()+1,P141)),IF(D141=3,SUMIFS(Producao!$E:$E,Producao!$A:$A,"&gt;="&amp;F141,Producao!$A:$A,"&lt;"&amp;IF(P141="",TODAY()+1,P141)),SUMIFS(Producao!$B:$B,Producao!$A:$A,"&gt;="&amp;F141,Producao!$A:$A,"&lt;"&amp;IF(P141="",TODAY()+1,P141))))))))</f>
        <v/>
      </c>
      <c r="I141" s="34">
        <f>IF(OR(A141="",E141=""),"",E141-H141)</f>
        <v/>
      </c>
      <c r="J141" s="35">
        <f>IF(OR(A141="",N(E141)&lt;=0),"",H141/E141)</f>
        <v/>
      </c>
      <c r="K141" s="32">
        <f>IF(I141="","",IF(P141&lt;&gt;"","Saiu",IF(I141&lt;0,"Além da meta",IF(J141&gt;=Regras!$B$3,"Atenção","OK"))))</f>
        <v/>
      </c>
      <c r="L141" s="32" t="n"/>
      <c r="M141">
        <f>IF(OR(J141="",K141="Saiu"),-1,J141+ROW()/1000000000)</f>
        <v/>
      </c>
      <c r="N141" s="43" t="n"/>
      <c r="O141" s="43" t="n"/>
      <c r="P141" s="44">
        <f>IF(OR(A141="",B141="Molde",F141=""),"",IF(COUNTIFS(TrocasEquip!$B$2:$B$1000,A141,TrocasEquip!$A$2:$A$1000,"&gt;="&amp;F141)=0,"",_xlfn.MINIFS(TrocasEquip!$A$2:$A$1000,TrocasEquip!$B$2:$B$1000,A141,TrocasEquip!$A$2:$A$1000,"&gt;="&amp;F141)))</f>
        <v/>
      </c>
      <c r="Q141">
        <f>IF(AND(A141&lt;&gt;"",K141&lt;&gt;"Saiu"),ROW(),"")</f>
        <v/>
      </c>
    </row>
    <row r="142">
      <c r="A142" s="38" t="n"/>
      <c r="B142" s="39" t="n"/>
      <c r="C142" s="32">
        <f>IF(B142="","",IF(B142="Molde","corridas",IF(B142="Oscilador","dias","t")))</f>
        <v/>
      </c>
      <c r="D142" s="39" t="n"/>
      <c r="E142" s="45" t="n"/>
      <c r="F142" s="46" t="n"/>
      <c r="G142" s="45" t="n"/>
      <c r="H142" s="34">
        <f>IF(A142="","",IF(C142="corridas",SUMIFS(Historico!$E:$E,Historico!$B:$B,L142,Historico!$A:$A,SUMPRODUCT(MAX((Historico!$B$2:$B$5000=L142)*Historico!$A$2:$A$5000))),N(G142)+IF(F142="",0,IF(C142="dias",MAX(0,IF(P142="",TODAY(),P142)-F142),IF(D142=2,SUMIFS(Producao!$D:$D,Producao!$A:$A,"&gt;="&amp;F142,Producao!$A:$A,"&lt;"&amp;IF(P142="",TODAY()+1,P142)),IF(D142=3,SUMIFS(Producao!$E:$E,Producao!$A:$A,"&gt;="&amp;F142,Producao!$A:$A,"&lt;"&amp;IF(P142="",TODAY()+1,P142)),SUMIFS(Producao!$B:$B,Producao!$A:$A,"&gt;="&amp;F142,Producao!$A:$A,"&lt;"&amp;IF(P142="",TODAY()+1,P142))))))))</f>
        <v/>
      </c>
      <c r="I142" s="34">
        <f>IF(OR(A142="",E142=""),"",E142-H142)</f>
        <v/>
      </c>
      <c r="J142" s="35">
        <f>IF(OR(A142="",N(E142)&lt;=0),"",H142/E142)</f>
        <v/>
      </c>
      <c r="K142" s="32">
        <f>IF(I142="","",IF(P142&lt;&gt;"","Saiu",IF(I142&lt;0,"Além da meta",IF(J142&gt;=Regras!$B$3,"Atenção","OK"))))</f>
        <v/>
      </c>
      <c r="L142" s="32" t="n"/>
      <c r="M142">
        <f>IF(OR(J142="",K142="Saiu"),-1,J142+ROW()/1000000000)</f>
        <v/>
      </c>
      <c r="N142" s="43" t="n"/>
      <c r="O142" s="43" t="n"/>
      <c r="P142" s="44">
        <f>IF(OR(A142="",B142="Molde",F142=""),"",IF(COUNTIFS(TrocasEquip!$B$2:$B$1000,A142,TrocasEquip!$A$2:$A$1000,"&gt;="&amp;F142)=0,"",_xlfn.MINIFS(TrocasEquip!$A$2:$A$1000,TrocasEquip!$B$2:$B$1000,A142,TrocasEquip!$A$2:$A$1000,"&gt;="&amp;F142)))</f>
        <v/>
      </c>
      <c r="Q142">
        <f>IF(AND(A142&lt;&gt;"",K142&lt;&gt;"Saiu"),ROW(),"")</f>
        <v/>
      </c>
    </row>
    <row r="143">
      <c r="A143" s="38" t="n"/>
      <c r="B143" s="39" t="n"/>
      <c r="C143" s="32">
        <f>IF(B143="","",IF(B143="Molde","corridas",IF(B143="Oscilador","dias","t")))</f>
        <v/>
      </c>
      <c r="D143" s="39" t="n"/>
      <c r="E143" s="45" t="n"/>
      <c r="F143" s="46" t="n"/>
      <c r="G143" s="45" t="n"/>
      <c r="H143" s="34">
        <f>IF(A143="","",IF(C143="corridas",SUMIFS(Historico!$E:$E,Historico!$B:$B,L143,Historico!$A:$A,SUMPRODUCT(MAX((Historico!$B$2:$B$5000=L143)*Historico!$A$2:$A$5000))),N(G143)+IF(F143="",0,IF(C143="dias",MAX(0,IF(P143="",TODAY(),P143)-F143),IF(D143=2,SUMIFS(Producao!$D:$D,Producao!$A:$A,"&gt;="&amp;F143,Producao!$A:$A,"&lt;"&amp;IF(P143="",TODAY()+1,P143)),IF(D143=3,SUMIFS(Producao!$E:$E,Producao!$A:$A,"&gt;="&amp;F143,Producao!$A:$A,"&lt;"&amp;IF(P143="",TODAY()+1,P143)),SUMIFS(Producao!$B:$B,Producao!$A:$A,"&gt;="&amp;F143,Producao!$A:$A,"&lt;"&amp;IF(P143="",TODAY()+1,P143))))))))</f>
        <v/>
      </c>
      <c r="I143" s="34">
        <f>IF(OR(A143="",E143=""),"",E143-H143)</f>
        <v/>
      </c>
      <c r="J143" s="35">
        <f>IF(OR(A143="",N(E143)&lt;=0),"",H143/E143)</f>
        <v/>
      </c>
      <c r="K143" s="32">
        <f>IF(I143="","",IF(P143&lt;&gt;"","Saiu",IF(I143&lt;0,"Além da meta",IF(J143&gt;=Regras!$B$3,"Atenção","OK"))))</f>
        <v/>
      </c>
      <c r="L143" s="32" t="n"/>
      <c r="M143">
        <f>IF(OR(J143="",K143="Saiu"),-1,J143+ROW()/1000000000)</f>
        <v/>
      </c>
      <c r="N143" s="43" t="n"/>
      <c r="O143" s="43" t="n"/>
      <c r="P143" s="44">
        <f>IF(OR(A143="",B143="Molde",F143=""),"",IF(COUNTIFS(TrocasEquip!$B$2:$B$1000,A143,TrocasEquip!$A$2:$A$1000,"&gt;="&amp;F143)=0,"",_xlfn.MINIFS(TrocasEquip!$A$2:$A$1000,TrocasEquip!$B$2:$B$1000,A143,TrocasEquip!$A$2:$A$1000,"&gt;="&amp;F143)))</f>
        <v/>
      </c>
      <c r="Q143">
        <f>IF(AND(A143&lt;&gt;"",K143&lt;&gt;"Saiu"),ROW(),"")</f>
        <v/>
      </c>
    </row>
    <row r="144">
      <c r="A144" s="38" t="n"/>
      <c r="B144" s="39" t="n"/>
      <c r="C144" s="32">
        <f>IF(B144="","",IF(B144="Molde","corridas",IF(B144="Oscilador","dias","t")))</f>
        <v/>
      </c>
      <c r="D144" s="39" t="n"/>
      <c r="E144" s="45" t="n"/>
      <c r="F144" s="46" t="n"/>
      <c r="G144" s="45" t="n"/>
      <c r="H144" s="34">
        <f>IF(A144="","",IF(C144="corridas",SUMIFS(Historico!$E:$E,Historico!$B:$B,L144,Historico!$A:$A,SUMPRODUCT(MAX((Historico!$B$2:$B$5000=L144)*Historico!$A$2:$A$5000))),N(G144)+IF(F144="",0,IF(C144="dias",MAX(0,IF(P144="",TODAY(),P144)-F144),IF(D144=2,SUMIFS(Producao!$D:$D,Producao!$A:$A,"&gt;="&amp;F144,Producao!$A:$A,"&lt;"&amp;IF(P144="",TODAY()+1,P144)),IF(D144=3,SUMIFS(Producao!$E:$E,Producao!$A:$A,"&gt;="&amp;F144,Producao!$A:$A,"&lt;"&amp;IF(P144="",TODAY()+1,P144)),SUMIFS(Producao!$B:$B,Producao!$A:$A,"&gt;="&amp;F144,Producao!$A:$A,"&lt;"&amp;IF(P144="",TODAY()+1,P144))))))))</f>
        <v/>
      </c>
      <c r="I144" s="34">
        <f>IF(OR(A144="",E144=""),"",E144-H144)</f>
        <v/>
      </c>
      <c r="J144" s="35">
        <f>IF(OR(A144="",N(E144)&lt;=0),"",H144/E144)</f>
        <v/>
      </c>
      <c r="K144" s="32">
        <f>IF(I144="","",IF(P144&lt;&gt;"","Saiu",IF(I144&lt;0,"Além da meta",IF(J144&gt;=Regras!$B$3,"Atenção","OK"))))</f>
        <v/>
      </c>
      <c r="L144" s="32" t="n"/>
      <c r="M144">
        <f>IF(OR(J144="",K144="Saiu"),-1,J144+ROW()/1000000000)</f>
        <v/>
      </c>
      <c r="N144" s="43" t="n"/>
      <c r="O144" s="43" t="n"/>
      <c r="P144" s="44">
        <f>IF(OR(A144="",B144="Molde",F144=""),"",IF(COUNTIFS(TrocasEquip!$B$2:$B$1000,A144,TrocasEquip!$A$2:$A$1000,"&gt;="&amp;F144)=0,"",_xlfn.MINIFS(TrocasEquip!$A$2:$A$1000,TrocasEquip!$B$2:$B$1000,A144,TrocasEquip!$A$2:$A$1000,"&gt;="&amp;F144)))</f>
        <v/>
      </c>
      <c r="Q144">
        <f>IF(AND(A144&lt;&gt;"",K144&lt;&gt;"Saiu"),ROW(),"")</f>
        <v/>
      </c>
    </row>
    <row r="145">
      <c r="A145" s="38" t="n"/>
      <c r="B145" s="39" t="n"/>
      <c r="C145" s="32">
        <f>IF(B145="","",IF(B145="Molde","corridas",IF(B145="Oscilador","dias","t")))</f>
        <v/>
      </c>
      <c r="D145" s="39" t="n"/>
      <c r="E145" s="45" t="n"/>
      <c r="F145" s="46" t="n"/>
      <c r="G145" s="45" t="n"/>
      <c r="H145" s="34">
        <f>IF(A145="","",IF(C145="corridas",SUMIFS(Historico!$E:$E,Historico!$B:$B,L145,Historico!$A:$A,SUMPRODUCT(MAX((Historico!$B$2:$B$5000=L145)*Historico!$A$2:$A$5000))),N(G145)+IF(F145="",0,IF(C145="dias",MAX(0,IF(P145="",TODAY(),P145)-F145),IF(D145=2,SUMIFS(Producao!$D:$D,Producao!$A:$A,"&gt;="&amp;F145,Producao!$A:$A,"&lt;"&amp;IF(P145="",TODAY()+1,P145)),IF(D145=3,SUMIFS(Producao!$E:$E,Producao!$A:$A,"&gt;="&amp;F145,Producao!$A:$A,"&lt;"&amp;IF(P145="",TODAY()+1,P145)),SUMIFS(Producao!$B:$B,Producao!$A:$A,"&gt;="&amp;F145,Producao!$A:$A,"&lt;"&amp;IF(P145="",TODAY()+1,P145))))))))</f>
        <v/>
      </c>
      <c r="I145" s="34">
        <f>IF(OR(A145="",E145=""),"",E145-H145)</f>
        <v/>
      </c>
      <c r="J145" s="35">
        <f>IF(OR(A145="",N(E145)&lt;=0),"",H145/E145)</f>
        <v/>
      </c>
      <c r="K145" s="32">
        <f>IF(I145="","",IF(P145&lt;&gt;"","Saiu",IF(I145&lt;0,"Além da meta",IF(J145&gt;=Regras!$B$3,"Atenção","OK"))))</f>
        <v/>
      </c>
      <c r="L145" s="32" t="n"/>
      <c r="M145">
        <f>IF(OR(J145="",K145="Saiu"),-1,J145+ROW()/1000000000)</f>
        <v/>
      </c>
      <c r="N145" s="43" t="n"/>
      <c r="O145" s="43" t="n"/>
      <c r="P145" s="44">
        <f>IF(OR(A145="",B145="Molde",F145=""),"",IF(COUNTIFS(TrocasEquip!$B$2:$B$1000,A145,TrocasEquip!$A$2:$A$1000,"&gt;="&amp;F145)=0,"",_xlfn.MINIFS(TrocasEquip!$A$2:$A$1000,TrocasEquip!$B$2:$B$1000,A145,TrocasEquip!$A$2:$A$1000,"&gt;="&amp;F145)))</f>
        <v/>
      </c>
      <c r="Q145">
        <f>IF(AND(A145&lt;&gt;"",K145&lt;&gt;"Saiu"),ROW(),"")</f>
        <v/>
      </c>
    </row>
    <row r="146">
      <c r="A146" s="38" t="n"/>
      <c r="B146" s="39" t="n"/>
      <c r="C146" s="32">
        <f>IF(B146="","",IF(B146="Molde","corridas",IF(B146="Oscilador","dias","t")))</f>
        <v/>
      </c>
      <c r="D146" s="39" t="n"/>
      <c r="E146" s="45" t="n"/>
      <c r="F146" s="46" t="n"/>
      <c r="G146" s="45" t="n"/>
      <c r="H146" s="34">
        <f>IF(A146="","",IF(C146="corridas",SUMIFS(Historico!$E:$E,Historico!$B:$B,L146,Historico!$A:$A,SUMPRODUCT(MAX((Historico!$B$2:$B$5000=L146)*Historico!$A$2:$A$5000))),N(G146)+IF(F146="",0,IF(C146="dias",MAX(0,IF(P146="",TODAY(),P146)-F146),IF(D146=2,SUMIFS(Producao!$D:$D,Producao!$A:$A,"&gt;="&amp;F146,Producao!$A:$A,"&lt;"&amp;IF(P146="",TODAY()+1,P146)),IF(D146=3,SUMIFS(Producao!$E:$E,Producao!$A:$A,"&gt;="&amp;F146,Producao!$A:$A,"&lt;"&amp;IF(P146="",TODAY()+1,P146)),SUMIFS(Producao!$B:$B,Producao!$A:$A,"&gt;="&amp;F146,Producao!$A:$A,"&lt;"&amp;IF(P146="",TODAY()+1,P146))))))))</f>
        <v/>
      </c>
      <c r="I146" s="34">
        <f>IF(OR(A146="",E146=""),"",E146-H146)</f>
        <v/>
      </c>
      <c r="J146" s="35">
        <f>IF(OR(A146="",N(E146)&lt;=0),"",H146/E146)</f>
        <v/>
      </c>
      <c r="K146" s="32">
        <f>IF(I146="","",IF(P146&lt;&gt;"","Saiu",IF(I146&lt;0,"Além da meta",IF(J146&gt;=Regras!$B$3,"Atenção","OK"))))</f>
        <v/>
      </c>
      <c r="L146" s="32" t="n"/>
      <c r="M146">
        <f>IF(OR(J146="",K146="Saiu"),-1,J146+ROW()/1000000000)</f>
        <v/>
      </c>
      <c r="N146" s="43" t="n"/>
      <c r="O146" s="43" t="n"/>
      <c r="P146" s="44">
        <f>IF(OR(A146="",B146="Molde",F146=""),"",IF(COUNTIFS(TrocasEquip!$B$2:$B$1000,A146,TrocasEquip!$A$2:$A$1000,"&gt;="&amp;F146)=0,"",_xlfn.MINIFS(TrocasEquip!$A$2:$A$1000,TrocasEquip!$B$2:$B$1000,A146,TrocasEquip!$A$2:$A$1000,"&gt;="&amp;F146)))</f>
        <v/>
      </c>
      <c r="Q146">
        <f>IF(AND(A146&lt;&gt;"",K146&lt;&gt;"Saiu"),ROW(),"")</f>
        <v/>
      </c>
    </row>
    <row r="147">
      <c r="A147" s="38" t="n"/>
      <c r="B147" s="39" t="n"/>
      <c r="C147" s="32">
        <f>IF(B147="","",IF(B147="Molde","corridas",IF(B147="Oscilador","dias","t")))</f>
        <v/>
      </c>
      <c r="D147" s="39" t="n"/>
      <c r="E147" s="45" t="n"/>
      <c r="F147" s="46" t="n"/>
      <c r="G147" s="45" t="n"/>
      <c r="H147" s="34">
        <f>IF(A147="","",IF(C147="corridas",SUMIFS(Historico!$E:$E,Historico!$B:$B,L147,Historico!$A:$A,SUMPRODUCT(MAX((Historico!$B$2:$B$5000=L147)*Historico!$A$2:$A$5000))),N(G147)+IF(F147="",0,IF(C147="dias",MAX(0,IF(P147="",TODAY(),P147)-F147),IF(D147=2,SUMIFS(Producao!$D:$D,Producao!$A:$A,"&gt;="&amp;F147,Producao!$A:$A,"&lt;"&amp;IF(P147="",TODAY()+1,P147)),IF(D147=3,SUMIFS(Producao!$E:$E,Producao!$A:$A,"&gt;="&amp;F147,Producao!$A:$A,"&lt;"&amp;IF(P147="",TODAY()+1,P147)),SUMIFS(Producao!$B:$B,Producao!$A:$A,"&gt;="&amp;F147,Producao!$A:$A,"&lt;"&amp;IF(P147="",TODAY()+1,P147))))))))</f>
        <v/>
      </c>
      <c r="I147" s="34">
        <f>IF(OR(A147="",E147=""),"",E147-H147)</f>
        <v/>
      </c>
      <c r="J147" s="35">
        <f>IF(OR(A147="",N(E147)&lt;=0),"",H147/E147)</f>
        <v/>
      </c>
      <c r="K147" s="32">
        <f>IF(I147="","",IF(P147&lt;&gt;"","Saiu",IF(I147&lt;0,"Além da meta",IF(J147&gt;=Regras!$B$3,"Atenção","OK"))))</f>
        <v/>
      </c>
      <c r="L147" s="32" t="n"/>
      <c r="M147">
        <f>IF(OR(J147="",K147="Saiu"),-1,J147+ROW()/1000000000)</f>
        <v/>
      </c>
      <c r="N147" s="43" t="n"/>
      <c r="O147" s="43" t="n"/>
      <c r="P147" s="44">
        <f>IF(OR(A147="",B147="Molde",F147=""),"",IF(COUNTIFS(TrocasEquip!$B$2:$B$1000,A147,TrocasEquip!$A$2:$A$1000,"&gt;="&amp;F147)=0,"",_xlfn.MINIFS(TrocasEquip!$A$2:$A$1000,TrocasEquip!$B$2:$B$1000,A147,TrocasEquip!$A$2:$A$1000,"&gt;="&amp;F147)))</f>
        <v/>
      </c>
      <c r="Q147">
        <f>IF(AND(A147&lt;&gt;"",K147&lt;&gt;"Saiu"),ROW(),"")</f>
        <v/>
      </c>
    </row>
    <row r="148">
      <c r="A148" s="38" t="n"/>
      <c r="B148" s="39" t="n"/>
      <c r="C148" s="32">
        <f>IF(B148="","",IF(B148="Molde","corridas",IF(B148="Oscilador","dias","t")))</f>
        <v/>
      </c>
      <c r="D148" s="39" t="n"/>
      <c r="E148" s="45" t="n"/>
      <c r="F148" s="46" t="n"/>
      <c r="G148" s="45" t="n"/>
      <c r="H148" s="34">
        <f>IF(A148="","",IF(C148="corridas",SUMIFS(Historico!$E:$E,Historico!$B:$B,L148,Historico!$A:$A,SUMPRODUCT(MAX((Historico!$B$2:$B$5000=L148)*Historico!$A$2:$A$5000))),N(G148)+IF(F148="",0,IF(C148="dias",MAX(0,IF(P148="",TODAY(),P148)-F148),IF(D148=2,SUMIFS(Producao!$D:$D,Producao!$A:$A,"&gt;="&amp;F148,Producao!$A:$A,"&lt;"&amp;IF(P148="",TODAY()+1,P148)),IF(D148=3,SUMIFS(Producao!$E:$E,Producao!$A:$A,"&gt;="&amp;F148,Producao!$A:$A,"&lt;"&amp;IF(P148="",TODAY()+1,P148)),SUMIFS(Producao!$B:$B,Producao!$A:$A,"&gt;="&amp;F148,Producao!$A:$A,"&lt;"&amp;IF(P148="",TODAY()+1,P148))))))))</f>
        <v/>
      </c>
      <c r="I148" s="34">
        <f>IF(OR(A148="",E148=""),"",E148-H148)</f>
        <v/>
      </c>
      <c r="J148" s="35">
        <f>IF(OR(A148="",N(E148)&lt;=0),"",H148/E148)</f>
        <v/>
      </c>
      <c r="K148" s="32">
        <f>IF(I148="","",IF(P148&lt;&gt;"","Saiu",IF(I148&lt;0,"Além da meta",IF(J148&gt;=Regras!$B$3,"Atenção","OK"))))</f>
        <v/>
      </c>
      <c r="L148" s="32" t="n"/>
      <c r="M148">
        <f>IF(OR(J148="",K148="Saiu"),-1,J148+ROW()/1000000000)</f>
        <v/>
      </c>
      <c r="N148" s="43" t="n"/>
      <c r="O148" s="43" t="n"/>
      <c r="P148" s="44">
        <f>IF(OR(A148="",B148="Molde",F148=""),"",IF(COUNTIFS(TrocasEquip!$B$2:$B$1000,A148,TrocasEquip!$A$2:$A$1000,"&gt;="&amp;F148)=0,"",_xlfn.MINIFS(TrocasEquip!$A$2:$A$1000,TrocasEquip!$B$2:$B$1000,A148,TrocasEquip!$A$2:$A$1000,"&gt;="&amp;F148)))</f>
        <v/>
      </c>
      <c r="Q148">
        <f>IF(AND(A148&lt;&gt;"",K148&lt;&gt;"Saiu"),ROW(),"")</f>
        <v/>
      </c>
    </row>
    <row r="149">
      <c r="A149" s="38" t="n"/>
      <c r="B149" s="39" t="n"/>
      <c r="C149" s="32">
        <f>IF(B149="","",IF(B149="Molde","corridas",IF(B149="Oscilador","dias","t")))</f>
        <v/>
      </c>
      <c r="D149" s="39" t="n"/>
      <c r="E149" s="45" t="n"/>
      <c r="F149" s="46" t="n"/>
      <c r="G149" s="45" t="n"/>
      <c r="H149" s="34">
        <f>IF(A149="","",IF(C149="corridas",SUMIFS(Historico!$E:$E,Historico!$B:$B,L149,Historico!$A:$A,SUMPRODUCT(MAX((Historico!$B$2:$B$5000=L149)*Historico!$A$2:$A$5000))),N(G149)+IF(F149="",0,IF(C149="dias",MAX(0,IF(P149="",TODAY(),P149)-F149),IF(D149=2,SUMIFS(Producao!$D:$D,Producao!$A:$A,"&gt;="&amp;F149,Producao!$A:$A,"&lt;"&amp;IF(P149="",TODAY()+1,P149)),IF(D149=3,SUMIFS(Producao!$E:$E,Producao!$A:$A,"&gt;="&amp;F149,Producao!$A:$A,"&lt;"&amp;IF(P149="",TODAY()+1,P149)),SUMIFS(Producao!$B:$B,Producao!$A:$A,"&gt;="&amp;F149,Producao!$A:$A,"&lt;"&amp;IF(P149="",TODAY()+1,P149))))))))</f>
        <v/>
      </c>
      <c r="I149" s="34">
        <f>IF(OR(A149="",E149=""),"",E149-H149)</f>
        <v/>
      </c>
      <c r="J149" s="35">
        <f>IF(OR(A149="",N(E149)&lt;=0),"",H149/E149)</f>
        <v/>
      </c>
      <c r="K149" s="32">
        <f>IF(I149="","",IF(P149&lt;&gt;"","Saiu",IF(I149&lt;0,"Além da meta",IF(J149&gt;=Regras!$B$3,"Atenção","OK"))))</f>
        <v/>
      </c>
      <c r="L149" s="32" t="n"/>
      <c r="M149">
        <f>IF(OR(J149="",K149="Saiu"),-1,J149+ROW()/1000000000)</f>
        <v/>
      </c>
      <c r="N149" s="43" t="n"/>
      <c r="O149" s="43" t="n"/>
      <c r="P149" s="44">
        <f>IF(OR(A149="",B149="Molde",F149=""),"",IF(COUNTIFS(TrocasEquip!$B$2:$B$1000,A149,TrocasEquip!$A$2:$A$1000,"&gt;="&amp;F149)=0,"",_xlfn.MINIFS(TrocasEquip!$A$2:$A$1000,TrocasEquip!$B$2:$B$1000,A149,TrocasEquip!$A$2:$A$1000,"&gt;="&amp;F149)))</f>
        <v/>
      </c>
      <c r="Q149">
        <f>IF(AND(A149&lt;&gt;"",K149&lt;&gt;"Saiu"),ROW(),"")</f>
        <v/>
      </c>
    </row>
    <row r="150">
      <c r="A150" s="38" t="n"/>
      <c r="B150" s="39" t="n"/>
      <c r="C150" s="32">
        <f>IF(B150="","",IF(B150="Molde","corridas",IF(B150="Oscilador","dias","t")))</f>
        <v/>
      </c>
      <c r="D150" s="39" t="n"/>
      <c r="E150" s="45" t="n"/>
      <c r="F150" s="46" t="n"/>
      <c r="G150" s="45" t="n"/>
      <c r="H150" s="34">
        <f>IF(A150="","",IF(C150="corridas",SUMIFS(Historico!$E:$E,Historico!$B:$B,L150,Historico!$A:$A,SUMPRODUCT(MAX((Historico!$B$2:$B$5000=L150)*Historico!$A$2:$A$5000))),N(G150)+IF(F150="",0,IF(C150="dias",MAX(0,IF(P150="",TODAY(),P150)-F150),IF(D150=2,SUMIFS(Producao!$D:$D,Producao!$A:$A,"&gt;="&amp;F150,Producao!$A:$A,"&lt;"&amp;IF(P150="",TODAY()+1,P150)),IF(D150=3,SUMIFS(Producao!$E:$E,Producao!$A:$A,"&gt;="&amp;F150,Producao!$A:$A,"&lt;"&amp;IF(P150="",TODAY()+1,P150)),SUMIFS(Producao!$B:$B,Producao!$A:$A,"&gt;="&amp;F150,Producao!$A:$A,"&lt;"&amp;IF(P150="",TODAY()+1,P150))))))))</f>
        <v/>
      </c>
      <c r="I150" s="34">
        <f>IF(OR(A150="",E150=""),"",E150-H150)</f>
        <v/>
      </c>
      <c r="J150" s="35">
        <f>IF(OR(A150="",N(E150)&lt;=0),"",H150/E150)</f>
        <v/>
      </c>
      <c r="K150" s="32">
        <f>IF(I150="","",IF(P150&lt;&gt;"","Saiu",IF(I150&lt;0,"Além da meta",IF(J150&gt;=Regras!$B$3,"Atenção","OK"))))</f>
        <v/>
      </c>
      <c r="L150" s="32" t="n"/>
      <c r="M150">
        <f>IF(OR(J150="",K150="Saiu"),-1,J150+ROW()/1000000000)</f>
        <v/>
      </c>
      <c r="N150" s="43" t="n"/>
      <c r="O150" s="43" t="n"/>
      <c r="P150" s="44">
        <f>IF(OR(A150="",B150="Molde",F150=""),"",IF(COUNTIFS(TrocasEquip!$B$2:$B$1000,A150,TrocasEquip!$A$2:$A$1000,"&gt;="&amp;F150)=0,"",_xlfn.MINIFS(TrocasEquip!$A$2:$A$1000,TrocasEquip!$B$2:$B$1000,A150,TrocasEquip!$A$2:$A$1000,"&gt;="&amp;F150)))</f>
        <v/>
      </c>
      <c r="Q150">
        <f>IF(AND(A150&lt;&gt;"",K150&lt;&gt;"Saiu"),ROW(),"")</f>
        <v/>
      </c>
    </row>
    <row r="151">
      <c r="A151" s="38" t="n"/>
      <c r="B151" s="39" t="n"/>
      <c r="C151" s="32">
        <f>IF(B151="","",IF(B151="Molde","corridas",IF(B151="Oscilador","dias","t")))</f>
        <v/>
      </c>
      <c r="D151" s="39" t="n"/>
      <c r="E151" s="45" t="n"/>
      <c r="F151" s="46" t="n"/>
      <c r="G151" s="45" t="n"/>
      <c r="H151" s="34">
        <f>IF(A151="","",IF(C151="corridas",SUMIFS(Historico!$E:$E,Historico!$B:$B,L151,Historico!$A:$A,SUMPRODUCT(MAX((Historico!$B$2:$B$5000=L151)*Historico!$A$2:$A$5000))),N(G151)+IF(F151="",0,IF(C151="dias",MAX(0,IF(P151="",TODAY(),P151)-F151),IF(D151=2,SUMIFS(Producao!$D:$D,Producao!$A:$A,"&gt;="&amp;F151,Producao!$A:$A,"&lt;"&amp;IF(P151="",TODAY()+1,P151)),IF(D151=3,SUMIFS(Producao!$E:$E,Producao!$A:$A,"&gt;="&amp;F151,Producao!$A:$A,"&lt;"&amp;IF(P151="",TODAY()+1,P151)),SUMIFS(Producao!$B:$B,Producao!$A:$A,"&gt;="&amp;F151,Producao!$A:$A,"&lt;"&amp;IF(P151="",TODAY()+1,P151))))))))</f>
        <v/>
      </c>
      <c r="I151" s="34">
        <f>IF(OR(A151="",E151=""),"",E151-H151)</f>
        <v/>
      </c>
      <c r="J151" s="35">
        <f>IF(OR(A151="",N(E151)&lt;=0),"",H151/E151)</f>
        <v/>
      </c>
      <c r="K151" s="32">
        <f>IF(I151="","",IF(P151&lt;&gt;"","Saiu",IF(I151&lt;0,"Além da meta",IF(J151&gt;=Regras!$B$3,"Atenção","OK"))))</f>
        <v/>
      </c>
      <c r="L151" s="32" t="n"/>
      <c r="M151">
        <f>IF(OR(J151="",K151="Saiu"),-1,J151+ROW()/1000000000)</f>
        <v/>
      </c>
      <c r="N151" s="43" t="n"/>
      <c r="O151" s="43" t="n"/>
      <c r="P151" s="44">
        <f>IF(OR(A151="",B151="Molde",F151=""),"",IF(COUNTIFS(TrocasEquip!$B$2:$B$1000,A151,TrocasEquip!$A$2:$A$1000,"&gt;="&amp;F151)=0,"",_xlfn.MINIFS(TrocasEquip!$A$2:$A$1000,TrocasEquip!$B$2:$B$1000,A151,TrocasEquip!$A$2:$A$1000,"&gt;="&amp;F151)))</f>
        <v/>
      </c>
      <c r="Q151">
        <f>IF(AND(A151&lt;&gt;"",K151&lt;&gt;"Saiu"),ROW(),"")</f>
        <v/>
      </c>
    </row>
    <row r="152">
      <c r="A152" s="38" t="n"/>
      <c r="B152" s="39" t="n"/>
      <c r="C152" s="32">
        <f>IF(B152="","",IF(B152="Molde","corridas",IF(B152="Oscilador","dias","t")))</f>
        <v/>
      </c>
      <c r="D152" s="39" t="n"/>
      <c r="E152" s="45" t="n"/>
      <c r="F152" s="46" t="n"/>
      <c r="G152" s="45" t="n"/>
      <c r="H152" s="34">
        <f>IF(A152="","",IF(C152="corridas",SUMIFS(Historico!$E:$E,Historico!$B:$B,L152,Historico!$A:$A,SUMPRODUCT(MAX((Historico!$B$2:$B$5000=L152)*Historico!$A$2:$A$5000))),N(G152)+IF(F152="",0,IF(C152="dias",MAX(0,IF(P152="",TODAY(),P152)-F152),IF(D152=2,SUMIFS(Producao!$D:$D,Producao!$A:$A,"&gt;="&amp;F152,Producao!$A:$A,"&lt;"&amp;IF(P152="",TODAY()+1,P152)),IF(D152=3,SUMIFS(Producao!$E:$E,Producao!$A:$A,"&gt;="&amp;F152,Producao!$A:$A,"&lt;"&amp;IF(P152="",TODAY()+1,P152)),SUMIFS(Producao!$B:$B,Producao!$A:$A,"&gt;="&amp;F152,Producao!$A:$A,"&lt;"&amp;IF(P152="",TODAY()+1,P152))))))))</f>
        <v/>
      </c>
      <c r="I152" s="34">
        <f>IF(OR(A152="",E152=""),"",E152-H152)</f>
        <v/>
      </c>
      <c r="J152" s="35">
        <f>IF(OR(A152="",N(E152)&lt;=0),"",H152/E152)</f>
        <v/>
      </c>
      <c r="K152" s="32">
        <f>IF(I152="","",IF(P152&lt;&gt;"","Saiu",IF(I152&lt;0,"Além da meta",IF(J152&gt;=Regras!$B$3,"Atenção","OK"))))</f>
        <v/>
      </c>
      <c r="L152" s="32" t="n"/>
      <c r="M152">
        <f>IF(OR(J152="",K152="Saiu"),-1,J152+ROW()/1000000000)</f>
        <v/>
      </c>
      <c r="N152" s="43" t="n"/>
      <c r="O152" s="43" t="n"/>
      <c r="P152" s="44">
        <f>IF(OR(A152="",B152="Molde",F152=""),"",IF(COUNTIFS(TrocasEquip!$B$2:$B$1000,A152,TrocasEquip!$A$2:$A$1000,"&gt;="&amp;F152)=0,"",_xlfn.MINIFS(TrocasEquip!$A$2:$A$1000,TrocasEquip!$B$2:$B$1000,A152,TrocasEquip!$A$2:$A$1000,"&gt;="&amp;F152)))</f>
        <v/>
      </c>
      <c r="Q152">
        <f>IF(AND(A152&lt;&gt;"",K152&lt;&gt;"Saiu"),ROW(),"")</f>
        <v/>
      </c>
    </row>
    <row r="153">
      <c r="A153" s="38" t="n"/>
      <c r="B153" s="39" t="n"/>
      <c r="C153" s="32">
        <f>IF(B153="","",IF(B153="Molde","corridas",IF(B153="Oscilador","dias","t")))</f>
        <v/>
      </c>
      <c r="D153" s="39" t="n"/>
      <c r="E153" s="45" t="n"/>
      <c r="F153" s="46" t="n"/>
      <c r="G153" s="45" t="n"/>
      <c r="H153" s="34">
        <f>IF(A153="","",IF(C153="corridas",SUMIFS(Historico!$E:$E,Historico!$B:$B,L153,Historico!$A:$A,SUMPRODUCT(MAX((Historico!$B$2:$B$5000=L153)*Historico!$A$2:$A$5000))),N(G153)+IF(F153="",0,IF(C153="dias",MAX(0,IF(P153="",TODAY(),P153)-F153),IF(D153=2,SUMIFS(Producao!$D:$D,Producao!$A:$A,"&gt;="&amp;F153,Producao!$A:$A,"&lt;"&amp;IF(P153="",TODAY()+1,P153)),IF(D153=3,SUMIFS(Producao!$E:$E,Producao!$A:$A,"&gt;="&amp;F153,Producao!$A:$A,"&lt;"&amp;IF(P153="",TODAY()+1,P153)),SUMIFS(Producao!$B:$B,Producao!$A:$A,"&gt;="&amp;F153,Producao!$A:$A,"&lt;"&amp;IF(P153="",TODAY()+1,P153))))))))</f>
        <v/>
      </c>
      <c r="I153" s="34">
        <f>IF(OR(A153="",E153=""),"",E153-H153)</f>
        <v/>
      </c>
      <c r="J153" s="35">
        <f>IF(OR(A153="",N(E153)&lt;=0),"",H153/E153)</f>
        <v/>
      </c>
      <c r="K153" s="32">
        <f>IF(I153="","",IF(P153&lt;&gt;"","Saiu",IF(I153&lt;0,"Além da meta",IF(J153&gt;=Regras!$B$3,"Atenção","OK"))))</f>
        <v/>
      </c>
      <c r="L153" s="32" t="n"/>
      <c r="M153">
        <f>IF(OR(J153="",K153="Saiu"),-1,J153+ROW()/1000000000)</f>
        <v/>
      </c>
      <c r="N153" s="43" t="n"/>
      <c r="O153" s="43" t="n"/>
      <c r="P153" s="44">
        <f>IF(OR(A153="",B153="Molde",F153=""),"",IF(COUNTIFS(TrocasEquip!$B$2:$B$1000,A153,TrocasEquip!$A$2:$A$1000,"&gt;="&amp;F153)=0,"",_xlfn.MINIFS(TrocasEquip!$A$2:$A$1000,TrocasEquip!$B$2:$B$1000,A153,TrocasEquip!$A$2:$A$1000,"&gt;="&amp;F153)))</f>
        <v/>
      </c>
      <c r="Q153">
        <f>IF(AND(A153&lt;&gt;"",K153&lt;&gt;"Saiu"),ROW(),"")</f>
        <v/>
      </c>
    </row>
    <row r="154">
      <c r="A154" s="38" t="n"/>
      <c r="B154" s="39" t="n"/>
      <c r="C154" s="32">
        <f>IF(B154="","",IF(B154="Molde","corridas",IF(B154="Oscilador","dias","t")))</f>
        <v/>
      </c>
      <c r="D154" s="39" t="n"/>
      <c r="E154" s="45" t="n"/>
      <c r="F154" s="46" t="n"/>
      <c r="G154" s="45" t="n"/>
      <c r="H154" s="34">
        <f>IF(A154="","",IF(C154="corridas",SUMIFS(Historico!$E:$E,Historico!$B:$B,L154,Historico!$A:$A,SUMPRODUCT(MAX((Historico!$B$2:$B$5000=L154)*Historico!$A$2:$A$5000))),N(G154)+IF(F154="",0,IF(C154="dias",MAX(0,IF(P154="",TODAY(),P154)-F154),IF(D154=2,SUMIFS(Producao!$D:$D,Producao!$A:$A,"&gt;="&amp;F154,Producao!$A:$A,"&lt;"&amp;IF(P154="",TODAY()+1,P154)),IF(D154=3,SUMIFS(Producao!$E:$E,Producao!$A:$A,"&gt;="&amp;F154,Producao!$A:$A,"&lt;"&amp;IF(P154="",TODAY()+1,P154)),SUMIFS(Producao!$B:$B,Producao!$A:$A,"&gt;="&amp;F154,Producao!$A:$A,"&lt;"&amp;IF(P154="",TODAY()+1,P154))))))))</f>
        <v/>
      </c>
      <c r="I154" s="34">
        <f>IF(OR(A154="",E154=""),"",E154-H154)</f>
        <v/>
      </c>
      <c r="J154" s="35">
        <f>IF(OR(A154="",N(E154)&lt;=0),"",H154/E154)</f>
        <v/>
      </c>
      <c r="K154" s="32">
        <f>IF(I154="","",IF(P154&lt;&gt;"","Saiu",IF(I154&lt;0,"Além da meta",IF(J154&gt;=Regras!$B$3,"Atenção","OK"))))</f>
        <v/>
      </c>
      <c r="L154" s="32" t="n"/>
      <c r="M154">
        <f>IF(OR(J154="",K154="Saiu"),-1,J154+ROW()/1000000000)</f>
        <v/>
      </c>
      <c r="N154" s="43" t="n"/>
      <c r="O154" s="43" t="n"/>
      <c r="P154" s="44">
        <f>IF(OR(A154="",B154="Molde",F154=""),"",IF(COUNTIFS(TrocasEquip!$B$2:$B$1000,A154,TrocasEquip!$A$2:$A$1000,"&gt;="&amp;F154)=0,"",_xlfn.MINIFS(TrocasEquip!$A$2:$A$1000,TrocasEquip!$B$2:$B$1000,A154,TrocasEquip!$A$2:$A$1000,"&gt;="&amp;F154)))</f>
        <v/>
      </c>
      <c r="Q154">
        <f>IF(AND(A154&lt;&gt;"",K154&lt;&gt;"Saiu"),ROW(),"")</f>
        <v/>
      </c>
    </row>
    <row r="155">
      <c r="A155" s="38" t="n"/>
      <c r="B155" s="39" t="n"/>
      <c r="C155" s="32">
        <f>IF(B155="","",IF(B155="Molde","corridas",IF(B155="Oscilador","dias","t")))</f>
        <v/>
      </c>
      <c r="D155" s="39" t="n"/>
      <c r="E155" s="45" t="n"/>
      <c r="F155" s="46" t="n"/>
      <c r="G155" s="45" t="n"/>
      <c r="H155" s="34">
        <f>IF(A155="","",IF(C155="corridas",SUMIFS(Historico!$E:$E,Historico!$B:$B,L155,Historico!$A:$A,SUMPRODUCT(MAX((Historico!$B$2:$B$5000=L155)*Historico!$A$2:$A$5000))),N(G155)+IF(F155="",0,IF(C155="dias",MAX(0,IF(P155="",TODAY(),P155)-F155),IF(D155=2,SUMIFS(Producao!$D:$D,Producao!$A:$A,"&gt;="&amp;F155,Producao!$A:$A,"&lt;"&amp;IF(P155="",TODAY()+1,P155)),IF(D155=3,SUMIFS(Producao!$E:$E,Producao!$A:$A,"&gt;="&amp;F155,Producao!$A:$A,"&lt;"&amp;IF(P155="",TODAY()+1,P155)),SUMIFS(Producao!$B:$B,Producao!$A:$A,"&gt;="&amp;F155,Producao!$A:$A,"&lt;"&amp;IF(P155="",TODAY()+1,P155))))))))</f>
        <v/>
      </c>
      <c r="I155" s="34">
        <f>IF(OR(A155="",E155=""),"",E155-H155)</f>
        <v/>
      </c>
      <c r="J155" s="35">
        <f>IF(OR(A155="",N(E155)&lt;=0),"",H155/E155)</f>
        <v/>
      </c>
      <c r="K155" s="32">
        <f>IF(I155="","",IF(P155&lt;&gt;"","Saiu",IF(I155&lt;0,"Além da meta",IF(J155&gt;=Regras!$B$3,"Atenção","OK"))))</f>
        <v/>
      </c>
      <c r="L155" s="32" t="n"/>
      <c r="M155">
        <f>IF(OR(J155="",K155="Saiu"),-1,J155+ROW()/1000000000)</f>
        <v/>
      </c>
      <c r="N155" s="43" t="n"/>
      <c r="O155" s="43" t="n"/>
      <c r="P155" s="44">
        <f>IF(OR(A155="",B155="Molde",F155=""),"",IF(COUNTIFS(TrocasEquip!$B$2:$B$1000,A155,TrocasEquip!$A$2:$A$1000,"&gt;="&amp;F155)=0,"",_xlfn.MINIFS(TrocasEquip!$A$2:$A$1000,TrocasEquip!$B$2:$B$1000,A155,TrocasEquip!$A$2:$A$1000,"&gt;="&amp;F155)))</f>
        <v/>
      </c>
      <c r="Q155">
        <f>IF(AND(A155&lt;&gt;"",K155&lt;&gt;"Saiu"),ROW(),"")</f>
        <v/>
      </c>
    </row>
    <row r="156">
      <c r="A156" s="38" t="n"/>
      <c r="B156" s="39" t="n"/>
      <c r="C156" s="32">
        <f>IF(B156="","",IF(B156="Molde","corridas",IF(B156="Oscilador","dias","t")))</f>
        <v/>
      </c>
      <c r="D156" s="39" t="n"/>
      <c r="E156" s="45" t="n"/>
      <c r="F156" s="46" t="n"/>
      <c r="G156" s="45" t="n"/>
      <c r="H156" s="34">
        <f>IF(A156="","",IF(C156="corridas",SUMIFS(Historico!$E:$E,Historico!$B:$B,L156,Historico!$A:$A,SUMPRODUCT(MAX((Historico!$B$2:$B$5000=L156)*Historico!$A$2:$A$5000))),N(G156)+IF(F156="",0,IF(C156="dias",MAX(0,IF(P156="",TODAY(),P156)-F156),IF(D156=2,SUMIFS(Producao!$D:$D,Producao!$A:$A,"&gt;="&amp;F156,Producao!$A:$A,"&lt;"&amp;IF(P156="",TODAY()+1,P156)),IF(D156=3,SUMIFS(Producao!$E:$E,Producao!$A:$A,"&gt;="&amp;F156,Producao!$A:$A,"&lt;"&amp;IF(P156="",TODAY()+1,P156)),SUMIFS(Producao!$B:$B,Producao!$A:$A,"&gt;="&amp;F156,Producao!$A:$A,"&lt;"&amp;IF(P156="",TODAY()+1,P156))))))))</f>
        <v/>
      </c>
      <c r="I156" s="34">
        <f>IF(OR(A156="",E156=""),"",E156-H156)</f>
        <v/>
      </c>
      <c r="J156" s="35">
        <f>IF(OR(A156="",N(E156)&lt;=0),"",H156/E156)</f>
        <v/>
      </c>
      <c r="K156" s="32">
        <f>IF(I156="","",IF(P156&lt;&gt;"","Saiu",IF(I156&lt;0,"Além da meta",IF(J156&gt;=Regras!$B$3,"Atenção","OK"))))</f>
        <v/>
      </c>
      <c r="L156" s="32" t="n"/>
      <c r="M156">
        <f>IF(OR(J156="",K156="Saiu"),-1,J156+ROW()/1000000000)</f>
        <v/>
      </c>
      <c r="N156" s="43" t="n"/>
      <c r="O156" s="43" t="n"/>
      <c r="P156" s="44">
        <f>IF(OR(A156="",B156="Molde",F156=""),"",IF(COUNTIFS(TrocasEquip!$B$2:$B$1000,A156,TrocasEquip!$A$2:$A$1000,"&gt;="&amp;F156)=0,"",_xlfn.MINIFS(TrocasEquip!$A$2:$A$1000,TrocasEquip!$B$2:$B$1000,A156,TrocasEquip!$A$2:$A$1000,"&gt;="&amp;F156)))</f>
        <v/>
      </c>
      <c r="Q156">
        <f>IF(AND(A156&lt;&gt;"",K156&lt;&gt;"Saiu"),ROW(),"")</f>
        <v/>
      </c>
    </row>
    <row r="157">
      <c r="A157" s="38" t="n"/>
      <c r="B157" s="39" t="n"/>
      <c r="C157" s="32">
        <f>IF(B157="","",IF(B157="Molde","corridas",IF(B157="Oscilador","dias","t")))</f>
        <v/>
      </c>
      <c r="D157" s="39" t="n"/>
      <c r="E157" s="45" t="n"/>
      <c r="F157" s="46" t="n"/>
      <c r="G157" s="45" t="n"/>
      <c r="H157" s="34">
        <f>IF(A157="","",IF(C157="corridas",SUMIFS(Historico!$E:$E,Historico!$B:$B,L157,Historico!$A:$A,SUMPRODUCT(MAX((Historico!$B$2:$B$5000=L157)*Historico!$A$2:$A$5000))),N(G157)+IF(F157="",0,IF(C157="dias",MAX(0,IF(P157="",TODAY(),P157)-F157),IF(D157=2,SUMIFS(Producao!$D:$D,Producao!$A:$A,"&gt;="&amp;F157,Producao!$A:$A,"&lt;"&amp;IF(P157="",TODAY()+1,P157)),IF(D157=3,SUMIFS(Producao!$E:$E,Producao!$A:$A,"&gt;="&amp;F157,Producao!$A:$A,"&lt;"&amp;IF(P157="",TODAY()+1,P157)),SUMIFS(Producao!$B:$B,Producao!$A:$A,"&gt;="&amp;F157,Producao!$A:$A,"&lt;"&amp;IF(P157="",TODAY()+1,P157))))))))</f>
        <v/>
      </c>
      <c r="I157" s="34">
        <f>IF(OR(A157="",E157=""),"",E157-H157)</f>
        <v/>
      </c>
      <c r="J157" s="35">
        <f>IF(OR(A157="",N(E157)&lt;=0),"",H157/E157)</f>
        <v/>
      </c>
      <c r="K157" s="32">
        <f>IF(I157="","",IF(P157&lt;&gt;"","Saiu",IF(I157&lt;0,"Além da meta",IF(J157&gt;=Regras!$B$3,"Atenção","OK"))))</f>
        <v/>
      </c>
      <c r="L157" s="32" t="n"/>
      <c r="M157">
        <f>IF(OR(J157="",K157="Saiu"),-1,J157+ROW()/1000000000)</f>
        <v/>
      </c>
      <c r="N157" s="43" t="n"/>
      <c r="O157" s="43" t="n"/>
      <c r="P157" s="44">
        <f>IF(OR(A157="",B157="Molde",F157=""),"",IF(COUNTIFS(TrocasEquip!$B$2:$B$1000,A157,TrocasEquip!$A$2:$A$1000,"&gt;="&amp;F157)=0,"",_xlfn.MINIFS(TrocasEquip!$A$2:$A$1000,TrocasEquip!$B$2:$B$1000,A157,TrocasEquip!$A$2:$A$1000,"&gt;="&amp;F157)))</f>
        <v/>
      </c>
      <c r="Q157">
        <f>IF(AND(A157&lt;&gt;"",K157&lt;&gt;"Saiu"),ROW(),"")</f>
        <v/>
      </c>
    </row>
    <row r="158">
      <c r="A158" s="38" t="n"/>
      <c r="B158" s="39" t="n"/>
      <c r="C158" s="32">
        <f>IF(B158="","",IF(B158="Molde","corridas",IF(B158="Oscilador","dias","t")))</f>
        <v/>
      </c>
      <c r="D158" s="39" t="n"/>
      <c r="E158" s="45" t="n"/>
      <c r="F158" s="46" t="n"/>
      <c r="G158" s="45" t="n"/>
      <c r="H158" s="34">
        <f>IF(A158="","",IF(C158="corridas",SUMIFS(Historico!$E:$E,Historico!$B:$B,L158,Historico!$A:$A,SUMPRODUCT(MAX((Historico!$B$2:$B$5000=L158)*Historico!$A$2:$A$5000))),N(G158)+IF(F158="",0,IF(C158="dias",MAX(0,IF(P158="",TODAY(),P158)-F158),IF(D158=2,SUMIFS(Producao!$D:$D,Producao!$A:$A,"&gt;="&amp;F158,Producao!$A:$A,"&lt;"&amp;IF(P158="",TODAY()+1,P158)),IF(D158=3,SUMIFS(Producao!$E:$E,Producao!$A:$A,"&gt;="&amp;F158,Producao!$A:$A,"&lt;"&amp;IF(P158="",TODAY()+1,P158)),SUMIFS(Producao!$B:$B,Producao!$A:$A,"&gt;="&amp;F158,Producao!$A:$A,"&lt;"&amp;IF(P158="",TODAY()+1,P158))))))))</f>
        <v/>
      </c>
      <c r="I158" s="34">
        <f>IF(OR(A158="",E158=""),"",E158-H158)</f>
        <v/>
      </c>
      <c r="J158" s="35">
        <f>IF(OR(A158="",N(E158)&lt;=0),"",H158/E158)</f>
        <v/>
      </c>
      <c r="K158" s="32">
        <f>IF(I158="","",IF(P158&lt;&gt;"","Saiu",IF(I158&lt;0,"Além da meta",IF(J158&gt;=Regras!$B$3,"Atenção","OK"))))</f>
        <v/>
      </c>
      <c r="L158" s="32" t="n"/>
      <c r="M158">
        <f>IF(OR(J158="",K158="Saiu"),-1,J158+ROW()/1000000000)</f>
        <v/>
      </c>
      <c r="N158" s="43" t="n"/>
      <c r="O158" s="43" t="n"/>
      <c r="P158" s="44">
        <f>IF(OR(A158="",B158="Molde",F158=""),"",IF(COUNTIFS(TrocasEquip!$B$2:$B$1000,A158,TrocasEquip!$A$2:$A$1000,"&gt;="&amp;F158)=0,"",_xlfn.MINIFS(TrocasEquip!$A$2:$A$1000,TrocasEquip!$B$2:$B$1000,A158,TrocasEquip!$A$2:$A$1000,"&gt;="&amp;F158)))</f>
        <v/>
      </c>
      <c r="Q158">
        <f>IF(AND(A158&lt;&gt;"",K158&lt;&gt;"Saiu"),ROW(),"")</f>
        <v/>
      </c>
    </row>
    <row r="159">
      <c r="A159" s="38" t="n"/>
      <c r="B159" s="39" t="n"/>
      <c r="C159" s="32">
        <f>IF(B159="","",IF(B159="Molde","corridas",IF(B159="Oscilador","dias","t")))</f>
        <v/>
      </c>
      <c r="D159" s="39" t="n"/>
      <c r="E159" s="45" t="n"/>
      <c r="F159" s="46" t="n"/>
      <c r="G159" s="45" t="n"/>
      <c r="H159" s="34">
        <f>IF(A159="","",IF(C159="corridas",SUMIFS(Historico!$E:$E,Historico!$B:$B,L159,Historico!$A:$A,SUMPRODUCT(MAX((Historico!$B$2:$B$5000=L159)*Historico!$A$2:$A$5000))),N(G159)+IF(F159="",0,IF(C159="dias",MAX(0,IF(P159="",TODAY(),P159)-F159),IF(D159=2,SUMIFS(Producao!$D:$D,Producao!$A:$A,"&gt;="&amp;F159,Producao!$A:$A,"&lt;"&amp;IF(P159="",TODAY()+1,P159)),IF(D159=3,SUMIFS(Producao!$E:$E,Producao!$A:$A,"&gt;="&amp;F159,Producao!$A:$A,"&lt;"&amp;IF(P159="",TODAY()+1,P159)),SUMIFS(Producao!$B:$B,Producao!$A:$A,"&gt;="&amp;F159,Producao!$A:$A,"&lt;"&amp;IF(P159="",TODAY()+1,P159))))))))</f>
        <v/>
      </c>
      <c r="I159" s="34">
        <f>IF(OR(A159="",E159=""),"",E159-H159)</f>
        <v/>
      </c>
      <c r="J159" s="35">
        <f>IF(OR(A159="",N(E159)&lt;=0),"",H159/E159)</f>
        <v/>
      </c>
      <c r="K159" s="32">
        <f>IF(I159="","",IF(P159&lt;&gt;"","Saiu",IF(I159&lt;0,"Além da meta",IF(J159&gt;=Regras!$B$3,"Atenção","OK"))))</f>
        <v/>
      </c>
      <c r="L159" s="32" t="n"/>
      <c r="M159">
        <f>IF(OR(J159="",K159="Saiu"),-1,J159+ROW()/1000000000)</f>
        <v/>
      </c>
      <c r="N159" s="43" t="n"/>
      <c r="O159" s="43" t="n"/>
      <c r="P159" s="44">
        <f>IF(OR(A159="",B159="Molde",F159=""),"",IF(COUNTIFS(TrocasEquip!$B$2:$B$1000,A159,TrocasEquip!$A$2:$A$1000,"&gt;="&amp;F159)=0,"",_xlfn.MINIFS(TrocasEquip!$A$2:$A$1000,TrocasEquip!$B$2:$B$1000,A159,TrocasEquip!$A$2:$A$1000,"&gt;="&amp;F159)))</f>
        <v/>
      </c>
      <c r="Q159">
        <f>IF(AND(A159&lt;&gt;"",K159&lt;&gt;"Saiu"),ROW(),"")</f>
        <v/>
      </c>
    </row>
    <row r="160">
      <c r="A160" s="38" t="n"/>
      <c r="B160" s="39" t="n"/>
      <c r="C160" s="32">
        <f>IF(B160="","",IF(B160="Molde","corridas",IF(B160="Oscilador","dias","t")))</f>
        <v/>
      </c>
      <c r="D160" s="39" t="n"/>
      <c r="E160" s="45" t="n"/>
      <c r="F160" s="46" t="n"/>
      <c r="G160" s="45" t="n"/>
      <c r="H160" s="34">
        <f>IF(A160="","",IF(C160="corridas",SUMIFS(Historico!$E:$E,Historico!$B:$B,L160,Historico!$A:$A,SUMPRODUCT(MAX((Historico!$B$2:$B$5000=L160)*Historico!$A$2:$A$5000))),N(G160)+IF(F160="",0,IF(C160="dias",MAX(0,IF(P160="",TODAY(),P160)-F160),IF(D160=2,SUMIFS(Producao!$D:$D,Producao!$A:$A,"&gt;="&amp;F160,Producao!$A:$A,"&lt;"&amp;IF(P160="",TODAY()+1,P160)),IF(D160=3,SUMIFS(Producao!$E:$E,Producao!$A:$A,"&gt;="&amp;F160,Producao!$A:$A,"&lt;"&amp;IF(P160="",TODAY()+1,P160)),SUMIFS(Producao!$B:$B,Producao!$A:$A,"&gt;="&amp;F160,Producao!$A:$A,"&lt;"&amp;IF(P160="",TODAY()+1,P160))))))))</f>
        <v/>
      </c>
      <c r="I160" s="34">
        <f>IF(OR(A160="",E160=""),"",E160-H160)</f>
        <v/>
      </c>
      <c r="J160" s="35">
        <f>IF(OR(A160="",N(E160)&lt;=0),"",H160/E160)</f>
        <v/>
      </c>
      <c r="K160" s="32">
        <f>IF(I160="","",IF(P160&lt;&gt;"","Saiu",IF(I160&lt;0,"Além da meta",IF(J160&gt;=Regras!$B$3,"Atenção","OK"))))</f>
        <v/>
      </c>
      <c r="L160" s="32" t="n"/>
      <c r="M160">
        <f>IF(OR(J160="",K160="Saiu"),-1,J160+ROW()/1000000000)</f>
        <v/>
      </c>
      <c r="N160" s="43" t="n"/>
      <c r="O160" s="43" t="n"/>
      <c r="P160" s="44">
        <f>IF(OR(A160="",B160="Molde",F160=""),"",IF(COUNTIFS(TrocasEquip!$B$2:$B$1000,A160,TrocasEquip!$A$2:$A$1000,"&gt;="&amp;F160)=0,"",_xlfn.MINIFS(TrocasEquip!$A$2:$A$1000,TrocasEquip!$B$2:$B$1000,A160,TrocasEquip!$A$2:$A$1000,"&gt;="&amp;F160)))</f>
        <v/>
      </c>
      <c r="Q160">
        <f>IF(AND(A160&lt;&gt;"",K160&lt;&gt;"Saiu"),ROW(),"")</f>
        <v/>
      </c>
    </row>
    <row r="161">
      <c r="A161" s="38" t="n"/>
      <c r="B161" s="39" t="n"/>
      <c r="C161" s="32">
        <f>IF(B161="","",IF(B161="Molde","corridas",IF(B161="Oscilador","dias","t")))</f>
        <v/>
      </c>
      <c r="D161" s="39" t="n"/>
      <c r="E161" s="45" t="n"/>
      <c r="F161" s="46" t="n"/>
      <c r="G161" s="45" t="n"/>
      <c r="H161" s="34">
        <f>IF(A161="","",IF(C161="corridas",SUMIFS(Historico!$E:$E,Historico!$B:$B,L161,Historico!$A:$A,SUMPRODUCT(MAX((Historico!$B$2:$B$5000=L161)*Historico!$A$2:$A$5000))),N(G161)+IF(F161="",0,IF(C161="dias",MAX(0,IF(P161="",TODAY(),P161)-F161),IF(D161=2,SUMIFS(Producao!$D:$D,Producao!$A:$A,"&gt;="&amp;F161,Producao!$A:$A,"&lt;"&amp;IF(P161="",TODAY()+1,P161)),IF(D161=3,SUMIFS(Producao!$E:$E,Producao!$A:$A,"&gt;="&amp;F161,Producao!$A:$A,"&lt;"&amp;IF(P161="",TODAY()+1,P161)),SUMIFS(Producao!$B:$B,Producao!$A:$A,"&gt;="&amp;F161,Producao!$A:$A,"&lt;"&amp;IF(P161="",TODAY()+1,P161))))))))</f>
        <v/>
      </c>
      <c r="I161" s="34">
        <f>IF(OR(A161="",E161=""),"",E161-H161)</f>
        <v/>
      </c>
      <c r="J161" s="35">
        <f>IF(OR(A161="",N(E161)&lt;=0),"",H161/E161)</f>
        <v/>
      </c>
      <c r="K161" s="32">
        <f>IF(I161="","",IF(P161&lt;&gt;"","Saiu",IF(I161&lt;0,"Além da meta",IF(J161&gt;=Regras!$B$3,"Atenção","OK"))))</f>
        <v/>
      </c>
      <c r="L161" s="32" t="n"/>
      <c r="M161">
        <f>IF(OR(J161="",K161="Saiu"),-1,J161+ROW()/1000000000)</f>
        <v/>
      </c>
      <c r="N161" s="43" t="n"/>
      <c r="O161" s="43" t="n"/>
      <c r="P161" s="44">
        <f>IF(OR(A161="",B161="Molde",F161=""),"",IF(COUNTIFS(TrocasEquip!$B$2:$B$1000,A161,TrocasEquip!$A$2:$A$1000,"&gt;="&amp;F161)=0,"",_xlfn.MINIFS(TrocasEquip!$A$2:$A$1000,TrocasEquip!$B$2:$B$1000,A161,TrocasEquip!$A$2:$A$1000,"&gt;="&amp;F161)))</f>
        <v/>
      </c>
      <c r="Q161">
        <f>IF(AND(A161&lt;&gt;"",K161&lt;&gt;"Saiu"),ROW(),"")</f>
        <v/>
      </c>
    </row>
    <row r="162">
      <c r="A162" s="38" t="n"/>
      <c r="B162" s="39" t="n"/>
      <c r="C162" s="32">
        <f>IF(B162="","",IF(B162="Molde","corridas",IF(B162="Oscilador","dias","t")))</f>
        <v/>
      </c>
      <c r="D162" s="39" t="n"/>
      <c r="E162" s="45" t="n"/>
      <c r="F162" s="46" t="n"/>
      <c r="G162" s="45" t="n"/>
      <c r="H162" s="34">
        <f>IF(A162="","",IF(C162="corridas",SUMIFS(Historico!$E:$E,Historico!$B:$B,L162,Historico!$A:$A,SUMPRODUCT(MAX((Historico!$B$2:$B$5000=L162)*Historico!$A$2:$A$5000))),N(G162)+IF(F162="",0,IF(C162="dias",MAX(0,IF(P162="",TODAY(),P162)-F162),IF(D162=2,SUMIFS(Producao!$D:$D,Producao!$A:$A,"&gt;="&amp;F162,Producao!$A:$A,"&lt;"&amp;IF(P162="",TODAY()+1,P162)),IF(D162=3,SUMIFS(Producao!$E:$E,Producao!$A:$A,"&gt;="&amp;F162,Producao!$A:$A,"&lt;"&amp;IF(P162="",TODAY()+1,P162)),SUMIFS(Producao!$B:$B,Producao!$A:$A,"&gt;="&amp;F162,Producao!$A:$A,"&lt;"&amp;IF(P162="",TODAY()+1,P162))))))))</f>
        <v/>
      </c>
      <c r="I162" s="34">
        <f>IF(OR(A162="",E162=""),"",E162-H162)</f>
        <v/>
      </c>
      <c r="J162" s="35">
        <f>IF(OR(A162="",N(E162)&lt;=0),"",H162/E162)</f>
        <v/>
      </c>
      <c r="K162" s="32">
        <f>IF(I162="","",IF(P162&lt;&gt;"","Saiu",IF(I162&lt;0,"Além da meta",IF(J162&gt;=Regras!$B$3,"Atenção","OK"))))</f>
        <v/>
      </c>
      <c r="L162" s="32" t="n"/>
      <c r="M162">
        <f>IF(OR(J162="",K162="Saiu"),-1,J162+ROW()/1000000000)</f>
        <v/>
      </c>
      <c r="N162" s="43" t="n"/>
      <c r="O162" s="43" t="n"/>
      <c r="P162" s="44">
        <f>IF(OR(A162="",B162="Molde",F162=""),"",IF(COUNTIFS(TrocasEquip!$B$2:$B$1000,A162,TrocasEquip!$A$2:$A$1000,"&gt;="&amp;F162)=0,"",_xlfn.MINIFS(TrocasEquip!$A$2:$A$1000,TrocasEquip!$B$2:$B$1000,A162,TrocasEquip!$A$2:$A$1000,"&gt;="&amp;F162)))</f>
        <v/>
      </c>
      <c r="Q162">
        <f>IF(AND(A162&lt;&gt;"",K162&lt;&gt;"Saiu"),ROW(),"")</f>
        <v/>
      </c>
    </row>
    <row r="163">
      <c r="A163" s="38" t="n"/>
      <c r="B163" s="39" t="n"/>
      <c r="C163" s="32">
        <f>IF(B163="","",IF(B163="Molde","corridas",IF(B163="Oscilador","dias","t")))</f>
        <v/>
      </c>
      <c r="D163" s="39" t="n"/>
      <c r="E163" s="45" t="n"/>
      <c r="F163" s="46" t="n"/>
      <c r="G163" s="45" t="n"/>
      <c r="H163" s="34">
        <f>IF(A163="","",IF(C163="corridas",SUMIFS(Historico!$E:$E,Historico!$B:$B,L163,Historico!$A:$A,SUMPRODUCT(MAX((Historico!$B$2:$B$5000=L163)*Historico!$A$2:$A$5000))),N(G163)+IF(F163="",0,IF(C163="dias",MAX(0,IF(P163="",TODAY(),P163)-F163),IF(D163=2,SUMIFS(Producao!$D:$D,Producao!$A:$A,"&gt;="&amp;F163,Producao!$A:$A,"&lt;"&amp;IF(P163="",TODAY()+1,P163)),IF(D163=3,SUMIFS(Producao!$E:$E,Producao!$A:$A,"&gt;="&amp;F163,Producao!$A:$A,"&lt;"&amp;IF(P163="",TODAY()+1,P163)),SUMIFS(Producao!$B:$B,Producao!$A:$A,"&gt;="&amp;F163,Producao!$A:$A,"&lt;"&amp;IF(P163="",TODAY()+1,P163))))))))</f>
        <v/>
      </c>
      <c r="I163" s="34">
        <f>IF(OR(A163="",E163=""),"",E163-H163)</f>
        <v/>
      </c>
      <c r="J163" s="35">
        <f>IF(OR(A163="",N(E163)&lt;=0),"",H163/E163)</f>
        <v/>
      </c>
      <c r="K163" s="32">
        <f>IF(I163="","",IF(P163&lt;&gt;"","Saiu",IF(I163&lt;0,"Além da meta",IF(J163&gt;=Regras!$B$3,"Atenção","OK"))))</f>
        <v/>
      </c>
      <c r="L163" s="32" t="n"/>
      <c r="M163">
        <f>IF(OR(J163="",K163="Saiu"),-1,J163+ROW()/1000000000)</f>
        <v/>
      </c>
      <c r="N163" s="43" t="n"/>
      <c r="O163" s="43" t="n"/>
      <c r="P163" s="44">
        <f>IF(OR(A163="",B163="Molde",F163=""),"",IF(COUNTIFS(TrocasEquip!$B$2:$B$1000,A163,TrocasEquip!$A$2:$A$1000,"&gt;="&amp;F163)=0,"",_xlfn.MINIFS(TrocasEquip!$A$2:$A$1000,TrocasEquip!$B$2:$B$1000,A163,TrocasEquip!$A$2:$A$1000,"&gt;="&amp;F163)))</f>
        <v/>
      </c>
      <c r="Q163">
        <f>IF(AND(A163&lt;&gt;"",K163&lt;&gt;"Saiu"),ROW(),"")</f>
        <v/>
      </c>
    </row>
    <row r="164">
      <c r="A164" s="38" t="n"/>
      <c r="B164" s="39" t="n"/>
      <c r="C164" s="32">
        <f>IF(B164="","",IF(B164="Molde","corridas",IF(B164="Oscilador","dias","t")))</f>
        <v/>
      </c>
      <c r="D164" s="39" t="n"/>
      <c r="E164" s="45" t="n"/>
      <c r="F164" s="46" t="n"/>
      <c r="G164" s="45" t="n"/>
      <c r="H164" s="34">
        <f>IF(A164="","",IF(C164="corridas",SUMIFS(Historico!$E:$E,Historico!$B:$B,L164,Historico!$A:$A,SUMPRODUCT(MAX((Historico!$B$2:$B$5000=L164)*Historico!$A$2:$A$5000))),N(G164)+IF(F164="",0,IF(C164="dias",MAX(0,IF(P164="",TODAY(),P164)-F164),IF(D164=2,SUMIFS(Producao!$D:$D,Producao!$A:$A,"&gt;="&amp;F164,Producao!$A:$A,"&lt;"&amp;IF(P164="",TODAY()+1,P164)),IF(D164=3,SUMIFS(Producao!$E:$E,Producao!$A:$A,"&gt;="&amp;F164,Producao!$A:$A,"&lt;"&amp;IF(P164="",TODAY()+1,P164)),SUMIFS(Producao!$B:$B,Producao!$A:$A,"&gt;="&amp;F164,Producao!$A:$A,"&lt;"&amp;IF(P164="",TODAY()+1,P164))))))))</f>
        <v/>
      </c>
      <c r="I164" s="34">
        <f>IF(OR(A164="",E164=""),"",E164-H164)</f>
        <v/>
      </c>
      <c r="J164" s="35">
        <f>IF(OR(A164="",N(E164)&lt;=0),"",H164/E164)</f>
        <v/>
      </c>
      <c r="K164" s="32">
        <f>IF(I164="","",IF(P164&lt;&gt;"","Saiu",IF(I164&lt;0,"Além da meta",IF(J164&gt;=Regras!$B$3,"Atenção","OK"))))</f>
        <v/>
      </c>
      <c r="L164" s="32" t="n"/>
      <c r="M164">
        <f>IF(OR(J164="",K164="Saiu"),-1,J164+ROW()/1000000000)</f>
        <v/>
      </c>
      <c r="N164" s="43" t="n"/>
      <c r="O164" s="43" t="n"/>
      <c r="P164" s="44">
        <f>IF(OR(A164="",B164="Molde",F164=""),"",IF(COUNTIFS(TrocasEquip!$B$2:$B$1000,A164,TrocasEquip!$A$2:$A$1000,"&gt;="&amp;F164)=0,"",_xlfn.MINIFS(TrocasEquip!$A$2:$A$1000,TrocasEquip!$B$2:$B$1000,A164,TrocasEquip!$A$2:$A$1000,"&gt;="&amp;F164)))</f>
        <v/>
      </c>
      <c r="Q164">
        <f>IF(AND(A164&lt;&gt;"",K164&lt;&gt;"Saiu"),ROW(),"")</f>
        <v/>
      </c>
    </row>
    <row r="165">
      <c r="A165" s="38" t="n"/>
      <c r="B165" s="39" t="n"/>
      <c r="C165" s="32">
        <f>IF(B165="","",IF(B165="Molde","corridas",IF(B165="Oscilador","dias","t")))</f>
        <v/>
      </c>
      <c r="D165" s="39" t="n"/>
      <c r="E165" s="45" t="n"/>
      <c r="F165" s="46" t="n"/>
      <c r="G165" s="45" t="n"/>
      <c r="H165" s="34">
        <f>IF(A165="","",IF(C165="corridas",SUMIFS(Historico!$E:$E,Historico!$B:$B,L165,Historico!$A:$A,SUMPRODUCT(MAX((Historico!$B$2:$B$5000=L165)*Historico!$A$2:$A$5000))),N(G165)+IF(F165="",0,IF(C165="dias",MAX(0,IF(P165="",TODAY(),P165)-F165),IF(D165=2,SUMIFS(Producao!$D:$D,Producao!$A:$A,"&gt;="&amp;F165,Producao!$A:$A,"&lt;"&amp;IF(P165="",TODAY()+1,P165)),IF(D165=3,SUMIFS(Producao!$E:$E,Producao!$A:$A,"&gt;="&amp;F165,Producao!$A:$A,"&lt;"&amp;IF(P165="",TODAY()+1,P165)),SUMIFS(Producao!$B:$B,Producao!$A:$A,"&gt;="&amp;F165,Producao!$A:$A,"&lt;"&amp;IF(P165="",TODAY()+1,P165))))))))</f>
        <v/>
      </c>
      <c r="I165" s="34">
        <f>IF(OR(A165="",E165=""),"",E165-H165)</f>
        <v/>
      </c>
      <c r="J165" s="35">
        <f>IF(OR(A165="",N(E165)&lt;=0),"",H165/E165)</f>
        <v/>
      </c>
      <c r="K165" s="32">
        <f>IF(I165="","",IF(P165&lt;&gt;"","Saiu",IF(I165&lt;0,"Além da meta",IF(J165&gt;=Regras!$B$3,"Atenção","OK"))))</f>
        <v/>
      </c>
      <c r="L165" s="32" t="n"/>
      <c r="M165">
        <f>IF(OR(J165="",K165="Saiu"),-1,J165+ROW()/1000000000)</f>
        <v/>
      </c>
      <c r="N165" s="43" t="n"/>
      <c r="O165" s="43" t="n"/>
      <c r="P165" s="44">
        <f>IF(OR(A165="",B165="Molde",F165=""),"",IF(COUNTIFS(TrocasEquip!$B$2:$B$1000,A165,TrocasEquip!$A$2:$A$1000,"&gt;="&amp;F165)=0,"",_xlfn.MINIFS(TrocasEquip!$A$2:$A$1000,TrocasEquip!$B$2:$B$1000,A165,TrocasEquip!$A$2:$A$1000,"&gt;="&amp;F165)))</f>
        <v/>
      </c>
      <c r="Q165">
        <f>IF(AND(A165&lt;&gt;"",K165&lt;&gt;"Saiu"),ROW(),"")</f>
        <v/>
      </c>
    </row>
    <row r="166">
      <c r="A166" s="38" t="n"/>
      <c r="B166" s="39" t="n"/>
      <c r="C166" s="32">
        <f>IF(B166="","",IF(B166="Molde","corridas",IF(B166="Oscilador","dias","t")))</f>
        <v/>
      </c>
      <c r="D166" s="39" t="n"/>
      <c r="E166" s="45" t="n"/>
      <c r="F166" s="46" t="n"/>
      <c r="G166" s="45" t="n"/>
      <c r="H166" s="34">
        <f>IF(A166="","",IF(C166="corridas",SUMIFS(Historico!$E:$E,Historico!$B:$B,L166,Historico!$A:$A,SUMPRODUCT(MAX((Historico!$B$2:$B$5000=L166)*Historico!$A$2:$A$5000))),N(G166)+IF(F166="",0,IF(C166="dias",MAX(0,IF(P166="",TODAY(),P166)-F166),IF(D166=2,SUMIFS(Producao!$D:$D,Producao!$A:$A,"&gt;="&amp;F166,Producao!$A:$A,"&lt;"&amp;IF(P166="",TODAY()+1,P166)),IF(D166=3,SUMIFS(Producao!$E:$E,Producao!$A:$A,"&gt;="&amp;F166,Producao!$A:$A,"&lt;"&amp;IF(P166="",TODAY()+1,P166)),SUMIFS(Producao!$B:$B,Producao!$A:$A,"&gt;="&amp;F166,Producao!$A:$A,"&lt;"&amp;IF(P166="",TODAY()+1,P166))))))))</f>
        <v/>
      </c>
      <c r="I166" s="34">
        <f>IF(OR(A166="",E166=""),"",E166-H166)</f>
        <v/>
      </c>
      <c r="J166" s="35">
        <f>IF(OR(A166="",N(E166)&lt;=0),"",H166/E166)</f>
        <v/>
      </c>
      <c r="K166" s="32">
        <f>IF(I166="","",IF(P166&lt;&gt;"","Saiu",IF(I166&lt;0,"Além da meta",IF(J166&gt;=Regras!$B$3,"Atenção","OK"))))</f>
        <v/>
      </c>
      <c r="L166" s="32" t="n"/>
      <c r="M166">
        <f>IF(OR(J166="",K166="Saiu"),-1,J166+ROW()/1000000000)</f>
        <v/>
      </c>
      <c r="N166" s="43" t="n"/>
      <c r="O166" s="43" t="n"/>
      <c r="P166" s="44">
        <f>IF(OR(A166="",B166="Molde",F166=""),"",IF(COUNTIFS(TrocasEquip!$B$2:$B$1000,A166,TrocasEquip!$A$2:$A$1000,"&gt;="&amp;F166)=0,"",_xlfn.MINIFS(TrocasEquip!$A$2:$A$1000,TrocasEquip!$B$2:$B$1000,A166,TrocasEquip!$A$2:$A$1000,"&gt;="&amp;F166)))</f>
        <v/>
      </c>
      <c r="Q166">
        <f>IF(AND(A166&lt;&gt;"",K166&lt;&gt;"Saiu"),ROW(),"")</f>
        <v/>
      </c>
    </row>
    <row r="167">
      <c r="A167" s="38" t="n"/>
      <c r="B167" s="39" t="n"/>
      <c r="C167" s="32">
        <f>IF(B167="","",IF(B167="Molde","corridas",IF(B167="Oscilador","dias","t")))</f>
        <v/>
      </c>
      <c r="D167" s="39" t="n"/>
      <c r="E167" s="45" t="n"/>
      <c r="F167" s="46" t="n"/>
      <c r="G167" s="45" t="n"/>
      <c r="H167" s="34">
        <f>IF(A167="","",IF(C167="corridas",SUMIFS(Historico!$E:$E,Historico!$B:$B,L167,Historico!$A:$A,SUMPRODUCT(MAX((Historico!$B$2:$B$5000=L167)*Historico!$A$2:$A$5000))),N(G167)+IF(F167="",0,IF(C167="dias",MAX(0,IF(P167="",TODAY(),P167)-F167),IF(D167=2,SUMIFS(Producao!$D:$D,Producao!$A:$A,"&gt;="&amp;F167,Producao!$A:$A,"&lt;"&amp;IF(P167="",TODAY()+1,P167)),IF(D167=3,SUMIFS(Producao!$E:$E,Producao!$A:$A,"&gt;="&amp;F167,Producao!$A:$A,"&lt;"&amp;IF(P167="",TODAY()+1,P167)),SUMIFS(Producao!$B:$B,Producao!$A:$A,"&gt;="&amp;F167,Producao!$A:$A,"&lt;"&amp;IF(P167="",TODAY()+1,P167))))))))</f>
        <v/>
      </c>
      <c r="I167" s="34">
        <f>IF(OR(A167="",E167=""),"",E167-H167)</f>
        <v/>
      </c>
      <c r="J167" s="35">
        <f>IF(OR(A167="",N(E167)&lt;=0),"",H167/E167)</f>
        <v/>
      </c>
      <c r="K167" s="32">
        <f>IF(I167="","",IF(P167&lt;&gt;"","Saiu",IF(I167&lt;0,"Além da meta",IF(J167&gt;=Regras!$B$3,"Atenção","OK"))))</f>
        <v/>
      </c>
      <c r="L167" s="32" t="n"/>
      <c r="M167">
        <f>IF(OR(J167="",K167="Saiu"),-1,J167+ROW()/1000000000)</f>
        <v/>
      </c>
      <c r="N167" s="43" t="n"/>
      <c r="O167" s="43" t="n"/>
      <c r="P167" s="44">
        <f>IF(OR(A167="",B167="Molde",F167=""),"",IF(COUNTIFS(TrocasEquip!$B$2:$B$1000,A167,TrocasEquip!$A$2:$A$1000,"&gt;="&amp;F167)=0,"",_xlfn.MINIFS(TrocasEquip!$A$2:$A$1000,TrocasEquip!$B$2:$B$1000,A167,TrocasEquip!$A$2:$A$1000,"&gt;="&amp;F167)))</f>
        <v/>
      </c>
      <c r="Q167">
        <f>IF(AND(A167&lt;&gt;"",K167&lt;&gt;"Saiu"),ROW(),"")</f>
        <v/>
      </c>
    </row>
    <row r="168">
      <c r="A168" s="38" t="n"/>
      <c r="B168" s="39" t="n"/>
      <c r="C168" s="32">
        <f>IF(B168="","",IF(B168="Molde","corridas",IF(B168="Oscilador","dias","t")))</f>
        <v/>
      </c>
      <c r="D168" s="39" t="n"/>
      <c r="E168" s="45" t="n"/>
      <c r="F168" s="46" t="n"/>
      <c r="G168" s="45" t="n"/>
      <c r="H168" s="34">
        <f>IF(A168="","",IF(C168="corridas",SUMIFS(Historico!$E:$E,Historico!$B:$B,L168,Historico!$A:$A,SUMPRODUCT(MAX((Historico!$B$2:$B$5000=L168)*Historico!$A$2:$A$5000))),N(G168)+IF(F168="",0,IF(C168="dias",MAX(0,IF(P168="",TODAY(),P168)-F168),IF(D168=2,SUMIFS(Producao!$D:$D,Producao!$A:$A,"&gt;="&amp;F168,Producao!$A:$A,"&lt;"&amp;IF(P168="",TODAY()+1,P168)),IF(D168=3,SUMIFS(Producao!$E:$E,Producao!$A:$A,"&gt;="&amp;F168,Producao!$A:$A,"&lt;"&amp;IF(P168="",TODAY()+1,P168)),SUMIFS(Producao!$B:$B,Producao!$A:$A,"&gt;="&amp;F168,Producao!$A:$A,"&lt;"&amp;IF(P168="",TODAY()+1,P168))))))))</f>
        <v/>
      </c>
      <c r="I168" s="34">
        <f>IF(OR(A168="",E168=""),"",E168-H168)</f>
        <v/>
      </c>
      <c r="J168" s="35">
        <f>IF(OR(A168="",N(E168)&lt;=0),"",H168/E168)</f>
        <v/>
      </c>
      <c r="K168" s="32">
        <f>IF(I168="","",IF(P168&lt;&gt;"","Saiu",IF(I168&lt;0,"Além da meta",IF(J168&gt;=Regras!$B$3,"Atenção","OK"))))</f>
        <v/>
      </c>
      <c r="L168" s="32" t="n"/>
      <c r="M168">
        <f>IF(OR(J168="",K168="Saiu"),-1,J168+ROW()/1000000000)</f>
        <v/>
      </c>
      <c r="N168" s="43" t="n"/>
      <c r="O168" s="43" t="n"/>
      <c r="P168" s="44">
        <f>IF(OR(A168="",B168="Molde",F168=""),"",IF(COUNTIFS(TrocasEquip!$B$2:$B$1000,A168,TrocasEquip!$A$2:$A$1000,"&gt;="&amp;F168)=0,"",_xlfn.MINIFS(TrocasEquip!$A$2:$A$1000,TrocasEquip!$B$2:$B$1000,A168,TrocasEquip!$A$2:$A$1000,"&gt;="&amp;F168)))</f>
        <v/>
      </c>
      <c r="Q168">
        <f>IF(AND(A168&lt;&gt;"",K168&lt;&gt;"Saiu"),ROW(),"")</f>
        <v/>
      </c>
    </row>
    <row r="169">
      <c r="A169" s="38" t="n"/>
      <c r="B169" s="39" t="n"/>
      <c r="C169" s="32">
        <f>IF(B169="","",IF(B169="Molde","corridas",IF(B169="Oscilador","dias","t")))</f>
        <v/>
      </c>
      <c r="D169" s="39" t="n"/>
      <c r="E169" s="45" t="n"/>
      <c r="F169" s="46" t="n"/>
      <c r="G169" s="45" t="n"/>
      <c r="H169" s="34">
        <f>IF(A169="","",IF(C169="corridas",SUMIFS(Historico!$E:$E,Historico!$B:$B,L169,Historico!$A:$A,SUMPRODUCT(MAX((Historico!$B$2:$B$5000=L169)*Historico!$A$2:$A$5000))),N(G169)+IF(F169="",0,IF(C169="dias",MAX(0,IF(P169="",TODAY(),P169)-F169),IF(D169=2,SUMIFS(Producao!$D:$D,Producao!$A:$A,"&gt;="&amp;F169,Producao!$A:$A,"&lt;"&amp;IF(P169="",TODAY()+1,P169)),IF(D169=3,SUMIFS(Producao!$E:$E,Producao!$A:$A,"&gt;="&amp;F169,Producao!$A:$A,"&lt;"&amp;IF(P169="",TODAY()+1,P169)),SUMIFS(Producao!$B:$B,Producao!$A:$A,"&gt;="&amp;F169,Producao!$A:$A,"&lt;"&amp;IF(P169="",TODAY()+1,P169))))))))</f>
        <v/>
      </c>
      <c r="I169" s="34">
        <f>IF(OR(A169="",E169=""),"",E169-H169)</f>
        <v/>
      </c>
      <c r="J169" s="35">
        <f>IF(OR(A169="",N(E169)&lt;=0),"",H169/E169)</f>
        <v/>
      </c>
      <c r="K169" s="32">
        <f>IF(I169="","",IF(P169&lt;&gt;"","Saiu",IF(I169&lt;0,"Além da meta",IF(J169&gt;=Regras!$B$3,"Atenção","OK"))))</f>
        <v/>
      </c>
      <c r="L169" s="32" t="n"/>
      <c r="M169">
        <f>IF(OR(J169="",K169="Saiu"),-1,J169+ROW()/1000000000)</f>
        <v/>
      </c>
      <c r="N169" s="43" t="n"/>
      <c r="O169" s="43" t="n"/>
      <c r="P169" s="44">
        <f>IF(OR(A169="",B169="Molde",F169=""),"",IF(COUNTIFS(TrocasEquip!$B$2:$B$1000,A169,TrocasEquip!$A$2:$A$1000,"&gt;="&amp;F169)=0,"",_xlfn.MINIFS(TrocasEquip!$A$2:$A$1000,TrocasEquip!$B$2:$B$1000,A169,TrocasEquip!$A$2:$A$1000,"&gt;="&amp;F169)))</f>
        <v/>
      </c>
      <c r="Q169">
        <f>IF(AND(A169&lt;&gt;"",K169&lt;&gt;"Saiu"),ROW(),"")</f>
        <v/>
      </c>
    </row>
    <row r="170">
      <c r="A170" s="38" t="n"/>
      <c r="B170" s="39" t="n"/>
      <c r="C170" s="32">
        <f>IF(B170="","",IF(B170="Molde","corridas",IF(B170="Oscilador","dias","t")))</f>
        <v/>
      </c>
      <c r="D170" s="39" t="n"/>
      <c r="E170" s="45" t="n"/>
      <c r="F170" s="46" t="n"/>
      <c r="G170" s="45" t="n"/>
      <c r="H170" s="34">
        <f>IF(A170="","",IF(C170="corridas",SUMIFS(Historico!$E:$E,Historico!$B:$B,L170,Historico!$A:$A,SUMPRODUCT(MAX((Historico!$B$2:$B$5000=L170)*Historico!$A$2:$A$5000))),N(G170)+IF(F170="",0,IF(C170="dias",MAX(0,IF(P170="",TODAY(),P170)-F170),IF(D170=2,SUMIFS(Producao!$D:$D,Producao!$A:$A,"&gt;="&amp;F170,Producao!$A:$A,"&lt;"&amp;IF(P170="",TODAY()+1,P170)),IF(D170=3,SUMIFS(Producao!$E:$E,Producao!$A:$A,"&gt;="&amp;F170,Producao!$A:$A,"&lt;"&amp;IF(P170="",TODAY()+1,P170)),SUMIFS(Producao!$B:$B,Producao!$A:$A,"&gt;="&amp;F170,Producao!$A:$A,"&lt;"&amp;IF(P170="",TODAY()+1,P170))))))))</f>
        <v/>
      </c>
      <c r="I170" s="34">
        <f>IF(OR(A170="",E170=""),"",E170-H170)</f>
        <v/>
      </c>
      <c r="J170" s="35">
        <f>IF(OR(A170="",N(E170)&lt;=0),"",H170/E170)</f>
        <v/>
      </c>
      <c r="K170" s="32">
        <f>IF(I170="","",IF(P170&lt;&gt;"","Saiu",IF(I170&lt;0,"Além da meta",IF(J170&gt;=Regras!$B$3,"Atenção","OK"))))</f>
        <v/>
      </c>
      <c r="L170" s="32" t="n"/>
      <c r="M170">
        <f>IF(OR(J170="",K170="Saiu"),-1,J170+ROW()/1000000000)</f>
        <v/>
      </c>
      <c r="N170" s="43" t="n"/>
      <c r="O170" s="43" t="n"/>
      <c r="P170" s="44">
        <f>IF(OR(A170="",B170="Molde",F170=""),"",IF(COUNTIFS(TrocasEquip!$B$2:$B$1000,A170,TrocasEquip!$A$2:$A$1000,"&gt;="&amp;F170)=0,"",_xlfn.MINIFS(TrocasEquip!$A$2:$A$1000,TrocasEquip!$B$2:$B$1000,A170,TrocasEquip!$A$2:$A$1000,"&gt;="&amp;F170)))</f>
        <v/>
      </c>
      <c r="Q170">
        <f>IF(AND(A170&lt;&gt;"",K170&lt;&gt;"Saiu"),ROW(),"")</f>
        <v/>
      </c>
    </row>
    <row r="171">
      <c r="A171" s="38" t="n"/>
      <c r="B171" s="39" t="n"/>
      <c r="C171" s="32">
        <f>IF(B171="","",IF(B171="Molde","corridas",IF(B171="Oscilador","dias","t")))</f>
        <v/>
      </c>
      <c r="D171" s="39" t="n"/>
      <c r="E171" s="45" t="n"/>
      <c r="F171" s="46" t="n"/>
      <c r="G171" s="45" t="n"/>
      <c r="H171" s="34">
        <f>IF(A171="","",IF(C171="corridas",SUMIFS(Historico!$E:$E,Historico!$B:$B,L171,Historico!$A:$A,SUMPRODUCT(MAX((Historico!$B$2:$B$5000=L171)*Historico!$A$2:$A$5000))),N(G171)+IF(F171="",0,IF(C171="dias",MAX(0,IF(P171="",TODAY(),P171)-F171),IF(D171=2,SUMIFS(Producao!$D:$D,Producao!$A:$A,"&gt;="&amp;F171,Producao!$A:$A,"&lt;"&amp;IF(P171="",TODAY()+1,P171)),IF(D171=3,SUMIFS(Producao!$E:$E,Producao!$A:$A,"&gt;="&amp;F171,Producao!$A:$A,"&lt;"&amp;IF(P171="",TODAY()+1,P171)),SUMIFS(Producao!$B:$B,Producao!$A:$A,"&gt;="&amp;F171,Producao!$A:$A,"&lt;"&amp;IF(P171="",TODAY()+1,P171))))))))</f>
        <v/>
      </c>
      <c r="I171" s="34">
        <f>IF(OR(A171="",E171=""),"",E171-H171)</f>
        <v/>
      </c>
      <c r="J171" s="35">
        <f>IF(OR(A171="",N(E171)&lt;=0),"",H171/E171)</f>
        <v/>
      </c>
      <c r="K171" s="32">
        <f>IF(I171="","",IF(P171&lt;&gt;"","Saiu",IF(I171&lt;0,"Além da meta",IF(J171&gt;=Regras!$B$3,"Atenção","OK"))))</f>
        <v/>
      </c>
      <c r="L171" s="32" t="n"/>
      <c r="M171">
        <f>IF(OR(J171="",K171="Saiu"),-1,J171+ROW()/1000000000)</f>
        <v/>
      </c>
      <c r="N171" s="43" t="n"/>
      <c r="O171" s="43" t="n"/>
      <c r="P171" s="44">
        <f>IF(OR(A171="",B171="Molde",F171=""),"",IF(COUNTIFS(TrocasEquip!$B$2:$B$1000,A171,TrocasEquip!$A$2:$A$1000,"&gt;="&amp;F171)=0,"",_xlfn.MINIFS(TrocasEquip!$A$2:$A$1000,TrocasEquip!$B$2:$B$1000,A171,TrocasEquip!$A$2:$A$1000,"&gt;="&amp;F171)))</f>
        <v/>
      </c>
      <c r="Q171">
        <f>IF(AND(A171&lt;&gt;"",K171&lt;&gt;"Saiu"),ROW(),"")</f>
        <v/>
      </c>
    </row>
    <row r="172">
      <c r="A172" s="38" t="n"/>
      <c r="B172" s="39" t="n"/>
      <c r="C172" s="32">
        <f>IF(B172="","",IF(B172="Molde","corridas",IF(B172="Oscilador","dias","t")))</f>
        <v/>
      </c>
      <c r="D172" s="39" t="n"/>
      <c r="E172" s="45" t="n"/>
      <c r="F172" s="46" t="n"/>
      <c r="G172" s="45" t="n"/>
      <c r="H172" s="34">
        <f>IF(A172="","",IF(C172="corridas",SUMIFS(Historico!$E:$E,Historico!$B:$B,L172,Historico!$A:$A,SUMPRODUCT(MAX((Historico!$B$2:$B$5000=L172)*Historico!$A$2:$A$5000))),N(G172)+IF(F172="",0,IF(C172="dias",MAX(0,IF(P172="",TODAY(),P172)-F172),IF(D172=2,SUMIFS(Producao!$D:$D,Producao!$A:$A,"&gt;="&amp;F172,Producao!$A:$A,"&lt;"&amp;IF(P172="",TODAY()+1,P172)),IF(D172=3,SUMIFS(Producao!$E:$E,Producao!$A:$A,"&gt;="&amp;F172,Producao!$A:$A,"&lt;"&amp;IF(P172="",TODAY()+1,P172)),SUMIFS(Producao!$B:$B,Producao!$A:$A,"&gt;="&amp;F172,Producao!$A:$A,"&lt;"&amp;IF(P172="",TODAY()+1,P172))))))))</f>
        <v/>
      </c>
      <c r="I172" s="34">
        <f>IF(OR(A172="",E172=""),"",E172-H172)</f>
        <v/>
      </c>
      <c r="J172" s="35">
        <f>IF(OR(A172="",N(E172)&lt;=0),"",H172/E172)</f>
        <v/>
      </c>
      <c r="K172" s="32">
        <f>IF(I172="","",IF(P172&lt;&gt;"","Saiu",IF(I172&lt;0,"Além da meta",IF(J172&gt;=Regras!$B$3,"Atenção","OK"))))</f>
        <v/>
      </c>
      <c r="L172" s="32" t="n"/>
      <c r="M172">
        <f>IF(OR(J172="",K172="Saiu"),-1,J172+ROW()/1000000000)</f>
        <v/>
      </c>
      <c r="N172" s="43" t="n"/>
      <c r="O172" s="43" t="n"/>
      <c r="P172" s="44">
        <f>IF(OR(A172="",B172="Molde",F172=""),"",IF(COUNTIFS(TrocasEquip!$B$2:$B$1000,A172,TrocasEquip!$A$2:$A$1000,"&gt;="&amp;F172)=0,"",_xlfn.MINIFS(TrocasEquip!$A$2:$A$1000,TrocasEquip!$B$2:$B$1000,A172,TrocasEquip!$A$2:$A$1000,"&gt;="&amp;F172)))</f>
        <v/>
      </c>
      <c r="Q172">
        <f>IF(AND(A172&lt;&gt;"",K172&lt;&gt;"Saiu"),ROW(),"")</f>
        <v/>
      </c>
    </row>
    <row r="173">
      <c r="A173" s="38" t="n"/>
      <c r="B173" s="39" t="n"/>
      <c r="C173" s="32">
        <f>IF(B173="","",IF(B173="Molde","corridas",IF(B173="Oscilador","dias","t")))</f>
        <v/>
      </c>
      <c r="D173" s="39" t="n"/>
      <c r="E173" s="45" t="n"/>
      <c r="F173" s="46" t="n"/>
      <c r="G173" s="45" t="n"/>
      <c r="H173" s="34">
        <f>IF(A173="","",IF(C173="corridas",SUMIFS(Historico!$E:$E,Historico!$B:$B,L173,Historico!$A:$A,SUMPRODUCT(MAX((Historico!$B$2:$B$5000=L173)*Historico!$A$2:$A$5000))),N(G173)+IF(F173="",0,IF(C173="dias",MAX(0,IF(P173="",TODAY(),P173)-F173),IF(D173=2,SUMIFS(Producao!$D:$D,Producao!$A:$A,"&gt;="&amp;F173,Producao!$A:$A,"&lt;"&amp;IF(P173="",TODAY()+1,P173)),IF(D173=3,SUMIFS(Producao!$E:$E,Producao!$A:$A,"&gt;="&amp;F173,Producao!$A:$A,"&lt;"&amp;IF(P173="",TODAY()+1,P173)),SUMIFS(Producao!$B:$B,Producao!$A:$A,"&gt;="&amp;F173,Producao!$A:$A,"&lt;"&amp;IF(P173="",TODAY()+1,P173))))))))</f>
        <v/>
      </c>
      <c r="I173" s="34">
        <f>IF(OR(A173="",E173=""),"",E173-H173)</f>
        <v/>
      </c>
      <c r="J173" s="35">
        <f>IF(OR(A173="",N(E173)&lt;=0),"",H173/E173)</f>
        <v/>
      </c>
      <c r="K173" s="32">
        <f>IF(I173="","",IF(P173&lt;&gt;"","Saiu",IF(I173&lt;0,"Além da meta",IF(J173&gt;=Regras!$B$3,"Atenção","OK"))))</f>
        <v/>
      </c>
      <c r="L173" s="32" t="n"/>
      <c r="M173">
        <f>IF(OR(J173="",K173="Saiu"),-1,J173+ROW()/1000000000)</f>
        <v/>
      </c>
      <c r="N173" s="43" t="n"/>
      <c r="O173" s="43" t="n"/>
      <c r="P173" s="44">
        <f>IF(OR(A173="",B173="Molde",F173=""),"",IF(COUNTIFS(TrocasEquip!$B$2:$B$1000,A173,TrocasEquip!$A$2:$A$1000,"&gt;="&amp;F173)=0,"",_xlfn.MINIFS(TrocasEquip!$A$2:$A$1000,TrocasEquip!$B$2:$B$1000,A173,TrocasEquip!$A$2:$A$1000,"&gt;="&amp;F173)))</f>
        <v/>
      </c>
      <c r="Q173">
        <f>IF(AND(A173&lt;&gt;"",K173&lt;&gt;"Saiu"),ROW(),"")</f>
        <v/>
      </c>
    </row>
    <row r="174">
      <c r="A174" s="38" t="n"/>
      <c r="B174" s="39" t="n"/>
      <c r="C174" s="32">
        <f>IF(B174="","",IF(B174="Molde","corridas",IF(B174="Oscilador","dias","t")))</f>
        <v/>
      </c>
      <c r="D174" s="39" t="n"/>
      <c r="E174" s="45" t="n"/>
      <c r="F174" s="46" t="n"/>
      <c r="G174" s="45" t="n"/>
      <c r="H174" s="34">
        <f>IF(A174="","",IF(C174="corridas",SUMIFS(Historico!$E:$E,Historico!$B:$B,L174,Historico!$A:$A,SUMPRODUCT(MAX((Historico!$B$2:$B$5000=L174)*Historico!$A$2:$A$5000))),N(G174)+IF(F174="",0,IF(C174="dias",MAX(0,IF(P174="",TODAY(),P174)-F174),IF(D174=2,SUMIFS(Producao!$D:$D,Producao!$A:$A,"&gt;="&amp;F174,Producao!$A:$A,"&lt;"&amp;IF(P174="",TODAY()+1,P174)),IF(D174=3,SUMIFS(Producao!$E:$E,Producao!$A:$A,"&gt;="&amp;F174,Producao!$A:$A,"&lt;"&amp;IF(P174="",TODAY()+1,P174)),SUMIFS(Producao!$B:$B,Producao!$A:$A,"&gt;="&amp;F174,Producao!$A:$A,"&lt;"&amp;IF(P174="",TODAY()+1,P174))))))))</f>
        <v/>
      </c>
      <c r="I174" s="34">
        <f>IF(OR(A174="",E174=""),"",E174-H174)</f>
        <v/>
      </c>
      <c r="J174" s="35">
        <f>IF(OR(A174="",N(E174)&lt;=0),"",H174/E174)</f>
        <v/>
      </c>
      <c r="K174" s="32">
        <f>IF(I174="","",IF(P174&lt;&gt;"","Saiu",IF(I174&lt;0,"Além da meta",IF(J174&gt;=Regras!$B$3,"Atenção","OK"))))</f>
        <v/>
      </c>
      <c r="L174" s="32" t="n"/>
      <c r="M174">
        <f>IF(OR(J174="",K174="Saiu"),-1,J174+ROW()/1000000000)</f>
        <v/>
      </c>
      <c r="N174" s="43" t="n"/>
      <c r="O174" s="43" t="n"/>
      <c r="P174" s="44">
        <f>IF(OR(A174="",B174="Molde",F174=""),"",IF(COUNTIFS(TrocasEquip!$B$2:$B$1000,A174,TrocasEquip!$A$2:$A$1000,"&gt;="&amp;F174)=0,"",_xlfn.MINIFS(TrocasEquip!$A$2:$A$1000,TrocasEquip!$B$2:$B$1000,A174,TrocasEquip!$A$2:$A$1000,"&gt;="&amp;F174)))</f>
        <v/>
      </c>
      <c r="Q174">
        <f>IF(AND(A174&lt;&gt;"",K174&lt;&gt;"Saiu"),ROW(),"")</f>
        <v/>
      </c>
    </row>
    <row r="175">
      <c r="A175" s="38" t="n"/>
      <c r="B175" s="39" t="n"/>
      <c r="C175" s="32">
        <f>IF(B175="","",IF(B175="Molde","corridas",IF(B175="Oscilador","dias","t")))</f>
        <v/>
      </c>
      <c r="D175" s="39" t="n"/>
      <c r="E175" s="45" t="n"/>
      <c r="F175" s="46" t="n"/>
      <c r="G175" s="45" t="n"/>
      <c r="H175" s="34">
        <f>IF(A175="","",IF(C175="corridas",SUMIFS(Historico!$E:$E,Historico!$B:$B,L175,Historico!$A:$A,SUMPRODUCT(MAX((Historico!$B$2:$B$5000=L175)*Historico!$A$2:$A$5000))),N(G175)+IF(F175="",0,IF(C175="dias",MAX(0,IF(P175="",TODAY(),P175)-F175),IF(D175=2,SUMIFS(Producao!$D:$D,Producao!$A:$A,"&gt;="&amp;F175,Producao!$A:$A,"&lt;"&amp;IF(P175="",TODAY()+1,P175)),IF(D175=3,SUMIFS(Producao!$E:$E,Producao!$A:$A,"&gt;="&amp;F175,Producao!$A:$A,"&lt;"&amp;IF(P175="",TODAY()+1,P175)),SUMIFS(Producao!$B:$B,Producao!$A:$A,"&gt;="&amp;F175,Producao!$A:$A,"&lt;"&amp;IF(P175="",TODAY()+1,P175))))))))</f>
        <v/>
      </c>
      <c r="I175" s="34">
        <f>IF(OR(A175="",E175=""),"",E175-H175)</f>
        <v/>
      </c>
      <c r="J175" s="35">
        <f>IF(OR(A175="",N(E175)&lt;=0),"",H175/E175)</f>
        <v/>
      </c>
      <c r="K175" s="32">
        <f>IF(I175="","",IF(P175&lt;&gt;"","Saiu",IF(I175&lt;0,"Além da meta",IF(J175&gt;=Regras!$B$3,"Atenção","OK"))))</f>
        <v/>
      </c>
      <c r="L175" s="32" t="n"/>
      <c r="M175">
        <f>IF(OR(J175="",K175="Saiu"),-1,J175+ROW()/1000000000)</f>
        <v/>
      </c>
      <c r="N175" s="43" t="n"/>
      <c r="O175" s="43" t="n"/>
      <c r="P175" s="44">
        <f>IF(OR(A175="",B175="Molde",F175=""),"",IF(COUNTIFS(TrocasEquip!$B$2:$B$1000,A175,TrocasEquip!$A$2:$A$1000,"&gt;="&amp;F175)=0,"",_xlfn.MINIFS(TrocasEquip!$A$2:$A$1000,TrocasEquip!$B$2:$B$1000,A175,TrocasEquip!$A$2:$A$1000,"&gt;="&amp;F175)))</f>
        <v/>
      </c>
      <c r="Q175">
        <f>IF(AND(A175&lt;&gt;"",K175&lt;&gt;"Saiu"),ROW(),"")</f>
        <v/>
      </c>
    </row>
    <row r="176">
      <c r="A176" s="38" t="n"/>
      <c r="B176" s="39" t="n"/>
      <c r="C176" s="32">
        <f>IF(B176="","",IF(B176="Molde","corridas",IF(B176="Oscilador","dias","t")))</f>
        <v/>
      </c>
      <c r="D176" s="39" t="n"/>
      <c r="E176" s="45" t="n"/>
      <c r="F176" s="46" t="n"/>
      <c r="G176" s="45" t="n"/>
      <c r="H176" s="34">
        <f>IF(A176="","",IF(C176="corridas",SUMIFS(Historico!$E:$E,Historico!$B:$B,L176,Historico!$A:$A,SUMPRODUCT(MAX((Historico!$B$2:$B$5000=L176)*Historico!$A$2:$A$5000))),N(G176)+IF(F176="",0,IF(C176="dias",MAX(0,IF(P176="",TODAY(),P176)-F176),IF(D176=2,SUMIFS(Producao!$D:$D,Producao!$A:$A,"&gt;="&amp;F176,Producao!$A:$A,"&lt;"&amp;IF(P176="",TODAY()+1,P176)),IF(D176=3,SUMIFS(Producao!$E:$E,Producao!$A:$A,"&gt;="&amp;F176,Producao!$A:$A,"&lt;"&amp;IF(P176="",TODAY()+1,P176)),SUMIFS(Producao!$B:$B,Producao!$A:$A,"&gt;="&amp;F176,Producao!$A:$A,"&lt;"&amp;IF(P176="",TODAY()+1,P176))))))))</f>
        <v/>
      </c>
      <c r="I176" s="34">
        <f>IF(OR(A176="",E176=""),"",E176-H176)</f>
        <v/>
      </c>
      <c r="J176" s="35">
        <f>IF(OR(A176="",N(E176)&lt;=0),"",H176/E176)</f>
        <v/>
      </c>
      <c r="K176" s="32">
        <f>IF(I176="","",IF(P176&lt;&gt;"","Saiu",IF(I176&lt;0,"Além da meta",IF(J176&gt;=Regras!$B$3,"Atenção","OK"))))</f>
        <v/>
      </c>
      <c r="L176" s="32" t="n"/>
      <c r="M176">
        <f>IF(OR(J176="",K176="Saiu"),-1,J176+ROW()/1000000000)</f>
        <v/>
      </c>
      <c r="N176" s="43" t="n"/>
      <c r="O176" s="43" t="n"/>
      <c r="P176" s="44">
        <f>IF(OR(A176="",B176="Molde",F176=""),"",IF(COUNTIFS(TrocasEquip!$B$2:$B$1000,A176,TrocasEquip!$A$2:$A$1000,"&gt;="&amp;F176)=0,"",_xlfn.MINIFS(TrocasEquip!$A$2:$A$1000,TrocasEquip!$B$2:$B$1000,A176,TrocasEquip!$A$2:$A$1000,"&gt;="&amp;F176)))</f>
        <v/>
      </c>
      <c r="Q176">
        <f>IF(AND(A176&lt;&gt;"",K176&lt;&gt;"Saiu"),ROW(),"")</f>
        <v/>
      </c>
    </row>
    <row r="177">
      <c r="A177" s="38" t="n"/>
      <c r="B177" s="39" t="n"/>
      <c r="C177" s="32">
        <f>IF(B177="","",IF(B177="Molde","corridas",IF(B177="Oscilador","dias","t")))</f>
        <v/>
      </c>
      <c r="D177" s="39" t="n"/>
      <c r="E177" s="45" t="n"/>
      <c r="F177" s="46" t="n"/>
      <c r="G177" s="45" t="n"/>
      <c r="H177" s="34">
        <f>IF(A177="","",IF(C177="corridas",SUMIFS(Historico!$E:$E,Historico!$B:$B,L177,Historico!$A:$A,SUMPRODUCT(MAX((Historico!$B$2:$B$5000=L177)*Historico!$A$2:$A$5000))),N(G177)+IF(F177="",0,IF(C177="dias",MAX(0,IF(P177="",TODAY(),P177)-F177),IF(D177=2,SUMIFS(Producao!$D:$D,Producao!$A:$A,"&gt;="&amp;F177,Producao!$A:$A,"&lt;"&amp;IF(P177="",TODAY()+1,P177)),IF(D177=3,SUMIFS(Producao!$E:$E,Producao!$A:$A,"&gt;="&amp;F177,Producao!$A:$A,"&lt;"&amp;IF(P177="",TODAY()+1,P177)),SUMIFS(Producao!$B:$B,Producao!$A:$A,"&gt;="&amp;F177,Producao!$A:$A,"&lt;"&amp;IF(P177="",TODAY()+1,P177))))))))</f>
        <v/>
      </c>
      <c r="I177" s="34">
        <f>IF(OR(A177="",E177=""),"",E177-H177)</f>
        <v/>
      </c>
      <c r="J177" s="35">
        <f>IF(OR(A177="",N(E177)&lt;=0),"",H177/E177)</f>
        <v/>
      </c>
      <c r="K177" s="32">
        <f>IF(I177="","",IF(P177&lt;&gt;"","Saiu",IF(I177&lt;0,"Além da meta",IF(J177&gt;=Regras!$B$3,"Atenção","OK"))))</f>
        <v/>
      </c>
      <c r="L177" s="32" t="n"/>
      <c r="M177">
        <f>IF(OR(J177="",K177="Saiu"),-1,J177+ROW()/1000000000)</f>
        <v/>
      </c>
      <c r="N177" s="43" t="n"/>
      <c r="O177" s="43" t="n"/>
      <c r="P177" s="44">
        <f>IF(OR(A177="",B177="Molde",F177=""),"",IF(COUNTIFS(TrocasEquip!$B$2:$B$1000,A177,TrocasEquip!$A$2:$A$1000,"&gt;="&amp;F177)=0,"",_xlfn.MINIFS(TrocasEquip!$A$2:$A$1000,TrocasEquip!$B$2:$B$1000,A177,TrocasEquip!$A$2:$A$1000,"&gt;="&amp;F177)))</f>
        <v/>
      </c>
      <c r="Q177">
        <f>IF(AND(A177&lt;&gt;"",K177&lt;&gt;"Saiu"),ROW(),"")</f>
        <v/>
      </c>
    </row>
    <row r="178">
      <c r="A178" s="38" t="n"/>
      <c r="B178" s="39" t="n"/>
      <c r="C178" s="32">
        <f>IF(B178="","",IF(B178="Molde","corridas",IF(B178="Oscilador","dias","t")))</f>
        <v/>
      </c>
      <c r="D178" s="39" t="n"/>
      <c r="E178" s="45" t="n"/>
      <c r="F178" s="46" t="n"/>
      <c r="G178" s="45" t="n"/>
      <c r="H178" s="34">
        <f>IF(A178="","",IF(C178="corridas",SUMIFS(Historico!$E:$E,Historico!$B:$B,L178,Historico!$A:$A,SUMPRODUCT(MAX((Historico!$B$2:$B$5000=L178)*Historico!$A$2:$A$5000))),N(G178)+IF(F178="",0,IF(C178="dias",MAX(0,IF(P178="",TODAY(),P178)-F178),IF(D178=2,SUMIFS(Producao!$D:$D,Producao!$A:$A,"&gt;="&amp;F178,Producao!$A:$A,"&lt;"&amp;IF(P178="",TODAY()+1,P178)),IF(D178=3,SUMIFS(Producao!$E:$E,Producao!$A:$A,"&gt;="&amp;F178,Producao!$A:$A,"&lt;"&amp;IF(P178="",TODAY()+1,P178)),SUMIFS(Producao!$B:$B,Producao!$A:$A,"&gt;="&amp;F178,Producao!$A:$A,"&lt;"&amp;IF(P178="",TODAY()+1,P178))))))))</f>
        <v/>
      </c>
      <c r="I178" s="34">
        <f>IF(OR(A178="",E178=""),"",E178-H178)</f>
        <v/>
      </c>
      <c r="J178" s="35">
        <f>IF(OR(A178="",N(E178)&lt;=0),"",H178/E178)</f>
        <v/>
      </c>
      <c r="K178" s="32">
        <f>IF(I178="","",IF(P178&lt;&gt;"","Saiu",IF(I178&lt;0,"Além da meta",IF(J178&gt;=Regras!$B$3,"Atenção","OK"))))</f>
        <v/>
      </c>
      <c r="L178" s="32" t="n"/>
      <c r="M178">
        <f>IF(OR(J178="",K178="Saiu"),-1,J178+ROW()/1000000000)</f>
        <v/>
      </c>
      <c r="N178" s="43" t="n"/>
      <c r="O178" s="43" t="n"/>
      <c r="P178" s="44">
        <f>IF(OR(A178="",B178="Molde",F178=""),"",IF(COUNTIFS(TrocasEquip!$B$2:$B$1000,A178,TrocasEquip!$A$2:$A$1000,"&gt;="&amp;F178)=0,"",_xlfn.MINIFS(TrocasEquip!$A$2:$A$1000,TrocasEquip!$B$2:$B$1000,A178,TrocasEquip!$A$2:$A$1000,"&gt;="&amp;F178)))</f>
        <v/>
      </c>
      <c r="Q178">
        <f>IF(AND(A178&lt;&gt;"",K178&lt;&gt;"Saiu"),ROW(),"")</f>
        <v/>
      </c>
    </row>
    <row r="179">
      <c r="A179" s="38" t="n"/>
      <c r="B179" s="39" t="n"/>
      <c r="C179" s="32">
        <f>IF(B179="","",IF(B179="Molde","corridas",IF(B179="Oscilador","dias","t")))</f>
        <v/>
      </c>
      <c r="D179" s="39" t="n"/>
      <c r="E179" s="45" t="n"/>
      <c r="F179" s="46" t="n"/>
      <c r="G179" s="45" t="n"/>
      <c r="H179" s="34">
        <f>IF(A179="","",IF(C179="corridas",SUMIFS(Historico!$E:$E,Historico!$B:$B,L179,Historico!$A:$A,SUMPRODUCT(MAX((Historico!$B$2:$B$5000=L179)*Historico!$A$2:$A$5000))),N(G179)+IF(F179="",0,IF(C179="dias",MAX(0,IF(P179="",TODAY(),P179)-F179),IF(D179=2,SUMIFS(Producao!$D:$D,Producao!$A:$A,"&gt;="&amp;F179,Producao!$A:$A,"&lt;"&amp;IF(P179="",TODAY()+1,P179)),IF(D179=3,SUMIFS(Producao!$E:$E,Producao!$A:$A,"&gt;="&amp;F179,Producao!$A:$A,"&lt;"&amp;IF(P179="",TODAY()+1,P179)),SUMIFS(Producao!$B:$B,Producao!$A:$A,"&gt;="&amp;F179,Producao!$A:$A,"&lt;"&amp;IF(P179="",TODAY()+1,P179))))))))</f>
        <v/>
      </c>
      <c r="I179" s="34">
        <f>IF(OR(A179="",E179=""),"",E179-H179)</f>
        <v/>
      </c>
      <c r="J179" s="35">
        <f>IF(OR(A179="",N(E179)&lt;=0),"",H179/E179)</f>
        <v/>
      </c>
      <c r="K179" s="32">
        <f>IF(I179="","",IF(P179&lt;&gt;"","Saiu",IF(I179&lt;0,"Além da meta",IF(J179&gt;=Regras!$B$3,"Atenção","OK"))))</f>
        <v/>
      </c>
      <c r="L179" s="32" t="n"/>
      <c r="M179">
        <f>IF(OR(J179="",K179="Saiu"),-1,J179+ROW()/1000000000)</f>
        <v/>
      </c>
      <c r="N179" s="43" t="n"/>
      <c r="O179" s="43" t="n"/>
      <c r="P179" s="44">
        <f>IF(OR(A179="",B179="Molde",F179=""),"",IF(COUNTIFS(TrocasEquip!$B$2:$B$1000,A179,TrocasEquip!$A$2:$A$1000,"&gt;="&amp;F179)=0,"",_xlfn.MINIFS(TrocasEquip!$A$2:$A$1000,TrocasEquip!$B$2:$B$1000,A179,TrocasEquip!$A$2:$A$1000,"&gt;="&amp;F179)))</f>
        <v/>
      </c>
      <c r="Q179">
        <f>IF(AND(A179&lt;&gt;"",K179&lt;&gt;"Saiu"),ROW(),"")</f>
        <v/>
      </c>
    </row>
    <row r="180">
      <c r="A180" s="38" t="n"/>
      <c r="B180" s="39" t="n"/>
      <c r="C180" s="32">
        <f>IF(B180="","",IF(B180="Molde","corridas",IF(B180="Oscilador","dias","t")))</f>
        <v/>
      </c>
      <c r="D180" s="39" t="n"/>
      <c r="E180" s="45" t="n"/>
      <c r="F180" s="46" t="n"/>
      <c r="G180" s="45" t="n"/>
      <c r="H180" s="34">
        <f>IF(A180="","",IF(C180="corridas",SUMIFS(Historico!$E:$E,Historico!$B:$B,L180,Historico!$A:$A,SUMPRODUCT(MAX((Historico!$B$2:$B$5000=L180)*Historico!$A$2:$A$5000))),N(G180)+IF(F180="",0,IF(C180="dias",MAX(0,IF(P180="",TODAY(),P180)-F180),IF(D180=2,SUMIFS(Producao!$D:$D,Producao!$A:$A,"&gt;="&amp;F180,Producao!$A:$A,"&lt;"&amp;IF(P180="",TODAY()+1,P180)),IF(D180=3,SUMIFS(Producao!$E:$E,Producao!$A:$A,"&gt;="&amp;F180,Producao!$A:$A,"&lt;"&amp;IF(P180="",TODAY()+1,P180)),SUMIFS(Producao!$B:$B,Producao!$A:$A,"&gt;="&amp;F180,Producao!$A:$A,"&lt;"&amp;IF(P180="",TODAY()+1,P180))))))))</f>
        <v/>
      </c>
      <c r="I180" s="34">
        <f>IF(OR(A180="",E180=""),"",E180-H180)</f>
        <v/>
      </c>
      <c r="J180" s="35">
        <f>IF(OR(A180="",N(E180)&lt;=0),"",H180/E180)</f>
        <v/>
      </c>
      <c r="K180" s="32">
        <f>IF(I180="","",IF(P180&lt;&gt;"","Saiu",IF(I180&lt;0,"Além da meta",IF(J180&gt;=Regras!$B$3,"Atenção","OK"))))</f>
        <v/>
      </c>
      <c r="L180" s="32" t="n"/>
      <c r="M180">
        <f>IF(OR(J180="",K180="Saiu"),-1,J180+ROW()/1000000000)</f>
        <v/>
      </c>
      <c r="N180" s="43" t="n"/>
      <c r="O180" s="43" t="n"/>
      <c r="P180" s="44">
        <f>IF(OR(A180="",B180="Molde",F180=""),"",IF(COUNTIFS(TrocasEquip!$B$2:$B$1000,A180,TrocasEquip!$A$2:$A$1000,"&gt;="&amp;F180)=0,"",_xlfn.MINIFS(TrocasEquip!$A$2:$A$1000,TrocasEquip!$B$2:$B$1000,A180,TrocasEquip!$A$2:$A$1000,"&gt;="&amp;F180)))</f>
        <v/>
      </c>
      <c r="Q180">
        <f>IF(AND(A180&lt;&gt;"",K180&lt;&gt;"Saiu"),ROW(),"")</f>
        <v/>
      </c>
    </row>
    <row r="181">
      <c r="A181" s="38" t="n"/>
      <c r="B181" s="39" t="n"/>
      <c r="C181" s="32">
        <f>IF(B181="","",IF(B181="Molde","corridas",IF(B181="Oscilador","dias","t")))</f>
        <v/>
      </c>
      <c r="D181" s="39" t="n"/>
      <c r="E181" s="45" t="n"/>
      <c r="F181" s="46" t="n"/>
      <c r="G181" s="45" t="n"/>
      <c r="H181" s="34">
        <f>IF(A181="","",IF(C181="corridas",SUMIFS(Historico!$E:$E,Historico!$B:$B,L181,Historico!$A:$A,SUMPRODUCT(MAX((Historico!$B$2:$B$5000=L181)*Historico!$A$2:$A$5000))),N(G181)+IF(F181="",0,IF(C181="dias",MAX(0,IF(P181="",TODAY(),P181)-F181),IF(D181=2,SUMIFS(Producao!$D:$D,Producao!$A:$A,"&gt;="&amp;F181,Producao!$A:$A,"&lt;"&amp;IF(P181="",TODAY()+1,P181)),IF(D181=3,SUMIFS(Producao!$E:$E,Producao!$A:$A,"&gt;="&amp;F181,Producao!$A:$A,"&lt;"&amp;IF(P181="",TODAY()+1,P181)),SUMIFS(Producao!$B:$B,Producao!$A:$A,"&gt;="&amp;F181,Producao!$A:$A,"&lt;"&amp;IF(P181="",TODAY()+1,P181))))))))</f>
        <v/>
      </c>
      <c r="I181" s="34">
        <f>IF(OR(A181="",E181=""),"",E181-H181)</f>
        <v/>
      </c>
      <c r="J181" s="35">
        <f>IF(OR(A181="",N(E181)&lt;=0),"",H181/E181)</f>
        <v/>
      </c>
      <c r="K181" s="32">
        <f>IF(I181="","",IF(P181&lt;&gt;"","Saiu",IF(I181&lt;0,"Além da meta",IF(J181&gt;=Regras!$B$3,"Atenção","OK"))))</f>
        <v/>
      </c>
      <c r="L181" s="32" t="n"/>
      <c r="M181">
        <f>IF(OR(J181="",K181="Saiu"),-1,J181+ROW()/1000000000)</f>
        <v/>
      </c>
      <c r="N181" s="43" t="n"/>
      <c r="O181" s="43" t="n"/>
      <c r="P181" s="44">
        <f>IF(OR(A181="",B181="Molde",F181=""),"",IF(COUNTIFS(TrocasEquip!$B$2:$B$1000,A181,TrocasEquip!$A$2:$A$1000,"&gt;="&amp;F181)=0,"",_xlfn.MINIFS(TrocasEquip!$A$2:$A$1000,TrocasEquip!$B$2:$B$1000,A181,TrocasEquip!$A$2:$A$1000,"&gt;="&amp;F181)))</f>
        <v/>
      </c>
      <c r="Q181">
        <f>IF(AND(A181&lt;&gt;"",K181&lt;&gt;"Saiu"),ROW(),"")</f>
        <v/>
      </c>
    </row>
    <row r="182">
      <c r="A182" s="38" t="n"/>
      <c r="B182" s="39" t="n"/>
      <c r="C182" s="32">
        <f>IF(B182="","",IF(B182="Molde","corridas",IF(B182="Oscilador","dias","t")))</f>
        <v/>
      </c>
      <c r="D182" s="39" t="n"/>
      <c r="E182" s="45" t="n"/>
      <c r="F182" s="46" t="n"/>
      <c r="G182" s="45" t="n"/>
      <c r="H182" s="34">
        <f>IF(A182="","",IF(C182="corridas",SUMIFS(Historico!$E:$E,Historico!$B:$B,L182,Historico!$A:$A,SUMPRODUCT(MAX((Historico!$B$2:$B$5000=L182)*Historico!$A$2:$A$5000))),N(G182)+IF(F182="",0,IF(C182="dias",MAX(0,IF(P182="",TODAY(),P182)-F182),IF(D182=2,SUMIFS(Producao!$D:$D,Producao!$A:$A,"&gt;="&amp;F182,Producao!$A:$A,"&lt;"&amp;IF(P182="",TODAY()+1,P182)),IF(D182=3,SUMIFS(Producao!$E:$E,Producao!$A:$A,"&gt;="&amp;F182,Producao!$A:$A,"&lt;"&amp;IF(P182="",TODAY()+1,P182)),SUMIFS(Producao!$B:$B,Producao!$A:$A,"&gt;="&amp;F182,Producao!$A:$A,"&lt;"&amp;IF(P182="",TODAY()+1,P182))))))))</f>
        <v/>
      </c>
      <c r="I182" s="34">
        <f>IF(OR(A182="",E182=""),"",E182-H182)</f>
        <v/>
      </c>
      <c r="J182" s="35">
        <f>IF(OR(A182="",N(E182)&lt;=0),"",H182/E182)</f>
        <v/>
      </c>
      <c r="K182" s="32">
        <f>IF(I182="","",IF(P182&lt;&gt;"","Saiu",IF(I182&lt;0,"Além da meta",IF(J182&gt;=Regras!$B$3,"Atenção","OK"))))</f>
        <v/>
      </c>
      <c r="L182" s="32" t="n"/>
      <c r="M182">
        <f>IF(OR(J182="",K182="Saiu"),-1,J182+ROW()/1000000000)</f>
        <v/>
      </c>
      <c r="N182" s="43" t="n"/>
      <c r="O182" s="43" t="n"/>
      <c r="P182" s="44">
        <f>IF(OR(A182="",B182="Molde",F182=""),"",IF(COUNTIFS(TrocasEquip!$B$2:$B$1000,A182,TrocasEquip!$A$2:$A$1000,"&gt;="&amp;F182)=0,"",_xlfn.MINIFS(TrocasEquip!$A$2:$A$1000,TrocasEquip!$B$2:$B$1000,A182,TrocasEquip!$A$2:$A$1000,"&gt;="&amp;F182)))</f>
        <v/>
      </c>
      <c r="Q182">
        <f>IF(AND(A182&lt;&gt;"",K182&lt;&gt;"Saiu"),ROW(),"")</f>
        <v/>
      </c>
    </row>
    <row r="183">
      <c r="A183" s="38" t="n"/>
      <c r="B183" s="39" t="n"/>
      <c r="C183" s="32">
        <f>IF(B183="","",IF(B183="Molde","corridas",IF(B183="Oscilador","dias","t")))</f>
        <v/>
      </c>
      <c r="D183" s="39" t="n"/>
      <c r="E183" s="45" t="n"/>
      <c r="F183" s="46" t="n"/>
      <c r="G183" s="45" t="n"/>
      <c r="H183" s="34">
        <f>IF(A183="","",IF(C183="corridas",SUMIFS(Historico!$E:$E,Historico!$B:$B,L183,Historico!$A:$A,SUMPRODUCT(MAX((Historico!$B$2:$B$5000=L183)*Historico!$A$2:$A$5000))),N(G183)+IF(F183="",0,IF(C183="dias",MAX(0,IF(P183="",TODAY(),P183)-F183),IF(D183=2,SUMIFS(Producao!$D:$D,Producao!$A:$A,"&gt;="&amp;F183,Producao!$A:$A,"&lt;"&amp;IF(P183="",TODAY()+1,P183)),IF(D183=3,SUMIFS(Producao!$E:$E,Producao!$A:$A,"&gt;="&amp;F183,Producao!$A:$A,"&lt;"&amp;IF(P183="",TODAY()+1,P183)),SUMIFS(Producao!$B:$B,Producao!$A:$A,"&gt;="&amp;F183,Producao!$A:$A,"&lt;"&amp;IF(P183="",TODAY()+1,P183))))))))</f>
        <v/>
      </c>
      <c r="I183" s="34">
        <f>IF(OR(A183="",E183=""),"",E183-H183)</f>
        <v/>
      </c>
      <c r="J183" s="35">
        <f>IF(OR(A183="",N(E183)&lt;=0),"",H183/E183)</f>
        <v/>
      </c>
      <c r="K183" s="32">
        <f>IF(I183="","",IF(P183&lt;&gt;"","Saiu",IF(I183&lt;0,"Além da meta",IF(J183&gt;=Regras!$B$3,"Atenção","OK"))))</f>
        <v/>
      </c>
      <c r="L183" s="32" t="n"/>
      <c r="M183">
        <f>IF(OR(J183="",K183="Saiu"),-1,J183+ROW()/1000000000)</f>
        <v/>
      </c>
      <c r="N183" s="43" t="n"/>
      <c r="O183" s="43" t="n"/>
      <c r="P183" s="44">
        <f>IF(OR(A183="",B183="Molde",F183=""),"",IF(COUNTIFS(TrocasEquip!$B$2:$B$1000,A183,TrocasEquip!$A$2:$A$1000,"&gt;="&amp;F183)=0,"",_xlfn.MINIFS(TrocasEquip!$A$2:$A$1000,TrocasEquip!$B$2:$B$1000,A183,TrocasEquip!$A$2:$A$1000,"&gt;="&amp;F183)))</f>
        <v/>
      </c>
      <c r="Q183">
        <f>IF(AND(A183&lt;&gt;"",K183&lt;&gt;"Saiu"),ROW(),"")</f>
        <v/>
      </c>
    </row>
    <row r="184">
      <c r="A184" s="38" t="n"/>
      <c r="B184" s="39" t="n"/>
      <c r="C184" s="32">
        <f>IF(B184="","",IF(B184="Molde","corridas",IF(B184="Oscilador","dias","t")))</f>
        <v/>
      </c>
      <c r="D184" s="39" t="n"/>
      <c r="E184" s="45" t="n"/>
      <c r="F184" s="46" t="n"/>
      <c r="G184" s="45" t="n"/>
      <c r="H184" s="34">
        <f>IF(A184="","",IF(C184="corridas",SUMIFS(Historico!$E:$E,Historico!$B:$B,L184,Historico!$A:$A,SUMPRODUCT(MAX((Historico!$B$2:$B$5000=L184)*Historico!$A$2:$A$5000))),N(G184)+IF(F184="",0,IF(C184="dias",MAX(0,IF(P184="",TODAY(),P184)-F184),IF(D184=2,SUMIFS(Producao!$D:$D,Producao!$A:$A,"&gt;="&amp;F184,Producao!$A:$A,"&lt;"&amp;IF(P184="",TODAY()+1,P184)),IF(D184=3,SUMIFS(Producao!$E:$E,Producao!$A:$A,"&gt;="&amp;F184,Producao!$A:$A,"&lt;"&amp;IF(P184="",TODAY()+1,P184)),SUMIFS(Producao!$B:$B,Producao!$A:$A,"&gt;="&amp;F184,Producao!$A:$A,"&lt;"&amp;IF(P184="",TODAY()+1,P184))))))))</f>
        <v/>
      </c>
      <c r="I184" s="34">
        <f>IF(OR(A184="",E184=""),"",E184-H184)</f>
        <v/>
      </c>
      <c r="J184" s="35">
        <f>IF(OR(A184="",N(E184)&lt;=0),"",H184/E184)</f>
        <v/>
      </c>
      <c r="K184" s="32">
        <f>IF(I184="","",IF(P184&lt;&gt;"","Saiu",IF(I184&lt;0,"Além da meta",IF(J184&gt;=Regras!$B$3,"Atenção","OK"))))</f>
        <v/>
      </c>
      <c r="L184" s="32" t="n"/>
      <c r="M184">
        <f>IF(OR(J184="",K184="Saiu"),-1,J184+ROW()/1000000000)</f>
        <v/>
      </c>
      <c r="N184" s="43" t="n"/>
      <c r="O184" s="43" t="n"/>
      <c r="P184" s="44">
        <f>IF(OR(A184="",B184="Molde",F184=""),"",IF(COUNTIFS(TrocasEquip!$B$2:$B$1000,A184,TrocasEquip!$A$2:$A$1000,"&gt;="&amp;F184)=0,"",_xlfn.MINIFS(TrocasEquip!$A$2:$A$1000,TrocasEquip!$B$2:$B$1000,A184,TrocasEquip!$A$2:$A$1000,"&gt;="&amp;F184)))</f>
        <v/>
      </c>
      <c r="Q184">
        <f>IF(AND(A184&lt;&gt;"",K184&lt;&gt;"Saiu"),ROW(),"")</f>
        <v/>
      </c>
    </row>
    <row r="185">
      <c r="A185" s="38" t="n"/>
      <c r="B185" s="39" t="n"/>
      <c r="C185" s="32">
        <f>IF(B185="","",IF(B185="Molde","corridas",IF(B185="Oscilador","dias","t")))</f>
        <v/>
      </c>
      <c r="D185" s="39" t="n"/>
      <c r="E185" s="45" t="n"/>
      <c r="F185" s="46" t="n"/>
      <c r="G185" s="45" t="n"/>
      <c r="H185" s="34">
        <f>IF(A185="","",IF(C185="corridas",SUMIFS(Historico!$E:$E,Historico!$B:$B,L185,Historico!$A:$A,SUMPRODUCT(MAX((Historico!$B$2:$B$5000=L185)*Historico!$A$2:$A$5000))),N(G185)+IF(F185="",0,IF(C185="dias",MAX(0,IF(P185="",TODAY(),P185)-F185),IF(D185=2,SUMIFS(Producao!$D:$D,Producao!$A:$A,"&gt;="&amp;F185,Producao!$A:$A,"&lt;"&amp;IF(P185="",TODAY()+1,P185)),IF(D185=3,SUMIFS(Producao!$E:$E,Producao!$A:$A,"&gt;="&amp;F185,Producao!$A:$A,"&lt;"&amp;IF(P185="",TODAY()+1,P185)),SUMIFS(Producao!$B:$B,Producao!$A:$A,"&gt;="&amp;F185,Producao!$A:$A,"&lt;"&amp;IF(P185="",TODAY()+1,P185))))))))</f>
        <v/>
      </c>
      <c r="I185" s="34">
        <f>IF(OR(A185="",E185=""),"",E185-H185)</f>
        <v/>
      </c>
      <c r="J185" s="35">
        <f>IF(OR(A185="",N(E185)&lt;=0),"",H185/E185)</f>
        <v/>
      </c>
      <c r="K185" s="32">
        <f>IF(I185="","",IF(P185&lt;&gt;"","Saiu",IF(I185&lt;0,"Além da meta",IF(J185&gt;=Regras!$B$3,"Atenção","OK"))))</f>
        <v/>
      </c>
      <c r="L185" s="32" t="n"/>
      <c r="M185">
        <f>IF(OR(J185="",K185="Saiu"),-1,J185+ROW()/1000000000)</f>
        <v/>
      </c>
      <c r="N185" s="43" t="n"/>
      <c r="O185" s="43" t="n"/>
      <c r="P185" s="44">
        <f>IF(OR(A185="",B185="Molde",F185=""),"",IF(COUNTIFS(TrocasEquip!$B$2:$B$1000,A185,TrocasEquip!$A$2:$A$1000,"&gt;="&amp;F185)=0,"",_xlfn.MINIFS(TrocasEquip!$A$2:$A$1000,TrocasEquip!$B$2:$B$1000,A185,TrocasEquip!$A$2:$A$1000,"&gt;="&amp;F185)))</f>
        <v/>
      </c>
      <c r="Q185">
        <f>IF(AND(A185&lt;&gt;"",K185&lt;&gt;"Saiu"),ROW(),"")</f>
        <v/>
      </c>
    </row>
    <row r="186">
      <c r="A186" s="38" t="n"/>
      <c r="B186" s="39" t="n"/>
      <c r="C186" s="32">
        <f>IF(B186="","",IF(B186="Molde","corridas",IF(B186="Oscilador","dias","t")))</f>
        <v/>
      </c>
      <c r="D186" s="39" t="n"/>
      <c r="E186" s="45" t="n"/>
      <c r="F186" s="46" t="n"/>
      <c r="G186" s="45" t="n"/>
      <c r="H186" s="34">
        <f>IF(A186="","",IF(C186="corridas",SUMIFS(Historico!$E:$E,Historico!$B:$B,L186,Historico!$A:$A,SUMPRODUCT(MAX((Historico!$B$2:$B$5000=L186)*Historico!$A$2:$A$5000))),N(G186)+IF(F186="",0,IF(C186="dias",MAX(0,IF(P186="",TODAY(),P186)-F186),IF(D186=2,SUMIFS(Producao!$D:$D,Producao!$A:$A,"&gt;="&amp;F186,Producao!$A:$A,"&lt;"&amp;IF(P186="",TODAY()+1,P186)),IF(D186=3,SUMIFS(Producao!$E:$E,Producao!$A:$A,"&gt;="&amp;F186,Producao!$A:$A,"&lt;"&amp;IF(P186="",TODAY()+1,P186)),SUMIFS(Producao!$B:$B,Producao!$A:$A,"&gt;="&amp;F186,Producao!$A:$A,"&lt;"&amp;IF(P186="",TODAY()+1,P186))))))))</f>
        <v/>
      </c>
      <c r="I186" s="34">
        <f>IF(OR(A186="",E186=""),"",E186-H186)</f>
        <v/>
      </c>
      <c r="J186" s="35">
        <f>IF(OR(A186="",N(E186)&lt;=0),"",H186/E186)</f>
        <v/>
      </c>
      <c r="K186" s="32">
        <f>IF(I186="","",IF(P186&lt;&gt;"","Saiu",IF(I186&lt;0,"Além da meta",IF(J186&gt;=Regras!$B$3,"Atenção","OK"))))</f>
        <v/>
      </c>
      <c r="L186" s="32" t="n"/>
      <c r="M186">
        <f>IF(OR(J186="",K186="Saiu"),-1,J186+ROW()/1000000000)</f>
        <v/>
      </c>
      <c r="N186" s="43" t="n"/>
      <c r="O186" s="43" t="n"/>
      <c r="P186" s="44">
        <f>IF(OR(A186="",B186="Molde",F186=""),"",IF(COUNTIFS(TrocasEquip!$B$2:$B$1000,A186,TrocasEquip!$A$2:$A$1000,"&gt;="&amp;F186)=0,"",_xlfn.MINIFS(TrocasEquip!$A$2:$A$1000,TrocasEquip!$B$2:$B$1000,A186,TrocasEquip!$A$2:$A$1000,"&gt;="&amp;F186)))</f>
        <v/>
      </c>
      <c r="Q186">
        <f>IF(AND(A186&lt;&gt;"",K186&lt;&gt;"Saiu"),ROW(),"")</f>
        <v/>
      </c>
    </row>
    <row r="187">
      <c r="A187" s="38" t="n"/>
      <c r="B187" s="39" t="n"/>
      <c r="C187" s="32">
        <f>IF(B187="","",IF(B187="Molde","corridas",IF(B187="Oscilador","dias","t")))</f>
        <v/>
      </c>
      <c r="D187" s="39" t="n"/>
      <c r="E187" s="45" t="n"/>
      <c r="F187" s="46" t="n"/>
      <c r="G187" s="45" t="n"/>
      <c r="H187" s="34">
        <f>IF(A187="","",IF(C187="corridas",SUMIFS(Historico!$E:$E,Historico!$B:$B,L187,Historico!$A:$A,SUMPRODUCT(MAX((Historico!$B$2:$B$5000=L187)*Historico!$A$2:$A$5000))),N(G187)+IF(F187="",0,IF(C187="dias",MAX(0,IF(P187="",TODAY(),P187)-F187),IF(D187=2,SUMIFS(Producao!$D:$D,Producao!$A:$A,"&gt;="&amp;F187,Producao!$A:$A,"&lt;"&amp;IF(P187="",TODAY()+1,P187)),IF(D187=3,SUMIFS(Producao!$E:$E,Producao!$A:$A,"&gt;="&amp;F187,Producao!$A:$A,"&lt;"&amp;IF(P187="",TODAY()+1,P187)),SUMIFS(Producao!$B:$B,Producao!$A:$A,"&gt;="&amp;F187,Producao!$A:$A,"&lt;"&amp;IF(P187="",TODAY()+1,P187))))))))</f>
        <v/>
      </c>
      <c r="I187" s="34">
        <f>IF(OR(A187="",E187=""),"",E187-H187)</f>
        <v/>
      </c>
      <c r="J187" s="35">
        <f>IF(OR(A187="",N(E187)&lt;=0),"",H187/E187)</f>
        <v/>
      </c>
      <c r="K187" s="32">
        <f>IF(I187="","",IF(P187&lt;&gt;"","Saiu",IF(I187&lt;0,"Além da meta",IF(J187&gt;=Regras!$B$3,"Atenção","OK"))))</f>
        <v/>
      </c>
      <c r="L187" s="32" t="n"/>
      <c r="M187">
        <f>IF(OR(J187="",K187="Saiu"),-1,J187+ROW()/1000000000)</f>
        <v/>
      </c>
      <c r="N187" s="43" t="n"/>
      <c r="O187" s="43" t="n"/>
      <c r="P187" s="44">
        <f>IF(OR(A187="",B187="Molde",F187=""),"",IF(COUNTIFS(TrocasEquip!$B$2:$B$1000,A187,TrocasEquip!$A$2:$A$1000,"&gt;="&amp;F187)=0,"",_xlfn.MINIFS(TrocasEquip!$A$2:$A$1000,TrocasEquip!$B$2:$B$1000,A187,TrocasEquip!$A$2:$A$1000,"&gt;="&amp;F187)))</f>
        <v/>
      </c>
      <c r="Q187">
        <f>IF(AND(A187&lt;&gt;"",K187&lt;&gt;"Saiu"),ROW(),"")</f>
        <v/>
      </c>
    </row>
    <row r="188">
      <c r="A188" s="38" t="n"/>
      <c r="B188" s="39" t="n"/>
      <c r="C188" s="32">
        <f>IF(B188="","",IF(B188="Molde","corridas",IF(B188="Oscilador","dias","t")))</f>
        <v/>
      </c>
      <c r="D188" s="39" t="n"/>
      <c r="E188" s="45" t="n"/>
      <c r="F188" s="46" t="n"/>
      <c r="G188" s="45" t="n"/>
      <c r="H188" s="34">
        <f>IF(A188="","",IF(C188="corridas",SUMIFS(Historico!$E:$E,Historico!$B:$B,L188,Historico!$A:$A,SUMPRODUCT(MAX((Historico!$B$2:$B$5000=L188)*Historico!$A$2:$A$5000))),N(G188)+IF(F188="",0,IF(C188="dias",MAX(0,IF(P188="",TODAY(),P188)-F188),IF(D188=2,SUMIFS(Producao!$D:$D,Producao!$A:$A,"&gt;="&amp;F188,Producao!$A:$A,"&lt;"&amp;IF(P188="",TODAY()+1,P188)),IF(D188=3,SUMIFS(Producao!$E:$E,Producao!$A:$A,"&gt;="&amp;F188,Producao!$A:$A,"&lt;"&amp;IF(P188="",TODAY()+1,P188)),SUMIFS(Producao!$B:$B,Producao!$A:$A,"&gt;="&amp;F188,Producao!$A:$A,"&lt;"&amp;IF(P188="",TODAY()+1,P188))))))))</f>
        <v/>
      </c>
      <c r="I188" s="34">
        <f>IF(OR(A188="",E188=""),"",E188-H188)</f>
        <v/>
      </c>
      <c r="J188" s="35">
        <f>IF(OR(A188="",N(E188)&lt;=0),"",H188/E188)</f>
        <v/>
      </c>
      <c r="K188" s="32">
        <f>IF(I188="","",IF(P188&lt;&gt;"","Saiu",IF(I188&lt;0,"Além da meta",IF(J188&gt;=Regras!$B$3,"Atenção","OK"))))</f>
        <v/>
      </c>
      <c r="L188" s="32" t="n"/>
      <c r="M188">
        <f>IF(OR(J188="",K188="Saiu"),-1,J188+ROW()/1000000000)</f>
        <v/>
      </c>
      <c r="N188" s="43" t="n"/>
      <c r="O188" s="43" t="n"/>
      <c r="P188" s="44">
        <f>IF(OR(A188="",B188="Molde",F188=""),"",IF(COUNTIFS(TrocasEquip!$B$2:$B$1000,A188,TrocasEquip!$A$2:$A$1000,"&gt;="&amp;F188)=0,"",_xlfn.MINIFS(TrocasEquip!$A$2:$A$1000,TrocasEquip!$B$2:$B$1000,A188,TrocasEquip!$A$2:$A$1000,"&gt;="&amp;F188)))</f>
        <v/>
      </c>
      <c r="Q188">
        <f>IF(AND(A188&lt;&gt;"",K188&lt;&gt;"Saiu"),ROW(),"")</f>
        <v/>
      </c>
    </row>
    <row r="189">
      <c r="A189" s="38" t="n"/>
      <c r="B189" s="39" t="n"/>
      <c r="C189" s="32">
        <f>IF(B189="","",IF(B189="Molde","corridas",IF(B189="Oscilador","dias","t")))</f>
        <v/>
      </c>
      <c r="D189" s="39" t="n"/>
      <c r="E189" s="45" t="n"/>
      <c r="F189" s="46" t="n"/>
      <c r="G189" s="45" t="n"/>
      <c r="H189" s="34">
        <f>IF(A189="","",IF(C189="corridas",SUMIFS(Historico!$E:$E,Historico!$B:$B,L189,Historico!$A:$A,SUMPRODUCT(MAX((Historico!$B$2:$B$5000=L189)*Historico!$A$2:$A$5000))),N(G189)+IF(F189="",0,IF(C189="dias",MAX(0,IF(P189="",TODAY(),P189)-F189),IF(D189=2,SUMIFS(Producao!$D:$D,Producao!$A:$A,"&gt;="&amp;F189,Producao!$A:$A,"&lt;"&amp;IF(P189="",TODAY()+1,P189)),IF(D189=3,SUMIFS(Producao!$E:$E,Producao!$A:$A,"&gt;="&amp;F189,Producao!$A:$A,"&lt;"&amp;IF(P189="",TODAY()+1,P189)),SUMIFS(Producao!$B:$B,Producao!$A:$A,"&gt;="&amp;F189,Producao!$A:$A,"&lt;"&amp;IF(P189="",TODAY()+1,P189))))))))</f>
        <v/>
      </c>
      <c r="I189" s="34">
        <f>IF(OR(A189="",E189=""),"",E189-H189)</f>
        <v/>
      </c>
      <c r="J189" s="35">
        <f>IF(OR(A189="",N(E189)&lt;=0),"",H189/E189)</f>
        <v/>
      </c>
      <c r="K189" s="32">
        <f>IF(I189="","",IF(P189&lt;&gt;"","Saiu",IF(I189&lt;0,"Além da meta",IF(J189&gt;=Regras!$B$3,"Atenção","OK"))))</f>
        <v/>
      </c>
      <c r="L189" s="32" t="n"/>
      <c r="M189">
        <f>IF(OR(J189="",K189="Saiu"),-1,J189+ROW()/1000000000)</f>
        <v/>
      </c>
      <c r="N189" s="43" t="n"/>
      <c r="O189" s="43" t="n"/>
      <c r="P189" s="44">
        <f>IF(OR(A189="",B189="Molde",F189=""),"",IF(COUNTIFS(TrocasEquip!$B$2:$B$1000,A189,TrocasEquip!$A$2:$A$1000,"&gt;="&amp;F189)=0,"",_xlfn.MINIFS(TrocasEquip!$A$2:$A$1000,TrocasEquip!$B$2:$B$1000,A189,TrocasEquip!$A$2:$A$1000,"&gt;="&amp;F189)))</f>
        <v/>
      </c>
      <c r="Q189">
        <f>IF(AND(A189&lt;&gt;"",K189&lt;&gt;"Saiu"),ROW(),"")</f>
        <v/>
      </c>
    </row>
    <row r="190">
      <c r="A190" s="38" t="n"/>
      <c r="B190" s="39" t="n"/>
      <c r="C190" s="32">
        <f>IF(B190="","",IF(B190="Molde","corridas",IF(B190="Oscilador","dias","t")))</f>
        <v/>
      </c>
      <c r="D190" s="39" t="n"/>
      <c r="E190" s="45" t="n"/>
      <c r="F190" s="46" t="n"/>
      <c r="G190" s="45" t="n"/>
      <c r="H190" s="34">
        <f>IF(A190="","",IF(C190="corridas",SUMIFS(Historico!$E:$E,Historico!$B:$B,L190,Historico!$A:$A,SUMPRODUCT(MAX((Historico!$B$2:$B$5000=L190)*Historico!$A$2:$A$5000))),N(G190)+IF(F190="",0,IF(C190="dias",MAX(0,IF(P190="",TODAY(),P190)-F190),IF(D190=2,SUMIFS(Producao!$D:$D,Producao!$A:$A,"&gt;="&amp;F190,Producao!$A:$A,"&lt;"&amp;IF(P190="",TODAY()+1,P190)),IF(D190=3,SUMIFS(Producao!$E:$E,Producao!$A:$A,"&gt;="&amp;F190,Producao!$A:$A,"&lt;"&amp;IF(P190="",TODAY()+1,P190)),SUMIFS(Producao!$B:$B,Producao!$A:$A,"&gt;="&amp;F190,Producao!$A:$A,"&lt;"&amp;IF(P190="",TODAY()+1,P190))))))))</f>
        <v/>
      </c>
      <c r="I190" s="34">
        <f>IF(OR(A190="",E190=""),"",E190-H190)</f>
        <v/>
      </c>
      <c r="J190" s="35">
        <f>IF(OR(A190="",N(E190)&lt;=0),"",H190/E190)</f>
        <v/>
      </c>
      <c r="K190" s="32">
        <f>IF(I190="","",IF(P190&lt;&gt;"","Saiu",IF(I190&lt;0,"Além da meta",IF(J190&gt;=Regras!$B$3,"Atenção","OK"))))</f>
        <v/>
      </c>
      <c r="L190" s="32" t="n"/>
      <c r="M190">
        <f>IF(OR(J190="",K190="Saiu"),-1,J190+ROW()/1000000000)</f>
        <v/>
      </c>
      <c r="N190" s="43" t="n"/>
      <c r="O190" s="43" t="n"/>
      <c r="P190" s="44">
        <f>IF(OR(A190="",B190="Molde",F190=""),"",IF(COUNTIFS(TrocasEquip!$B$2:$B$1000,A190,TrocasEquip!$A$2:$A$1000,"&gt;="&amp;F190)=0,"",_xlfn.MINIFS(TrocasEquip!$A$2:$A$1000,TrocasEquip!$B$2:$B$1000,A190,TrocasEquip!$A$2:$A$1000,"&gt;="&amp;F190)))</f>
        <v/>
      </c>
      <c r="Q190">
        <f>IF(AND(A190&lt;&gt;"",K190&lt;&gt;"Saiu"),ROW(),"")</f>
        <v/>
      </c>
    </row>
    <row r="191">
      <c r="A191" s="38" t="n"/>
      <c r="B191" s="39" t="n"/>
      <c r="C191" s="32">
        <f>IF(B191="","",IF(B191="Molde","corridas",IF(B191="Oscilador","dias","t")))</f>
        <v/>
      </c>
      <c r="D191" s="39" t="n"/>
      <c r="E191" s="45" t="n"/>
      <c r="F191" s="46" t="n"/>
      <c r="G191" s="45" t="n"/>
      <c r="H191" s="34">
        <f>IF(A191="","",IF(C191="corridas",SUMIFS(Historico!$E:$E,Historico!$B:$B,L191,Historico!$A:$A,SUMPRODUCT(MAX((Historico!$B$2:$B$5000=L191)*Historico!$A$2:$A$5000))),N(G191)+IF(F191="",0,IF(C191="dias",MAX(0,IF(P191="",TODAY(),P191)-F191),IF(D191=2,SUMIFS(Producao!$D:$D,Producao!$A:$A,"&gt;="&amp;F191,Producao!$A:$A,"&lt;"&amp;IF(P191="",TODAY()+1,P191)),IF(D191=3,SUMIFS(Producao!$E:$E,Producao!$A:$A,"&gt;="&amp;F191,Producao!$A:$A,"&lt;"&amp;IF(P191="",TODAY()+1,P191)),SUMIFS(Producao!$B:$B,Producao!$A:$A,"&gt;="&amp;F191,Producao!$A:$A,"&lt;"&amp;IF(P191="",TODAY()+1,P191))))))))</f>
        <v/>
      </c>
      <c r="I191" s="34">
        <f>IF(OR(A191="",E191=""),"",E191-H191)</f>
        <v/>
      </c>
      <c r="J191" s="35">
        <f>IF(OR(A191="",N(E191)&lt;=0),"",H191/E191)</f>
        <v/>
      </c>
      <c r="K191" s="32">
        <f>IF(I191="","",IF(P191&lt;&gt;"","Saiu",IF(I191&lt;0,"Além da meta",IF(J191&gt;=Regras!$B$3,"Atenção","OK"))))</f>
        <v/>
      </c>
      <c r="L191" s="32" t="n"/>
      <c r="M191">
        <f>IF(OR(J191="",K191="Saiu"),-1,J191+ROW()/1000000000)</f>
        <v/>
      </c>
      <c r="N191" s="43" t="n"/>
      <c r="O191" s="43" t="n"/>
      <c r="P191" s="44">
        <f>IF(OR(A191="",B191="Molde",F191=""),"",IF(COUNTIFS(TrocasEquip!$B$2:$B$1000,A191,TrocasEquip!$A$2:$A$1000,"&gt;="&amp;F191)=0,"",_xlfn.MINIFS(TrocasEquip!$A$2:$A$1000,TrocasEquip!$B$2:$B$1000,A191,TrocasEquip!$A$2:$A$1000,"&gt;="&amp;F191)))</f>
        <v/>
      </c>
      <c r="Q191">
        <f>IF(AND(A191&lt;&gt;"",K191&lt;&gt;"Saiu"),ROW(),"")</f>
        <v/>
      </c>
    </row>
    <row r="192">
      <c r="A192" s="38" t="n"/>
      <c r="B192" s="39" t="n"/>
      <c r="C192" s="32">
        <f>IF(B192="","",IF(B192="Molde","corridas",IF(B192="Oscilador","dias","t")))</f>
        <v/>
      </c>
      <c r="D192" s="39" t="n"/>
      <c r="E192" s="45" t="n"/>
      <c r="F192" s="46" t="n"/>
      <c r="G192" s="45" t="n"/>
      <c r="H192" s="34">
        <f>IF(A192="","",IF(C192="corridas",SUMIFS(Historico!$E:$E,Historico!$B:$B,L192,Historico!$A:$A,SUMPRODUCT(MAX((Historico!$B$2:$B$5000=L192)*Historico!$A$2:$A$5000))),N(G192)+IF(F192="",0,IF(C192="dias",MAX(0,IF(P192="",TODAY(),P192)-F192),IF(D192=2,SUMIFS(Producao!$D:$D,Producao!$A:$A,"&gt;="&amp;F192,Producao!$A:$A,"&lt;"&amp;IF(P192="",TODAY()+1,P192)),IF(D192=3,SUMIFS(Producao!$E:$E,Producao!$A:$A,"&gt;="&amp;F192,Producao!$A:$A,"&lt;"&amp;IF(P192="",TODAY()+1,P192)),SUMIFS(Producao!$B:$B,Producao!$A:$A,"&gt;="&amp;F192,Producao!$A:$A,"&lt;"&amp;IF(P192="",TODAY()+1,P192))))))))</f>
        <v/>
      </c>
      <c r="I192" s="34">
        <f>IF(OR(A192="",E192=""),"",E192-H192)</f>
        <v/>
      </c>
      <c r="J192" s="35">
        <f>IF(OR(A192="",N(E192)&lt;=0),"",H192/E192)</f>
        <v/>
      </c>
      <c r="K192" s="32">
        <f>IF(I192="","",IF(P192&lt;&gt;"","Saiu",IF(I192&lt;0,"Além da meta",IF(J192&gt;=Regras!$B$3,"Atenção","OK"))))</f>
        <v/>
      </c>
      <c r="L192" s="32" t="n"/>
      <c r="M192">
        <f>IF(OR(J192="",K192="Saiu"),-1,J192+ROW()/1000000000)</f>
        <v/>
      </c>
      <c r="N192" s="43" t="n"/>
      <c r="O192" s="43" t="n"/>
      <c r="P192" s="44">
        <f>IF(OR(A192="",B192="Molde",F192=""),"",IF(COUNTIFS(TrocasEquip!$B$2:$B$1000,A192,TrocasEquip!$A$2:$A$1000,"&gt;="&amp;F192)=0,"",_xlfn.MINIFS(TrocasEquip!$A$2:$A$1000,TrocasEquip!$B$2:$B$1000,A192,TrocasEquip!$A$2:$A$1000,"&gt;="&amp;F192)))</f>
        <v/>
      </c>
      <c r="Q192">
        <f>IF(AND(A192&lt;&gt;"",K192&lt;&gt;"Saiu"),ROW(),"")</f>
        <v/>
      </c>
    </row>
    <row r="193">
      <c r="A193" s="38" t="n"/>
      <c r="B193" s="39" t="n"/>
      <c r="C193" s="32">
        <f>IF(B193="","",IF(B193="Molde","corridas",IF(B193="Oscilador","dias","t")))</f>
        <v/>
      </c>
      <c r="D193" s="39" t="n"/>
      <c r="E193" s="45" t="n"/>
      <c r="F193" s="46" t="n"/>
      <c r="G193" s="45" t="n"/>
      <c r="H193" s="34">
        <f>IF(A193="","",IF(C193="corridas",SUMIFS(Historico!$E:$E,Historico!$B:$B,L193,Historico!$A:$A,SUMPRODUCT(MAX((Historico!$B$2:$B$5000=L193)*Historico!$A$2:$A$5000))),N(G193)+IF(F193="",0,IF(C193="dias",MAX(0,IF(P193="",TODAY(),P193)-F193),IF(D193=2,SUMIFS(Producao!$D:$D,Producao!$A:$A,"&gt;="&amp;F193,Producao!$A:$A,"&lt;"&amp;IF(P193="",TODAY()+1,P193)),IF(D193=3,SUMIFS(Producao!$E:$E,Producao!$A:$A,"&gt;="&amp;F193,Producao!$A:$A,"&lt;"&amp;IF(P193="",TODAY()+1,P193)),SUMIFS(Producao!$B:$B,Producao!$A:$A,"&gt;="&amp;F193,Producao!$A:$A,"&lt;"&amp;IF(P193="",TODAY()+1,P193))))))))</f>
        <v/>
      </c>
      <c r="I193" s="34">
        <f>IF(OR(A193="",E193=""),"",E193-H193)</f>
        <v/>
      </c>
      <c r="J193" s="35">
        <f>IF(OR(A193="",N(E193)&lt;=0),"",H193/E193)</f>
        <v/>
      </c>
      <c r="K193" s="32">
        <f>IF(I193="","",IF(P193&lt;&gt;"","Saiu",IF(I193&lt;0,"Além da meta",IF(J193&gt;=Regras!$B$3,"Atenção","OK"))))</f>
        <v/>
      </c>
      <c r="L193" s="32" t="n"/>
      <c r="M193">
        <f>IF(OR(J193="",K193="Saiu"),-1,J193+ROW()/1000000000)</f>
        <v/>
      </c>
      <c r="N193" s="43" t="n"/>
      <c r="O193" s="43" t="n"/>
      <c r="P193" s="44">
        <f>IF(OR(A193="",B193="Molde",F193=""),"",IF(COUNTIFS(TrocasEquip!$B$2:$B$1000,A193,TrocasEquip!$A$2:$A$1000,"&gt;="&amp;F193)=0,"",_xlfn.MINIFS(TrocasEquip!$A$2:$A$1000,TrocasEquip!$B$2:$B$1000,A193,TrocasEquip!$A$2:$A$1000,"&gt;="&amp;F193)))</f>
        <v/>
      </c>
      <c r="Q193">
        <f>IF(AND(A193&lt;&gt;"",K193&lt;&gt;"Saiu"),ROW(),"")</f>
        <v/>
      </c>
    </row>
    <row r="194">
      <c r="A194" s="38" t="n"/>
      <c r="B194" s="39" t="n"/>
      <c r="C194" s="32">
        <f>IF(B194="","",IF(B194="Molde","corridas",IF(B194="Oscilador","dias","t")))</f>
        <v/>
      </c>
      <c r="D194" s="39" t="n"/>
      <c r="E194" s="45" t="n"/>
      <c r="F194" s="46" t="n"/>
      <c r="G194" s="45" t="n"/>
      <c r="H194" s="34">
        <f>IF(A194="","",IF(C194="corridas",SUMIFS(Historico!$E:$E,Historico!$B:$B,L194,Historico!$A:$A,SUMPRODUCT(MAX((Historico!$B$2:$B$5000=L194)*Historico!$A$2:$A$5000))),N(G194)+IF(F194="",0,IF(C194="dias",MAX(0,IF(P194="",TODAY(),P194)-F194),IF(D194=2,SUMIFS(Producao!$D:$D,Producao!$A:$A,"&gt;="&amp;F194,Producao!$A:$A,"&lt;"&amp;IF(P194="",TODAY()+1,P194)),IF(D194=3,SUMIFS(Producao!$E:$E,Producao!$A:$A,"&gt;="&amp;F194,Producao!$A:$A,"&lt;"&amp;IF(P194="",TODAY()+1,P194)),SUMIFS(Producao!$B:$B,Producao!$A:$A,"&gt;="&amp;F194,Producao!$A:$A,"&lt;"&amp;IF(P194="",TODAY()+1,P194))))))))</f>
        <v/>
      </c>
      <c r="I194" s="34">
        <f>IF(OR(A194="",E194=""),"",E194-H194)</f>
        <v/>
      </c>
      <c r="J194" s="35">
        <f>IF(OR(A194="",N(E194)&lt;=0),"",H194/E194)</f>
        <v/>
      </c>
      <c r="K194" s="32">
        <f>IF(I194="","",IF(P194&lt;&gt;"","Saiu",IF(I194&lt;0,"Além da meta",IF(J194&gt;=Regras!$B$3,"Atenção","OK"))))</f>
        <v/>
      </c>
      <c r="L194" s="32" t="n"/>
      <c r="M194">
        <f>IF(OR(J194="",K194="Saiu"),-1,J194+ROW()/1000000000)</f>
        <v/>
      </c>
      <c r="N194" s="43" t="n"/>
      <c r="O194" s="43" t="n"/>
      <c r="P194" s="44">
        <f>IF(OR(A194="",B194="Molde",F194=""),"",IF(COUNTIFS(TrocasEquip!$B$2:$B$1000,A194,TrocasEquip!$A$2:$A$1000,"&gt;="&amp;F194)=0,"",_xlfn.MINIFS(TrocasEquip!$A$2:$A$1000,TrocasEquip!$B$2:$B$1000,A194,TrocasEquip!$A$2:$A$1000,"&gt;="&amp;F194)))</f>
        <v/>
      </c>
      <c r="Q194">
        <f>IF(AND(A194&lt;&gt;"",K194&lt;&gt;"Saiu"),ROW(),"")</f>
        <v/>
      </c>
    </row>
    <row r="195">
      <c r="A195" s="38" t="n"/>
      <c r="B195" s="39" t="n"/>
      <c r="C195" s="32">
        <f>IF(B195="","",IF(B195="Molde","corridas",IF(B195="Oscilador","dias","t")))</f>
        <v/>
      </c>
      <c r="D195" s="39" t="n"/>
      <c r="E195" s="45" t="n"/>
      <c r="F195" s="46" t="n"/>
      <c r="G195" s="45" t="n"/>
      <c r="H195" s="34">
        <f>IF(A195="","",IF(C195="corridas",SUMIFS(Historico!$E:$E,Historico!$B:$B,L195,Historico!$A:$A,SUMPRODUCT(MAX((Historico!$B$2:$B$5000=L195)*Historico!$A$2:$A$5000))),N(G195)+IF(F195="",0,IF(C195="dias",MAX(0,IF(P195="",TODAY(),P195)-F195),IF(D195=2,SUMIFS(Producao!$D:$D,Producao!$A:$A,"&gt;="&amp;F195,Producao!$A:$A,"&lt;"&amp;IF(P195="",TODAY()+1,P195)),IF(D195=3,SUMIFS(Producao!$E:$E,Producao!$A:$A,"&gt;="&amp;F195,Producao!$A:$A,"&lt;"&amp;IF(P195="",TODAY()+1,P195)),SUMIFS(Producao!$B:$B,Producao!$A:$A,"&gt;="&amp;F195,Producao!$A:$A,"&lt;"&amp;IF(P195="",TODAY()+1,P195))))))))</f>
        <v/>
      </c>
      <c r="I195" s="34">
        <f>IF(OR(A195="",E195=""),"",E195-H195)</f>
        <v/>
      </c>
      <c r="J195" s="35">
        <f>IF(OR(A195="",N(E195)&lt;=0),"",H195/E195)</f>
        <v/>
      </c>
      <c r="K195" s="32">
        <f>IF(I195="","",IF(P195&lt;&gt;"","Saiu",IF(I195&lt;0,"Além da meta",IF(J195&gt;=Regras!$B$3,"Atenção","OK"))))</f>
        <v/>
      </c>
      <c r="L195" s="32" t="n"/>
      <c r="M195">
        <f>IF(OR(J195="",K195="Saiu"),-1,J195+ROW()/1000000000)</f>
        <v/>
      </c>
      <c r="N195" s="43" t="n"/>
      <c r="O195" s="43" t="n"/>
      <c r="P195" s="44">
        <f>IF(OR(A195="",B195="Molde",F195=""),"",IF(COUNTIFS(TrocasEquip!$B$2:$B$1000,A195,TrocasEquip!$A$2:$A$1000,"&gt;="&amp;F195)=0,"",_xlfn.MINIFS(TrocasEquip!$A$2:$A$1000,TrocasEquip!$B$2:$B$1000,A195,TrocasEquip!$A$2:$A$1000,"&gt;="&amp;F195)))</f>
        <v/>
      </c>
      <c r="Q195">
        <f>IF(AND(A195&lt;&gt;"",K195&lt;&gt;"Saiu"),ROW(),"")</f>
        <v/>
      </c>
    </row>
    <row r="196">
      <c r="A196" s="38" t="n"/>
      <c r="B196" s="39" t="n"/>
      <c r="C196" s="32">
        <f>IF(B196="","",IF(B196="Molde","corridas",IF(B196="Oscilador","dias","t")))</f>
        <v/>
      </c>
      <c r="D196" s="39" t="n"/>
      <c r="E196" s="45" t="n"/>
      <c r="F196" s="46" t="n"/>
      <c r="G196" s="45" t="n"/>
      <c r="H196" s="34">
        <f>IF(A196="","",IF(C196="corridas",SUMIFS(Historico!$E:$E,Historico!$B:$B,L196,Historico!$A:$A,SUMPRODUCT(MAX((Historico!$B$2:$B$5000=L196)*Historico!$A$2:$A$5000))),N(G196)+IF(F196="",0,IF(C196="dias",MAX(0,IF(P196="",TODAY(),P196)-F196),IF(D196=2,SUMIFS(Producao!$D:$D,Producao!$A:$A,"&gt;="&amp;F196,Producao!$A:$A,"&lt;"&amp;IF(P196="",TODAY()+1,P196)),IF(D196=3,SUMIFS(Producao!$E:$E,Producao!$A:$A,"&gt;="&amp;F196,Producao!$A:$A,"&lt;"&amp;IF(P196="",TODAY()+1,P196)),SUMIFS(Producao!$B:$B,Producao!$A:$A,"&gt;="&amp;F196,Producao!$A:$A,"&lt;"&amp;IF(P196="",TODAY()+1,P196))))))))</f>
        <v/>
      </c>
      <c r="I196" s="34">
        <f>IF(OR(A196="",E196=""),"",E196-H196)</f>
        <v/>
      </c>
      <c r="J196" s="35">
        <f>IF(OR(A196="",N(E196)&lt;=0),"",H196/E196)</f>
        <v/>
      </c>
      <c r="K196" s="32">
        <f>IF(I196="","",IF(P196&lt;&gt;"","Saiu",IF(I196&lt;0,"Além da meta",IF(J196&gt;=Regras!$B$3,"Atenção","OK"))))</f>
        <v/>
      </c>
      <c r="L196" s="32" t="n"/>
      <c r="M196">
        <f>IF(OR(J196="",K196="Saiu"),-1,J196+ROW()/1000000000)</f>
        <v/>
      </c>
      <c r="N196" s="43" t="n"/>
      <c r="O196" s="43" t="n"/>
      <c r="P196" s="44">
        <f>IF(OR(A196="",B196="Molde",F196=""),"",IF(COUNTIFS(TrocasEquip!$B$2:$B$1000,A196,TrocasEquip!$A$2:$A$1000,"&gt;="&amp;F196)=0,"",_xlfn.MINIFS(TrocasEquip!$A$2:$A$1000,TrocasEquip!$B$2:$B$1000,A196,TrocasEquip!$A$2:$A$1000,"&gt;="&amp;F196)))</f>
        <v/>
      </c>
      <c r="Q196">
        <f>IF(AND(A196&lt;&gt;"",K196&lt;&gt;"Saiu"),ROW(),"")</f>
        <v/>
      </c>
    </row>
    <row r="197">
      <c r="A197" s="38" t="n"/>
      <c r="B197" s="39" t="n"/>
      <c r="C197" s="32">
        <f>IF(B197="","",IF(B197="Molde","corridas",IF(B197="Oscilador","dias","t")))</f>
        <v/>
      </c>
      <c r="D197" s="39" t="n"/>
      <c r="E197" s="45" t="n"/>
      <c r="F197" s="46" t="n"/>
      <c r="G197" s="45" t="n"/>
      <c r="H197" s="34">
        <f>IF(A197="","",IF(C197="corridas",SUMIFS(Historico!$E:$E,Historico!$B:$B,L197,Historico!$A:$A,SUMPRODUCT(MAX((Historico!$B$2:$B$5000=L197)*Historico!$A$2:$A$5000))),N(G197)+IF(F197="",0,IF(C197="dias",MAX(0,IF(P197="",TODAY(),P197)-F197),IF(D197=2,SUMIFS(Producao!$D:$D,Producao!$A:$A,"&gt;="&amp;F197,Producao!$A:$A,"&lt;"&amp;IF(P197="",TODAY()+1,P197)),IF(D197=3,SUMIFS(Producao!$E:$E,Producao!$A:$A,"&gt;="&amp;F197,Producao!$A:$A,"&lt;"&amp;IF(P197="",TODAY()+1,P197)),SUMIFS(Producao!$B:$B,Producao!$A:$A,"&gt;="&amp;F197,Producao!$A:$A,"&lt;"&amp;IF(P197="",TODAY()+1,P197))))))))</f>
        <v/>
      </c>
      <c r="I197" s="34">
        <f>IF(OR(A197="",E197=""),"",E197-H197)</f>
        <v/>
      </c>
      <c r="J197" s="35">
        <f>IF(OR(A197="",N(E197)&lt;=0),"",H197/E197)</f>
        <v/>
      </c>
      <c r="K197" s="32">
        <f>IF(I197="","",IF(P197&lt;&gt;"","Saiu",IF(I197&lt;0,"Além da meta",IF(J197&gt;=Regras!$B$3,"Atenção","OK"))))</f>
        <v/>
      </c>
      <c r="L197" s="32" t="n"/>
      <c r="M197">
        <f>IF(OR(J197="",K197="Saiu"),-1,J197+ROW()/1000000000)</f>
        <v/>
      </c>
      <c r="N197" s="43" t="n"/>
      <c r="O197" s="43" t="n"/>
      <c r="P197" s="44">
        <f>IF(OR(A197="",B197="Molde",F197=""),"",IF(COUNTIFS(TrocasEquip!$B$2:$B$1000,A197,TrocasEquip!$A$2:$A$1000,"&gt;="&amp;F197)=0,"",_xlfn.MINIFS(TrocasEquip!$A$2:$A$1000,TrocasEquip!$B$2:$B$1000,A197,TrocasEquip!$A$2:$A$1000,"&gt;="&amp;F197)))</f>
        <v/>
      </c>
      <c r="Q197">
        <f>IF(AND(A197&lt;&gt;"",K197&lt;&gt;"Saiu"),ROW(),"")</f>
        <v/>
      </c>
    </row>
    <row r="198">
      <c r="A198" s="38" t="n"/>
      <c r="B198" s="39" t="n"/>
      <c r="C198" s="32">
        <f>IF(B198="","",IF(B198="Molde","corridas",IF(B198="Oscilador","dias","t")))</f>
        <v/>
      </c>
      <c r="D198" s="39" t="n"/>
      <c r="E198" s="45" t="n"/>
      <c r="F198" s="46" t="n"/>
      <c r="G198" s="45" t="n"/>
      <c r="H198" s="34">
        <f>IF(A198="","",IF(C198="corridas",SUMIFS(Historico!$E:$E,Historico!$B:$B,L198,Historico!$A:$A,SUMPRODUCT(MAX((Historico!$B$2:$B$5000=L198)*Historico!$A$2:$A$5000))),N(G198)+IF(F198="",0,IF(C198="dias",MAX(0,IF(P198="",TODAY(),P198)-F198),IF(D198=2,SUMIFS(Producao!$D:$D,Producao!$A:$A,"&gt;="&amp;F198,Producao!$A:$A,"&lt;"&amp;IF(P198="",TODAY()+1,P198)),IF(D198=3,SUMIFS(Producao!$E:$E,Producao!$A:$A,"&gt;="&amp;F198,Producao!$A:$A,"&lt;"&amp;IF(P198="",TODAY()+1,P198)),SUMIFS(Producao!$B:$B,Producao!$A:$A,"&gt;="&amp;F198,Producao!$A:$A,"&lt;"&amp;IF(P198="",TODAY()+1,P198))))))))</f>
        <v/>
      </c>
      <c r="I198" s="34">
        <f>IF(OR(A198="",E198=""),"",E198-H198)</f>
        <v/>
      </c>
      <c r="J198" s="35">
        <f>IF(OR(A198="",N(E198)&lt;=0),"",H198/E198)</f>
        <v/>
      </c>
      <c r="K198" s="32">
        <f>IF(I198="","",IF(P198&lt;&gt;"","Saiu",IF(I198&lt;0,"Além da meta",IF(J198&gt;=Regras!$B$3,"Atenção","OK"))))</f>
        <v/>
      </c>
      <c r="L198" s="32" t="n"/>
      <c r="M198">
        <f>IF(OR(J198="",K198="Saiu"),-1,J198+ROW()/1000000000)</f>
        <v/>
      </c>
      <c r="N198" s="43" t="n"/>
      <c r="O198" s="43" t="n"/>
      <c r="P198" s="44">
        <f>IF(OR(A198="",B198="Molde",F198=""),"",IF(COUNTIFS(TrocasEquip!$B$2:$B$1000,A198,TrocasEquip!$A$2:$A$1000,"&gt;="&amp;F198)=0,"",_xlfn.MINIFS(TrocasEquip!$A$2:$A$1000,TrocasEquip!$B$2:$B$1000,A198,TrocasEquip!$A$2:$A$1000,"&gt;="&amp;F198)))</f>
        <v/>
      </c>
      <c r="Q198">
        <f>IF(AND(A198&lt;&gt;"",K198&lt;&gt;"Saiu"),ROW(),"")</f>
        <v/>
      </c>
    </row>
    <row r="199">
      <c r="A199" s="38" t="n"/>
      <c r="B199" s="39" t="n"/>
      <c r="C199" s="32">
        <f>IF(B199="","",IF(B199="Molde","corridas",IF(B199="Oscilador","dias","t")))</f>
        <v/>
      </c>
      <c r="D199" s="39" t="n"/>
      <c r="E199" s="45" t="n"/>
      <c r="F199" s="46" t="n"/>
      <c r="G199" s="45" t="n"/>
      <c r="H199" s="34">
        <f>IF(A199="","",IF(C199="corridas",SUMIFS(Historico!$E:$E,Historico!$B:$B,L199,Historico!$A:$A,SUMPRODUCT(MAX((Historico!$B$2:$B$5000=L199)*Historico!$A$2:$A$5000))),N(G199)+IF(F199="",0,IF(C199="dias",MAX(0,IF(P199="",TODAY(),P199)-F199),IF(D199=2,SUMIFS(Producao!$D:$D,Producao!$A:$A,"&gt;="&amp;F199,Producao!$A:$A,"&lt;"&amp;IF(P199="",TODAY()+1,P199)),IF(D199=3,SUMIFS(Producao!$E:$E,Producao!$A:$A,"&gt;="&amp;F199,Producao!$A:$A,"&lt;"&amp;IF(P199="",TODAY()+1,P199)),SUMIFS(Producao!$B:$B,Producao!$A:$A,"&gt;="&amp;F199,Producao!$A:$A,"&lt;"&amp;IF(P199="",TODAY()+1,P199))))))))</f>
        <v/>
      </c>
      <c r="I199" s="34">
        <f>IF(OR(A199="",E199=""),"",E199-H199)</f>
        <v/>
      </c>
      <c r="J199" s="35">
        <f>IF(OR(A199="",N(E199)&lt;=0),"",H199/E199)</f>
        <v/>
      </c>
      <c r="K199" s="32">
        <f>IF(I199="","",IF(P199&lt;&gt;"","Saiu",IF(I199&lt;0,"Além da meta",IF(J199&gt;=Regras!$B$3,"Atenção","OK"))))</f>
        <v/>
      </c>
      <c r="L199" s="32" t="n"/>
      <c r="M199">
        <f>IF(OR(J199="",K199="Saiu"),-1,J199+ROW()/1000000000)</f>
        <v/>
      </c>
      <c r="N199" s="43" t="n"/>
      <c r="O199" s="43" t="n"/>
      <c r="P199" s="44">
        <f>IF(OR(A199="",B199="Molde",F199=""),"",IF(COUNTIFS(TrocasEquip!$B$2:$B$1000,A199,TrocasEquip!$A$2:$A$1000,"&gt;="&amp;F199)=0,"",_xlfn.MINIFS(TrocasEquip!$A$2:$A$1000,TrocasEquip!$B$2:$B$1000,A199,TrocasEquip!$A$2:$A$1000,"&gt;="&amp;F199)))</f>
        <v/>
      </c>
      <c r="Q199">
        <f>IF(AND(A199&lt;&gt;"",K199&lt;&gt;"Saiu"),ROW(),"")</f>
        <v/>
      </c>
    </row>
    <row r="200">
      <c r="A200" s="38" t="n"/>
      <c r="B200" s="39" t="n"/>
      <c r="C200" s="32">
        <f>IF(B200="","",IF(B200="Molde","corridas",IF(B200="Oscilador","dias","t")))</f>
        <v/>
      </c>
      <c r="D200" s="39" t="n"/>
      <c r="E200" s="45" t="n"/>
      <c r="F200" s="46" t="n"/>
      <c r="G200" s="45" t="n"/>
      <c r="H200" s="34">
        <f>IF(A200="","",IF(C200="corridas",SUMIFS(Historico!$E:$E,Historico!$B:$B,L200,Historico!$A:$A,SUMPRODUCT(MAX((Historico!$B$2:$B$5000=L200)*Historico!$A$2:$A$5000))),N(G200)+IF(F200="",0,IF(C200="dias",MAX(0,IF(P200="",TODAY(),P200)-F200),IF(D200=2,SUMIFS(Producao!$D:$D,Producao!$A:$A,"&gt;="&amp;F200,Producao!$A:$A,"&lt;"&amp;IF(P200="",TODAY()+1,P200)),IF(D200=3,SUMIFS(Producao!$E:$E,Producao!$A:$A,"&gt;="&amp;F200,Producao!$A:$A,"&lt;"&amp;IF(P200="",TODAY()+1,P200)),SUMIFS(Producao!$B:$B,Producao!$A:$A,"&gt;="&amp;F200,Producao!$A:$A,"&lt;"&amp;IF(P200="",TODAY()+1,P200))))))))</f>
        <v/>
      </c>
      <c r="I200" s="34">
        <f>IF(OR(A200="",E200=""),"",E200-H200)</f>
        <v/>
      </c>
      <c r="J200" s="35">
        <f>IF(OR(A200="",N(E200)&lt;=0),"",H200/E200)</f>
        <v/>
      </c>
      <c r="K200" s="32">
        <f>IF(I200="","",IF(P200&lt;&gt;"","Saiu",IF(I200&lt;0,"Além da meta",IF(J200&gt;=Regras!$B$3,"Atenção","OK"))))</f>
        <v/>
      </c>
      <c r="L200" s="32" t="n"/>
      <c r="M200">
        <f>IF(OR(J200="",K200="Saiu"),-1,J200+ROW()/1000000000)</f>
        <v/>
      </c>
      <c r="N200" s="43" t="n"/>
      <c r="O200" s="43" t="n"/>
      <c r="P200" s="44">
        <f>IF(OR(A200="",B200="Molde",F200=""),"",IF(COUNTIFS(TrocasEquip!$B$2:$B$1000,A200,TrocasEquip!$A$2:$A$1000,"&gt;="&amp;F200)=0,"",_xlfn.MINIFS(TrocasEquip!$A$2:$A$1000,TrocasEquip!$B$2:$B$1000,A200,TrocasEquip!$A$2:$A$1000,"&gt;="&amp;F200)))</f>
        <v/>
      </c>
      <c r="Q200">
        <f>IF(AND(A200&lt;&gt;"",K200&lt;&gt;"Saiu"),ROW(),"")</f>
        <v/>
      </c>
    </row>
    <row r="201">
      <c r="A201" s="38" t="n"/>
      <c r="B201" s="39" t="n"/>
      <c r="C201" s="32">
        <f>IF(B201="","",IF(B201="Molde","corridas",IF(B201="Oscilador","dias","t")))</f>
        <v/>
      </c>
      <c r="D201" s="39" t="n"/>
      <c r="E201" s="45" t="n"/>
      <c r="F201" s="46" t="n"/>
      <c r="G201" s="45" t="n"/>
      <c r="H201" s="34">
        <f>IF(A201="","",IF(C201="corridas",SUMIFS(Historico!$E:$E,Historico!$B:$B,L201,Historico!$A:$A,SUMPRODUCT(MAX((Historico!$B$2:$B$5000=L201)*Historico!$A$2:$A$5000))),N(G201)+IF(F201="",0,IF(C201="dias",MAX(0,IF(P201="",TODAY(),P201)-F201),IF(D201=2,SUMIFS(Producao!$D:$D,Producao!$A:$A,"&gt;="&amp;F201,Producao!$A:$A,"&lt;"&amp;IF(P201="",TODAY()+1,P201)),IF(D201=3,SUMIFS(Producao!$E:$E,Producao!$A:$A,"&gt;="&amp;F201,Producao!$A:$A,"&lt;"&amp;IF(P201="",TODAY()+1,P201)),SUMIFS(Producao!$B:$B,Producao!$A:$A,"&gt;="&amp;F201,Producao!$A:$A,"&lt;"&amp;IF(P201="",TODAY()+1,P201))))))))</f>
        <v/>
      </c>
      <c r="I201" s="34">
        <f>IF(OR(A201="",E201=""),"",E201-H201)</f>
        <v/>
      </c>
      <c r="J201" s="35">
        <f>IF(OR(A201="",N(E201)&lt;=0),"",H201/E201)</f>
        <v/>
      </c>
      <c r="K201" s="32">
        <f>IF(I201="","",IF(P201&lt;&gt;"","Saiu",IF(I201&lt;0,"Além da meta",IF(J201&gt;=Regras!$B$3,"Atenção","OK"))))</f>
        <v/>
      </c>
      <c r="L201" s="32" t="n"/>
      <c r="M201">
        <f>IF(OR(J201="",K201="Saiu"),-1,J201+ROW()/1000000000)</f>
        <v/>
      </c>
      <c r="N201" s="43" t="n"/>
      <c r="O201" s="43" t="n"/>
      <c r="P201" s="44">
        <f>IF(OR(A201="",B201="Molde",F201=""),"",IF(COUNTIFS(TrocasEquip!$B$2:$B$1000,A201,TrocasEquip!$A$2:$A$1000,"&gt;="&amp;F201)=0,"",_xlfn.MINIFS(TrocasEquip!$A$2:$A$1000,TrocasEquip!$B$2:$B$1000,A201,TrocasEquip!$A$2:$A$1000,"&gt;="&amp;F201)))</f>
        <v/>
      </c>
      <c r="Q201">
        <f>IF(AND(A201&lt;&gt;"",K201&lt;&gt;"Saiu"),ROW(),"")</f>
        <v/>
      </c>
    </row>
    <row r="204">
      <c r="A204" s="47" t="inlineStr">
        <is>
          <t>Como preencher (células amarelas):</t>
        </is>
      </c>
    </row>
    <row r="205">
      <c r="A205" s="48" t="inlineStr">
        <is>
          <t>•  Tag / Equipamento: a tag real de cada peça.   •  Tipo: escolha na lista.   •  MCC: de onde vem a produção (2, 3 ou 4).</t>
        </is>
      </c>
    </row>
    <row r="206">
      <c r="A206" s="48" t="inlineStr">
        <is>
          <t>•  Meta: vida útil daquela tag.   •  Desde: data de instalação.   •  Acumulado inicial: o que já tinha até o dia anterior a 'Desde'.</t>
        </is>
      </c>
    </row>
    <row r="207">
      <c r="A207" s="48" t="inlineStr">
        <is>
          <t>Molde: automático pelo relatório (corridas do veio G ou H). Oscilador conta dias; componentes somam as toneladas da MCC desde 'Desde'.</t>
        </is>
      </c>
    </row>
    <row r="208">
      <c r="A208" s="49" t="inlineStr">
        <is>
          <t>ATENÇÃO: metas padrão por tipo e 'Desde = 01/08/2026' são PROVISÓRIOS. Substitua pelos valores reais de cada tag.</t>
        </is>
      </c>
    </row>
    <row r="209">
      <c r="A209" s="48" t="inlineStr">
        <is>
          <t>Trocou uma peça? 1) TrocasEquip: data, tag que saiu e motivo (o resto é automático). 2) NÃO apague a linha dela aqui (vira 'Saiu'). 3) Cadastre a peça nova numa linha vazia.</t>
        </is>
      </c>
    </row>
  </sheetData>
  <conditionalFormatting sqref="J2:J201">
    <cfRule type="dataBar" priority="1">
      <dataBar showValue="1">
        <cfvo type="num" val="0"/>
        <cfvo type="num" val="1"/>
        <color rgb="005B9BD5"/>
      </dataBar>
    </cfRule>
  </conditionalFormatting>
  <conditionalFormatting sqref="K2:K20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A2:P201">
    <cfRule type="expression" priority="5" dxfId="4">
      <formula>$K2="Saiu"</formula>
    </cfRule>
  </conditionalFormatting>
  <dataValidations count="4">
    <dataValidation sqref="B2:B201" showDropDown="0" showInputMessage="0" showErrorMessage="0" allowBlank="1" type="list">
      <formula1>"Molde,Oscilador,Bender,Bow,Straightener R1,Straightener R2,Horizontal"</formula1>
    </dataValidation>
    <dataValidation sqref="D2:D201" showDropDown="0" showInputMessage="0" showErrorMessage="0" allowBlank="1" type="list">
      <formula1>"2,3,4"</formula1>
    </dataValidation>
    <dataValidation sqref="L2:L201" showDropDown="0" showInputMessage="0" showErrorMessage="0" allowBlank="1" type="list">
      <formula1>"C,D,E,F,G,H"</formula1>
    </dataValidation>
    <dataValidation sqref="F2:F20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7" t="inlineStr">
        <is>
          <t>Veio</t>
        </is>
      </c>
      <c r="B1" s="37" t="inlineStr">
        <is>
          <t>MCC</t>
        </is>
      </c>
      <c r="C1" s="37" t="inlineStr">
        <is>
          <t>Molde atual</t>
        </is>
      </c>
      <c r="D1" s="37" t="inlineStr">
        <is>
          <t>Meta</t>
        </is>
      </c>
      <c r="E1" s="37" t="inlineStr">
        <is>
          <t>Acumulado</t>
        </is>
      </c>
      <c r="F1" s="37" t="inlineStr">
        <is>
          <t>Falta</t>
        </is>
      </c>
      <c r="G1" s="37" t="inlineStr">
        <is>
          <t>% da vida</t>
        </is>
      </c>
      <c r="H1" s="37" t="inlineStr">
        <is>
          <t>Situação</t>
        </is>
      </c>
      <c r="I1" s="37" t="inlineStr">
        <is>
          <t>Trocas (qtd)</t>
        </is>
      </c>
      <c r="J1" s="37" t="inlineStr">
        <is>
          <t>Corridas médias na saída</t>
        </is>
      </c>
      <c r="K1" s="37" t="inlineStr">
        <is>
          <t>Última troca</t>
        </is>
      </c>
      <c r="L1" s="37" t="inlineStr">
        <is>
          <t>Dias parado</t>
        </is>
      </c>
      <c r="M1" s="37" t="inlineStr">
        <is>
          <t>Dados de</t>
        </is>
      </c>
    </row>
    <row r="2">
      <c r="A2" s="50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51">
        <f>IF(M2=0,"",SUMIFS(Historico!$D:$D,Historico!$B:$B,A2,Historico!$A:$A,M2))</f>
        <v/>
      </c>
      <c r="E2" s="51">
        <f>IF(M2=0,"",SUMIFS(Historico!$E:$E,Historico!$B:$B,A2,Historico!$A:$A,M2))</f>
        <v/>
      </c>
      <c r="F2" s="51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51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52">
        <f>SUMPRODUCT(MAX((Historico!$B$2:$B$5000=A2)*Historico!$A$2:$A$5000))</f>
        <v/>
      </c>
    </row>
    <row r="3">
      <c r="A3" s="50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51">
        <f>IF(M3=0,"",SUMIFS(Historico!$D:$D,Historico!$B:$B,A3,Historico!$A:$A,M3))</f>
        <v/>
      </c>
      <c r="E3" s="51">
        <f>IF(M3=0,"",SUMIFS(Historico!$E:$E,Historico!$B:$B,A3,Historico!$A:$A,M3))</f>
        <v/>
      </c>
      <c r="F3" s="51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51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52">
        <f>SUMPRODUCT(MAX((Historico!$B$2:$B$5000=A3)*Historico!$A$2:$A$5000))</f>
        <v/>
      </c>
    </row>
    <row r="4">
      <c r="A4" s="50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51">
        <f>IF(M4=0,"",SUMIFS(Historico!$D:$D,Historico!$B:$B,A4,Historico!$A:$A,M4))</f>
        <v/>
      </c>
      <c r="E4" s="51">
        <f>IF(M4=0,"",SUMIFS(Historico!$E:$E,Historico!$B:$B,A4,Historico!$A:$A,M4))</f>
        <v/>
      </c>
      <c r="F4" s="51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51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52">
        <f>SUMPRODUCT(MAX((Historico!$B$2:$B$5000=A4)*Historico!$A$2:$A$5000))</f>
        <v/>
      </c>
    </row>
    <row r="5">
      <c r="A5" s="50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51">
        <f>IF(M5=0,"",SUMIFS(Historico!$D:$D,Historico!$B:$B,A5,Historico!$A:$A,M5))</f>
        <v/>
      </c>
      <c r="E5" s="51">
        <f>IF(M5=0,"",SUMIFS(Historico!$E:$E,Historico!$B:$B,A5,Historico!$A:$A,M5))</f>
        <v/>
      </c>
      <c r="F5" s="51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51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52">
        <f>SUMPRODUCT(MAX((Historico!$B$2:$B$5000=A5)*Historico!$A$2:$A$5000))</f>
        <v/>
      </c>
    </row>
    <row r="6">
      <c r="A6" s="50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51">
        <f>IF(M6=0,"",SUMIFS(Historico!$D:$D,Historico!$B:$B,A6,Historico!$A:$A,M6))</f>
        <v/>
      </c>
      <c r="E6" s="51">
        <f>IF(M6=0,"",SUMIFS(Historico!$E:$E,Historico!$B:$B,A6,Historico!$A:$A,M6))</f>
        <v/>
      </c>
      <c r="F6" s="51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51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52">
        <f>SUMPRODUCT(MAX((Historico!$B$2:$B$5000=A6)*Historico!$A$2:$A$5000))</f>
        <v/>
      </c>
    </row>
    <row r="7">
      <c r="A7" s="50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51">
        <f>IF(M7=0,"",SUMIFS(Historico!$D:$D,Historico!$B:$B,A7,Historico!$A:$A,M7))</f>
        <v/>
      </c>
      <c r="E7" s="51">
        <f>IF(M7=0,"",SUMIFS(Historico!$E:$E,Historico!$B:$B,A7,Historico!$A:$A,M7))</f>
        <v/>
      </c>
      <c r="F7" s="51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51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52">
        <f>SUMPRODUCT(MAX((Historico!$B$2:$B$5000=A7)*Historico!$A$2:$A$5000))</f>
        <v/>
      </c>
    </row>
    <row r="9">
      <c r="A9" s="48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I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20" customWidth="1" min="3" max="3"/>
    <col width="10" customWidth="1" min="4" max="4"/>
    <col width="40" customWidth="1" min="5" max="5"/>
    <col width="35" customWidth="1" min="6" max="6"/>
    <col width="17" customWidth="1" min="7" max="7"/>
    <col width="7" customWidth="1" min="8" max="8"/>
    <col width="17" customWidth="1" min="9" max="9"/>
  </cols>
  <sheetData>
    <row r="1" ht="30" customHeight="1">
      <c r="A1" s="53" t="inlineStr">
        <is>
          <t>Data da saída</t>
        </is>
      </c>
      <c r="B1" s="53" t="inlineStr">
        <is>
          <t>Tag que saiu</t>
        </is>
      </c>
      <c r="C1" s="53" t="inlineStr">
        <is>
          <t>Acumulado na saída</t>
        </is>
      </c>
      <c r="D1" s="53" t="inlineStr">
        <is>
          <t>Unidade</t>
        </is>
      </c>
      <c r="E1" s="53" t="inlineStr">
        <is>
          <t>Motivo</t>
        </is>
      </c>
      <c r="F1" s="53" t="inlineStr">
        <is>
          <t>Observação</t>
        </is>
      </c>
      <c r="G1" s="53" t="inlineStr">
        <is>
          <t>Posição</t>
        </is>
      </c>
      <c r="H1" s="53" t="inlineStr">
        <is>
          <t>Veio</t>
        </is>
      </c>
      <c r="I1" s="53" t="inlineStr">
        <is>
          <t>% da vida na saída</t>
        </is>
      </c>
    </row>
    <row r="2">
      <c r="A2" s="54" t="n"/>
      <c r="B2" s="55" t="n"/>
      <c r="C2" s="56">
        <f>IF(OR(A2="",B2=""),"",IF(COUNTIF(Equipamentos!$A$2:$A$201,B2)=0,"tag não encontrada",IFERROR(INDEX(Equipamentos!$H$2:$H$201,MATCH(1,INDEX((Equipamentos!$A$2:$A$201=B2)*(Equipamentos!$P$2:$P$201=A2),0),0)),"confira a data")))</f>
        <v/>
      </c>
      <c r="D2">
        <f>IF(B2="","",IFERROR(INDEX(Equipamentos!$C$2:$C$201,MATCH(B2,Equipamentos!$A$2:$A$201,0)),""))</f>
        <v/>
      </c>
      <c r="E2" s="55" t="n"/>
      <c r="F2" s="55" t="n"/>
      <c r="G2">
        <f>IF(B2="","",IFERROR(INDEX(Equipamentos!$N$2:$N$201,MATCH(B2,Equipamentos!$A$2:$A$201,0)),""))</f>
        <v/>
      </c>
      <c r="H2">
        <f>IF(B2="","",IFERROR(INDEX(Equipamentos!$L$2:$L$201,MATCH(B2,Equipamentos!$A$2:$A$201,0)),""))</f>
        <v/>
      </c>
      <c r="I2" s="57">
        <f>IF(OR(A2="",B2=""),"",IFERROR(INDEX(Equipamentos!$J$2:$J$201,MATCH(1,INDEX((Equipamentos!$A$2:$A$201=B2)*(Equipamentos!$P$2:$P$201=A2),0),0)),""))</f>
        <v/>
      </c>
    </row>
    <row r="3">
      <c r="A3" s="54" t="n"/>
      <c r="B3" s="55" t="n"/>
      <c r="C3" s="56">
        <f>IF(OR(A3="",B3=""),"",IF(COUNTIF(Equipamentos!$A$2:$A$201,B3)=0,"tag não encontrada",IFERROR(INDEX(Equipamentos!$H$2:$H$201,MATCH(1,INDEX((Equipamentos!$A$2:$A$201=B3)*(Equipamentos!$P$2:$P$201=A3),0),0)),"confira a data")))</f>
        <v/>
      </c>
      <c r="D3">
        <f>IF(B3="","",IFERROR(INDEX(Equipamentos!$C$2:$C$201,MATCH(B3,Equipamentos!$A$2:$A$201,0)),""))</f>
        <v/>
      </c>
      <c r="E3" s="55" t="n"/>
      <c r="F3" s="55" t="n"/>
      <c r="G3">
        <f>IF(B3="","",IFERROR(INDEX(Equipamentos!$N$2:$N$201,MATCH(B3,Equipamentos!$A$2:$A$201,0)),""))</f>
        <v/>
      </c>
      <c r="H3">
        <f>IF(B3="","",IFERROR(INDEX(Equipamentos!$L$2:$L$201,MATCH(B3,Equipamentos!$A$2:$A$201,0)),""))</f>
        <v/>
      </c>
      <c r="I3" s="57">
        <f>IF(OR(A3="",B3=""),"",IFERROR(INDEX(Equipamentos!$J$2:$J$201,MATCH(1,INDEX((Equipamentos!$A$2:$A$201=B3)*(Equipamentos!$P$2:$P$201=A3),0),0)),""))</f>
        <v/>
      </c>
    </row>
    <row r="4">
      <c r="A4" s="54" t="n"/>
      <c r="B4" s="55" t="n"/>
      <c r="C4" s="56">
        <f>IF(OR(A4="",B4=""),"",IF(COUNTIF(Equipamentos!$A$2:$A$201,B4)=0,"tag não encontrada",IFERROR(INDEX(Equipamentos!$H$2:$H$201,MATCH(1,INDEX((Equipamentos!$A$2:$A$201=B4)*(Equipamentos!$P$2:$P$201=A4),0),0)),"confira a data")))</f>
        <v/>
      </c>
      <c r="D4">
        <f>IF(B4="","",IFERROR(INDEX(Equipamentos!$C$2:$C$201,MATCH(B4,Equipamentos!$A$2:$A$201,0)),""))</f>
        <v/>
      </c>
      <c r="E4" s="55" t="n"/>
      <c r="F4" s="55" t="n"/>
      <c r="G4">
        <f>IF(B4="","",IFERROR(INDEX(Equipamentos!$N$2:$N$201,MATCH(B4,Equipamentos!$A$2:$A$201,0)),""))</f>
        <v/>
      </c>
      <c r="H4">
        <f>IF(B4="","",IFERROR(INDEX(Equipamentos!$L$2:$L$201,MATCH(B4,Equipamentos!$A$2:$A$201,0)),""))</f>
        <v/>
      </c>
      <c r="I4" s="57">
        <f>IF(OR(A4="",B4=""),"",IFERROR(INDEX(Equipamentos!$J$2:$J$201,MATCH(1,INDEX((Equipamentos!$A$2:$A$201=B4)*(Equipamentos!$P$2:$P$201=A4),0),0)),""))</f>
        <v/>
      </c>
    </row>
    <row r="5">
      <c r="A5" s="54" t="n"/>
      <c r="B5" s="55" t="n"/>
      <c r="C5" s="56">
        <f>IF(OR(A5="",B5=""),"",IF(COUNTIF(Equipamentos!$A$2:$A$201,B5)=0,"tag não encontrada",IFERROR(INDEX(Equipamentos!$H$2:$H$201,MATCH(1,INDEX((Equipamentos!$A$2:$A$201=B5)*(Equipamentos!$P$2:$P$201=A5),0),0)),"confira a data")))</f>
        <v/>
      </c>
      <c r="D5">
        <f>IF(B5="","",IFERROR(INDEX(Equipamentos!$C$2:$C$201,MATCH(B5,Equipamentos!$A$2:$A$201,0)),""))</f>
        <v/>
      </c>
      <c r="E5" s="55" t="n"/>
      <c r="F5" s="55" t="n"/>
      <c r="G5">
        <f>IF(B5="","",IFERROR(INDEX(Equipamentos!$N$2:$N$201,MATCH(B5,Equipamentos!$A$2:$A$201,0)),""))</f>
        <v/>
      </c>
      <c r="H5">
        <f>IF(B5="","",IFERROR(INDEX(Equipamentos!$L$2:$L$201,MATCH(B5,Equipamentos!$A$2:$A$201,0)),""))</f>
        <v/>
      </c>
      <c r="I5" s="57">
        <f>IF(OR(A5="",B5=""),"",IFERROR(INDEX(Equipamentos!$J$2:$J$201,MATCH(1,INDEX((Equipamentos!$A$2:$A$201=B5)*(Equipamentos!$P$2:$P$201=A5),0),0)),""))</f>
        <v/>
      </c>
    </row>
    <row r="6">
      <c r="A6" s="54" t="n"/>
      <c r="B6" s="55" t="n"/>
      <c r="C6" s="56">
        <f>IF(OR(A6="",B6=""),"",IF(COUNTIF(Equipamentos!$A$2:$A$201,B6)=0,"tag não encontrada",IFERROR(INDEX(Equipamentos!$H$2:$H$201,MATCH(1,INDEX((Equipamentos!$A$2:$A$201=B6)*(Equipamentos!$P$2:$P$201=A6),0),0)),"confira a data")))</f>
        <v/>
      </c>
      <c r="D6">
        <f>IF(B6="","",IFERROR(INDEX(Equipamentos!$C$2:$C$201,MATCH(B6,Equipamentos!$A$2:$A$201,0)),""))</f>
        <v/>
      </c>
      <c r="E6" s="55" t="n"/>
      <c r="F6" s="55" t="n"/>
      <c r="G6">
        <f>IF(B6="","",IFERROR(INDEX(Equipamentos!$N$2:$N$201,MATCH(B6,Equipamentos!$A$2:$A$201,0)),""))</f>
        <v/>
      </c>
      <c r="H6">
        <f>IF(B6="","",IFERROR(INDEX(Equipamentos!$L$2:$L$201,MATCH(B6,Equipamentos!$A$2:$A$201,0)),""))</f>
        <v/>
      </c>
      <c r="I6" s="57">
        <f>IF(OR(A6="",B6=""),"",IFERROR(INDEX(Equipamentos!$J$2:$J$201,MATCH(1,INDEX((Equipamentos!$A$2:$A$201=B6)*(Equipamentos!$P$2:$P$201=A6),0),0)),""))</f>
        <v/>
      </c>
    </row>
    <row r="7">
      <c r="A7" s="54" t="n"/>
      <c r="B7" s="55" t="n"/>
      <c r="C7" s="56">
        <f>IF(OR(A7="",B7=""),"",IF(COUNTIF(Equipamentos!$A$2:$A$201,B7)=0,"tag não encontrada",IFERROR(INDEX(Equipamentos!$H$2:$H$201,MATCH(1,INDEX((Equipamentos!$A$2:$A$201=B7)*(Equipamentos!$P$2:$P$201=A7),0),0)),"confira a data")))</f>
        <v/>
      </c>
      <c r="D7">
        <f>IF(B7="","",IFERROR(INDEX(Equipamentos!$C$2:$C$201,MATCH(B7,Equipamentos!$A$2:$A$201,0)),""))</f>
        <v/>
      </c>
      <c r="E7" s="55" t="n"/>
      <c r="F7" s="55" t="n"/>
      <c r="G7">
        <f>IF(B7="","",IFERROR(INDEX(Equipamentos!$N$2:$N$201,MATCH(B7,Equipamentos!$A$2:$A$201,0)),""))</f>
        <v/>
      </c>
      <c r="H7">
        <f>IF(B7="","",IFERROR(INDEX(Equipamentos!$L$2:$L$201,MATCH(B7,Equipamentos!$A$2:$A$201,0)),""))</f>
        <v/>
      </c>
      <c r="I7" s="57">
        <f>IF(OR(A7="",B7=""),"",IFERROR(INDEX(Equipamentos!$J$2:$J$201,MATCH(1,INDEX((Equipamentos!$A$2:$A$201=B7)*(Equipamentos!$P$2:$P$201=A7),0),0)),""))</f>
        <v/>
      </c>
    </row>
    <row r="8">
      <c r="A8" s="54" t="n"/>
      <c r="B8" s="55" t="n"/>
      <c r="C8" s="56">
        <f>IF(OR(A8="",B8=""),"",IF(COUNTIF(Equipamentos!$A$2:$A$201,B8)=0,"tag não encontrada",IFERROR(INDEX(Equipamentos!$H$2:$H$201,MATCH(1,INDEX((Equipamentos!$A$2:$A$201=B8)*(Equipamentos!$P$2:$P$201=A8),0),0)),"confira a data")))</f>
        <v/>
      </c>
      <c r="D8">
        <f>IF(B8="","",IFERROR(INDEX(Equipamentos!$C$2:$C$201,MATCH(B8,Equipamentos!$A$2:$A$201,0)),""))</f>
        <v/>
      </c>
      <c r="E8" s="55" t="n"/>
      <c r="F8" s="55" t="n"/>
      <c r="G8">
        <f>IF(B8="","",IFERROR(INDEX(Equipamentos!$N$2:$N$201,MATCH(B8,Equipamentos!$A$2:$A$201,0)),""))</f>
        <v/>
      </c>
      <c r="H8">
        <f>IF(B8="","",IFERROR(INDEX(Equipamentos!$L$2:$L$201,MATCH(B8,Equipamentos!$A$2:$A$201,0)),""))</f>
        <v/>
      </c>
      <c r="I8" s="57">
        <f>IF(OR(A8="",B8=""),"",IFERROR(INDEX(Equipamentos!$J$2:$J$201,MATCH(1,INDEX((Equipamentos!$A$2:$A$201=B8)*(Equipamentos!$P$2:$P$201=A8),0),0)),""))</f>
        <v/>
      </c>
    </row>
    <row r="9">
      <c r="A9" s="54" t="n"/>
      <c r="B9" s="55" t="n"/>
      <c r="C9" s="56">
        <f>IF(OR(A9="",B9=""),"",IF(COUNTIF(Equipamentos!$A$2:$A$201,B9)=0,"tag não encontrada",IFERROR(INDEX(Equipamentos!$H$2:$H$201,MATCH(1,INDEX((Equipamentos!$A$2:$A$201=B9)*(Equipamentos!$P$2:$P$201=A9),0),0)),"confira a data")))</f>
        <v/>
      </c>
      <c r="D9">
        <f>IF(B9="","",IFERROR(INDEX(Equipamentos!$C$2:$C$201,MATCH(B9,Equipamentos!$A$2:$A$201,0)),""))</f>
        <v/>
      </c>
      <c r="E9" s="55" t="n"/>
      <c r="F9" s="55" t="n"/>
      <c r="G9">
        <f>IF(B9="","",IFERROR(INDEX(Equipamentos!$N$2:$N$201,MATCH(B9,Equipamentos!$A$2:$A$201,0)),""))</f>
        <v/>
      </c>
      <c r="H9">
        <f>IF(B9="","",IFERROR(INDEX(Equipamentos!$L$2:$L$201,MATCH(B9,Equipamentos!$A$2:$A$201,0)),""))</f>
        <v/>
      </c>
      <c r="I9" s="57">
        <f>IF(OR(A9="",B9=""),"",IFERROR(INDEX(Equipamentos!$J$2:$J$201,MATCH(1,INDEX((Equipamentos!$A$2:$A$201=B9)*(Equipamentos!$P$2:$P$201=A9),0),0)),""))</f>
        <v/>
      </c>
    </row>
    <row r="10">
      <c r="A10" s="54" t="n"/>
      <c r="B10" s="55" t="n"/>
      <c r="C10" s="56">
        <f>IF(OR(A10="",B10=""),"",IF(COUNTIF(Equipamentos!$A$2:$A$201,B10)=0,"tag não encontrada",IFERROR(INDEX(Equipamentos!$H$2:$H$201,MATCH(1,INDEX((Equipamentos!$A$2:$A$201=B10)*(Equipamentos!$P$2:$P$201=A10),0),0)),"confira a data")))</f>
        <v/>
      </c>
      <c r="D10">
        <f>IF(B10="","",IFERROR(INDEX(Equipamentos!$C$2:$C$201,MATCH(B10,Equipamentos!$A$2:$A$201,0)),""))</f>
        <v/>
      </c>
      <c r="E10" s="55" t="n"/>
      <c r="F10" s="55" t="n"/>
      <c r="G10">
        <f>IF(B10="","",IFERROR(INDEX(Equipamentos!$N$2:$N$201,MATCH(B10,Equipamentos!$A$2:$A$201,0)),""))</f>
        <v/>
      </c>
      <c r="H10">
        <f>IF(B10="","",IFERROR(INDEX(Equipamentos!$L$2:$L$201,MATCH(B10,Equipamentos!$A$2:$A$201,0)),""))</f>
        <v/>
      </c>
      <c r="I10" s="57">
        <f>IF(OR(A10="",B10=""),"",IFERROR(INDEX(Equipamentos!$J$2:$J$201,MATCH(1,INDEX((Equipamentos!$A$2:$A$201=B10)*(Equipamentos!$P$2:$P$201=A10),0),0)),""))</f>
        <v/>
      </c>
    </row>
    <row r="11">
      <c r="A11" s="54" t="n"/>
      <c r="B11" s="55" t="n"/>
      <c r="C11" s="56">
        <f>IF(OR(A11="",B11=""),"",IF(COUNTIF(Equipamentos!$A$2:$A$201,B11)=0,"tag não encontrada",IFERROR(INDEX(Equipamentos!$H$2:$H$201,MATCH(1,INDEX((Equipamentos!$A$2:$A$201=B11)*(Equipamentos!$P$2:$P$201=A11),0),0)),"confira a data")))</f>
        <v/>
      </c>
      <c r="D11">
        <f>IF(B11="","",IFERROR(INDEX(Equipamentos!$C$2:$C$201,MATCH(B11,Equipamentos!$A$2:$A$201,0)),""))</f>
        <v/>
      </c>
      <c r="E11" s="55" t="n"/>
      <c r="F11" s="55" t="n"/>
      <c r="G11">
        <f>IF(B11="","",IFERROR(INDEX(Equipamentos!$N$2:$N$201,MATCH(B11,Equipamentos!$A$2:$A$201,0)),""))</f>
        <v/>
      </c>
      <c r="H11">
        <f>IF(B11="","",IFERROR(INDEX(Equipamentos!$L$2:$L$201,MATCH(B11,Equipamentos!$A$2:$A$201,0)),""))</f>
        <v/>
      </c>
      <c r="I11" s="57">
        <f>IF(OR(A11="",B11=""),"",IFERROR(INDEX(Equipamentos!$J$2:$J$201,MATCH(1,INDEX((Equipamentos!$A$2:$A$201=B11)*(Equipamentos!$P$2:$P$201=A11),0),0)),""))</f>
        <v/>
      </c>
    </row>
    <row r="12">
      <c r="A12" s="54" t="n"/>
      <c r="B12" s="55" t="n"/>
      <c r="C12" s="56">
        <f>IF(OR(A12="",B12=""),"",IF(COUNTIF(Equipamentos!$A$2:$A$201,B12)=0,"tag não encontrada",IFERROR(INDEX(Equipamentos!$H$2:$H$201,MATCH(1,INDEX((Equipamentos!$A$2:$A$201=B12)*(Equipamentos!$P$2:$P$201=A12),0),0)),"confira a data")))</f>
        <v/>
      </c>
      <c r="D12">
        <f>IF(B12="","",IFERROR(INDEX(Equipamentos!$C$2:$C$201,MATCH(B12,Equipamentos!$A$2:$A$201,0)),""))</f>
        <v/>
      </c>
      <c r="E12" s="55" t="n"/>
      <c r="F12" s="55" t="n"/>
      <c r="G12">
        <f>IF(B12="","",IFERROR(INDEX(Equipamentos!$N$2:$N$201,MATCH(B12,Equipamentos!$A$2:$A$201,0)),""))</f>
        <v/>
      </c>
      <c r="H12">
        <f>IF(B12="","",IFERROR(INDEX(Equipamentos!$L$2:$L$201,MATCH(B12,Equipamentos!$A$2:$A$201,0)),""))</f>
        <v/>
      </c>
      <c r="I12" s="57">
        <f>IF(OR(A12="",B12=""),"",IFERROR(INDEX(Equipamentos!$J$2:$J$201,MATCH(1,INDEX((Equipamentos!$A$2:$A$201=B12)*(Equipamentos!$P$2:$P$201=A12),0),0)),""))</f>
        <v/>
      </c>
    </row>
    <row r="13">
      <c r="A13" s="54" t="n"/>
      <c r="B13" s="55" t="n"/>
      <c r="C13" s="56">
        <f>IF(OR(A13="",B13=""),"",IF(COUNTIF(Equipamentos!$A$2:$A$201,B13)=0,"tag não encontrada",IFERROR(INDEX(Equipamentos!$H$2:$H$201,MATCH(1,INDEX((Equipamentos!$A$2:$A$201=B13)*(Equipamentos!$P$2:$P$201=A13),0),0)),"confira a data")))</f>
        <v/>
      </c>
      <c r="D13">
        <f>IF(B13="","",IFERROR(INDEX(Equipamentos!$C$2:$C$201,MATCH(B13,Equipamentos!$A$2:$A$201,0)),""))</f>
        <v/>
      </c>
      <c r="E13" s="55" t="n"/>
      <c r="F13" s="55" t="n"/>
      <c r="G13">
        <f>IF(B13="","",IFERROR(INDEX(Equipamentos!$N$2:$N$201,MATCH(B13,Equipamentos!$A$2:$A$201,0)),""))</f>
        <v/>
      </c>
      <c r="H13">
        <f>IF(B13="","",IFERROR(INDEX(Equipamentos!$L$2:$L$201,MATCH(B13,Equipamentos!$A$2:$A$201,0)),""))</f>
        <v/>
      </c>
      <c r="I13" s="57">
        <f>IF(OR(A13="",B13=""),"",IFERROR(INDEX(Equipamentos!$J$2:$J$201,MATCH(1,INDEX((Equipamentos!$A$2:$A$201=B13)*(Equipamentos!$P$2:$P$201=A13),0),0)),""))</f>
        <v/>
      </c>
    </row>
    <row r="14">
      <c r="A14" s="54" t="n"/>
      <c r="B14" s="55" t="n"/>
      <c r="C14" s="56">
        <f>IF(OR(A14="",B14=""),"",IF(COUNTIF(Equipamentos!$A$2:$A$201,B14)=0,"tag não encontrada",IFERROR(INDEX(Equipamentos!$H$2:$H$201,MATCH(1,INDEX((Equipamentos!$A$2:$A$201=B14)*(Equipamentos!$P$2:$P$201=A14),0),0)),"confira a data")))</f>
        <v/>
      </c>
      <c r="D14">
        <f>IF(B14="","",IFERROR(INDEX(Equipamentos!$C$2:$C$201,MATCH(B14,Equipamentos!$A$2:$A$201,0)),""))</f>
        <v/>
      </c>
      <c r="E14" s="55" t="n"/>
      <c r="F14" s="55" t="n"/>
      <c r="G14">
        <f>IF(B14="","",IFERROR(INDEX(Equipamentos!$N$2:$N$201,MATCH(B14,Equipamentos!$A$2:$A$201,0)),""))</f>
        <v/>
      </c>
      <c r="H14">
        <f>IF(B14="","",IFERROR(INDEX(Equipamentos!$L$2:$L$201,MATCH(B14,Equipamentos!$A$2:$A$201,0)),""))</f>
        <v/>
      </c>
      <c r="I14" s="57">
        <f>IF(OR(A14="",B14=""),"",IFERROR(INDEX(Equipamentos!$J$2:$J$201,MATCH(1,INDEX((Equipamentos!$A$2:$A$201=B14)*(Equipamentos!$P$2:$P$201=A14),0),0)),""))</f>
        <v/>
      </c>
    </row>
    <row r="15">
      <c r="A15" s="54" t="n"/>
      <c r="B15" s="55" t="n"/>
      <c r="C15" s="56">
        <f>IF(OR(A15="",B15=""),"",IF(COUNTIF(Equipamentos!$A$2:$A$201,B15)=0,"tag não encontrada",IFERROR(INDEX(Equipamentos!$H$2:$H$201,MATCH(1,INDEX((Equipamentos!$A$2:$A$201=B15)*(Equipamentos!$P$2:$P$201=A15),0),0)),"confira a data")))</f>
        <v/>
      </c>
      <c r="D15">
        <f>IF(B15="","",IFERROR(INDEX(Equipamentos!$C$2:$C$201,MATCH(B15,Equipamentos!$A$2:$A$201,0)),""))</f>
        <v/>
      </c>
      <c r="E15" s="55" t="n"/>
      <c r="F15" s="55" t="n"/>
      <c r="G15">
        <f>IF(B15="","",IFERROR(INDEX(Equipamentos!$N$2:$N$201,MATCH(B15,Equipamentos!$A$2:$A$201,0)),""))</f>
        <v/>
      </c>
      <c r="H15">
        <f>IF(B15="","",IFERROR(INDEX(Equipamentos!$L$2:$L$201,MATCH(B15,Equipamentos!$A$2:$A$201,0)),""))</f>
        <v/>
      </c>
      <c r="I15" s="57">
        <f>IF(OR(A15="",B15=""),"",IFERROR(INDEX(Equipamentos!$J$2:$J$201,MATCH(1,INDEX((Equipamentos!$A$2:$A$201=B15)*(Equipamentos!$P$2:$P$201=A15),0),0)),""))</f>
        <v/>
      </c>
    </row>
    <row r="16">
      <c r="A16" s="54" t="n"/>
      <c r="B16" s="55" t="n"/>
      <c r="C16" s="56">
        <f>IF(OR(A16="",B16=""),"",IF(COUNTIF(Equipamentos!$A$2:$A$201,B16)=0,"tag não encontrada",IFERROR(INDEX(Equipamentos!$H$2:$H$201,MATCH(1,INDEX((Equipamentos!$A$2:$A$201=B16)*(Equipamentos!$P$2:$P$201=A16),0),0)),"confira a data")))</f>
        <v/>
      </c>
      <c r="D16">
        <f>IF(B16="","",IFERROR(INDEX(Equipamentos!$C$2:$C$201,MATCH(B16,Equipamentos!$A$2:$A$201,0)),""))</f>
        <v/>
      </c>
      <c r="E16" s="55" t="n"/>
      <c r="F16" s="55" t="n"/>
      <c r="G16">
        <f>IF(B16="","",IFERROR(INDEX(Equipamentos!$N$2:$N$201,MATCH(B16,Equipamentos!$A$2:$A$201,0)),""))</f>
        <v/>
      </c>
      <c r="H16">
        <f>IF(B16="","",IFERROR(INDEX(Equipamentos!$L$2:$L$201,MATCH(B16,Equipamentos!$A$2:$A$201,0)),""))</f>
        <v/>
      </c>
      <c r="I16" s="57">
        <f>IF(OR(A16="",B16=""),"",IFERROR(INDEX(Equipamentos!$J$2:$J$201,MATCH(1,INDEX((Equipamentos!$A$2:$A$201=B16)*(Equipamentos!$P$2:$P$201=A16),0),0)),""))</f>
        <v/>
      </c>
    </row>
    <row r="17">
      <c r="A17" s="54" t="n"/>
      <c r="B17" s="55" t="n"/>
      <c r="C17" s="56">
        <f>IF(OR(A17="",B17=""),"",IF(COUNTIF(Equipamentos!$A$2:$A$201,B17)=0,"tag não encontrada",IFERROR(INDEX(Equipamentos!$H$2:$H$201,MATCH(1,INDEX((Equipamentos!$A$2:$A$201=B17)*(Equipamentos!$P$2:$P$201=A17),0),0)),"confira a data")))</f>
        <v/>
      </c>
      <c r="D17">
        <f>IF(B17="","",IFERROR(INDEX(Equipamentos!$C$2:$C$201,MATCH(B17,Equipamentos!$A$2:$A$201,0)),""))</f>
        <v/>
      </c>
      <c r="E17" s="55" t="n"/>
      <c r="F17" s="55" t="n"/>
      <c r="G17">
        <f>IF(B17="","",IFERROR(INDEX(Equipamentos!$N$2:$N$201,MATCH(B17,Equipamentos!$A$2:$A$201,0)),""))</f>
        <v/>
      </c>
      <c r="H17">
        <f>IF(B17="","",IFERROR(INDEX(Equipamentos!$L$2:$L$201,MATCH(B17,Equipamentos!$A$2:$A$201,0)),""))</f>
        <v/>
      </c>
      <c r="I17" s="57">
        <f>IF(OR(A17="",B17=""),"",IFERROR(INDEX(Equipamentos!$J$2:$J$201,MATCH(1,INDEX((Equipamentos!$A$2:$A$201=B17)*(Equipamentos!$P$2:$P$201=A17),0),0)),""))</f>
        <v/>
      </c>
    </row>
    <row r="18">
      <c r="A18" s="54" t="n"/>
      <c r="B18" s="55" t="n"/>
      <c r="C18" s="56">
        <f>IF(OR(A18="",B18=""),"",IF(COUNTIF(Equipamentos!$A$2:$A$201,B18)=0,"tag não encontrada",IFERROR(INDEX(Equipamentos!$H$2:$H$201,MATCH(1,INDEX((Equipamentos!$A$2:$A$201=B18)*(Equipamentos!$P$2:$P$201=A18),0),0)),"confira a data")))</f>
        <v/>
      </c>
      <c r="D18">
        <f>IF(B18="","",IFERROR(INDEX(Equipamentos!$C$2:$C$201,MATCH(B18,Equipamentos!$A$2:$A$201,0)),""))</f>
        <v/>
      </c>
      <c r="E18" s="55" t="n"/>
      <c r="F18" s="55" t="n"/>
      <c r="G18">
        <f>IF(B18="","",IFERROR(INDEX(Equipamentos!$N$2:$N$201,MATCH(B18,Equipamentos!$A$2:$A$201,0)),""))</f>
        <v/>
      </c>
      <c r="H18">
        <f>IF(B18="","",IFERROR(INDEX(Equipamentos!$L$2:$L$201,MATCH(B18,Equipamentos!$A$2:$A$201,0)),""))</f>
        <v/>
      </c>
      <c r="I18" s="57">
        <f>IF(OR(A18="",B18=""),"",IFERROR(INDEX(Equipamentos!$J$2:$J$201,MATCH(1,INDEX((Equipamentos!$A$2:$A$201=B18)*(Equipamentos!$P$2:$P$201=A18),0),0)),""))</f>
        <v/>
      </c>
    </row>
    <row r="19">
      <c r="A19" s="54" t="n"/>
      <c r="B19" s="55" t="n"/>
      <c r="C19" s="56">
        <f>IF(OR(A19="",B19=""),"",IF(COUNTIF(Equipamentos!$A$2:$A$201,B19)=0,"tag não encontrada",IFERROR(INDEX(Equipamentos!$H$2:$H$201,MATCH(1,INDEX((Equipamentos!$A$2:$A$201=B19)*(Equipamentos!$P$2:$P$201=A19),0),0)),"confira a data")))</f>
        <v/>
      </c>
      <c r="D19">
        <f>IF(B19="","",IFERROR(INDEX(Equipamentos!$C$2:$C$201,MATCH(B19,Equipamentos!$A$2:$A$201,0)),""))</f>
        <v/>
      </c>
      <c r="E19" s="55" t="n"/>
      <c r="F19" s="55" t="n"/>
      <c r="G19">
        <f>IF(B19="","",IFERROR(INDEX(Equipamentos!$N$2:$N$201,MATCH(B19,Equipamentos!$A$2:$A$201,0)),""))</f>
        <v/>
      </c>
      <c r="H19">
        <f>IF(B19="","",IFERROR(INDEX(Equipamentos!$L$2:$L$201,MATCH(B19,Equipamentos!$A$2:$A$201,0)),""))</f>
        <v/>
      </c>
      <c r="I19" s="57">
        <f>IF(OR(A19="",B19=""),"",IFERROR(INDEX(Equipamentos!$J$2:$J$201,MATCH(1,INDEX((Equipamentos!$A$2:$A$201=B19)*(Equipamentos!$P$2:$P$201=A19),0),0)),""))</f>
        <v/>
      </c>
    </row>
    <row r="20">
      <c r="A20" s="54" t="n"/>
      <c r="B20" s="55" t="n"/>
      <c r="C20" s="56">
        <f>IF(OR(A20="",B20=""),"",IF(COUNTIF(Equipamentos!$A$2:$A$201,B20)=0,"tag não encontrada",IFERROR(INDEX(Equipamentos!$H$2:$H$201,MATCH(1,INDEX((Equipamentos!$A$2:$A$201=B20)*(Equipamentos!$P$2:$P$201=A20),0),0)),"confira a data")))</f>
        <v/>
      </c>
      <c r="D20">
        <f>IF(B20="","",IFERROR(INDEX(Equipamentos!$C$2:$C$201,MATCH(B20,Equipamentos!$A$2:$A$201,0)),""))</f>
        <v/>
      </c>
      <c r="E20" s="55" t="n"/>
      <c r="F20" s="55" t="n"/>
      <c r="G20">
        <f>IF(B20="","",IFERROR(INDEX(Equipamentos!$N$2:$N$201,MATCH(B20,Equipamentos!$A$2:$A$201,0)),""))</f>
        <v/>
      </c>
      <c r="H20">
        <f>IF(B20="","",IFERROR(INDEX(Equipamentos!$L$2:$L$201,MATCH(B20,Equipamentos!$A$2:$A$201,0)),""))</f>
        <v/>
      </c>
      <c r="I20" s="57">
        <f>IF(OR(A20="",B20=""),"",IFERROR(INDEX(Equipamentos!$J$2:$J$201,MATCH(1,INDEX((Equipamentos!$A$2:$A$201=B20)*(Equipamentos!$P$2:$P$201=A20),0),0)),""))</f>
        <v/>
      </c>
    </row>
    <row r="21">
      <c r="A21" s="54" t="n"/>
      <c r="B21" s="55" t="n"/>
      <c r="C21" s="56">
        <f>IF(OR(A21="",B21=""),"",IF(COUNTIF(Equipamentos!$A$2:$A$201,B21)=0,"tag não encontrada",IFERROR(INDEX(Equipamentos!$H$2:$H$201,MATCH(1,INDEX((Equipamentos!$A$2:$A$201=B21)*(Equipamentos!$P$2:$P$201=A21),0),0)),"confira a data")))</f>
        <v/>
      </c>
      <c r="D21">
        <f>IF(B21="","",IFERROR(INDEX(Equipamentos!$C$2:$C$201,MATCH(B21,Equipamentos!$A$2:$A$201,0)),""))</f>
        <v/>
      </c>
      <c r="E21" s="55" t="n"/>
      <c r="F21" s="55" t="n"/>
      <c r="G21">
        <f>IF(B21="","",IFERROR(INDEX(Equipamentos!$N$2:$N$201,MATCH(B21,Equipamentos!$A$2:$A$201,0)),""))</f>
        <v/>
      </c>
      <c r="H21">
        <f>IF(B21="","",IFERROR(INDEX(Equipamentos!$L$2:$L$201,MATCH(B21,Equipamentos!$A$2:$A$201,0)),""))</f>
        <v/>
      </c>
      <c r="I21" s="57">
        <f>IF(OR(A21="",B21=""),"",IFERROR(INDEX(Equipamentos!$J$2:$J$201,MATCH(1,INDEX((Equipamentos!$A$2:$A$201=B21)*(Equipamentos!$P$2:$P$201=A21),0),0)),""))</f>
        <v/>
      </c>
    </row>
    <row r="22">
      <c r="A22" s="54" t="n"/>
      <c r="B22" s="55" t="n"/>
      <c r="C22" s="56">
        <f>IF(OR(A22="",B22=""),"",IF(COUNTIF(Equipamentos!$A$2:$A$201,B22)=0,"tag não encontrada",IFERROR(INDEX(Equipamentos!$H$2:$H$201,MATCH(1,INDEX((Equipamentos!$A$2:$A$201=B22)*(Equipamentos!$P$2:$P$201=A22),0),0)),"confira a data")))</f>
        <v/>
      </c>
      <c r="D22">
        <f>IF(B22="","",IFERROR(INDEX(Equipamentos!$C$2:$C$201,MATCH(B22,Equipamentos!$A$2:$A$201,0)),""))</f>
        <v/>
      </c>
      <c r="E22" s="55" t="n"/>
      <c r="F22" s="55" t="n"/>
      <c r="G22">
        <f>IF(B22="","",IFERROR(INDEX(Equipamentos!$N$2:$N$201,MATCH(B22,Equipamentos!$A$2:$A$201,0)),""))</f>
        <v/>
      </c>
      <c r="H22">
        <f>IF(B22="","",IFERROR(INDEX(Equipamentos!$L$2:$L$201,MATCH(B22,Equipamentos!$A$2:$A$201,0)),""))</f>
        <v/>
      </c>
      <c r="I22" s="57">
        <f>IF(OR(A22="",B22=""),"",IFERROR(INDEX(Equipamentos!$J$2:$J$201,MATCH(1,INDEX((Equipamentos!$A$2:$A$201=B22)*(Equipamentos!$P$2:$P$201=A22),0),0)),""))</f>
        <v/>
      </c>
    </row>
    <row r="23">
      <c r="A23" s="54" t="n"/>
      <c r="B23" s="55" t="n"/>
      <c r="C23" s="56">
        <f>IF(OR(A23="",B23=""),"",IF(COUNTIF(Equipamentos!$A$2:$A$201,B23)=0,"tag não encontrada",IFERROR(INDEX(Equipamentos!$H$2:$H$201,MATCH(1,INDEX((Equipamentos!$A$2:$A$201=B23)*(Equipamentos!$P$2:$P$201=A23),0),0)),"confira a data")))</f>
        <v/>
      </c>
      <c r="D23">
        <f>IF(B23="","",IFERROR(INDEX(Equipamentos!$C$2:$C$201,MATCH(B23,Equipamentos!$A$2:$A$201,0)),""))</f>
        <v/>
      </c>
      <c r="E23" s="55" t="n"/>
      <c r="F23" s="55" t="n"/>
      <c r="G23">
        <f>IF(B23="","",IFERROR(INDEX(Equipamentos!$N$2:$N$201,MATCH(B23,Equipamentos!$A$2:$A$201,0)),""))</f>
        <v/>
      </c>
      <c r="H23">
        <f>IF(B23="","",IFERROR(INDEX(Equipamentos!$L$2:$L$201,MATCH(B23,Equipamentos!$A$2:$A$201,0)),""))</f>
        <v/>
      </c>
      <c r="I23" s="57">
        <f>IF(OR(A23="",B23=""),"",IFERROR(INDEX(Equipamentos!$J$2:$J$201,MATCH(1,INDEX((Equipamentos!$A$2:$A$201=B23)*(Equipamentos!$P$2:$P$201=A23),0),0)),""))</f>
        <v/>
      </c>
    </row>
    <row r="24">
      <c r="A24" s="54" t="n"/>
      <c r="B24" s="55" t="n"/>
      <c r="C24" s="56">
        <f>IF(OR(A24="",B24=""),"",IF(COUNTIF(Equipamentos!$A$2:$A$201,B24)=0,"tag não encontrada",IFERROR(INDEX(Equipamentos!$H$2:$H$201,MATCH(1,INDEX((Equipamentos!$A$2:$A$201=B24)*(Equipamentos!$P$2:$P$201=A24),0),0)),"confira a data")))</f>
        <v/>
      </c>
      <c r="D24">
        <f>IF(B24="","",IFERROR(INDEX(Equipamentos!$C$2:$C$201,MATCH(B24,Equipamentos!$A$2:$A$201,0)),""))</f>
        <v/>
      </c>
      <c r="E24" s="55" t="n"/>
      <c r="F24" s="55" t="n"/>
      <c r="G24">
        <f>IF(B24="","",IFERROR(INDEX(Equipamentos!$N$2:$N$201,MATCH(B24,Equipamentos!$A$2:$A$201,0)),""))</f>
        <v/>
      </c>
      <c r="H24">
        <f>IF(B24="","",IFERROR(INDEX(Equipamentos!$L$2:$L$201,MATCH(B24,Equipamentos!$A$2:$A$201,0)),""))</f>
        <v/>
      </c>
      <c r="I24" s="57">
        <f>IF(OR(A24="",B24=""),"",IFERROR(INDEX(Equipamentos!$J$2:$J$201,MATCH(1,INDEX((Equipamentos!$A$2:$A$201=B24)*(Equipamentos!$P$2:$P$201=A24),0),0)),""))</f>
        <v/>
      </c>
    </row>
    <row r="25">
      <c r="A25" s="54" t="n"/>
      <c r="B25" s="55" t="n"/>
      <c r="C25" s="56">
        <f>IF(OR(A25="",B25=""),"",IF(COUNTIF(Equipamentos!$A$2:$A$201,B25)=0,"tag não encontrada",IFERROR(INDEX(Equipamentos!$H$2:$H$201,MATCH(1,INDEX((Equipamentos!$A$2:$A$201=B25)*(Equipamentos!$P$2:$P$201=A25),0),0)),"confira a data")))</f>
        <v/>
      </c>
      <c r="D25">
        <f>IF(B25="","",IFERROR(INDEX(Equipamentos!$C$2:$C$201,MATCH(B25,Equipamentos!$A$2:$A$201,0)),""))</f>
        <v/>
      </c>
      <c r="E25" s="55" t="n"/>
      <c r="F25" s="55" t="n"/>
      <c r="G25">
        <f>IF(B25="","",IFERROR(INDEX(Equipamentos!$N$2:$N$201,MATCH(B25,Equipamentos!$A$2:$A$201,0)),""))</f>
        <v/>
      </c>
      <c r="H25">
        <f>IF(B25="","",IFERROR(INDEX(Equipamentos!$L$2:$L$201,MATCH(B25,Equipamentos!$A$2:$A$201,0)),""))</f>
        <v/>
      </c>
      <c r="I25" s="57">
        <f>IF(OR(A25="",B25=""),"",IFERROR(INDEX(Equipamentos!$J$2:$J$201,MATCH(1,INDEX((Equipamentos!$A$2:$A$201=B25)*(Equipamentos!$P$2:$P$201=A25),0),0)),""))</f>
        <v/>
      </c>
    </row>
    <row r="26">
      <c r="A26" s="54" t="n"/>
      <c r="B26" s="55" t="n"/>
      <c r="C26" s="56">
        <f>IF(OR(A26="",B26=""),"",IF(COUNTIF(Equipamentos!$A$2:$A$201,B26)=0,"tag não encontrada",IFERROR(INDEX(Equipamentos!$H$2:$H$201,MATCH(1,INDEX((Equipamentos!$A$2:$A$201=B26)*(Equipamentos!$P$2:$P$201=A26),0),0)),"confira a data")))</f>
        <v/>
      </c>
      <c r="D26">
        <f>IF(B26="","",IFERROR(INDEX(Equipamentos!$C$2:$C$201,MATCH(B26,Equipamentos!$A$2:$A$201,0)),""))</f>
        <v/>
      </c>
      <c r="E26" s="55" t="n"/>
      <c r="F26" s="55" t="n"/>
      <c r="G26">
        <f>IF(B26="","",IFERROR(INDEX(Equipamentos!$N$2:$N$201,MATCH(B26,Equipamentos!$A$2:$A$201,0)),""))</f>
        <v/>
      </c>
      <c r="H26">
        <f>IF(B26="","",IFERROR(INDEX(Equipamentos!$L$2:$L$201,MATCH(B26,Equipamentos!$A$2:$A$201,0)),""))</f>
        <v/>
      </c>
      <c r="I26" s="57">
        <f>IF(OR(A26="",B26=""),"",IFERROR(INDEX(Equipamentos!$J$2:$J$201,MATCH(1,INDEX((Equipamentos!$A$2:$A$201=B26)*(Equipamentos!$P$2:$P$201=A26),0),0)),""))</f>
        <v/>
      </c>
    </row>
    <row r="27">
      <c r="A27" s="54" t="n"/>
      <c r="B27" s="55" t="n"/>
      <c r="C27" s="56">
        <f>IF(OR(A27="",B27=""),"",IF(COUNTIF(Equipamentos!$A$2:$A$201,B27)=0,"tag não encontrada",IFERROR(INDEX(Equipamentos!$H$2:$H$201,MATCH(1,INDEX((Equipamentos!$A$2:$A$201=B27)*(Equipamentos!$P$2:$P$201=A27),0),0)),"confira a data")))</f>
        <v/>
      </c>
      <c r="D27">
        <f>IF(B27="","",IFERROR(INDEX(Equipamentos!$C$2:$C$201,MATCH(B27,Equipamentos!$A$2:$A$201,0)),""))</f>
        <v/>
      </c>
      <c r="E27" s="55" t="n"/>
      <c r="F27" s="55" t="n"/>
      <c r="G27">
        <f>IF(B27="","",IFERROR(INDEX(Equipamentos!$N$2:$N$201,MATCH(B27,Equipamentos!$A$2:$A$201,0)),""))</f>
        <v/>
      </c>
      <c r="H27">
        <f>IF(B27="","",IFERROR(INDEX(Equipamentos!$L$2:$L$201,MATCH(B27,Equipamentos!$A$2:$A$201,0)),""))</f>
        <v/>
      </c>
      <c r="I27" s="57">
        <f>IF(OR(A27="",B27=""),"",IFERROR(INDEX(Equipamentos!$J$2:$J$201,MATCH(1,INDEX((Equipamentos!$A$2:$A$201=B27)*(Equipamentos!$P$2:$P$201=A27),0),0)),""))</f>
        <v/>
      </c>
    </row>
    <row r="28">
      <c r="A28" s="54" t="n"/>
      <c r="B28" s="55" t="n"/>
      <c r="C28" s="56">
        <f>IF(OR(A28="",B28=""),"",IF(COUNTIF(Equipamentos!$A$2:$A$201,B28)=0,"tag não encontrada",IFERROR(INDEX(Equipamentos!$H$2:$H$201,MATCH(1,INDEX((Equipamentos!$A$2:$A$201=B28)*(Equipamentos!$P$2:$P$201=A28),0),0)),"confira a data")))</f>
        <v/>
      </c>
      <c r="D28">
        <f>IF(B28="","",IFERROR(INDEX(Equipamentos!$C$2:$C$201,MATCH(B28,Equipamentos!$A$2:$A$201,0)),""))</f>
        <v/>
      </c>
      <c r="E28" s="55" t="n"/>
      <c r="F28" s="55" t="n"/>
      <c r="G28">
        <f>IF(B28="","",IFERROR(INDEX(Equipamentos!$N$2:$N$201,MATCH(B28,Equipamentos!$A$2:$A$201,0)),""))</f>
        <v/>
      </c>
      <c r="H28">
        <f>IF(B28="","",IFERROR(INDEX(Equipamentos!$L$2:$L$201,MATCH(B28,Equipamentos!$A$2:$A$201,0)),""))</f>
        <v/>
      </c>
      <c r="I28" s="57">
        <f>IF(OR(A28="",B28=""),"",IFERROR(INDEX(Equipamentos!$J$2:$J$201,MATCH(1,INDEX((Equipamentos!$A$2:$A$201=B28)*(Equipamentos!$P$2:$P$201=A28),0),0)),""))</f>
        <v/>
      </c>
    </row>
    <row r="29">
      <c r="A29" s="54" t="n"/>
      <c r="B29" s="55" t="n"/>
      <c r="C29" s="56">
        <f>IF(OR(A29="",B29=""),"",IF(COUNTIF(Equipamentos!$A$2:$A$201,B29)=0,"tag não encontrada",IFERROR(INDEX(Equipamentos!$H$2:$H$201,MATCH(1,INDEX((Equipamentos!$A$2:$A$201=B29)*(Equipamentos!$P$2:$P$201=A29),0),0)),"confira a data")))</f>
        <v/>
      </c>
      <c r="D29">
        <f>IF(B29="","",IFERROR(INDEX(Equipamentos!$C$2:$C$201,MATCH(B29,Equipamentos!$A$2:$A$201,0)),""))</f>
        <v/>
      </c>
      <c r="E29" s="55" t="n"/>
      <c r="F29" s="55" t="n"/>
      <c r="G29">
        <f>IF(B29="","",IFERROR(INDEX(Equipamentos!$N$2:$N$201,MATCH(B29,Equipamentos!$A$2:$A$201,0)),""))</f>
        <v/>
      </c>
      <c r="H29">
        <f>IF(B29="","",IFERROR(INDEX(Equipamentos!$L$2:$L$201,MATCH(B29,Equipamentos!$A$2:$A$201,0)),""))</f>
        <v/>
      </c>
      <c r="I29" s="57">
        <f>IF(OR(A29="",B29=""),"",IFERROR(INDEX(Equipamentos!$J$2:$J$201,MATCH(1,INDEX((Equipamentos!$A$2:$A$201=B29)*(Equipamentos!$P$2:$P$201=A29),0),0)),""))</f>
        <v/>
      </c>
    </row>
    <row r="30">
      <c r="A30" s="54" t="n"/>
      <c r="B30" s="55" t="n"/>
      <c r="C30" s="56">
        <f>IF(OR(A30="",B30=""),"",IF(COUNTIF(Equipamentos!$A$2:$A$201,B30)=0,"tag não encontrada",IFERROR(INDEX(Equipamentos!$H$2:$H$201,MATCH(1,INDEX((Equipamentos!$A$2:$A$201=B30)*(Equipamentos!$P$2:$P$201=A30),0),0)),"confira a data")))</f>
        <v/>
      </c>
      <c r="D30">
        <f>IF(B30="","",IFERROR(INDEX(Equipamentos!$C$2:$C$201,MATCH(B30,Equipamentos!$A$2:$A$201,0)),""))</f>
        <v/>
      </c>
      <c r="E30" s="55" t="n"/>
      <c r="F30" s="55" t="n"/>
      <c r="G30">
        <f>IF(B30="","",IFERROR(INDEX(Equipamentos!$N$2:$N$201,MATCH(B30,Equipamentos!$A$2:$A$201,0)),""))</f>
        <v/>
      </c>
      <c r="H30">
        <f>IF(B30="","",IFERROR(INDEX(Equipamentos!$L$2:$L$201,MATCH(B30,Equipamentos!$A$2:$A$201,0)),""))</f>
        <v/>
      </c>
      <c r="I30" s="57">
        <f>IF(OR(A30="",B30=""),"",IFERROR(INDEX(Equipamentos!$J$2:$J$201,MATCH(1,INDEX((Equipamentos!$A$2:$A$201=B30)*(Equipamentos!$P$2:$P$201=A30),0),0)),""))</f>
        <v/>
      </c>
    </row>
    <row r="31">
      <c r="A31" s="54" t="n"/>
      <c r="B31" s="55" t="n"/>
      <c r="C31" s="56">
        <f>IF(OR(A31="",B31=""),"",IF(COUNTIF(Equipamentos!$A$2:$A$201,B31)=0,"tag não encontrada",IFERROR(INDEX(Equipamentos!$H$2:$H$201,MATCH(1,INDEX((Equipamentos!$A$2:$A$201=B31)*(Equipamentos!$P$2:$P$201=A31),0),0)),"confira a data")))</f>
        <v/>
      </c>
      <c r="D31">
        <f>IF(B31="","",IFERROR(INDEX(Equipamentos!$C$2:$C$201,MATCH(B31,Equipamentos!$A$2:$A$201,0)),""))</f>
        <v/>
      </c>
      <c r="E31" s="55" t="n"/>
      <c r="F31" s="55" t="n"/>
      <c r="G31">
        <f>IF(B31="","",IFERROR(INDEX(Equipamentos!$N$2:$N$201,MATCH(B31,Equipamentos!$A$2:$A$201,0)),""))</f>
        <v/>
      </c>
      <c r="H31">
        <f>IF(B31="","",IFERROR(INDEX(Equipamentos!$L$2:$L$201,MATCH(B31,Equipamentos!$A$2:$A$201,0)),""))</f>
        <v/>
      </c>
      <c r="I31" s="57">
        <f>IF(OR(A31="",B31=""),"",IFERROR(INDEX(Equipamentos!$J$2:$J$201,MATCH(1,INDEX((Equipamentos!$A$2:$A$201=B31)*(Equipamentos!$P$2:$P$201=A31),0),0)),""))</f>
        <v/>
      </c>
    </row>
    <row r="32">
      <c r="A32" s="54" t="n"/>
      <c r="B32" s="55" t="n"/>
      <c r="C32" s="56">
        <f>IF(OR(A32="",B32=""),"",IF(COUNTIF(Equipamentos!$A$2:$A$201,B32)=0,"tag não encontrada",IFERROR(INDEX(Equipamentos!$H$2:$H$201,MATCH(1,INDEX((Equipamentos!$A$2:$A$201=B32)*(Equipamentos!$P$2:$P$201=A32),0),0)),"confira a data")))</f>
        <v/>
      </c>
      <c r="D32">
        <f>IF(B32="","",IFERROR(INDEX(Equipamentos!$C$2:$C$201,MATCH(B32,Equipamentos!$A$2:$A$201,0)),""))</f>
        <v/>
      </c>
      <c r="E32" s="55" t="n"/>
      <c r="F32" s="55" t="n"/>
      <c r="G32">
        <f>IF(B32="","",IFERROR(INDEX(Equipamentos!$N$2:$N$201,MATCH(B32,Equipamentos!$A$2:$A$201,0)),""))</f>
        <v/>
      </c>
      <c r="H32">
        <f>IF(B32="","",IFERROR(INDEX(Equipamentos!$L$2:$L$201,MATCH(B32,Equipamentos!$A$2:$A$201,0)),""))</f>
        <v/>
      </c>
      <c r="I32" s="57">
        <f>IF(OR(A32="",B32=""),"",IFERROR(INDEX(Equipamentos!$J$2:$J$201,MATCH(1,INDEX((Equipamentos!$A$2:$A$201=B32)*(Equipamentos!$P$2:$P$201=A32),0),0)),""))</f>
        <v/>
      </c>
    </row>
    <row r="33">
      <c r="A33" s="54" t="n"/>
      <c r="B33" s="55" t="n"/>
      <c r="C33" s="56">
        <f>IF(OR(A33="",B33=""),"",IF(COUNTIF(Equipamentos!$A$2:$A$201,B33)=0,"tag não encontrada",IFERROR(INDEX(Equipamentos!$H$2:$H$201,MATCH(1,INDEX((Equipamentos!$A$2:$A$201=B33)*(Equipamentos!$P$2:$P$201=A33),0),0)),"confira a data")))</f>
        <v/>
      </c>
      <c r="D33">
        <f>IF(B33="","",IFERROR(INDEX(Equipamentos!$C$2:$C$201,MATCH(B33,Equipamentos!$A$2:$A$201,0)),""))</f>
        <v/>
      </c>
      <c r="E33" s="55" t="n"/>
      <c r="F33" s="55" t="n"/>
      <c r="G33">
        <f>IF(B33="","",IFERROR(INDEX(Equipamentos!$N$2:$N$201,MATCH(B33,Equipamentos!$A$2:$A$201,0)),""))</f>
        <v/>
      </c>
      <c r="H33">
        <f>IF(B33="","",IFERROR(INDEX(Equipamentos!$L$2:$L$201,MATCH(B33,Equipamentos!$A$2:$A$201,0)),""))</f>
        <v/>
      </c>
      <c r="I33" s="57">
        <f>IF(OR(A33="",B33=""),"",IFERROR(INDEX(Equipamentos!$J$2:$J$201,MATCH(1,INDEX((Equipamentos!$A$2:$A$201=B33)*(Equipamentos!$P$2:$P$201=A33),0),0)),""))</f>
        <v/>
      </c>
    </row>
    <row r="34">
      <c r="A34" s="54" t="n"/>
      <c r="B34" s="55" t="n"/>
      <c r="C34" s="56">
        <f>IF(OR(A34="",B34=""),"",IF(COUNTIF(Equipamentos!$A$2:$A$201,B34)=0,"tag não encontrada",IFERROR(INDEX(Equipamentos!$H$2:$H$201,MATCH(1,INDEX((Equipamentos!$A$2:$A$201=B34)*(Equipamentos!$P$2:$P$201=A34),0),0)),"confira a data")))</f>
        <v/>
      </c>
      <c r="D34">
        <f>IF(B34="","",IFERROR(INDEX(Equipamentos!$C$2:$C$201,MATCH(B34,Equipamentos!$A$2:$A$201,0)),""))</f>
        <v/>
      </c>
      <c r="E34" s="55" t="n"/>
      <c r="F34" s="55" t="n"/>
      <c r="G34">
        <f>IF(B34="","",IFERROR(INDEX(Equipamentos!$N$2:$N$201,MATCH(B34,Equipamentos!$A$2:$A$201,0)),""))</f>
        <v/>
      </c>
      <c r="H34">
        <f>IF(B34="","",IFERROR(INDEX(Equipamentos!$L$2:$L$201,MATCH(B34,Equipamentos!$A$2:$A$201,0)),""))</f>
        <v/>
      </c>
      <c r="I34" s="57">
        <f>IF(OR(A34="",B34=""),"",IFERROR(INDEX(Equipamentos!$J$2:$J$201,MATCH(1,INDEX((Equipamentos!$A$2:$A$201=B34)*(Equipamentos!$P$2:$P$201=A34),0),0)),""))</f>
        <v/>
      </c>
    </row>
    <row r="35">
      <c r="A35" s="54" t="n"/>
      <c r="B35" s="55" t="n"/>
      <c r="C35" s="56">
        <f>IF(OR(A35="",B35=""),"",IF(COUNTIF(Equipamentos!$A$2:$A$201,B35)=0,"tag não encontrada",IFERROR(INDEX(Equipamentos!$H$2:$H$201,MATCH(1,INDEX((Equipamentos!$A$2:$A$201=B35)*(Equipamentos!$P$2:$P$201=A35),0),0)),"confira a data")))</f>
        <v/>
      </c>
      <c r="D35">
        <f>IF(B35="","",IFERROR(INDEX(Equipamentos!$C$2:$C$201,MATCH(B35,Equipamentos!$A$2:$A$201,0)),""))</f>
        <v/>
      </c>
      <c r="E35" s="55" t="n"/>
      <c r="F35" s="55" t="n"/>
      <c r="G35">
        <f>IF(B35="","",IFERROR(INDEX(Equipamentos!$N$2:$N$201,MATCH(B35,Equipamentos!$A$2:$A$201,0)),""))</f>
        <v/>
      </c>
      <c r="H35">
        <f>IF(B35="","",IFERROR(INDEX(Equipamentos!$L$2:$L$201,MATCH(B35,Equipamentos!$A$2:$A$201,0)),""))</f>
        <v/>
      </c>
      <c r="I35" s="57">
        <f>IF(OR(A35="",B35=""),"",IFERROR(INDEX(Equipamentos!$J$2:$J$201,MATCH(1,INDEX((Equipamentos!$A$2:$A$201=B35)*(Equipamentos!$P$2:$P$201=A35),0),0)),""))</f>
        <v/>
      </c>
    </row>
    <row r="36">
      <c r="A36" s="54" t="n"/>
      <c r="B36" s="55" t="n"/>
      <c r="C36" s="56">
        <f>IF(OR(A36="",B36=""),"",IF(COUNTIF(Equipamentos!$A$2:$A$201,B36)=0,"tag não encontrada",IFERROR(INDEX(Equipamentos!$H$2:$H$201,MATCH(1,INDEX((Equipamentos!$A$2:$A$201=B36)*(Equipamentos!$P$2:$P$201=A36),0),0)),"confira a data")))</f>
        <v/>
      </c>
      <c r="D36">
        <f>IF(B36="","",IFERROR(INDEX(Equipamentos!$C$2:$C$201,MATCH(B36,Equipamentos!$A$2:$A$201,0)),""))</f>
        <v/>
      </c>
      <c r="E36" s="55" t="n"/>
      <c r="F36" s="55" t="n"/>
      <c r="G36">
        <f>IF(B36="","",IFERROR(INDEX(Equipamentos!$N$2:$N$201,MATCH(B36,Equipamentos!$A$2:$A$201,0)),""))</f>
        <v/>
      </c>
      <c r="H36">
        <f>IF(B36="","",IFERROR(INDEX(Equipamentos!$L$2:$L$201,MATCH(B36,Equipamentos!$A$2:$A$201,0)),""))</f>
        <v/>
      </c>
      <c r="I36" s="57">
        <f>IF(OR(A36="",B36=""),"",IFERROR(INDEX(Equipamentos!$J$2:$J$201,MATCH(1,INDEX((Equipamentos!$A$2:$A$201=B36)*(Equipamentos!$P$2:$P$201=A36),0),0)),""))</f>
        <v/>
      </c>
    </row>
    <row r="37">
      <c r="A37" s="54" t="n"/>
      <c r="B37" s="55" t="n"/>
      <c r="C37" s="56">
        <f>IF(OR(A37="",B37=""),"",IF(COUNTIF(Equipamentos!$A$2:$A$201,B37)=0,"tag não encontrada",IFERROR(INDEX(Equipamentos!$H$2:$H$201,MATCH(1,INDEX((Equipamentos!$A$2:$A$201=B37)*(Equipamentos!$P$2:$P$201=A37),0),0)),"confira a data")))</f>
        <v/>
      </c>
      <c r="D37">
        <f>IF(B37="","",IFERROR(INDEX(Equipamentos!$C$2:$C$201,MATCH(B37,Equipamentos!$A$2:$A$201,0)),""))</f>
        <v/>
      </c>
      <c r="E37" s="55" t="n"/>
      <c r="F37" s="55" t="n"/>
      <c r="G37">
        <f>IF(B37="","",IFERROR(INDEX(Equipamentos!$N$2:$N$201,MATCH(B37,Equipamentos!$A$2:$A$201,0)),""))</f>
        <v/>
      </c>
      <c r="H37">
        <f>IF(B37="","",IFERROR(INDEX(Equipamentos!$L$2:$L$201,MATCH(B37,Equipamentos!$A$2:$A$201,0)),""))</f>
        <v/>
      </c>
      <c r="I37" s="57">
        <f>IF(OR(A37="",B37=""),"",IFERROR(INDEX(Equipamentos!$J$2:$J$201,MATCH(1,INDEX((Equipamentos!$A$2:$A$201=B37)*(Equipamentos!$P$2:$P$201=A37),0),0)),""))</f>
        <v/>
      </c>
    </row>
    <row r="38">
      <c r="A38" s="54" t="n"/>
      <c r="B38" s="55" t="n"/>
      <c r="C38" s="56">
        <f>IF(OR(A38="",B38=""),"",IF(COUNTIF(Equipamentos!$A$2:$A$201,B38)=0,"tag não encontrada",IFERROR(INDEX(Equipamentos!$H$2:$H$201,MATCH(1,INDEX((Equipamentos!$A$2:$A$201=B38)*(Equipamentos!$P$2:$P$201=A38),0),0)),"confira a data")))</f>
        <v/>
      </c>
      <c r="D38">
        <f>IF(B38="","",IFERROR(INDEX(Equipamentos!$C$2:$C$201,MATCH(B38,Equipamentos!$A$2:$A$201,0)),""))</f>
        <v/>
      </c>
      <c r="E38" s="55" t="n"/>
      <c r="F38" s="55" t="n"/>
      <c r="G38">
        <f>IF(B38="","",IFERROR(INDEX(Equipamentos!$N$2:$N$201,MATCH(B38,Equipamentos!$A$2:$A$201,0)),""))</f>
        <v/>
      </c>
      <c r="H38">
        <f>IF(B38="","",IFERROR(INDEX(Equipamentos!$L$2:$L$201,MATCH(B38,Equipamentos!$A$2:$A$201,0)),""))</f>
        <v/>
      </c>
      <c r="I38" s="57">
        <f>IF(OR(A38="",B38=""),"",IFERROR(INDEX(Equipamentos!$J$2:$J$201,MATCH(1,INDEX((Equipamentos!$A$2:$A$201=B38)*(Equipamentos!$P$2:$P$201=A38),0),0)),""))</f>
        <v/>
      </c>
    </row>
    <row r="39">
      <c r="A39" s="54" t="n"/>
      <c r="B39" s="55" t="n"/>
      <c r="C39" s="56">
        <f>IF(OR(A39="",B39=""),"",IF(COUNTIF(Equipamentos!$A$2:$A$201,B39)=0,"tag não encontrada",IFERROR(INDEX(Equipamentos!$H$2:$H$201,MATCH(1,INDEX((Equipamentos!$A$2:$A$201=B39)*(Equipamentos!$P$2:$P$201=A39),0),0)),"confira a data")))</f>
        <v/>
      </c>
      <c r="D39">
        <f>IF(B39="","",IFERROR(INDEX(Equipamentos!$C$2:$C$201,MATCH(B39,Equipamentos!$A$2:$A$201,0)),""))</f>
        <v/>
      </c>
      <c r="E39" s="55" t="n"/>
      <c r="F39" s="55" t="n"/>
      <c r="G39">
        <f>IF(B39="","",IFERROR(INDEX(Equipamentos!$N$2:$N$201,MATCH(B39,Equipamentos!$A$2:$A$201,0)),""))</f>
        <v/>
      </c>
      <c r="H39">
        <f>IF(B39="","",IFERROR(INDEX(Equipamentos!$L$2:$L$201,MATCH(B39,Equipamentos!$A$2:$A$201,0)),""))</f>
        <v/>
      </c>
      <c r="I39" s="57">
        <f>IF(OR(A39="",B39=""),"",IFERROR(INDEX(Equipamentos!$J$2:$J$201,MATCH(1,INDEX((Equipamentos!$A$2:$A$201=B39)*(Equipamentos!$P$2:$P$201=A39),0),0)),""))</f>
        <v/>
      </c>
    </row>
    <row r="40">
      <c r="A40" s="54" t="n"/>
      <c r="B40" s="55" t="n"/>
      <c r="C40" s="56">
        <f>IF(OR(A40="",B40=""),"",IF(COUNTIF(Equipamentos!$A$2:$A$201,B40)=0,"tag não encontrada",IFERROR(INDEX(Equipamentos!$H$2:$H$201,MATCH(1,INDEX((Equipamentos!$A$2:$A$201=B40)*(Equipamentos!$P$2:$P$201=A40),0),0)),"confira a data")))</f>
        <v/>
      </c>
      <c r="D40">
        <f>IF(B40="","",IFERROR(INDEX(Equipamentos!$C$2:$C$201,MATCH(B40,Equipamentos!$A$2:$A$201,0)),""))</f>
        <v/>
      </c>
      <c r="E40" s="55" t="n"/>
      <c r="F40" s="55" t="n"/>
      <c r="G40">
        <f>IF(B40="","",IFERROR(INDEX(Equipamentos!$N$2:$N$201,MATCH(B40,Equipamentos!$A$2:$A$201,0)),""))</f>
        <v/>
      </c>
      <c r="H40">
        <f>IF(B40="","",IFERROR(INDEX(Equipamentos!$L$2:$L$201,MATCH(B40,Equipamentos!$A$2:$A$201,0)),""))</f>
        <v/>
      </c>
      <c r="I40" s="57">
        <f>IF(OR(A40="",B40=""),"",IFERROR(INDEX(Equipamentos!$J$2:$J$201,MATCH(1,INDEX((Equipamentos!$A$2:$A$201=B40)*(Equipamentos!$P$2:$P$201=A40),0),0)),""))</f>
        <v/>
      </c>
    </row>
    <row r="41">
      <c r="A41" s="54" t="n"/>
      <c r="B41" s="55" t="n"/>
      <c r="C41" s="56">
        <f>IF(OR(A41="",B41=""),"",IF(COUNTIF(Equipamentos!$A$2:$A$201,B41)=0,"tag não encontrada",IFERROR(INDEX(Equipamentos!$H$2:$H$201,MATCH(1,INDEX((Equipamentos!$A$2:$A$201=B41)*(Equipamentos!$P$2:$P$201=A41),0),0)),"confira a data")))</f>
        <v/>
      </c>
      <c r="D41">
        <f>IF(B41="","",IFERROR(INDEX(Equipamentos!$C$2:$C$201,MATCH(B41,Equipamentos!$A$2:$A$201,0)),""))</f>
        <v/>
      </c>
      <c r="E41" s="55" t="n"/>
      <c r="F41" s="55" t="n"/>
      <c r="G41">
        <f>IF(B41="","",IFERROR(INDEX(Equipamentos!$N$2:$N$201,MATCH(B41,Equipamentos!$A$2:$A$201,0)),""))</f>
        <v/>
      </c>
      <c r="H41">
        <f>IF(B41="","",IFERROR(INDEX(Equipamentos!$L$2:$L$201,MATCH(B41,Equipamentos!$A$2:$A$201,0)),""))</f>
        <v/>
      </c>
      <c r="I41" s="57">
        <f>IF(OR(A41="",B41=""),"",IFERROR(INDEX(Equipamentos!$J$2:$J$201,MATCH(1,INDEX((Equipamentos!$A$2:$A$201=B41)*(Equipamentos!$P$2:$P$201=A41),0),0)),""))</f>
        <v/>
      </c>
    </row>
    <row r="42">
      <c r="A42" s="54" t="n"/>
      <c r="B42" s="55" t="n"/>
      <c r="C42" s="56">
        <f>IF(OR(A42="",B42=""),"",IF(COUNTIF(Equipamentos!$A$2:$A$201,B42)=0,"tag não encontrada",IFERROR(INDEX(Equipamentos!$H$2:$H$201,MATCH(1,INDEX((Equipamentos!$A$2:$A$201=B42)*(Equipamentos!$P$2:$P$201=A42),0),0)),"confira a data")))</f>
        <v/>
      </c>
      <c r="D42">
        <f>IF(B42="","",IFERROR(INDEX(Equipamentos!$C$2:$C$201,MATCH(B42,Equipamentos!$A$2:$A$201,0)),""))</f>
        <v/>
      </c>
      <c r="E42" s="55" t="n"/>
      <c r="F42" s="55" t="n"/>
      <c r="G42">
        <f>IF(B42="","",IFERROR(INDEX(Equipamentos!$N$2:$N$201,MATCH(B42,Equipamentos!$A$2:$A$201,0)),""))</f>
        <v/>
      </c>
      <c r="H42">
        <f>IF(B42="","",IFERROR(INDEX(Equipamentos!$L$2:$L$201,MATCH(B42,Equipamentos!$A$2:$A$201,0)),""))</f>
        <v/>
      </c>
      <c r="I42" s="57">
        <f>IF(OR(A42="",B42=""),"",IFERROR(INDEX(Equipamentos!$J$2:$J$201,MATCH(1,INDEX((Equipamentos!$A$2:$A$201=B42)*(Equipamentos!$P$2:$P$201=A42),0),0)),""))</f>
        <v/>
      </c>
    </row>
    <row r="43">
      <c r="A43" s="54" t="n"/>
      <c r="B43" s="55" t="n"/>
      <c r="C43" s="56">
        <f>IF(OR(A43="",B43=""),"",IF(COUNTIF(Equipamentos!$A$2:$A$201,B43)=0,"tag não encontrada",IFERROR(INDEX(Equipamentos!$H$2:$H$201,MATCH(1,INDEX((Equipamentos!$A$2:$A$201=B43)*(Equipamentos!$P$2:$P$201=A43),0),0)),"confira a data")))</f>
        <v/>
      </c>
      <c r="D43">
        <f>IF(B43="","",IFERROR(INDEX(Equipamentos!$C$2:$C$201,MATCH(B43,Equipamentos!$A$2:$A$201,0)),""))</f>
        <v/>
      </c>
      <c r="E43" s="55" t="n"/>
      <c r="F43" s="55" t="n"/>
      <c r="G43">
        <f>IF(B43="","",IFERROR(INDEX(Equipamentos!$N$2:$N$201,MATCH(B43,Equipamentos!$A$2:$A$201,0)),""))</f>
        <v/>
      </c>
      <c r="H43">
        <f>IF(B43="","",IFERROR(INDEX(Equipamentos!$L$2:$L$201,MATCH(B43,Equipamentos!$A$2:$A$201,0)),""))</f>
        <v/>
      </c>
      <c r="I43" s="57">
        <f>IF(OR(A43="",B43=""),"",IFERROR(INDEX(Equipamentos!$J$2:$J$201,MATCH(1,INDEX((Equipamentos!$A$2:$A$201=B43)*(Equipamentos!$P$2:$P$201=A43),0),0)),""))</f>
        <v/>
      </c>
    </row>
    <row r="44">
      <c r="A44" s="54" t="n"/>
      <c r="B44" s="55" t="n"/>
      <c r="C44" s="56">
        <f>IF(OR(A44="",B44=""),"",IF(COUNTIF(Equipamentos!$A$2:$A$201,B44)=0,"tag não encontrada",IFERROR(INDEX(Equipamentos!$H$2:$H$201,MATCH(1,INDEX((Equipamentos!$A$2:$A$201=B44)*(Equipamentos!$P$2:$P$201=A44),0),0)),"confira a data")))</f>
        <v/>
      </c>
      <c r="D44">
        <f>IF(B44="","",IFERROR(INDEX(Equipamentos!$C$2:$C$201,MATCH(B44,Equipamentos!$A$2:$A$201,0)),""))</f>
        <v/>
      </c>
      <c r="E44" s="55" t="n"/>
      <c r="F44" s="55" t="n"/>
      <c r="G44">
        <f>IF(B44="","",IFERROR(INDEX(Equipamentos!$N$2:$N$201,MATCH(B44,Equipamentos!$A$2:$A$201,0)),""))</f>
        <v/>
      </c>
      <c r="H44">
        <f>IF(B44="","",IFERROR(INDEX(Equipamentos!$L$2:$L$201,MATCH(B44,Equipamentos!$A$2:$A$201,0)),""))</f>
        <v/>
      </c>
      <c r="I44" s="57">
        <f>IF(OR(A44="",B44=""),"",IFERROR(INDEX(Equipamentos!$J$2:$J$201,MATCH(1,INDEX((Equipamentos!$A$2:$A$201=B44)*(Equipamentos!$P$2:$P$201=A44),0),0)),""))</f>
        <v/>
      </c>
    </row>
    <row r="45">
      <c r="A45" s="54" t="n"/>
      <c r="B45" s="55" t="n"/>
      <c r="C45" s="56">
        <f>IF(OR(A45="",B45=""),"",IF(COUNTIF(Equipamentos!$A$2:$A$201,B45)=0,"tag não encontrada",IFERROR(INDEX(Equipamentos!$H$2:$H$201,MATCH(1,INDEX((Equipamentos!$A$2:$A$201=B45)*(Equipamentos!$P$2:$P$201=A45),0),0)),"confira a data")))</f>
        <v/>
      </c>
      <c r="D45">
        <f>IF(B45="","",IFERROR(INDEX(Equipamentos!$C$2:$C$201,MATCH(B45,Equipamentos!$A$2:$A$201,0)),""))</f>
        <v/>
      </c>
      <c r="E45" s="55" t="n"/>
      <c r="F45" s="55" t="n"/>
      <c r="G45">
        <f>IF(B45="","",IFERROR(INDEX(Equipamentos!$N$2:$N$201,MATCH(B45,Equipamentos!$A$2:$A$201,0)),""))</f>
        <v/>
      </c>
      <c r="H45">
        <f>IF(B45="","",IFERROR(INDEX(Equipamentos!$L$2:$L$201,MATCH(B45,Equipamentos!$A$2:$A$201,0)),""))</f>
        <v/>
      </c>
      <c r="I45" s="57">
        <f>IF(OR(A45="",B45=""),"",IFERROR(INDEX(Equipamentos!$J$2:$J$201,MATCH(1,INDEX((Equipamentos!$A$2:$A$201=B45)*(Equipamentos!$P$2:$P$201=A45),0),0)),""))</f>
        <v/>
      </c>
    </row>
    <row r="46">
      <c r="A46" s="54" t="n"/>
      <c r="B46" s="55" t="n"/>
      <c r="C46" s="56">
        <f>IF(OR(A46="",B46=""),"",IF(COUNTIF(Equipamentos!$A$2:$A$201,B46)=0,"tag não encontrada",IFERROR(INDEX(Equipamentos!$H$2:$H$201,MATCH(1,INDEX((Equipamentos!$A$2:$A$201=B46)*(Equipamentos!$P$2:$P$201=A46),0),0)),"confira a data")))</f>
        <v/>
      </c>
      <c r="D46">
        <f>IF(B46="","",IFERROR(INDEX(Equipamentos!$C$2:$C$201,MATCH(B46,Equipamentos!$A$2:$A$201,0)),""))</f>
        <v/>
      </c>
      <c r="E46" s="55" t="n"/>
      <c r="F46" s="55" t="n"/>
      <c r="G46">
        <f>IF(B46="","",IFERROR(INDEX(Equipamentos!$N$2:$N$201,MATCH(B46,Equipamentos!$A$2:$A$201,0)),""))</f>
        <v/>
      </c>
      <c r="H46">
        <f>IF(B46="","",IFERROR(INDEX(Equipamentos!$L$2:$L$201,MATCH(B46,Equipamentos!$A$2:$A$201,0)),""))</f>
        <v/>
      </c>
      <c r="I46" s="57">
        <f>IF(OR(A46="",B46=""),"",IFERROR(INDEX(Equipamentos!$J$2:$J$201,MATCH(1,INDEX((Equipamentos!$A$2:$A$201=B46)*(Equipamentos!$P$2:$P$201=A46),0),0)),""))</f>
        <v/>
      </c>
    </row>
    <row r="47">
      <c r="A47" s="54" t="n"/>
      <c r="B47" s="55" t="n"/>
      <c r="C47" s="56">
        <f>IF(OR(A47="",B47=""),"",IF(COUNTIF(Equipamentos!$A$2:$A$201,B47)=0,"tag não encontrada",IFERROR(INDEX(Equipamentos!$H$2:$H$201,MATCH(1,INDEX((Equipamentos!$A$2:$A$201=B47)*(Equipamentos!$P$2:$P$201=A47),0),0)),"confira a data")))</f>
        <v/>
      </c>
      <c r="D47">
        <f>IF(B47="","",IFERROR(INDEX(Equipamentos!$C$2:$C$201,MATCH(B47,Equipamentos!$A$2:$A$201,0)),""))</f>
        <v/>
      </c>
      <c r="E47" s="55" t="n"/>
      <c r="F47" s="55" t="n"/>
      <c r="G47">
        <f>IF(B47="","",IFERROR(INDEX(Equipamentos!$N$2:$N$201,MATCH(B47,Equipamentos!$A$2:$A$201,0)),""))</f>
        <v/>
      </c>
      <c r="H47">
        <f>IF(B47="","",IFERROR(INDEX(Equipamentos!$L$2:$L$201,MATCH(B47,Equipamentos!$A$2:$A$201,0)),""))</f>
        <v/>
      </c>
      <c r="I47" s="57">
        <f>IF(OR(A47="",B47=""),"",IFERROR(INDEX(Equipamentos!$J$2:$J$201,MATCH(1,INDEX((Equipamentos!$A$2:$A$201=B47)*(Equipamentos!$P$2:$P$201=A47),0),0)),""))</f>
        <v/>
      </c>
    </row>
    <row r="48">
      <c r="A48" s="54" t="n"/>
      <c r="B48" s="55" t="n"/>
      <c r="C48" s="56">
        <f>IF(OR(A48="",B48=""),"",IF(COUNTIF(Equipamentos!$A$2:$A$201,B48)=0,"tag não encontrada",IFERROR(INDEX(Equipamentos!$H$2:$H$201,MATCH(1,INDEX((Equipamentos!$A$2:$A$201=B48)*(Equipamentos!$P$2:$P$201=A48),0),0)),"confira a data")))</f>
        <v/>
      </c>
      <c r="D48">
        <f>IF(B48="","",IFERROR(INDEX(Equipamentos!$C$2:$C$201,MATCH(B48,Equipamentos!$A$2:$A$201,0)),""))</f>
        <v/>
      </c>
      <c r="E48" s="55" t="n"/>
      <c r="F48" s="55" t="n"/>
      <c r="G48">
        <f>IF(B48="","",IFERROR(INDEX(Equipamentos!$N$2:$N$201,MATCH(B48,Equipamentos!$A$2:$A$201,0)),""))</f>
        <v/>
      </c>
      <c r="H48">
        <f>IF(B48="","",IFERROR(INDEX(Equipamentos!$L$2:$L$201,MATCH(B48,Equipamentos!$A$2:$A$201,0)),""))</f>
        <v/>
      </c>
      <c r="I48" s="57">
        <f>IF(OR(A48="",B48=""),"",IFERROR(INDEX(Equipamentos!$J$2:$J$201,MATCH(1,INDEX((Equipamentos!$A$2:$A$201=B48)*(Equipamentos!$P$2:$P$201=A48),0),0)),""))</f>
        <v/>
      </c>
    </row>
    <row r="49">
      <c r="A49" s="54" t="n"/>
      <c r="B49" s="55" t="n"/>
      <c r="C49" s="56">
        <f>IF(OR(A49="",B49=""),"",IF(COUNTIF(Equipamentos!$A$2:$A$201,B49)=0,"tag não encontrada",IFERROR(INDEX(Equipamentos!$H$2:$H$201,MATCH(1,INDEX((Equipamentos!$A$2:$A$201=B49)*(Equipamentos!$P$2:$P$201=A49),0),0)),"confira a data")))</f>
        <v/>
      </c>
      <c r="D49">
        <f>IF(B49="","",IFERROR(INDEX(Equipamentos!$C$2:$C$201,MATCH(B49,Equipamentos!$A$2:$A$201,0)),""))</f>
        <v/>
      </c>
      <c r="E49" s="55" t="n"/>
      <c r="F49" s="55" t="n"/>
      <c r="G49">
        <f>IF(B49="","",IFERROR(INDEX(Equipamentos!$N$2:$N$201,MATCH(B49,Equipamentos!$A$2:$A$201,0)),""))</f>
        <v/>
      </c>
      <c r="H49">
        <f>IF(B49="","",IFERROR(INDEX(Equipamentos!$L$2:$L$201,MATCH(B49,Equipamentos!$A$2:$A$201,0)),""))</f>
        <v/>
      </c>
      <c r="I49" s="57">
        <f>IF(OR(A49="",B49=""),"",IFERROR(INDEX(Equipamentos!$J$2:$J$201,MATCH(1,INDEX((Equipamentos!$A$2:$A$201=B49)*(Equipamentos!$P$2:$P$201=A49),0),0)),""))</f>
        <v/>
      </c>
    </row>
    <row r="50">
      <c r="A50" s="54" t="n"/>
      <c r="B50" s="55" t="n"/>
      <c r="C50" s="56">
        <f>IF(OR(A50="",B50=""),"",IF(COUNTIF(Equipamentos!$A$2:$A$201,B50)=0,"tag não encontrada",IFERROR(INDEX(Equipamentos!$H$2:$H$201,MATCH(1,INDEX((Equipamentos!$A$2:$A$201=B50)*(Equipamentos!$P$2:$P$201=A50),0),0)),"confira a data")))</f>
        <v/>
      </c>
      <c r="D50">
        <f>IF(B50="","",IFERROR(INDEX(Equipamentos!$C$2:$C$201,MATCH(B50,Equipamentos!$A$2:$A$201,0)),""))</f>
        <v/>
      </c>
      <c r="E50" s="55" t="n"/>
      <c r="F50" s="55" t="n"/>
      <c r="G50">
        <f>IF(B50="","",IFERROR(INDEX(Equipamentos!$N$2:$N$201,MATCH(B50,Equipamentos!$A$2:$A$201,0)),""))</f>
        <v/>
      </c>
      <c r="H50">
        <f>IF(B50="","",IFERROR(INDEX(Equipamentos!$L$2:$L$201,MATCH(B50,Equipamentos!$A$2:$A$201,0)),""))</f>
        <v/>
      </c>
      <c r="I50" s="57">
        <f>IF(OR(A50="",B50=""),"",IFERROR(INDEX(Equipamentos!$J$2:$J$201,MATCH(1,INDEX((Equipamentos!$A$2:$A$201=B50)*(Equipamentos!$P$2:$P$201=A50),0),0)),""))</f>
        <v/>
      </c>
    </row>
    <row r="51">
      <c r="A51" s="54" t="n"/>
      <c r="B51" s="55" t="n"/>
      <c r="C51" s="56">
        <f>IF(OR(A51="",B51=""),"",IF(COUNTIF(Equipamentos!$A$2:$A$201,B51)=0,"tag não encontrada",IFERROR(INDEX(Equipamentos!$H$2:$H$201,MATCH(1,INDEX((Equipamentos!$A$2:$A$201=B51)*(Equipamentos!$P$2:$P$201=A51),0),0)),"confira a data")))</f>
        <v/>
      </c>
      <c r="D51">
        <f>IF(B51="","",IFERROR(INDEX(Equipamentos!$C$2:$C$201,MATCH(B51,Equipamentos!$A$2:$A$201,0)),""))</f>
        <v/>
      </c>
      <c r="E51" s="55" t="n"/>
      <c r="F51" s="55" t="n"/>
      <c r="G51">
        <f>IF(B51="","",IFERROR(INDEX(Equipamentos!$N$2:$N$201,MATCH(B51,Equipamentos!$A$2:$A$201,0)),""))</f>
        <v/>
      </c>
      <c r="H51">
        <f>IF(B51="","",IFERROR(INDEX(Equipamentos!$L$2:$L$201,MATCH(B51,Equipamentos!$A$2:$A$201,0)),""))</f>
        <v/>
      </c>
      <c r="I51" s="57">
        <f>IF(OR(A51="",B51=""),"",IFERROR(INDEX(Equipamentos!$J$2:$J$201,MATCH(1,INDEX((Equipamentos!$A$2:$A$201=B51)*(Equipamentos!$P$2:$P$201=A51),0),0)),""))</f>
        <v/>
      </c>
    </row>
    <row r="52">
      <c r="A52" s="54" t="n"/>
      <c r="B52" s="55" t="n"/>
      <c r="C52" s="56">
        <f>IF(OR(A52="",B52=""),"",IF(COUNTIF(Equipamentos!$A$2:$A$201,B52)=0,"tag não encontrada",IFERROR(INDEX(Equipamentos!$H$2:$H$201,MATCH(1,INDEX((Equipamentos!$A$2:$A$201=B52)*(Equipamentos!$P$2:$P$201=A52),0),0)),"confira a data")))</f>
        <v/>
      </c>
      <c r="D52">
        <f>IF(B52="","",IFERROR(INDEX(Equipamentos!$C$2:$C$201,MATCH(B52,Equipamentos!$A$2:$A$201,0)),""))</f>
        <v/>
      </c>
      <c r="E52" s="55" t="n"/>
      <c r="F52" s="55" t="n"/>
      <c r="G52">
        <f>IF(B52="","",IFERROR(INDEX(Equipamentos!$N$2:$N$201,MATCH(B52,Equipamentos!$A$2:$A$201,0)),""))</f>
        <v/>
      </c>
      <c r="H52">
        <f>IF(B52="","",IFERROR(INDEX(Equipamentos!$L$2:$L$201,MATCH(B52,Equipamentos!$A$2:$A$201,0)),""))</f>
        <v/>
      </c>
      <c r="I52" s="57">
        <f>IF(OR(A52="",B52=""),"",IFERROR(INDEX(Equipamentos!$J$2:$J$201,MATCH(1,INDEX((Equipamentos!$A$2:$A$201=B52)*(Equipamentos!$P$2:$P$201=A52),0),0)),""))</f>
        <v/>
      </c>
    </row>
    <row r="53">
      <c r="A53" s="54" t="n"/>
      <c r="B53" s="55" t="n"/>
      <c r="C53" s="56">
        <f>IF(OR(A53="",B53=""),"",IF(COUNTIF(Equipamentos!$A$2:$A$201,B53)=0,"tag não encontrada",IFERROR(INDEX(Equipamentos!$H$2:$H$201,MATCH(1,INDEX((Equipamentos!$A$2:$A$201=B53)*(Equipamentos!$P$2:$P$201=A53),0),0)),"confira a data")))</f>
        <v/>
      </c>
      <c r="D53">
        <f>IF(B53="","",IFERROR(INDEX(Equipamentos!$C$2:$C$201,MATCH(B53,Equipamentos!$A$2:$A$201,0)),""))</f>
        <v/>
      </c>
      <c r="E53" s="55" t="n"/>
      <c r="F53" s="55" t="n"/>
      <c r="G53">
        <f>IF(B53="","",IFERROR(INDEX(Equipamentos!$N$2:$N$201,MATCH(B53,Equipamentos!$A$2:$A$201,0)),""))</f>
        <v/>
      </c>
      <c r="H53">
        <f>IF(B53="","",IFERROR(INDEX(Equipamentos!$L$2:$L$201,MATCH(B53,Equipamentos!$A$2:$A$201,0)),""))</f>
        <v/>
      </c>
      <c r="I53" s="57">
        <f>IF(OR(A53="",B53=""),"",IFERROR(INDEX(Equipamentos!$J$2:$J$201,MATCH(1,INDEX((Equipamentos!$A$2:$A$201=B53)*(Equipamentos!$P$2:$P$201=A53),0),0)),""))</f>
        <v/>
      </c>
    </row>
    <row r="54">
      <c r="A54" s="54" t="n"/>
      <c r="B54" s="55" t="n"/>
      <c r="C54" s="56">
        <f>IF(OR(A54="",B54=""),"",IF(COUNTIF(Equipamentos!$A$2:$A$201,B54)=0,"tag não encontrada",IFERROR(INDEX(Equipamentos!$H$2:$H$201,MATCH(1,INDEX((Equipamentos!$A$2:$A$201=B54)*(Equipamentos!$P$2:$P$201=A54),0),0)),"confira a data")))</f>
        <v/>
      </c>
      <c r="D54">
        <f>IF(B54="","",IFERROR(INDEX(Equipamentos!$C$2:$C$201,MATCH(B54,Equipamentos!$A$2:$A$201,0)),""))</f>
        <v/>
      </c>
      <c r="E54" s="55" t="n"/>
      <c r="F54" s="55" t="n"/>
      <c r="G54">
        <f>IF(B54="","",IFERROR(INDEX(Equipamentos!$N$2:$N$201,MATCH(B54,Equipamentos!$A$2:$A$201,0)),""))</f>
        <v/>
      </c>
      <c r="H54">
        <f>IF(B54="","",IFERROR(INDEX(Equipamentos!$L$2:$L$201,MATCH(B54,Equipamentos!$A$2:$A$201,0)),""))</f>
        <v/>
      </c>
      <c r="I54" s="57">
        <f>IF(OR(A54="",B54=""),"",IFERROR(INDEX(Equipamentos!$J$2:$J$201,MATCH(1,INDEX((Equipamentos!$A$2:$A$201=B54)*(Equipamentos!$P$2:$P$201=A54),0),0)),""))</f>
        <v/>
      </c>
    </row>
    <row r="55">
      <c r="A55" s="54" t="n"/>
      <c r="B55" s="55" t="n"/>
      <c r="C55" s="56">
        <f>IF(OR(A55="",B55=""),"",IF(COUNTIF(Equipamentos!$A$2:$A$201,B55)=0,"tag não encontrada",IFERROR(INDEX(Equipamentos!$H$2:$H$201,MATCH(1,INDEX((Equipamentos!$A$2:$A$201=B55)*(Equipamentos!$P$2:$P$201=A55),0),0)),"confira a data")))</f>
        <v/>
      </c>
      <c r="D55">
        <f>IF(B55="","",IFERROR(INDEX(Equipamentos!$C$2:$C$201,MATCH(B55,Equipamentos!$A$2:$A$201,0)),""))</f>
        <v/>
      </c>
      <c r="E55" s="55" t="n"/>
      <c r="F55" s="55" t="n"/>
      <c r="G55">
        <f>IF(B55="","",IFERROR(INDEX(Equipamentos!$N$2:$N$201,MATCH(B55,Equipamentos!$A$2:$A$201,0)),""))</f>
        <v/>
      </c>
      <c r="H55">
        <f>IF(B55="","",IFERROR(INDEX(Equipamentos!$L$2:$L$201,MATCH(B55,Equipamentos!$A$2:$A$201,0)),""))</f>
        <v/>
      </c>
      <c r="I55" s="57">
        <f>IF(OR(A55="",B55=""),"",IFERROR(INDEX(Equipamentos!$J$2:$J$201,MATCH(1,INDEX((Equipamentos!$A$2:$A$201=B55)*(Equipamentos!$P$2:$P$201=A55),0),0)),""))</f>
        <v/>
      </c>
    </row>
    <row r="56">
      <c r="A56" s="54" t="n"/>
      <c r="B56" s="55" t="n"/>
      <c r="C56" s="56">
        <f>IF(OR(A56="",B56=""),"",IF(COUNTIF(Equipamentos!$A$2:$A$201,B56)=0,"tag não encontrada",IFERROR(INDEX(Equipamentos!$H$2:$H$201,MATCH(1,INDEX((Equipamentos!$A$2:$A$201=B56)*(Equipamentos!$P$2:$P$201=A56),0),0)),"confira a data")))</f>
        <v/>
      </c>
      <c r="D56">
        <f>IF(B56="","",IFERROR(INDEX(Equipamentos!$C$2:$C$201,MATCH(B56,Equipamentos!$A$2:$A$201,0)),""))</f>
        <v/>
      </c>
      <c r="E56" s="55" t="n"/>
      <c r="F56" s="55" t="n"/>
      <c r="G56">
        <f>IF(B56="","",IFERROR(INDEX(Equipamentos!$N$2:$N$201,MATCH(B56,Equipamentos!$A$2:$A$201,0)),""))</f>
        <v/>
      </c>
      <c r="H56">
        <f>IF(B56="","",IFERROR(INDEX(Equipamentos!$L$2:$L$201,MATCH(B56,Equipamentos!$A$2:$A$201,0)),""))</f>
        <v/>
      </c>
      <c r="I56" s="57">
        <f>IF(OR(A56="",B56=""),"",IFERROR(INDEX(Equipamentos!$J$2:$J$201,MATCH(1,INDEX((Equipamentos!$A$2:$A$201=B56)*(Equipamentos!$P$2:$P$201=A56),0),0)),""))</f>
        <v/>
      </c>
    </row>
    <row r="57">
      <c r="A57" s="54" t="n"/>
      <c r="B57" s="55" t="n"/>
      <c r="C57" s="56">
        <f>IF(OR(A57="",B57=""),"",IF(COUNTIF(Equipamentos!$A$2:$A$201,B57)=0,"tag não encontrada",IFERROR(INDEX(Equipamentos!$H$2:$H$201,MATCH(1,INDEX((Equipamentos!$A$2:$A$201=B57)*(Equipamentos!$P$2:$P$201=A57),0),0)),"confira a data")))</f>
        <v/>
      </c>
      <c r="D57">
        <f>IF(B57="","",IFERROR(INDEX(Equipamentos!$C$2:$C$201,MATCH(B57,Equipamentos!$A$2:$A$201,0)),""))</f>
        <v/>
      </c>
      <c r="E57" s="55" t="n"/>
      <c r="F57" s="55" t="n"/>
      <c r="G57">
        <f>IF(B57="","",IFERROR(INDEX(Equipamentos!$N$2:$N$201,MATCH(B57,Equipamentos!$A$2:$A$201,0)),""))</f>
        <v/>
      </c>
      <c r="H57">
        <f>IF(B57="","",IFERROR(INDEX(Equipamentos!$L$2:$L$201,MATCH(B57,Equipamentos!$A$2:$A$201,0)),""))</f>
        <v/>
      </c>
      <c r="I57" s="57">
        <f>IF(OR(A57="",B57=""),"",IFERROR(INDEX(Equipamentos!$J$2:$J$201,MATCH(1,INDEX((Equipamentos!$A$2:$A$201=B57)*(Equipamentos!$P$2:$P$201=A57),0),0)),""))</f>
        <v/>
      </c>
    </row>
    <row r="58">
      <c r="A58" s="54" t="n"/>
      <c r="B58" s="55" t="n"/>
      <c r="C58" s="56">
        <f>IF(OR(A58="",B58=""),"",IF(COUNTIF(Equipamentos!$A$2:$A$201,B58)=0,"tag não encontrada",IFERROR(INDEX(Equipamentos!$H$2:$H$201,MATCH(1,INDEX((Equipamentos!$A$2:$A$201=B58)*(Equipamentos!$P$2:$P$201=A58),0),0)),"confira a data")))</f>
        <v/>
      </c>
      <c r="D58">
        <f>IF(B58="","",IFERROR(INDEX(Equipamentos!$C$2:$C$201,MATCH(B58,Equipamentos!$A$2:$A$201,0)),""))</f>
        <v/>
      </c>
      <c r="E58" s="55" t="n"/>
      <c r="F58" s="55" t="n"/>
      <c r="G58">
        <f>IF(B58="","",IFERROR(INDEX(Equipamentos!$N$2:$N$201,MATCH(B58,Equipamentos!$A$2:$A$201,0)),""))</f>
        <v/>
      </c>
      <c r="H58">
        <f>IF(B58="","",IFERROR(INDEX(Equipamentos!$L$2:$L$201,MATCH(B58,Equipamentos!$A$2:$A$201,0)),""))</f>
        <v/>
      </c>
      <c r="I58" s="57">
        <f>IF(OR(A58="",B58=""),"",IFERROR(INDEX(Equipamentos!$J$2:$J$201,MATCH(1,INDEX((Equipamentos!$A$2:$A$201=B58)*(Equipamentos!$P$2:$P$201=A58),0),0)),""))</f>
        <v/>
      </c>
    </row>
    <row r="59">
      <c r="A59" s="54" t="n"/>
      <c r="B59" s="55" t="n"/>
      <c r="C59" s="56">
        <f>IF(OR(A59="",B59=""),"",IF(COUNTIF(Equipamentos!$A$2:$A$201,B59)=0,"tag não encontrada",IFERROR(INDEX(Equipamentos!$H$2:$H$201,MATCH(1,INDEX((Equipamentos!$A$2:$A$201=B59)*(Equipamentos!$P$2:$P$201=A59),0),0)),"confira a data")))</f>
        <v/>
      </c>
      <c r="D59">
        <f>IF(B59="","",IFERROR(INDEX(Equipamentos!$C$2:$C$201,MATCH(B59,Equipamentos!$A$2:$A$201,0)),""))</f>
        <v/>
      </c>
      <c r="E59" s="55" t="n"/>
      <c r="F59" s="55" t="n"/>
      <c r="G59">
        <f>IF(B59="","",IFERROR(INDEX(Equipamentos!$N$2:$N$201,MATCH(B59,Equipamentos!$A$2:$A$201,0)),""))</f>
        <v/>
      </c>
      <c r="H59">
        <f>IF(B59="","",IFERROR(INDEX(Equipamentos!$L$2:$L$201,MATCH(B59,Equipamentos!$A$2:$A$201,0)),""))</f>
        <v/>
      </c>
      <c r="I59" s="57">
        <f>IF(OR(A59="",B59=""),"",IFERROR(INDEX(Equipamentos!$J$2:$J$201,MATCH(1,INDEX((Equipamentos!$A$2:$A$201=B59)*(Equipamentos!$P$2:$P$201=A59),0),0)),""))</f>
        <v/>
      </c>
    </row>
    <row r="60">
      <c r="A60" s="54" t="n"/>
      <c r="B60" s="55" t="n"/>
      <c r="C60" s="56">
        <f>IF(OR(A60="",B60=""),"",IF(COUNTIF(Equipamentos!$A$2:$A$201,B60)=0,"tag não encontrada",IFERROR(INDEX(Equipamentos!$H$2:$H$201,MATCH(1,INDEX((Equipamentos!$A$2:$A$201=B60)*(Equipamentos!$P$2:$P$201=A60),0),0)),"confira a data")))</f>
        <v/>
      </c>
      <c r="D60">
        <f>IF(B60="","",IFERROR(INDEX(Equipamentos!$C$2:$C$201,MATCH(B60,Equipamentos!$A$2:$A$201,0)),""))</f>
        <v/>
      </c>
      <c r="E60" s="55" t="n"/>
      <c r="F60" s="55" t="n"/>
      <c r="G60">
        <f>IF(B60="","",IFERROR(INDEX(Equipamentos!$N$2:$N$201,MATCH(B60,Equipamentos!$A$2:$A$201,0)),""))</f>
        <v/>
      </c>
      <c r="H60">
        <f>IF(B60="","",IFERROR(INDEX(Equipamentos!$L$2:$L$201,MATCH(B60,Equipamentos!$A$2:$A$201,0)),""))</f>
        <v/>
      </c>
      <c r="I60" s="57">
        <f>IF(OR(A60="",B60=""),"",IFERROR(INDEX(Equipamentos!$J$2:$J$201,MATCH(1,INDEX((Equipamentos!$A$2:$A$201=B60)*(Equipamentos!$P$2:$P$201=A60),0),0)),""))</f>
        <v/>
      </c>
    </row>
    <row r="61">
      <c r="A61" s="54" t="n"/>
      <c r="B61" s="55" t="n"/>
      <c r="C61" s="56">
        <f>IF(OR(A61="",B61=""),"",IF(COUNTIF(Equipamentos!$A$2:$A$201,B61)=0,"tag não encontrada",IFERROR(INDEX(Equipamentos!$H$2:$H$201,MATCH(1,INDEX((Equipamentos!$A$2:$A$201=B61)*(Equipamentos!$P$2:$P$201=A61),0),0)),"confira a data")))</f>
        <v/>
      </c>
      <c r="D61">
        <f>IF(B61="","",IFERROR(INDEX(Equipamentos!$C$2:$C$201,MATCH(B61,Equipamentos!$A$2:$A$201,0)),""))</f>
        <v/>
      </c>
      <c r="E61" s="55" t="n"/>
      <c r="F61" s="55" t="n"/>
      <c r="G61">
        <f>IF(B61="","",IFERROR(INDEX(Equipamentos!$N$2:$N$201,MATCH(B61,Equipamentos!$A$2:$A$201,0)),""))</f>
        <v/>
      </c>
      <c r="H61">
        <f>IF(B61="","",IFERROR(INDEX(Equipamentos!$L$2:$L$201,MATCH(B61,Equipamentos!$A$2:$A$201,0)),""))</f>
        <v/>
      </c>
      <c r="I61" s="57">
        <f>IF(OR(A61="",B61=""),"",IFERROR(INDEX(Equipamentos!$J$2:$J$201,MATCH(1,INDEX((Equipamentos!$A$2:$A$201=B61)*(Equipamentos!$P$2:$P$201=A61),0),0)),""))</f>
        <v/>
      </c>
    </row>
    <row r="62">
      <c r="A62" s="54" t="n"/>
      <c r="B62" s="55" t="n"/>
      <c r="C62" s="56">
        <f>IF(OR(A62="",B62=""),"",IF(COUNTIF(Equipamentos!$A$2:$A$201,B62)=0,"tag não encontrada",IFERROR(INDEX(Equipamentos!$H$2:$H$201,MATCH(1,INDEX((Equipamentos!$A$2:$A$201=B62)*(Equipamentos!$P$2:$P$201=A62),0),0)),"confira a data")))</f>
        <v/>
      </c>
      <c r="D62">
        <f>IF(B62="","",IFERROR(INDEX(Equipamentos!$C$2:$C$201,MATCH(B62,Equipamentos!$A$2:$A$201,0)),""))</f>
        <v/>
      </c>
      <c r="E62" s="55" t="n"/>
      <c r="F62" s="55" t="n"/>
      <c r="G62">
        <f>IF(B62="","",IFERROR(INDEX(Equipamentos!$N$2:$N$201,MATCH(B62,Equipamentos!$A$2:$A$201,0)),""))</f>
        <v/>
      </c>
      <c r="H62">
        <f>IF(B62="","",IFERROR(INDEX(Equipamentos!$L$2:$L$201,MATCH(B62,Equipamentos!$A$2:$A$201,0)),""))</f>
        <v/>
      </c>
      <c r="I62" s="57">
        <f>IF(OR(A62="",B62=""),"",IFERROR(INDEX(Equipamentos!$J$2:$J$201,MATCH(1,INDEX((Equipamentos!$A$2:$A$201=B62)*(Equipamentos!$P$2:$P$201=A62),0),0)),""))</f>
        <v/>
      </c>
    </row>
    <row r="63">
      <c r="A63" s="54" t="n"/>
      <c r="B63" s="55" t="n"/>
      <c r="C63" s="56">
        <f>IF(OR(A63="",B63=""),"",IF(COUNTIF(Equipamentos!$A$2:$A$201,B63)=0,"tag não encontrada",IFERROR(INDEX(Equipamentos!$H$2:$H$201,MATCH(1,INDEX((Equipamentos!$A$2:$A$201=B63)*(Equipamentos!$P$2:$P$201=A63),0),0)),"confira a data")))</f>
        <v/>
      </c>
      <c r="D63">
        <f>IF(B63="","",IFERROR(INDEX(Equipamentos!$C$2:$C$201,MATCH(B63,Equipamentos!$A$2:$A$201,0)),""))</f>
        <v/>
      </c>
      <c r="E63" s="55" t="n"/>
      <c r="F63" s="55" t="n"/>
      <c r="G63">
        <f>IF(B63="","",IFERROR(INDEX(Equipamentos!$N$2:$N$201,MATCH(B63,Equipamentos!$A$2:$A$201,0)),""))</f>
        <v/>
      </c>
      <c r="H63">
        <f>IF(B63="","",IFERROR(INDEX(Equipamentos!$L$2:$L$201,MATCH(B63,Equipamentos!$A$2:$A$201,0)),""))</f>
        <v/>
      </c>
      <c r="I63" s="57">
        <f>IF(OR(A63="",B63=""),"",IFERROR(INDEX(Equipamentos!$J$2:$J$201,MATCH(1,INDEX((Equipamentos!$A$2:$A$201=B63)*(Equipamentos!$P$2:$P$201=A63),0),0)),""))</f>
        <v/>
      </c>
    </row>
    <row r="64">
      <c r="A64" s="54" t="n"/>
      <c r="B64" s="55" t="n"/>
      <c r="C64" s="56">
        <f>IF(OR(A64="",B64=""),"",IF(COUNTIF(Equipamentos!$A$2:$A$201,B64)=0,"tag não encontrada",IFERROR(INDEX(Equipamentos!$H$2:$H$201,MATCH(1,INDEX((Equipamentos!$A$2:$A$201=B64)*(Equipamentos!$P$2:$P$201=A64),0),0)),"confira a data")))</f>
        <v/>
      </c>
      <c r="D64">
        <f>IF(B64="","",IFERROR(INDEX(Equipamentos!$C$2:$C$201,MATCH(B64,Equipamentos!$A$2:$A$201,0)),""))</f>
        <v/>
      </c>
      <c r="E64" s="55" t="n"/>
      <c r="F64" s="55" t="n"/>
      <c r="G64">
        <f>IF(B64="","",IFERROR(INDEX(Equipamentos!$N$2:$N$201,MATCH(B64,Equipamentos!$A$2:$A$201,0)),""))</f>
        <v/>
      </c>
      <c r="H64">
        <f>IF(B64="","",IFERROR(INDEX(Equipamentos!$L$2:$L$201,MATCH(B64,Equipamentos!$A$2:$A$201,0)),""))</f>
        <v/>
      </c>
      <c r="I64" s="57">
        <f>IF(OR(A64="",B64=""),"",IFERROR(INDEX(Equipamentos!$J$2:$J$201,MATCH(1,INDEX((Equipamentos!$A$2:$A$201=B64)*(Equipamentos!$P$2:$P$201=A64),0),0)),""))</f>
        <v/>
      </c>
    </row>
    <row r="65">
      <c r="A65" s="54" t="n"/>
      <c r="B65" s="55" t="n"/>
      <c r="C65" s="56">
        <f>IF(OR(A65="",B65=""),"",IF(COUNTIF(Equipamentos!$A$2:$A$201,B65)=0,"tag não encontrada",IFERROR(INDEX(Equipamentos!$H$2:$H$201,MATCH(1,INDEX((Equipamentos!$A$2:$A$201=B65)*(Equipamentos!$P$2:$P$201=A65),0),0)),"confira a data")))</f>
        <v/>
      </c>
      <c r="D65">
        <f>IF(B65="","",IFERROR(INDEX(Equipamentos!$C$2:$C$201,MATCH(B65,Equipamentos!$A$2:$A$201,0)),""))</f>
        <v/>
      </c>
      <c r="E65" s="55" t="n"/>
      <c r="F65" s="55" t="n"/>
      <c r="G65">
        <f>IF(B65="","",IFERROR(INDEX(Equipamentos!$N$2:$N$201,MATCH(B65,Equipamentos!$A$2:$A$201,0)),""))</f>
        <v/>
      </c>
      <c r="H65">
        <f>IF(B65="","",IFERROR(INDEX(Equipamentos!$L$2:$L$201,MATCH(B65,Equipamentos!$A$2:$A$201,0)),""))</f>
        <v/>
      </c>
      <c r="I65" s="57">
        <f>IF(OR(A65="",B65=""),"",IFERROR(INDEX(Equipamentos!$J$2:$J$201,MATCH(1,INDEX((Equipamentos!$A$2:$A$201=B65)*(Equipamentos!$P$2:$P$201=A65),0),0)),""))</f>
        <v/>
      </c>
    </row>
    <row r="66">
      <c r="A66" s="54" t="n"/>
      <c r="B66" s="55" t="n"/>
      <c r="C66" s="56">
        <f>IF(OR(A66="",B66=""),"",IF(COUNTIF(Equipamentos!$A$2:$A$201,B66)=0,"tag não encontrada",IFERROR(INDEX(Equipamentos!$H$2:$H$201,MATCH(1,INDEX((Equipamentos!$A$2:$A$201=B66)*(Equipamentos!$P$2:$P$201=A66),0),0)),"confira a data")))</f>
        <v/>
      </c>
      <c r="D66">
        <f>IF(B66="","",IFERROR(INDEX(Equipamentos!$C$2:$C$201,MATCH(B66,Equipamentos!$A$2:$A$201,0)),""))</f>
        <v/>
      </c>
      <c r="E66" s="55" t="n"/>
      <c r="F66" s="55" t="n"/>
      <c r="G66">
        <f>IF(B66="","",IFERROR(INDEX(Equipamentos!$N$2:$N$201,MATCH(B66,Equipamentos!$A$2:$A$201,0)),""))</f>
        <v/>
      </c>
      <c r="H66">
        <f>IF(B66="","",IFERROR(INDEX(Equipamentos!$L$2:$L$201,MATCH(B66,Equipamentos!$A$2:$A$201,0)),""))</f>
        <v/>
      </c>
      <c r="I66" s="57">
        <f>IF(OR(A66="",B66=""),"",IFERROR(INDEX(Equipamentos!$J$2:$J$201,MATCH(1,INDEX((Equipamentos!$A$2:$A$201=B66)*(Equipamentos!$P$2:$P$201=A66),0),0)),""))</f>
        <v/>
      </c>
    </row>
    <row r="67">
      <c r="A67" s="54" t="n"/>
      <c r="B67" s="55" t="n"/>
      <c r="C67" s="56">
        <f>IF(OR(A67="",B67=""),"",IF(COUNTIF(Equipamentos!$A$2:$A$201,B67)=0,"tag não encontrada",IFERROR(INDEX(Equipamentos!$H$2:$H$201,MATCH(1,INDEX((Equipamentos!$A$2:$A$201=B67)*(Equipamentos!$P$2:$P$201=A67),0),0)),"confira a data")))</f>
        <v/>
      </c>
      <c r="D67">
        <f>IF(B67="","",IFERROR(INDEX(Equipamentos!$C$2:$C$201,MATCH(B67,Equipamentos!$A$2:$A$201,0)),""))</f>
        <v/>
      </c>
      <c r="E67" s="55" t="n"/>
      <c r="F67" s="55" t="n"/>
      <c r="G67">
        <f>IF(B67="","",IFERROR(INDEX(Equipamentos!$N$2:$N$201,MATCH(B67,Equipamentos!$A$2:$A$201,0)),""))</f>
        <v/>
      </c>
      <c r="H67">
        <f>IF(B67="","",IFERROR(INDEX(Equipamentos!$L$2:$L$201,MATCH(B67,Equipamentos!$A$2:$A$201,0)),""))</f>
        <v/>
      </c>
      <c r="I67" s="57">
        <f>IF(OR(A67="",B67=""),"",IFERROR(INDEX(Equipamentos!$J$2:$J$201,MATCH(1,INDEX((Equipamentos!$A$2:$A$201=B67)*(Equipamentos!$P$2:$P$201=A67),0),0)),""))</f>
        <v/>
      </c>
    </row>
    <row r="68">
      <c r="A68" s="54" t="n"/>
      <c r="B68" s="55" t="n"/>
      <c r="C68" s="56">
        <f>IF(OR(A68="",B68=""),"",IF(COUNTIF(Equipamentos!$A$2:$A$201,B68)=0,"tag não encontrada",IFERROR(INDEX(Equipamentos!$H$2:$H$201,MATCH(1,INDEX((Equipamentos!$A$2:$A$201=B68)*(Equipamentos!$P$2:$P$201=A68),0),0)),"confira a data")))</f>
        <v/>
      </c>
      <c r="D68">
        <f>IF(B68="","",IFERROR(INDEX(Equipamentos!$C$2:$C$201,MATCH(B68,Equipamentos!$A$2:$A$201,0)),""))</f>
        <v/>
      </c>
      <c r="E68" s="55" t="n"/>
      <c r="F68" s="55" t="n"/>
      <c r="G68">
        <f>IF(B68="","",IFERROR(INDEX(Equipamentos!$N$2:$N$201,MATCH(B68,Equipamentos!$A$2:$A$201,0)),""))</f>
        <v/>
      </c>
      <c r="H68">
        <f>IF(B68="","",IFERROR(INDEX(Equipamentos!$L$2:$L$201,MATCH(B68,Equipamentos!$A$2:$A$201,0)),""))</f>
        <v/>
      </c>
      <c r="I68" s="57">
        <f>IF(OR(A68="",B68=""),"",IFERROR(INDEX(Equipamentos!$J$2:$J$201,MATCH(1,INDEX((Equipamentos!$A$2:$A$201=B68)*(Equipamentos!$P$2:$P$201=A68),0),0)),""))</f>
        <v/>
      </c>
    </row>
    <row r="69">
      <c r="A69" s="54" t="n"/>
      <c r="B69" s="55" t="n"/>
      <c r="C69" s="56">
        <f>IF(OR(A69="",B69=""),"",IF(COUNTIF(Equipamentos!$A$2:$A$201,B69)=0,"tag não encontrada",IFERROR(INDEX(Equipamentos!$H$2:$H$201,MATCH(1,INDEX((Equipamentos!$A$2:$A$201=B69)*(Equipamentos!$P$2:$P$201=A69),0),0)),"confira a data")))</f>
        <v/>
      </c>
      <c r="D69">
        <f>IF(B69="","",IFERROR(INDEX(Equipamentos!$C$2:$C$201,MATCH(B69,Equipamentos!$A$2:$A$201,0)),""))</f>
        <v/>
      </c>
      <c r="E69" s="55" t="n"/>
      <c r="F69" s="55" t="n"/>
      <c r="G69">
        <f>IF(B69="","",IFERROR(INDEX(Equipamentos!$N$2:$N$201,MATCH(B69,Equipamentos!$A$2:$A$201,0)),""))</f>
        <v/>
      </c>
      <c r="H69">
        <f>IF(B69="","",IFERROR(INDEX(Equipamentos!$L$2:$L$201,MATCH(B69,Equipamentos!$A$2:$A$201,0)),""))</f>
        <v/>
      </c>
      <c r="I69" s="57">
        <f>IF(OR(A69="",B69=""),"",IFERROR(INDEX(Equipamentos!$J$2:$J$201,MATCH(1,INDEX((Equipamentos!$A$2:$A$201=B69)*(Equipamentos!$P$2:$P$201=A69),0),0)),""))</f>
        <v/>
      </c>
    </row>
    <row r="70">
      <c r="A70" s="54" t="n"/>
      <c r="B70" s="55" t="n"/>
      <c r="C70" s="56">
        <f>IF(OR(A70="",B70=""),"",IF(COUNTIF(Equipamentos!$A$2:$A$201,B70)=0,"tag não encontrada",IFERROR(INDEX(Equipamentos!$H$2:$H$201,MATCH(1,INDEX((Equipamentos!$A$2:$A$201=B70)*(Equipamentos!$P$2:$P$201=A70),0),0)),"confira a data")))</f>
        <v/>
      </c>
      <c r="D70">
        <f>IF(B70="","",IFERROR(INDEX(Equipamentos!$C$2:$C$201,MATCH(B70,Equipamentos!$A$2:$A$201,0)),""))</f>
        <v/>
      </c>
      <c r="E70" s="55" t="n"/>
      <c r="F70" s="55" t="n"/>
      <c r="G70">
        <f>IF(B70="","",IFERROR(INDEX(Equipamentos!$N$2:$N$201,MATCH(B70,Equipamentos!$A$2:$A$201,0)),""))</f>
        <v/>
      </c>
      <c r="H70">
        <f>IF(B70="","",IFERROR(INDEX(Equipamentos!$L$2:$L$201,MATCH(B70,Equipamentos!$A$2:$A$201,0)),""))</f>
        <v/>
      </c>
      <c r="I70" s="57">
        <f>IF(OR(A70="",B70=""),"",IFERROR(INDEX(Equipamentos!$J$2:$J$201,MATCH(1,INDEX((Equipamentos!$A$2:$A$201=B70)*(Equipamentos!$P$2:$P$201=A70),0),0)),""))</f>
        <v/>
      </c>
    </row>
    <row r="71">
      <c r="A71" s="54" t="n"/>
      <c r="B71" s="55" t="n"/>
      <c r="C71" s="56">
        <f>IF(OR(A71="",B71=""),"",IF(COUNTIF(Equipamentos!$A$2:$A$201,B71)=0,"tag não encontrada",IFERROR(INDEX(Equipamentos!$H$2:$H$201,MATCH(1,INDEX((Equipamentos!$A$2:$A$201=B71)*(Equipamentos!$P$2:$P$201=A71),0),0)),"confira a data")))</f>
        <v/>
      </c>
      <c r="D71">
        <f>IF(B71="","",IFERROR(INDEX(Equipamentos!$C$2:$C$201,MATCH(B71,Equipamentos!$A$2:$A$201,0)),""))</f>
        <v/>
      </c>
      <c r="E71" s="55" t="n"/>
      <c r="F71" s="55" t="n"/>
      <c r="G71">
        <f>IF(B71="","",IFERROR(INDEX(Equipamentos!$N$2:$N$201,MATCH(B71,Equipamentos!$A$2:$A$201,0)),""))</f>
        <v/>
      </c>
      <c r="H71">
        <f>IF(B71="","",IFERROR(INDEX(Equipamentos!$L$2:$L$201,MATCH(B71,Equipamentos!$A$2:$A$201,0)),""))</f>
        <v/>
      </c>
      <c r="I71" s="57">
        <f>IF(OR(A71="",B71=""),"",IFERROR(INDEX(Equipamentos!$J$2:$J$201,MATCH(1,INDEX((Equipamentos!$A$2:$A$201=B71)*(Equipamentos!$P$2:$P$201=A71),0),0)),""))</f>
        <v/>
      </c>
    </row>
    <row r="72">
      <c r="A72" s="54" t="n"/>
      <c r="B72" s="55" t="n"/>
      <c r="C72" s="56">
        <f>IF(OR(A72="",B72=""),"",IF(COUNTIF(Equipamentos!$A$2:$A$201,B72)=0,"tag não encontrada",IFERROR(INDEX(Equipamentos!$H$2:$H$201,MATCH(1,INDEX((Equipamentos!$A$2:$A$201=B72)*(Equipamentos!$P$2:$P$201=A72),0),0)),"confira a data")))</f>
        <v/>
      </c>
      <c r="D72">
        <f>IF(B72="","",IFERROR(INDEX(Equipamentos!$C$2:$C$201,MATCH(B72,Equipamentos!$A$2:$A$201,0)),""))</f>
        <v/>
      </c>
      <c r="E72" s="55" t="n"/>
      <c r="F72" s="55" t="n"/>
      <c r="G72">
        <f>IF(B72="","",IFERROR(INDEX(Equipamentos!$N$2:$N$201,MATCH(B72,Equipamentos!$A$2:$A$201,0)),""))</f>
        <v/>
      </c>
      <c r="H72">
        <f>IF(B72="","",IFERROR(INDEX(Equipamentos!$L$2:$L$201,MATCH(B72,Equipamentos!$A$2:$A$201,0)),""))</f>
        <v/>
      </c>
      <c r="I72" s="57">
        <f>IF(OR(A72="",B72=""),"",IFERROR(INDEX(Equipamentos!$J$2:$J$201,MATCH(1,INDEX((Equipamentos!$A$2:$A$201=B72)*(Equipamentos!$P$2:$P$201=A72),0),0)),""))</f>
        <v/>
      </c>
    </row>
    <row r="73">
      <c r="A73" s="54" t="n"/>
      <c r="B73" s="55" t="n"/>
      <c r="C73" s="56">
        <f>IF(OR(A73="",B73=""),"",IF(COUNTIF(Equipamentos!$A$2:$A$201,B73)=0,"tag não encontrada",IFERROR(INDEX(Equipamentos!$H$2:$H$201,MATCH(1,INDEX((Equipamentos!$A$2:$A$201=B73)*(Equipamentos!$P$2:$P$201=A73),0),0)),"confira a data")))</f>
        <v/>
      </c>
      <c r="D73">
        <f>IF(B73="","",IFERROR(INDEX(Equipamentos!$C$2:$C$201,MATCH(B73,Equipamentos!$A$2:$A$201,0)),""))</f>
        <v/>
      </c>
      <c r="E73" s="55" t="n"/>
      <c r="F73" s="55" t="n"/>
      <c r="G73">
        <f>IF(B73="","",IFERROR(INDEX(Equipamentos!$N$2:$N$201,MATCH(B73,Equipamentos!$A$2:$A$201,0)),""))</f>
        <v/>
      </c>
      <c r="H73">
        <f>IF(B73="","",IFERROR(INDEX(Equipamentos!$L$2:$L$201,MATCH(B73,Equipamentos!$A$2:$A$201,0)),""))</f>
        <v/>
      </c>
      <c r="I73" s="57">
        <f>IF(OR(A73="",B73=""),"",IFERROR(INDEX(Equipamentos!$J$2:$J$201,MATCH(1,INDEX((Equipamentos!$A$2:$A$201=B73)*(Equipamentos!$P$2:$P$201=A73),0),0)),""))</f>
        <v/>
      </c>
    </row>
    <row r="74">
      <c r="A74" s="54" t="n"/>
      <c r="B74" s="55" t="n"/>
      <c r="C74" s="56">
        <f>IF(OR(A74="",B74=""),"",IF(COUNTIF(Equipamentos!$A$2:$A$201,B74)=0,"tag não encontrada",IFERROR(INDEX(Equipamentos!$H$2:$H$201,MATCH(1,INDEX((Equipamentos!$A$2:$A$201=B74)*(Equipamentos!$P$2:$P$201=A74),0),0)),"confira a data")))</f>
        <v/>
      </c>
      <c r="D74">
        <f>IF(B74="","",IFERROR(INDEX(Equipamentos!$C$2:$C$201,MATCH(B74,Equipamentos!$A$2:$A$201,0)),""))</f>
        <v/>
      </c>
      <c r="E74" s="55" t="n"/>
      <c r="F74" s="55" t="n"/>
      <c r="G74">
        <f>IF(B74="","",IFERROR(INDEX(Equipamentos!$N$2:$N$201,MATCH(B74,Equipamentos!$A$2:$A$201,0)),""))</f>
        <v/>
      </c>
      <c r="H74">
        <f>IF(B74="","",IFERROR(INDEX(Equipamentos!$L$2:$L$201,MATCH(B74,Equipamentos!$A$2:$A$201,0)),""))</f>
        <v/>
      </c>
      <c r="I74" s="57">
        <f>IF(OR(A74="",B74=""),"",IFERROR(INDEX(Equipamentos!$J$2:$J$201,MATCH(1,INDEX((Equipamentos!$A$2:$A$201=B74)*(Equipamentos!$P$2:$P$201=A74),0),0)),""))</f>
        <v/>
      </c>
    </row>
    <row r="75">
      <c r="A75" s="54" t="n"/>
      <c r="B75" s="55" t="n"/>
      <c r="C75" s="56">
        <f>IF(OR(A75="",B75=""),"",IF(COUNTIF(Equipamentos!$A$2:$A$201,B75)=0,"tag não encontrada",IFERROR(INDEX(Equipamentos!$H$2:$H$201,MATCH(1,INDEX((Equipamentos!$A$2:$A$201=B75)*(Equipamentos!$P$2:$P$201=A75),0),0)),"confira a data")))</f>
        <v/>
      </c>
      <c r="D75">
        <f>IF(B75="","",IFERROR(INDEX(Equipamentos!$C$2:$C$201,MATCH(B75,Equipamentos!$A$2:$A$201,0)),""))</f>
        <v/>
      </c>
      <c r="E75" s="55" t="n"/>
      <c r="F75" s="55" t="n"/>
      <c r="G75">
        <f>IF(B75="","",IFERROR(INDEX(Equipamentos!$N$2:$N$201,MATCH(B75,Equipamentos!$A$2:$A$201,0)),""))</f>
        <v/>
      </c>
      <c r="H75">
        <f>IF(B75="","",IFERROR(INDEX(Equipamentos!$L$2:$L$201,MATCH(B75,Equipamentos!$A$2:$A$201,0)),""))</f>
        <v/>
      </c>
      <c r="I75" s="57">
        <f>IF(OR(A75="",B75=""),"",IFERROR(INDEX(Equipamentos!$J$2:$J$201,MATCH(1,INDEX((Equipamentos!$A$2:$A$201=B75)*(Equipamentos!$P$2:$P$201=A75),0),0)),""))</f>
        <v/>
      </c>
    </row>
    <row r="76">
      <c r="A76" s="54" t="n"/>
      <c r="B76" s="55" t="n"/>
      <c r="C76" s="56">
        <f>IF(OR(A76="",B76=""),"",IF(COUNTIF(Equipamentos!$A$2:$A$201,B76)=0,"tag não encontrada",IFERROR(INDEX(Equipamentos!$H$2:$H$201,MATCH(1,INDEX((Equipamentos!$A$2:$A$201=B76)*(Equipamentos!$P$2:$P$201=A76),0),0)),"confira a data")))</f>
        <v/>
      </c>
      <c r="D76">
        <f>IF(B76="","",IFERROR(INDEX(Equipamentos!$C$2:$C$201,MATCH(B76,Equipamentos!$A$2:$A$201,0)),""))</f>
        <v/>
      </c>
      <c r="E76" s="55" t="n"/>
      <c r="F76" s="55" t="n"/>
      <c r="G76">
        <f>IF(B76="","",IFERROR(INDEX(Equipamentos!$N$2:$N$201,MATCH(B76,Equipamentos!$A$2:$A$201,0)),""))</f>
        <v/>
      </c>
      <c r="H76">
        <f>IF(B76="","",IFERROR(INDEX(Equipamentos!$L$2:$L$201,MATCH(B76,Equipamentos!$A$2:$A$201,0)),""))</f>
        <v/>
      </c>
      <c r="I76" s="57">
        <f>IF(OR(A76="",B76=""),"",IFERROR(INDEX(Equipamentos!$J$2:$J$201,MATCH(1,INDEX((Equipamentos!$A$2:$A$201=B76)*(Equipamentos!$P$2:$P$201=A76),0),0)),""))</f>
        <v/>
      </c>
    </row>
    <row r="77">
      <c r="A77" s="54" t="n"/>
      <c r="B77" s="55" t="n"/>
      <c r="C77" s="56">
        <f>IF(OR(A77="",B77=""),"",IF(COUNTIF(Equipamentos!$A$2:$A$201,B77)=0,"tag não encontrada",IFERROR(INDEX(Equipamentos!$H$2:$H$201,MATCH(1,INDEX((Equipamentos!$A$2:$A$201=B77)*(Equipamentos!$P$2:$P$201=A77),0),0)),"confira a data")))</f>
        <v/>
      </c>
      <c r="D77">
        <f>IF(B77="","",IFERROR(INDEX(Equipamentos!$C$2:$C$201,MATCH(B77,Equipamentos!$A$2:$A$201,0)),""))</f>
        <v/>
      </c>
      <c r="E77" s="55" t="n"/>
      <c r="F77" s="55" t="n"/>
      <c r="G77">
        <f>IF(B77="","",IFERROR(INDEX(Equipamentos!$N$2:$N$201,MATCH(B77,Equipamentos!$A$2:$A$201,0)),""))</f>
        <v/>
      </c>
      <c r="H77">
        <f>IF(B77="","",IFERROR(INDEX(Equipamentos!$L$2:$L$201,MATCH(B77,Equipamentos!$A$2:$A$201,0)),""))</f>
        <v/>
      </c>
      <c r="I77" s="57">
        <f>IF(OR(A77="",B77=""),"",IFERROR(INDEX(Equipamentos!$J$2:$J$201,MATCH(1,INDEX((Equipamentos!$A$2:$A$201=B77)*(Equipamentos!$P$2:$P$201=A77),0),0)),""))</f>
        <v/>
      </c>
    </row>
    <row r="78">
      <c r="A78" s="54" t="n"/>
      <c r="B78" s="55" t="n"/>
      <c r="C78" s="56">
        <f>IF(OR(A78="",B78=""),"",IF(COUNTIF(Equipamentos!$A$2:$A$201,B78)=0,"tag não encontrada",IFERROR(INDEX(Equipamentos!$H$2:$H$201,MATCH(1,INDEX((Equipamentos!$A$2:$A$201=B78)*(Equipamentos!$P$2:$P$201=A78),0),0)),"confira a data")))</f>
        <v/>
      </c>
      <c r="D78">
        <f>IF(B78="","",IFERROR(INDEX(Equipamentos!$C$2:$C$201,MATCH(B78,Equipamentos!$A$2:$A$201,0)),""))</f>
        <v/>
      </c>
      <c r="E78" s="55" t="n"/>
      <c r="F78" s="55" t="n"/>
      <c r="G78">
        <f>IF(B78="","",IFERROR(INDEX(Equipamentos!$N$2:$N$201,MATCH(B78,Equipamentos!$A$2:$A$201,0)),""))</f>
        <v/>
      </c>
      <c r="H78">
        <f>IF(B78="","",IFERROR(INDEX(Equipamentos!$L$2:$L$201,MATCH(B78,Equipamentos!$A$2:$A$201,0)),""))</f>
        <v/>
      </c>
      <c r="I78" s="57">
        <f>IF(OR(A78="",B78=""),"",IFERROR(INDEX(Equipamentos!$J$2:$J$201,MATCH(1,INDEX((Equipamentos!$A$2:$A$201=B78)*(Equipamentos!$P$2:$P$201=A78),0),0)),""))</f>
        <v/>
      </c>
    </row>
    <row r="79">
      <c r="A79" s="54" t="n"/>
      <c r="B79" s="55" t="n"/>
      <c r="C79" s="56">
        <f>IF(OR(A79="",B79=""),"",IF(COUNTIF(Equipamentos!$A$2:$A$201,B79)=0,"tag não encontrada",IFERROR(INDEX(Equipamentos!$H$2:$H$201,MATCH(1,INDEX((Equipamentos!$A$2:$A$201=B79)*(Equipamentos!$P$2:$P$201=A79),0),0)),"confira a data")))</f>
        <v/>
      </c>
      <c r="D79">
        <f>IF(B79="","",IFERROR(INDEX(Equipamentos!$C$2:$C$201,MATCH(B79,Equipamentos!$A$2:$A$201,0)),""))</f>
        <v/>
      </c>
      <c r="E79" s="55" t="n"/>
      <c r="F79" s="55" t="n"/>
      <c r="G79">
        <f>IF(B79="","",IFERROR(INDEX(Equipamentos!$N$2:$N$201,MATCH(B79,Equipamentos!$A$2:$A$201,0)),""))</f>
        <v/>
      </c>
      <c r="H79">
        <f>IF(B79="","",IFERROR(INDEX(Equipamentos!$L$2:$L$201,MATCH(B79,Equipamentos!$A$2:$A$201,0)),""))</f>
        <v/>
      </c>
      <c r="I79" s="57">
        <f>IF(OR(A79="",B79=""),"",IFERROR(INDEX(Equipamentos!$J$2:$J$201,MATCH(1,INDEX((Equipamentos!$A$2:$A$201=B79)*(Equipamentos!$P$2:$P$201=A79),0),0)),""))</f>
        <v/>
      </c>
    </row>
    <row r="80">
      <c r="A80" s="54" t="n"/>
      <c r="B80" s="55" t="n"/>
      <c r="C80" s="56">
        <f>IF(OR(A80="",B80=""),"",IF(COUNTIF(Equipamentos!$A$2:$A$201,B80)=0,"tag não encontrada",IFERROR(INDEX(Equipamentos!$H$2:$H$201,MATCH(1,INDEX((Equipamentos!$A$2:$A$201=B80)*(Equipamentos!$P$2:$P$201=A80),0),0)),"confira a data")))</f>
        <v/>
      </c>
      <c r="D80">
        <f>IF(B80="","",IFERROR(INDEX(Equipamentos!$C$2:$C$201,MATCH(B80,Equipamentos!$A$2:$A$201,0)),""))</f>
        <v/>
      </c>
      <c r="E80" s="55" t="n"/>
      <c r="F80" s="55" t="n"/>
      <c r="G80">
        <f>IF(B80="","",IFERROR(INDEX(Equipamentos!$N$2:$N$201,MATCH(B80,Equipamentos!$A$2:$A$201,0)),""))</f>
        <v/>
      </c>
      <c r="H80">
        <f>IF(B80="","",IFERROR(INDEX(Equipamentos!$L$2:$L$201,MATCH(B80,Equipamentos!$A$2:$A$201,0)),""))</f>
        <v/>
      </c>
      <c r="I80" s="57">
        <f>IF(OR(A80="",B80=""),"",IFERROR(INDEX(Equipamentos!$J$2:$J$201,MATCH(1,INDEX((Equipamentos!$A$2:$A$201=B80)*(Equipamentos!$P$2:$P$201=A80),0),0)),""))</f>
        <v/>
      </c>
    </row>
    <row r="81">
      <c r="A81" s="54" t="n"/>
      <c r="B81" s="55" t="n"/>
      <c r="C81" s="56">
        <f>IF(OR(A81="",B81=""),"",IF(COUNTIF(Equipamentos!$A$2:$A$201,B81)=0,"tag não encontrada",IFERROR(INDEX(Equipamentos!$H$2:$H$201,MATCH(1,INDEX((Equipamentos!$A$2:$A$201=B81)*(Equipamentos!$P$2:$P$201=A81),0),0)),"confira a data")))</f>
        <v/>
      </c>
      <c r="D81">
        <f>IF(B81="","",IFERROR(INDEX(Equipamentos!$C$2:$C$201,MATCH(B81,Equipamentos!$A$2:$A$201,0)),""))</f>
        <v/>
      </c>
      <c r="E81" s="55" t="n"/>
      <c r="F81" s="55" t="n"/>
      <c r="G81">
        <f>IF(B81="","",IFERROR(INDEX(Equipamentos!$N$2:$N$201,MATCH(B81,Equipamentos!$A$2:$A$201,0)),""))</f>
        <v/>
      </c>
      <c r="H81">
        <f>IF(B81="","",IFERROR(INDEX(Equipamentos!$L$2:$L$201,MATCH(B81,Equipamentos!$A$2:$A$201,0)),""))</f>
        <v/>
      </c>
      <c r="I81" s="57">
        <f>IF(OR(A81="",B81=""),"",IFERROR(INDEX(Equipamentos!$J$2:$J$201,MATCH(1,INDEX((Equipamentos!$A$2:$A$201=B81)*(Equipamentos!$P$2:$P$201=A81),0),0)),""))</f>
        <v/>
      </c>
    </row>
    <row r="82">
      <c r="A82" s="54" t="n"/>
      <c r="B82" s="55" t="n"/>
      <c r="C82" s="56">
        <f>IF(OR(A82="",B82=""),"",IF(COUNTIF(Equipamentos!$A$2:$A$201,B82)=0,"tag não encontrada",IFERROR(INDEX(Equipamentos!$H$2:$H$201,MATCH(1,INDEX((Equipamentos!$A$2:$A$201=B82)*(Equipamentos!$P$2:$P$201=A82),0),0)),"confira a data")))</f>
        <v/>
      </c>
      <c r="D82">
        <f>IF(B82="","",IFERROR(INDEX(Equipamentos!$C$2:$C$201,MATCH(B82,Equipamentos!$A$2:$A$201,0)),""))</f>
        <v/>
      </c>
      <c r="E82" s="55" t="n"/>
      <c r="F82" s="55" t="n"/>
      <c r="G82">
        <f>IF(B82="","",IFERROR(INDEX(Equipamentos!$N$2:$N$201,MATCH(B82,Equipamentos!$A$2:$A$201,0)),""))</f>
        <v/>
      </c>
      <c r="H82">
        <f>IF(B82="","",IFERROR(INDEX(Equipamentos!$L$2:$L$201,MATCH(B82,Equipamentos!$A$2:$A$201,0)),""))</f>
        <v/>
      </c>
      <c r="I82" s="57">
        <f>IF(OR(A82="",B82=""),"",IFERROR(INDEX(Equipamentos!$J$2:$J$201,MATCH(1,INDEX((Equipamentos!$A$2:$A$201=B82)*(Equipamentos!$P$2:$P$201=A82),0),0)),""))</f>
        <v/>
      </c>
    </row>
    <row r="83">
      <c r="A83" s="54" t="n"/>
      <c r="B83" s="55" t="n"/>
      <c r="C83" s="56">
        <f>IF(OR(A83="",B83=""),"",IF(COUNTIF(Equipamentos!$A$2:$A$201,B83)=0,"tag não encontrada",IFERROR(INDEX(Equipamentos!$H$2:$H$201,MATCH(1,INDEX((Equipamentos!$A$2:$A$201=B83)*(Equipamentos!$P$2:$P$201=A83),0),0)),"confira a data")))</f>
        <v/>
      </c>
      <c r="D83">
        <f>IF(B83="","",IFERROR(INDEX(Equipamentos!$C$2:$C$201,MATCH(B83,Equipamentos!$A$2:$A$201,0)),""))</f>
        <v/>
      </c>
      <c r="E83" s="55" t="n"/>
      <c r="F83" s="55" t="n"/>
      <c r="G83">
        <f>IF(B83="","",IFERROR(INDEX(Equipamentos!$N$2:$N$201,MATCH(B83,Equipamentos!$A$2:$A$201,0)),""))</f>
        <v/>
      </c>
      <c r="H83">
        <f>IF(B83="","",IFERROR(INDEX(Equipamentos!$L$2:$L$201,MATCH(B83,Equipamentos!$A$2:$A$201,0)),""))</f>
        <v/>
      </c>
      <c r="I83" s="57">
        <f>IF(OR(A83="",B83=""),"",IFERROR(INDEX(Equipamentos!$J$2:$J$201,MATCH(1,INDEX((Equipamentos!$A$2:$A$201=B83)*(Equipamentos!$P$2:$P$201=A83),0),0)),""))</f>
        <v/>
      </c>
    </row>
    <row r="84">
      <c r="A84" s="54" t="n"/>
      <c r="B84" s="55" t="n"/>
      <c r="C84" s="56">
        <f>IF(OR(A84="",B84=""),"",IF(COUNTIF(Equipamentos!$A$2:$A$201,B84)=0,"tag não encontrada",IFERROR(INDEX(Equipamentos!$H$2:$H$201,MATCH(1,INDEX((Equipamentos!$A$2:$A$201=B84)*(Equipamentos!$P$2:$P$201=A84),0),0)),"confira a data")))</f>
        <v/>
      </c>
      <c r="D84">
        <f>IF(B84="","",IFERROR(INDEX(Equipamentos!$C$2:$C$201,MATCH(B84,Equipamentos!$A$2:$A$201,0)),""))</f>
        <v/>
      </c>
      <c r="E84" s="55" t="n"/>
      <c r="F84" s="55" t="n"/>
      <c r="G84">
        <f>IF(B84="","",IFERROR(INDEX(Equipamentos!$N$2:$N$201,MATCH(B84,Equipamentos!$A$2:$A$201,0)),""))</f>
        <v/>
      </c>
      <c r="H84">
        <f>IF(B84="","",IFERROR(INDEX(Equipamentos!$L$2:$L$201,MATCH(B84,Equipamentos!$A$2:$A$201,0)),""))</f>
        <v/>
      </c>
      <c r="I84" s="57">
        <f>IF(OR(A84="",B84=""),"",IFERROR(INDEX(Equipamentos!$J$2:$J$201,MATCH(1,INDEX((Equipamentos!$A$2:$A$201=B84)*(Equipamentos!$P$2:$P$201=A84),0),0)),""))</f>
        <v/>
      </c>
    </row>
    <row r="85">
      <c r="A85" s="54" t="n"/>
      <c r="B85" s="55" t="n"/>
      <c r="C85" s="56">
        <f>IF(OR(A85="",B85=""),"",IF(COUNTIF(Equipamentos!$A$2:$A$201,B85)=0,"tag não encontrada",IFERROR(INDEX(Equipamentos!$H$2:$H$201,MATCH(1,INDEX((Equipamentos!$A$2:$A$201=B85)*(Equipamentos!$P$2:$P$201=A85),0),0)),"confira a data")))</f>
        <v/>
      </c>
      <c r="D85">
        <f>IF(B85="","",IFERROR(INDEX(Equipamentos!$C$2:$C$201,MATCH(B85,Equipamentos!$A$2:$A$201,0)),""))</f>
        <v/>
      </c>
      <c r="E85" s="55" t="n"/>
      <c r="F85" s="55" t="n"/>
      <c r="G85">
        <f>IF(B85="","",IFERROR(INDEX(Equipamentos!$N$2:$N$201,MATCH(B85,Equipamentos!$A$2:$A$201,0)),""))</f>
        <v/>
      </c>
      <c r="H85">
        <f>IF(B85="","",IFERROR(INDEX(Equipamentos!$L$2:$L$201,MATCH(B85,Equipamentos!$A$2:$A$201,0)),""))</f>
        <v/>
      </c>
      <c r="I85" s="57">
        <f>IF(OR(A85="",B85=""),"",IFERROR(INDEX(Equipamentos!$J$2:$J$201,MATCH(1,INDEX((Equipamentos!$A$2:$A$201=B85)*(Equipamentos!$P$2:$P$201=A85),0),0)),""))</f>
        <v/>
      </c>
    </row>
    <row r="86">
      <c r="A86" s="54" t="n"/>
      <c r="B86" s="55" t="n"/>
      <c r="C86" s="56">
        <f>IF(OR(A86="",B86=""),"",IF(COUNTIF(Equipamentos!$A$2:$A$201,B86)=0,"tag não encontrada",IFERROR(INDEX(Equipamentos!$H$2:$H$201,MATCH(1,INDEX((Equipamentos!$A$2:$A$201=B86)*(Equipamentos!$P$2:$P$201=A86),0),0)),"confira a data")))</f>
        <v/>
      </c>
      <c r="D86">
        <f>IF(B86="","",IFERROR(INDEX(Equipamentos!$C$2:$C$201,MATCH(B86,Equipamentos!$A$2:$A$201,0)),""))</f>
        <v/>
      </c>
      <c r="E86" s="55" t="n"/>
      <c r="F86" s="55" t="n"/>
      <c r="G86">
        <f>IF(B86="","",IFERROR(INDEX(Equipamentos!$N$2:$N$201,MATCH(B86,Equipamentos!$A$2:$A$201,0)),""))</f>
        <v/>
      </c>
      <c r="H86">
        <f>IF(B86="","",IFERROR(INDEX(Equipamentos!$L$2:$L$201,MATCH(B86,Equipamentos!$A$2:$A$201,0)),""))</f>
        <v/>
      </c>
      <c r="I86" s="57">
        <f>IF(OR(A86="",B86=""),"",IFERROR(INDEX(Equipamentos!$J$2:$J$201,MATCH(1,INDEX((Equipamentos!$A$2:$A$201=B86)*(Equipamentos!$P$2:$P$201=A86),0),0)),""))</f>
        <v/>
      </c>
    </row>
    <row r="87">
      <c r="A87" s="54" t="n"/>
      <c r="B87" s="55" t="n"/>
      <c r="C87" s="56">
        <f>IF(OR(A87="",B87=""),"",IF(COUNTIF(Equipamentos!$A$2:$A$201,B87)=0,"tag não encontrada",IFERROR(INDEX(Equipamentos!$H$2:$H$201,MATCH(1,INDEX((Equipamentos!$A$2:$A$201=B87)*(Equipamentos!$P$2:$P$201=A87),0),0)),"confira a data")))</f>
        <v/>
      </c>
      <c r="D87">
        <f>IF(B87="","",IFERROR(INDEX(Equipamentos!$C$2:$C$201,MATCH(B87,Equipamentos!$A$2:$A$201,0)),""))</f>
        <v/>
      </c>
      <c r="E87" s="55" t="n"/>
      <c r="F87" s="55" t="n"/>
      <c r="G87">
        <f>IF(B87="","",IFERROR(INDEX(Equipamentos!$N$2:$N$201,MATCH(B87,Equipamentos!$A$2:$A$201,0)),""))</f>
        <v/>
      </c>
      <c r="H87">
        <f>IF(B87="","",IFERROR(INDEX(Equipamentos!$L$2:$L$201,MATCH(B87,Equipamentos!$A$2:$A$201,0)),""))</f>
        <v/>
      </c>
      <c r="I87" s="57">
        <f>IF(OR(A87="",B87=""),"",IFERROR(INDEX(Equipamentos!$J$2:$J$201,MATCH(1,INDEX((Equipamentos!$A$2:$A$201=B87)*(Equipamentos!$P$2:$P$201=A87),0),0)),""))</f>
        <v/>
      </c>
    </row>
    <row r="88">
      <c r="A88" s="54" t="n"/>
      <c r="B88" s="55" t="n"/>
      <c r="C88" s="56">
        <f>IF(OR(A88="",B88=""),"",IF(COUNTIF(Equipamentos!$A$2:$A$201,B88)=0,"tag não encontrada",IFERROR(INDEX(Equipamentos!$H$2:$H$201,MATCH(1,INDEX((Equipamentos!$A$2:$A$201=B88)*(Equipamentos!$P$2:$P$201=A88),0),0)),"confira a data")))</f>
        <v/>
      </c>
      <c r="D88">
        <f>IF(B88="","",IFERROR(INDEX(Equipamentos!$C$2:$C$201,MATCH(B88,Equipamentos!$A$2:$A$201,0)),""))</f>
        <v/>
      </c>
      <c r="E88" s="55" t="n"/>
      <c r="F88" s="55" t="n"/>
      <c r="G88">
        <f>IF(B88="","",IFERROR(INDEX(Equipamentos!$N$2:$N$201,MATCH(B88,Equipamentos!$A$2:$A$201,0)),""))</f>
        <v/>
      </c>
      <c r="H88">
        <f>IF(B88="","",IFERROR(INDEX(Equipamentos!$L$2:$L$201,MATCH(B88,Equipamentos!$A$2:$A$201,0)),""))</f>
        <v/>
      </c>
      <c r="I88" s="57">
        <f>IF(OR(A88="",B88=""),"",IFERROR(INDEX(Equipamentos!$J$2:$J$201,MATCH(1,INDEX((Equipamentos!$A$2:$A$201=B88)*(Equipamentos!$P$2:$P$201=A88),0),0)),""))</f>
        <v/>
      </c>
    </row>
    <row r="89">
      <c r="A89" s="54" t="n"/>
      <c r="B89" s="55" t="n"/>
      <c r="C89" s="56">
        <f>IF(OR(A89="",B89=""),"",IF(COUNTIF(Equipamentos!$A$2:$A$201,B89)=0,"tag não encontrada",IFERROR(INDEX(Equipamentos!$H$2:$H$201,MATCH(1,INDEX((Equipamentos!$A$2:$A$201=B89)*(Equipamentos!$P$2:$P$201=A89),0),0)),"confira a data")))</f>
        <v/>
      </c>
      <c r="D89">
        <f>IF(B89="","",IFERROR(INDEX(Equipamentos!$C$2:$C$201,MATCH(B89,Equipamentos!$A$2:$A$201,0)),""))</f>
        <v/>
      </c>
      <c r="E89" s="55" t="n"/>
      <c r="F89" s="55" t="n"/>
      <c r="G89">
        <f>IF(B89="","",IFERROR(INDEX(Equipamentos!$N$2:$N$201,MATCH(B89,Equipamentos!$A$2:$A$201,0)),""))</f>
        <v/>
      </c>
      <c r="H89">
        <f>IF(B89="","",IFERROR(INDEX(Equipamentos!$L$2:$L$201,MATCH(B89,Equipamentos!$A$2:$A$201,0)),""))</f>
        <v/>
      </c>
      <c r="I89" s="57">
        <f>IF(OR(A89="",B89=""),"",IFERROR(INDEX(Equipamentos!$J$2:$J$201,MATCH(1,INDEX((Equipamentos!$A$2:$A$201=B89)*(Equipamentos!$P$2:$P$201=A89),0),0)),""))</f>
        <v/>
      </c>
    </row>
    <row r="90">
      <c r="A90" s="54" t="n"/>
      <c r="B90" s="55" t="n"/>
      <c r="C90" s="56">
        <f>IF(OR(A90="",B90=""),"",IF(COUNTIF(Equipamentos!$A$2:$A$201,B90)=0,"tag não encontrada",IFERROR(INDEX(Equipamentos!$H$2:$H$201,MATCH(1,INDEX((Equipamentos!$A$2:$A$201=B90)*(Equipamentos!$P$2:$P$201=A90),0),0)),"confira a data")))</f>
        <v/>
      </c>
      <c r="D90">
        <f>IF(B90="","",IFERROR(INDEX(Equipamentos!$C$2:$C$201,MATCH(B90,Equipamentos!$A$2:$A$201,0)),""))</f>
        <v/>
      </c>
      <c r="E90" s="55" t="n"/>
      <c r="F90" s="55" t="n"/>
      <c r="G90">
        <f>IF(B90="","",IFERROR(INDEX(Equipamentos!$N$2:$N$201,MATCH(B90,Equipamentos!$A$2:$A$201,0)),""))</f>
        <v/>
      </c>
      <c r="H90">
        <f>IF(B90="","",IFERROR(INDEX(Equipamentos!$L$2:$L$201,MATCH(B90,Equipamentos!$A$2:$A$201,0)),""))</f>
        <v/>
      </c>
      <c r="I90" s="57">
        <f>IF(OR(A90="",B90=""),"",IFERROR(INDEX(Equipamentos!$J$2:$J$201,MATCH(1,INDEX((Equipamentos!$A$2:$A$201=B90)*(Equipamentos!$P$2:$P$201=A90),0),0)),""))</f>
        <v/>
      </c>
    </row>
    <row r="91">
      <c r="A91" s="54" t="n"/>
      <c r="B91" s="55" t="n"/>
      <c r="C91" s="56">
        <f>IF(OR(A91="",B91=""),"",IF(COUNTIF(Equipamentos!$A$2:$A$201,B91)=0,"tag não encontrada",IFERROR(INDEX(Equipamentos!$H$2:$H$201,MATCH(1,INDEX((Equipamentos!$A$2:$A$201=B91)*(Equipamentos!$P$2:$P$201=A91),0),0)),"confira a data")))</f>
        <v/>
      </c>
      <c r="D91">
        <f>IF(B91="","",IFERROR(INDEX(Equipamentos!$C$2:$C$201,MATCH(B91,Equipamentos!$A$2:$A$201,0)),""))</f>
        <v/>
      </c>
      <c r="E91" s="55" t="n"/>
      <c r="F91" s="55" t="n"/>
      <c r="G91">
        <f>IF(B91="","",IFERROR(INDEX(Equipamentos!$N$2:$N$201,MATCH(B91,Equipamentos!$A$2:$A$201,0)),""))</f>
        <v/>
      </c>
      <c r="H91">
        <f>IF(B91="","",IFERROR(INDEX(Equipamentos!$L$2:$L$201,MATCH(B91,Equipamentos!$A$2:$A$201,0)),""))</f>
        <v/>
      </c>
      <c r="I91" s="57">
        <f>IF(OR(A91="",B91=""),"",IFERROR(INDEX(Equipamentos!$J$2:$J$201,MATCH(1,INDEX((Equipamentos!$A$2:$A$201=B91)*(Equipamentos!$P$2:$P$201=A91),0),0)),""))</f>
        <v/>
      </c>
    </row>
    <row r="92">
      <c r="A92" s="54" t="n"/>
      <c r="B92" s="55" t="n"/>
      <c r="C92" s="56">
        <f>IF(OR(A92="",B92=""),"",IF(COUNTIF(Equipamentos!$A$2:$A$201,B92)=0,"tag não encontrada",IFERROR(INDEX(Equipamentos!$H$2:$H$201,MATCH(1,INDEX((Equipamentos!$A$2:$A$201=B92)*(Equipamentos!$P$2:$P$201=A92),0),0)),"confira a data")))</f>
        <v/>
      </c>
      <c r="D92">
        <f>IF(B92="","",IFERROR(INDEX(Equipamentos!$C$2:$C$201,MATCH(B92,Equipamentos!$A$2:$A$201,0)),""))</f>
        <v/>
      </c>
      <c r="E92" s="55" t="n"/>
      <c r="F92" s="55" t="n"/>
      <c r="G92">
        <f>IF(B92="","",IFERROR(INDEX(Equipamentos!$N$2:$N$201,MATCH(B92,Equipamentos!$A$2:$A$201,0)),""))</f>
        <v/>
      </c>
      <c r="H92">
        <f>IF(B92="","",IFERROR(INDEX(Equipamentos!$L$2:$L$201,MATCH(B92,Equipamentos!$A$2:$A$201,0)),""))</f>
        <v/>
      </c>
      <c r="I92" s="57">
        <f>IF(OR(A92="",B92=""),"",IFERROR(INDEX(Equipamentos!$J$2:$J$201,MATCH(1,INDEX((Equipamentos!$A$2:$A$201=B92)*(Equipamentos!$P$2:$P$201=A92),0),0)),""))</f>
        <v/>
      </c>
    </row>
    <row r="93">
      <c r="A93" s="54" t="n"/>
      <c r="B93" s="55" t="n"/>
      <c r="C93" s="56">
        <f>IF(OR(A93="",B93=""),"",IF(COUNTIF(Equipamentos!$A$2:$A$201,B93)=0,"tag não encontrada",IFERROR(INDEX(Equipamentos!$H$2:$H$201,MATCH(1,INDEX((Equipamentos!$A$2:$A$201=B93)*(Equipamentos!$P$2:$P$201=A93),0),0)),"confira a data")))</f>
        <v/>
      </c>
      <c r="D93">
        <f>IF(B93="","",IFERROR(INDEX(Equipamentos!$C$2:$C$201,MATCH(B93,Equipamentos!$A$2:$A$201,0)),""))</f>
        <v/>
      </c>
      <c r="E93" s="55" t="n"/>
      <c r="F93" s="55" t="n"/>
      <c r="G93">
        <f>IF(B93="","",IFERROR(INDEX(Equipamentos!$N$2:$N$201,MATCH(B93,Equipamentos!$A$2:$A$201,0)),""))</f>
        <v/>
      </c>
      <c r="H93">
        <f>IF(B93="","",IFERROR(INDEX(Equipamentos!$L$2:$L$201,MATCH(B93,Equipamentos!$A$2:$A$201,0)),""))</f>
        <v/>
      </c>
      <c r="I93" s="57">
        <f>IF(OR(A93="",B93=""),"",IFERROR(INDEX(Equipamentos!$J$2:$J$201,MATCH(1,INDEX((Equipamentos!$A$2:$A$201=B93)*(Equipamentos!$P$2:$P$201=A93),0),0)),""))</f>
        <v/>
      </c>
    </row>
    <row r="94">
      <c r="A94" s="54" t="n"/>
      <c r="B94" s="55" t="n"/>
      <c r="C94" s="56">
        <f>IF(OR(A94="",B94=""),"",IF(COUNTIF(Equipamentos!$A$2:$A$201,B94)=0,"tag não encontrada",IFERROR(INDEX(Equipamentos!$H$2:$H$201,MATCH(1,INDEX((Equipamentos!$A$2:$A$201=B94)*(Equipamentos!$P$2:$P$201=A94),0),0)),"confira a data")))</f>
        <v/>
      </c>
      <c r="D94">
        <f>IF(B94="","",IFERROR(INDEX(Equipamentos!$C$2:$C$201,MATCH(B94,Equipamentos!$A$2:$A$201,0)),""))</f>
        <v/>
      </c>
      <c r="E94" s="55" t="n"/>
      <c r="F94" s="55" t="n"/>
      <c r="G94">
        <f>IF(B94="","",IFERROR(INDEX(Equipamentos!$N$2:$N$201,MATCH(B94,Equipamentos!$A$2:$A$201,0)),""))</f>
        <v/>
      </c>
      <c r="H94">
        <f>IF(B94="","",IFERROR(INDEX(Equipamentos!$L$2:$L$201,MATCH(B94,Equipamentos!$A$2:$A$201,0)),""))</f>
        <v/>
      </c>
      <c r="I94" s="57">
        <f>IF(OR(A94="",B94=""),"",IFERROR(INDEX(Equipamentos!$J$2:$J$201,MATCH(1,INDEX((Equipamentos!$A$2:$A$201=B94)*(Equipamentos!$P$2:$P$201=A94),0),0)),""))</f>
        <v/>
      </c>
    </row>
    <row r="95">
      <c r="A95" s="54" t="n"/>
      <c r="B95" s="55" t="n"/>
      <c r="C95" s="56">
        <f>IF(OR(A95="",B95=""),"",IF(COUNTIF(Equipamentos!$A$2:$A$201,B95)=0,"tag não encontrada",IFERROR(INDEX(Equipamentos!$H$2:$H$201,MATCH(1,INDEX((Equipamentos!$A$2:$A$201=B95)*(Equipamentos!$P$2:$P$201=A95),0),0)),"confira a data")))</f>
        <v/>
      </c>
      <c r="D95">
        <f>IF(B95="","",IFERROR(INDEX(Equipamentos!$C$2:$C$201,MATCH(B95,Equipamentos!$A$2:$A$201,0)),""))</f>
        <v/>
      </c>
      <c r="E95" s="55" t="n"/>
      <c r="F95" s="55" t="n"/>
      <c r="G95">
        <f>IF(B95="","",IFERROR(INDEX(Equipamentos!$N$2:$N$201,MATCH(B95,Equipamentos!$A$2:$A$201,0)),""))</f>
        <v/>
      </c>
      <c r="H95">
        <f>IF(B95="","",IFERROR(INDEX(Equipamentos!$L$2:$L$201,MATCH(B95,Equipamentos!$A$2:$A$201,0)),""))</f>
        <v/>
      </c>
      <c r="I95" s="57">
        <f>IF(OR(A95="",B95=""),"",IFERROR(INDEX(Equipamentos!$J$2:$J$201,MATCH(1,INDEX((Equipamentos!$A$2:$A$201=B95)*(Equipamentos!$P$2:$P$201=A95),0),0)),""))</f>
        <v/>
      </c>
    </row>
    <row r="96">
      <c r="A96" s="54" t="n"/>
      <c r="B96" s="55" t="n"/>
      <c r="C96" s="56">
        <f>IF(OR(A96="",B96=""),"",IF(COUNTIF(Equipamentos!$A$2:$A$201,B96)=0,"tag não encontrada",IFERROR(INDEX(Equipamentos!$H$2:$H$201,MATCH(1,INDEX((Equipamentos!$A$2:$A$201=B96)*(Equipamentos!$P$2:$P$201=A96),0),0)),"confira a data")))</f>
        <v/>
      </c>
      <c r="D96">
        <f>IF(B96="","",IFERROR(INDEX(Equipamentos!$C$2:$C$201,MATCH(B96,Equipamentos!$A$2:$A$201,0)),""))</f>
        <v/>
      </c>
      <c r="E96" s="55" t="n"/>
      <c r="F96" s="55" t="n"/>
      <c r="G96">
        <f>IF(B96="","",IFERROR(INDEX(Equipamentos!$N$2:$N$201,MATCH(B96,Equipamentos!$A$2:$A$201,0)),""))</f>
        <v/>
      </c>
      <c r="H96">
        <f>IF(B96="","",IFERROR(INDEX(Equipamentos!$L$2:$L$201,MATCH(B96,Equipamentos!$A$2:$A$201,0)),""))</f>
        <v/>
      </c>
      <c r="I96" s="57">
        <f>IF(OR(A96="",B96=""),"",IFERROR(INDEX(Equipamentos!$J$2:$J$201,MATCH(1,INDEX((Equipamentos!$A$2:$A$201=B96)*(Equipamentos!$P$2:$P$201=A96),0),0)),""))</f>
        <v/>
      </c>
    </row>
    <row r="97">
      <c r="A97" s="54" t="n"/>
      <c r="B97" s="55" t="n"/>
      <c r="C97" s="56">
        <f>IF(OR(A97="",B97=""),"",IF(COUNTIF(Equipamentos!$A$2:$A$201,B97)=0,"tag não encontrada",IFERROR(INDEX(Equipamentos!$H$2:$H$201,MATCH(1,INDEX((Equipamentos!$A$2:$A$201=B97)*(Equipamentos!$P$2:$P$201=A97),0),0)),"confira a data")))</f>
        <v/>
      </c>
      <c r="D97">
        <f>IF(B97="","",IFERROR(INDEX(Equipamentos!$C$2:$C$201,MATCH(B97,Equipamentos!$A$2:$A$201,0)),""))</f>
        <v/>
      </c>
      <c r="E97" s="55" t="n"/>
      <c r="F97" s="55" t="n"/>
      <c r="G97">
        <f>IF(B97="","",IFERROR(INDEX(Equipamentos!$N$2:$N$201,MATCH(B97,Equipamentos!$A$2:$A$201,0)),""))</f>
        <v/>
      </c>
      <c r="H97">
        <f>IF(B97="","",IFERROR(INDEX(Equipamentos!$L$2:$L$201,MATCH(B97,Equipamentos!$A$2:$A$201,0)),""))</f>
        <v/>
      </c>
      <c r="I97" s="57">
        <f>IF(OR(A97="",B97=""),"",IFERROR(INDEX(Equipamentos!$J$2:$J$201,MATCH(1,INDEX((Equipamentos!$A$2:$A$201=B97)*(Equipamentos!$P$2:$P$201=A97),0),0)),""))</f>
        <v/>
      </c>
    </row>
    <row r="98">
      <c r="A98" s="54" t="n"/>
      <c r="B98" s="55" t="n"/>
      <c r="C98" s="56">
        <f>IF(OR(A98="",B98=""),"",IF(COUNTIF(Equipamentos!$A$2:$A$201,B98)=0,"tag não encontrada",IFERROR(INDEX(Equipamentos!$H$2:$H$201,MATCH(1,INDEX((Equipamentos!$A$2:$A$201=B98)*(Equipamentos!$P$2:$P$201=A98),0),0)),"confira a data")))</f>
        <v/>
      </c>
      <c r="D98">
        <f>IF(B98="","",IFERROR(INDEX(Equipamentos!$C$2:$C$201,MATCH(B98,Equipamentos!$A$2:$A$201,0)),""))</f>
        <v/>
      </c>
      <c r="E98" s="55" t="n"/>
      <c r="F98" s="55" t="n"/>
      <c r="G98">
        <f>IF(B98="","",IFERROR(INDEX(Equipamentos!$N$2:$N$201,MATCH(B98,Equipamentos!$A$2:$A$201,0)),""))</f>
        <v/>
      </c>
      <c r="H98">
        <f>IF(B98="","",IFERROR(INDEX(Equipamentos!$L$2:$L$201,MATCH(B98,Equipamentos!$A$2:$A$201,0)),""))</f>
        <v/>
      </c>
      <c r="I98" s="57">
        <f>IF(OR(A98="",B98=""),"",IFERROR(INDEX(Equipamentos!$J$2:$J$201,MATCH(1,INDEX((Equipamentos!$A$2:$A$201=B98)*(Equipamentos!$P$2:$P$201=A98),0),0)),""))</f>
        <v/>
      </c>
    </row>
    <row r="99">
      <c r="A99" s="54" t="n"/>
      <c r="B99" s="55" t="n"/>
      <c r="C99" s="56">
        <f>IF(OR(A99="",B99=""),"",IF(COUNTIF(Equipamentos!$A$2:$A$201,B99)=0,"tag não encontrada",IFERROR(INDEX(Equipamentos!$H$2:$H$201,MATCH(1,INDEX((Equipamentos!$A$2:$A$201=B99)*(Equipamentos!$P$2:$P$201=A99),0),0)),"confira a data")))</f>
        <v/>
      </c>
      <c r="D99">
        <f>IF(B99="","",IFERROR(INDEX(Equipamentos!$C$2:$C$201,MATCH(B99,Equipamentos!$A$2:$A$201,0)),""))</f>
        <v/>
      </c>
      <c r="E99" s="55" t="n"/>
      <c r="F99" s="55" t="n"/>
      <c r="G99">
        <f>IF(B99="","",IFERROR(INDEX(Equipamentos!$N$2:$N$201,MATCH(B99,Equipamentos!$A$2:$A$201,0)),""))</f>
        <v/>
      </c>
      <c r="H99">
        <f>IF(B99="","",IFERROR(INDEX(Equipamentos!$L$2:$L$201,MATCH(B99,Equipamentos!$A$2:$A$201,0)),""))</f>
        <v/>
      </c>
      <c r="I99" s="57">
        <f>IF(OR(A99="",B99=""),"",IFERROR(INDEX(Equipamentos!$J$2:$J$201,MATCH(1,INDEX((Equipamentos!$A$2:$A$201=B99)*(Equipamentos!$P$2:$P$201=A99),0),0)),""))</f>
        <v/>
      </c>
    </row>
    <row r="100">
      <c r="A100" s="54" t="n"/>
      <c r="B100" s="55" t="n"/>
      <c r="C100" s="56">
        <f>IF(OR(A100="",B100=""),"",IF(COUNTIF(Equipamentos!$A$2:$A$201,B100)=0,"tag não encontrada",IFERROR(INDEX(Equipamentos!$H$2:$H$201,MATCH(1,INDEX((Equipamentos!$A$2:$A$201=B100)*(Equipamentos!$P$2:$P$201=A100),0),0)),"confira a data")))</f>
        <v/>
      </c>
      <c r="D100">
        <f>IF(B100="","",IFERROR(INDEX(Equipamentos!$C$2:$C$201,MATCH(B100,Equipamentos!$A$2:$A$201,0)),""))</f>
        <v/>
      </c>
      <c r="E100" s="55" t="n"/>
      <c r="F100" s="55" t="n"/>
      <c r="G100">
        <f>IF(B100="","",IFERROR(INDEX(Equipamentos!$N$2:$N$201,MATCH(B100,Equipamentos!$A$2:$A$201,0)),""))</f>
        <v/>
      </c>
      <c r="H100">
        <f>IF(B100="","",IFERROR(INDEX(Equipamentos!$L$2:$L$201,MATCH(B100,Equipamentos!$A$2:$A$201,0)),""))</f>
        <v/>
      </c>
      <c r="I100" s="57">
        <f>IF(OR(A100="",B100=""),"",IFERROR(INDEX(Equipamentos!$J$2:$J$201,MATCH(1,INDEX((Equipamentos!$A$2:$A$201=B100)*(Equipamentos!$P$2:$P$201=A100),0),0)),""))</f>
        <v/>
      </c>
    </row>
    <row r="101">
      <c r="A101" s="54" t="n"/>
      <c r="B101" s="55" t="n"/>
      <c r="C101" s="56">
        <f>IF(OR(A101="",B101=""),"",IF(COUNTIF(Equipamentos!$A$2:$A$201,B101)=0,"tag não encontrada",IFERROR(INDEX(Equipamentos!$H$2:$H$201,MATCH(1,INDEX((Equipamentos!$A$2:$A$201=B101)*(Equipamentos!$P$2:$P$201=A101),0),0)),"confira a data")))</f>
        <v/>
      </c>
      <c r="D101">
        <f>IF(B101="","",IFERROR(INDEX(Equipamentos!$C$2:$C$201,MATCH(B101,Equipamentos!$A$2:$A$201,0)),""))</f>
        <v/>
      </c>
      <c r="E101" s="55" t="n"/>
      <c r="F101" s="55" t="n"/>
      <c r="G101">
        <f>IF(B101="","",IFERROR(INDEX(Equipamentos!$N$2:$N$201,MATCH(B101,Equipamentos!$A$2:$A$201,0)),""))</f>
        <v/>
      </c>
      <c r="H101">
        <f>IF(B101="","",IFERROR(INDEX(Equipamentos!$L$2:$L$201,MATCH(B101,Equipamentos!$A$2:$A$201,0)),""))</f>
        <v/>
      </c>
      <c r="I101" s="57">
        <f>IF(OR(A101="",B101=""),"",IFERROR(INDEX(Equipamentos!$J$2:$J$201,MATCH(1,INDEX((Equipamentos!$A$2:$A$201=B101)*(Equipamentos!$P$2:$P$201=A101),0),0)),""))</f>
        <v/>
      </c>
    </row>
    <row r="102">
      <c r="A102" s="54" t="n"/>
      <c r="B102" s="55" t="n"/>
      <c r="C102" s="56">
        <f>IF(OR(A102="",B102=""),"",IF(COUNTIF(Equipamentos!$A$2:$A$201,B102)=0,"tag não encontrada",IFERROR(INDEX(Equipamentos!$H$2:$H$201,MATCH(1,INDEX((Equipamentos!$A$2:$A$201=B102)*(Equipamentos!$P$2:$P$201=A102),0),0)),"confira a data")))</f>
        <v/>
      </c>
      <c r="D102">
        <f>IF(B102="","",IFERROR(INDEX(Equipamentos!$C$2:$C$201,MATCH(B102,Equipamentos!$A$2:$A$201,0)),""))</f>
        <v/>
      </c>
      <c r="E102" s="55" t="n"/>
      <c r="F102" s="55" t="n"/>
      <c r="G102">
        <f>IF(B102="","",IFERROR(INDEX(Equipamentos!$N$2:$N$201,MATCH(B102,Equipamentos!$A$2:$A$201,0)),""))</f>
        <v/>
      </c>
      <c r="H102">
        <f>IF(B102="","",IFERROR(INDEX(Equipamentos!$L$2:$L$201,MATCH(B102,Equipamentos!$A$2:$A$201,0)),""))</f>
        <v/>
      </c>
      <c r="I102" s="57">
        <f>IF(OR(A102="",B102=""),"",IFERROR(INDEX(Equipamentos!$J$2:$J$201,MATCH(1,INDEX((Equipamentos!$A$2:$A$201=B102)*(Equipamentos!$P$2:$P$201=A102),0),0)),""))</f>
        <v/>
      </c>
    </row>
    <row r="103">
      <c r="A103" s="54" t="n"/>
      <c r="B103" s="55" t="n"/>
      <c r="C103" s="56">
        <f>IF(OR(A103="",B103=""),"",IF(COUNTIF(Equipamentos!$A$2:$A$201,B103)=0,"tag não encontrada",IFERROR(INDEX(Equipamentos!$H$2:$H$201,MATCH(1,INDEX((Equipamentos!$A$2:$A$201=B103)*(Equipamentos!$P$2:$P$201=A103),0),0)),"confira a data")))</f>
        <v/>
      </c>
      <c r="D103">
        <f>IF(B103="","",IFERROR(INDEX(Equipamentos!$C$2:$C$201,MATCH(B103,Equipamentos!$A$2:$A$201,0)),""))</f>
        <v/>
      </c>
      <c r="E103" s="55" t="n"/>
      <c r="F103" s="55" t="n"/>
      <c r="G103">
        <f>IF(B103="","",IFERROR(INDEX(Equipamentos!$N$2:$N$201,MATCH(B103,Equipamentos!$A$2:$A$201,0)),""))</f>
        <v/>
      </c>
      <c r="H103">
        <f>IF(B103="","",IFERROR(INDEX(Equipamentos!$L$2:$L$201,MATCH(B103,Equipamentos!$A$2:$A$201,0)),""))</f>
        <v/>
      </c>
      <c r="I103" s="57">
        <f>IF(OR(A103="",B103=""),"",IFERROR(INDEX(Equipamentos!$J$2:$J$201,MATCH(1,INDEX((Equipamentos!$A$2:$A$201=B103)*(Equipamentos!$P$2:$P$201=A103),0),0)),""))</f>
        <v/>
      </c>
    </row>
    <row r="104">
      <c r="A104" s="54" t="n"/>
      <c r="B104" s="55" t="n"/>
      <c r="C104" s="56">
        <f>IF(OR(A104="",B104=""),"",IF(COUNTIF(Equipamentos!$A$2:$A$201,B104)=0,"tag não encontrada",IFERROR(INDEX(Equipamentos!$H$2:$H$201,MATCH(1,INDEX((Equipamentos!$A$2:$A$201=B104)*(Equipamentos!$P$2:$P$201=A104),0),0)),"confira a data")))</f>
        <v/>
      </c>
      <c r="D104">
        <f>IF(B104="","",IFERROR(INDEX(Equipamentos!$C$2:$C$201,MATCH(B104,Equipamentos!$A$2:$A$201,0)),""))</f>
        <v/>
      </c>
      <c r="E104" s="55" t="n"/>
      <c r="F104" s="55" t="n"/>
      <c r="G104">
        <f>IF(B104="","",IFERROR(INDEX(Equipamentos!$N$2:$N$201,MATCH(B104,Equipamentos!$A$2:$A$201,0)),""))</f>
        <v/>
      </c>
      <c r="H104">
        <f>IF(B104="","",IFERROR(INDEX(Equipamentos!$L$2:$L$201,MATCH(B104,Equipamentos!$A$2:$A$201,0)),""))</f>
        <v/>
      </c>
      <c r="I104" s="57">
        <f>IF(OR(A104="",B104=""),"",IFERROR(INDEX(Equipamentos!$J$2:$J$201,MATCH(1,INDEX((Equipamentos!$A$2:$A$201=B104)*(Equipamentos!$P$2:$P$201=A104),0),0)),""))</f>
        <v/>
      </c>
    </row>
    <row r="105">
      <c r="A105" s="54" t="n"/>
      <c r="B105" s="55" t="n"/>
      <c r="C105" s="56">
        <f>IF(OR(A105="",B105=""),"",IF(COUNTIF(Equipamentos!$A$2:$A$201,B105)=0,"tag não encontrada",IFERROR(INDEX(Equipamentos!$H$2:$H$201,MATCH(1,INDEX((Equipamentos!$A$2:$A$201=B105)*(Equipamentos!$P$2:$P$201=A105),0),0)),"confira a data")))</f>
        <v/>
      </c>
      <c r="D105">
        <f>IF(B105="","",IFERROR(INDEX(Equipamentos!$C$2:$C$201,MATCH(B105,Equipamentos!$A$2:$A$201,0)),""))</f>
        <v/>
      </c>
      <c r="E105" s="55" t="n"/>
      <c r="F105" s="55" t="n"/>
      <c r="G105">
        <f>IF(B105="","",IFERROR(INDEX(Equipamentos!$N$2:$N$201,MATCH(B105,Equipamentos!$A$2:$A$201,0)),""))</f>
        <v/>
      </c>
      <c r="H105">
        <f>IF(B105="","",IFERROR(INDEX(Equipamentos!$L$2:$L$201,MATCH(B105,Equipamentos!$A$2:$A$201,0)),""))</f>
        <v/>
      </c>
      <c r="I105" s="57">
        <f>IF(OR(A105="",B105=""),"",IFERROR(INDEX(Equipamentos!$J$2:$J$201,MATCH(1,INDEX((Equipamentos!$A$2:$A$201=B105)*(Equipamentos!$P$2:$P$201=A105),0),0)),""))</f>
        <v/>
      </c>
    </row>
    <row r="106">
      <c r="A106" s="54" t="n"/>
      <c r="B106" s="55" t="n"/>
      <c r="C106" s="56">
        <f>IF(OR(A106="",B106=""),"",IF(COUNTIF(Equipamentos!$A$2:$A$201,B106)=0,"tag não encontrada",IFERROR(INDEX(Equipamentos!$H$2:$H$201,MATCH(1,INDEX((Equipamentos!$A$2:$A$201=B106)*(Equipamentos!$P$2:$P$201=A106),0),0)),"confira a data")))</f>
        <v/>
      </c>
      <c r="D106">
        <f>IF(B106="","",IFERROR(INDEX(Equipamentos!$C$2:$C$201,MATCH(B106,Equipamentos!$A$2:$A$201,0)),""))</f>
        <v/>
      </c>
      <c r="E106" s="55" t="n"/>
      <c r="F106" s="55" t="n"/>
      <c r="G106">
        <f>IF(B106="","",IFERROR(INDEX(Equipamentos!$N$2:$N$201,MATCH(B106,Equipamentos!$A$2:$A$201,0)),""))</f>
        <v/>
      </c>
      <c r="H106">
        <f>IF(B106="","",IFERROR(INDEX(Equipamentos!$L$2:$L$201,MATCH(B106,Equipamentos!$A$2:$A$201,0)),""))</f>
        <v/>
      </c>
      <c r="I106" s="57">
        <f>IF(OR(A106="",B106=""),"",IFERROR(INDEX(Equipamentos!$J$2:$J$201,MATCH(1,INDEX((Equipamentos!$A$2:$A$201=B106)*(Equipamentos!$P$2:$P$201=A106),0),0)),""))</f>
        <v/>
      </c>
    </row>
    <row r="107">
      <c r="A107" s="54" t="n"/>
      <c r="B107" s="55" t="n"/>
      <c r="C107" s="56">
        <f>IF(OR(A107="",B107=""),"",IF(COUNTIF(Equipamentos!$A$2:$A$201,B107)=0,"tag não encontrada",IFERROR(INDEX(Equipamentos!$H$2:$H$201,MATCH(1,INDEX((Equipamentos!$A$2:$A$201=B107)*(Equipamentos!$P$2:$P$201=A107),0),0)),"confira a data")))</f>
        <v/>
      </c>
      <c r="D107">
        <f>IF(B107="","",IFERROR(INDEX(Equipamentos!$C$2:$C$201,MATCH(B107,Equipamentos!$A$2:$A$201,0)),""))</f>
        <v/>
      </c>
      <c r="E107" s="55" t="n"/>
      <c r="F107" s="55" t="n"/>
      <c r="G107">
        <f>IF(B107="","",IFERROR(INDEX(Equipamentos!$N$2:$N$201,MATCH(B107,Equipamentos!$A$2:$A$201,0)),""))</f>
        <v/>
      </c>
      <c r="H107">
        <f>IF(B107="","",IFERROR(INDEX(Equipamentos!$L$2:$L$201,MATCH(B107,Equipamentos!$A$2:$A$201,0)),""))</f>
        <v/>
      </c>
      <c r="I107" s="57">
        <f>IF(OR(A107="",B107=""),"",IFERROR(INDEX(Equipamentos!$J$2:$J$201,MATCH(1,INDEX((Equipamentos!$A$2:$A$201=B107)*(Equipamentos!$P$2:$P$201=A107),0),0)),""))</f>
        <v/>
      </c>
    </row>
    <row r="108">
      <c r="A108" s="54" t="n"/>
      <c r="B108" s="55" t="n"/>
      <c r="C108" s="56">
        <f>IF(OR(A108="",B108=""),"",IF(COUNTIF(Equipamentos!$A$2:$A$201,B108)=0,"tag não encontrada",IFERROR(INDEX(Equipamentos!$H$2:$H$201,MATCH(1,INDEX((Equipamentos!$A$2:$A$201=B108)*(Equipamentos!$P$2:$P$201=A108),0),0)),"confira a data")))</f>
        <v/>
      </c>
      <c r="D108">
        <f>IF(B108="","",IFERROR(INDEX(Equipamentos!$C$2:$C$201,MATCH(B108,Equipamentos!$A$2:$A$201,0)),""))</f>
        <v/>
      </c>
      <c r="E108" s="55" t="n"/>
      <c r="F108" s="55" t="n"/>
      <c r="G108">
        <f>IF(B108="","",IFERROR(INDEX(Equipamentos!$N$2:$N$201,MATCH(B108,Equipamentos!$A$2:$A$201,0)),""))</f>
        <v/>
      </c>
      <c r="H108">
        <f>IF(B108="","",IFERROR(INDEX(Equipamentos!$L$2:$L$201,MATCH(B108,Equipamentos!$A$2:$A$201,0)),""))</f>
        <v/>
      </c>
      <c r="I108" s="57">
        <f>IF(OR(A108="",B108=""),"",IFERROR(INDEX(Equipamentos!$J$2:$J$201,MATCH(1,INDEX((Equipamentos!$A$2:$A$201=B108)*(Equipamentos!$P$2:$P$201=A108),0),0)),""))</f>
        <v/>
      </c>
    </row>
    <row r="109">
      <c r="A109" s="54" t="n"/>
      <c r="B109" s="55" t="n"/>
      <c r="C109" s="56">
        <f>IF(OR(A109="",B109=""),"",IF(COUNTIF(Equipamentos!$A$2:$A$201,B109)=0,"tag não encontrada",IFERROR(INDEX(Equipamentos!$H$2:$H$201,MATCH(1,INDEX((Equipamentos!$A$2:$A$201=B109)*(Equipamentos!$P$2:$P$201=A109),0),0)),"confira a data")))</f>
        <v/>
      </c>
      <c r="D109">
        <f>IF(B109="","",IFERROR(INDEX(Equipamentos!$C$2:$C$201,MATCH(B109,Equipamentos!$A$2:$A$201,0)),""))</f>
        <v/>
      </c>
      <c r="E109" s="55" t="n"/>
      <c r="F109" s="55" t="n"/>
      <c r="G109">
        <f>IF(B109="","",IFERROR(INDEX(Equipamentos!$N$2:$N$201,MATCH(B109,Equipamentos!$A$2:$A$201,0)),""))</f>
        <v/>
      </c>
      <c r="H109">
        <f>IF(B109="","",IFERROR(INDEX(Equipamentos!$L$2:$L$201,MATCH(B109,Equipamentos!$A$2:$A$201,0)),""))</f>
        <v/>
      </c>
      <c r="I109" s="57">
        <f>IF(OR(A109="",B109=""),"",IFERROR(INDEX(Equipamentos!$J$2:$J$201,MATCH(1,INDEX((Equipamentos!$A$2:$A$201=B109)*(Equipamentos!$P$2:$P$201=A109),0),0)),""))</f>
        <v/>
      </c>
    </row>
    <row r="110">
      <c r="A110" s="54" t="n"/>
      <c r="B110" s="55" t="n"/>
      <c r="C110" s="56">
        <f>IF(OR(A110="",B110=""),"",IF(COUNTIF(Equipamentos!$A$2:$A$201,B110)=0,"tag não encontrada",IFERROR(INDEX(Equipamentos!$H$2:$H$201,MATCH(1,INDEX((Equipamentos!$A$2:$A$201=B110)*(Equipamentos!$P$2:$P$201=A110),0),0)),"confira a data")))</f>
        <v/>
      </c>
      <c r="D110">
        <f>IF(B110="","",IFERROR(INDEX(Equipamentos!$C$2:$C$201,MATCH(B110,Equipamentos!$A$2:$A$201,0)),""))</f>
        <v/>
      </c>
      <c r="E110" s="55" t="n"/>
      <c r="F110" s="55" t="n"/>
      <c r="G110">
        <f>IF(B110="","",IFERROR(INDEX(Equipamentos!$N$2:$N$201,MATCH(B110,Equipamentos!$A$2:$A$201,0)),""))</f>
        <v/>
      </c>
      <c r="H110">
        <f>IF(B110="","",IFERROR(INDEX(Equipamentos!$L$2:$L$201,MATCH(B110,Equipamentos!$A$2:$A$201,0)),""))</f>
        <v/>
      </c>
      <c r="I110" s="57">
        <f>IF(OR(A110="",B110=""),"",IFERROR(INDEX(Equipamentos!$J$2:$J$201,MATCH(1,INDEX((Equipamentos!$A$2:$A$201=B110)*(Equipamentos!$P$2:$P$201=A110),0),0)),""))</f>
        <v/>
      </c>
    </row>
    <row r="111">
      <c r="A111" s="54" t="n"/>
      <c r="B111" s="55" t="n"/>
      <c r="C111" s="56">
        <f>IF(OR(A111="",B111=""),"",IF(COUNTIF(Equipamentos!$A$2:$A$201,B111)=0,"tag não encontrada",IFERROR(INDEX(Equipamentos!$H$2:$H$201,MATCH(1,INDEX((Equipamentos!$A$2:$A$201=B111)*(Equipamentos!$P$2:$P$201=A111),0),0)),"confira a data")))</f>
        <v/>
      </c>
      <c r="D111">
        <f>IF(B111="","",IFERROR(INDEX(Equipamentos!$C$2:$C$201,MATCH(B111,Equipamentos!$A$2:$A$201,0)),""))</f>
        <v/>
      </c>
      <c r="E111" s="55" t="n"/>
      <c r="F111" s="55" t="n"/>
      <c r="G111">
        <f>IF(B111="","",IFERROR(INDEX(Equipamentos!$N$2:$N$201,MATCH(B111,Equipamentos!$A$2:$A$201,0)),""))</f>
        <v/>
      </c>
      <c r="H111">
        <f>IF(B111="","",IFERROR(INDEX(Equipamentos!$L$2:$L$201,MATCH(B111,Equipamentos!$A$2:$A$201,0)),""))</f>
        <v/>
      </c>
      <c r="I111" s="57">
        <f>IF(OR(A111="",B111=""),"",IFERROR(INDEX(Equipamentos!$J$2:$J$201,MATCH(1,INDEX((Equipamentos!$A$2:$A$201=B111)*(Equipamentos!$P$2:$P$201=A111),0),0)),""))</f>
        <v/>
      </c>
    </row>
    <row r="112">
      <c r="A112" s="54" t="n"/>
      <c r="B112" s="55" t="n"/>
      <c r="C112" s="56">
        <f>IF(OR(A112="",B112=""),"",IF(COUNTIF(Equipamentos!$A$2:$A$201,B112)=0,"tag não encontrada",IFERROR(INDEX(Equipamentos!$H$2:$H$201,MATCH(1,INDEX((Equipamentos!$A$2:$A$201=B112)*(Equipamentos!$P$2:$P$201=A112),0),0)),"confira a data")))</f>
        <v/>
      </c>
      <c r="D112">
        <f>IF(B112="","",IFERROR(INDEX(Equipamentos!$C$2:$C$201,MATCH(B112,Equipamentos!$A$2:$A$201,0)),""))</f>
        <v/>
      </c>
      <c r="E112" s="55" t="n"/>
      <c r="F112" s="55" t="n"/>
      <c r="G112">
        <f>IF(B112="","",IFERROR(INDEX(Equipamentos!$N$2:$N$201,MATCH(B112,Equipamentos!$A$2:$A$201,0)),""))</f>
        <v/>
      </c>
      <c r="H112">
        <f>IF(B112="","",IFERROR(INDEX(Equipamentos!$L$2:$L$201,MATCH(B112,Equipamentos!$A$2:$A$201,0)),""))</f>
        <v/>
      </c>
      <c r="I112" s="57">
        <f>IF(OR(A112="",B112=""),"",IFERROR(INDEX(Equipamentos!$J$2:$J$201,MATCH(1,INDEX((Equipamentos!$A$2:$A$201=B112)*(Equipamentos!$P$2:$P$201=A112),0),0)),""))</f>
        <v/>
      </c>
    </row>
    <row r="113">
      <c r="A113" s="54" t="n"/>
      <c r="B113" s="55" t="n"/>
      <c r="C113" s="56">
        <f>IF(OR(A113="",B113=""),"",IF(COUNTIF(Equipamentos!$A$2:$A$201,B113)=0,"tag não encontrada",IFERROR(INDEX(Equipamentos!$H$2:$H$201,MATCH(1,INDEX((Equipamentos!$A$2:$A$201=B113)*(Equipamentos!$P$2:$P$201=A113),0),0)),"confira a data")))</f>
        <v/>
      </c>
      <c r="D113">
        <f>IF(B113="","",IFERROR(INDEX(Equipamentos!$C$2:$C$201,MATCH(B113,Equipamentos!$A$2:$A$201,0)),""))</f>
        <v/>
      </c>
      <c r="E113" s="55" t="n"/>
      <c r="F113" s="55" t="n"/>
      <c r="G113">
        <f>IF(B113="","",IFERROR(INDEX(Equipamentos!$N$2:$N$201,MATCH(B113,Equipamentos!$A$2:$A$201,0)),""))</f>
        <v/>
      </c>
      <c r="H113">
        <f>IF(B113="","",IFERROR(INDEX(Equipamentos!$L$2:$L$201,MATCH(B113,Equipamentos!$A$2:$A$201,0)),""))</f>
        <v/>
      </c>
      <c r="I113" s="57">
        <f>IF(OR(A113="",B113=""),"",IFERROR(INDEX(Equipamentos!$J$2:$J$201,MATCH(1,INDEX((Equipamentos!$A$2:$A$201=B113)*(Equipamentos!$P$2:$P$201=A113),0),0)),""))</f>
        <v/>
      </c>
    </row>
    <row r="114">
      <c r="A114" s="54" t="n"/>
      <c r="B114" s="55" t="n"/>
      <c r="C114" s="56">
        <f>IF(OR(A114="",B114=""),"",IF(COUNTIF(Equipamentos!$A$2:$A$201,B114)=0,"tag não encontrada",IFERROR(INDEX(Equipamentos!$H$2:$H$201,MATCH(1,INDEX((Equipamentos!$A$2:$A$201=B114)*(Equipamentos!$P$2:$P$201=A114),0),0)),"confira a data")))</f>
        <v/>
      </c>
      <c r="D114">
        <f>IF(B114="","",IFERROR(INDEX(Equipamentos!$C$2:$C$201,MATCH(B114,Equipamentos!$A$2:$A$201,0)),""))</f>
        <v/>
      </c>
      <c r="E114" s="55" t="n"/>
      <c r="F114" s="55" t="n"/>
      <c r="G114">
        <f>IF(B114="","",IFERROR(INDEX(Equipamentos!$N$2:$N$201,MATCH(B114,Equipamentos!$A$2:$A$201,0)),""))</f>
        <v/>
      </c>
      <c r="H114">
        <f>IF(B114="","",IFERROR(INDEX(Equipamentos!$L$2:$L$201,MATCH(B114,Equipamentos!$A$2:$A$201,0)),""))</f>
        <v/>
      </c>
      <c r="I114" s="57">
        <f>IF(OR(A114="",B114=""),"",IFERROR(INDEX(Equipamentos!$J$2:$J$201,MATCH(1,INDEX((Equipamentos!$A$2:$A$201=B114)*(Equipamentos!$P$2:$P$201=A114),0),0)),""))</f>
        <v/>
      </c>
    </row>
    <row r="115">
      <c r="A115" s="54" t="n"/>
      <c r="B115" s="55" t="n"/>
      <c r="C115" s="56">
        <f>IF(OR(A115="",B115=""),"",IF(COUNTIF(Equipamentos!$A$2:$A$201,B115)=0,"tag não encontrada",IFERROR(INDEX(Equipamentos!$H$2:$H$201,MATCH(1,INDEX((Equipamentos!$A$2:$A$201=B115)*(Equipamentos!$P$2:$P$201=A115),0),0)),"confira a data")))</f>
        <v/>
      </c>
      <c r="D115">
        <f>IF(B115="","",IFERROR(INDEX(Equipamentos!$C$2:$C$201,MATCH(B115,Equipamentos!$A$2:$A$201,0)),""))</f>
        <v/>
      </c>
      <c r="E115" s="55" t="n"/>
      <c r="F115" s="55" t="n"/>
      <c r="G115">
        <f>IF(B115="","",IFERROR(INDEX(Equipamentos!$N$2:$N$201,MATCH(B115,Equipamentos!$A$2:$A$201,0)),""))</f>
        <v/>
      </c>
      <c r="H115">
        <f>IF(B115="","",IFERROR(INDEX(Equipamentos!$L$2:$L$201,MATCH(B115,Equipamentos!$A$2:$A$201,0)),""))</f>
        <v/>
      </c>
      <c r="I115" s="57">
        <f>IF(OR(A115="",B115=""),"",IFERROR(INDEX(Equipamentos!$J$2:$J$201,MATCH(1,INDEX((Equipamentos!$A$2:$A$201=B115)*(Equipamentos!$P$2:$P$201=A115),0),0)),""))</f>
        <v/>
      </c>
    </row>
    <row r="116">
      <c r="A116" s="54" t="n"/>
      <c r="B116" s="55" t="n"/>
      <c r="C116" s="56">
        <f>IF(OR(A116="",B116=""),"",IF(COUNTIF(Equipamentos!$A$2:$A$201,B116)=0,"tag não encontrada",IFERROR(INDEX(Equipamentos!$H$2:$H$201,MATCH(1,INDEX((Equipamentos!$A$2:$A$201=B116)*(Equipamentos!$P$2:$P$201=A116),0),0)),"confira a data")))</f>
        <v/>
      </c>
      <c r="D116">
        <f>IF(B116="","",IFERROR(INDEX(Equipamentos!$C$2:$C$201,MATCH(B116,Equipamentos!$A$2:$A$201,0)),""))</f>
        <v/>
      </c>
      <c r="E116" s="55" t="n"/>
      <c r="F116" s="55" t="n"/>
      <c r="G116">
        <f>IF(B116="","",IFERROR(INDEX(Equipamentos!$N$2:$N$201,MATCH(B116,Equipamentos!$A$2:$A$201,0)),""))</f>
        <v/>
      </c>
      <c r="H116">
        <f>IF(B116="","",IFERROR(INDEX(Equipamentos!$L$2:$L$201,MATCH(B116,Equipamentos!$A$2:$A$201,0)),""))</f>
        <v/>
      </c>
      <c r="I116" s="57">
        <f>IF(OR(A116="",B116=""),"",IFERROR(INDEX(Equipamentos!$J$2:$J$201,MATCH(1,INDEX((Equipamentos!$A$2:$A$201=B116)*(Equipamentos!$P$2:$P$201=A116),0),0)),""))</f>
        <v/>
      </c>
    </row>
    <row r="117">
      <c r="A117" s="54" t="n"/>
      <c r="B117" s="55" t="n"/>
      <c r="C117" s="56">
        <f>IF(OR(A117="",B117=""),"",IF(COUNTIF(Equipamentos!$A$2:$A$201,B117)=0,"tag não encontrada",IFERROR(INDEX(Equipamentos!$H$2:$H$201,MATCH(1,INDEX((Equipamentos!$A$2:$A$201=B117)*(Equipamentos!$P$2:$P$201=A117),0),0)),"confira a data")))</f>
        <v/>
      </c>
      <c r="D117">
        <f>IF(B117="","",IFERROR(INDEX(Equipamentos!$C$2:$C$201,MATCH(B117,Equipamentos!$A$2:$A$201,0)),""))</f>
        <v/>
      </c>
      <c r="E117" s="55" t="n"/>
      <c r="F117" s="55" t="n"/>
      <c r="G117">
        <f>IF(B117="","",IFERROR(INDEX(Equipamentos!$N$2:$N$201,MATCH(B117,Equipamentos!$A$2:$A$201,0)),""))</f>
        <v/>
      </c>
      <c r="H117">
        <f>IF(B117="","",IFERROR(INDEX(Equipamentos!$L$2:$L$201,MATCH(B117,Equipamentos!$A$2:$A$201,0)),""))</f>
        <v/>
      </c>
      <c r="I117" s="57">
        <f>IF(OR(A117="",B117=""),"",IFERROR(INDEX(Equipamentos!$J$2:$J$201,MATCH(1,INDEX((Equipamentos!$A$2:$A$201=B117)*(Equipamentos!$P$2:$P$201=A117),0),0)),""))</f>
        <v/>
      </c>
    </row>
    <row r="118">
      <c r="A118" s="54" t="n"/>
      <c r="B118" s="55" t="n"/>
      <c r="C118" s="56">
        <f>IF(OR(A118="",B118=""),"",IF(COUNTIF(Equipamentos!$A$2:$A$201,B118)=0,"tag não encontrada",IFERROR(INDEX(Equipamentos!$H$2:$H$201,MATCH(1,INDEX((Equipamentos!$A$2:$A$201=B118)*(Equipamentos!$P$2:$P$201=A118),0),0)),"confira a data")))</f>
        <v/>
      </c>
      <c r="D118">
        <f>IF(B118="","",IFERROR(INDEX(Equipamentos!$C$2:$C$201,MATCH(B118,Equipamentos!$A$2:$A$201,0)),""))</f>
        <v/>
      </c>
      <c r="E118" s="55" t="n"/>
      <c r="F118" s="55" t="n"/>
      <c r="G118">
        <f>IF(B118="","",IFERROR(INDEX(Equipamentos!$N$2:$N$201,MATCH(B118,Equipamentos!$A$2:$A$201,0)),""))</f>
        <v/>
      </c>
      <c r="H118">
        <f>IF(B118="","",IFERROR(INDEX(Equipamentos!$L$2:$L$201,MATCH(B118,Equipamentos!$A$2:$A$201,0)),""))</f>
        <v/>
      </c>
      <c r="I118" s="57">
        <f>IF(OR(A118="",B118=""),"",IFERROR(INDEX(Equipamentos!$J$2:$J$201,MATCH(1,INDEX((Equipamentos!$A$2:$A$201=B118)*(Equipamentos!$P$2:$P$201=A118),0),0)),""))</f>
        <v/>
      </c>
    </row>
    <row r="119">
      <c r="A119" s="54" t="n"/>
      <c r="B119" s="55" t="n"/>
      <c r="C119" s="56">
        <f>IF(OR(A119="",B119=""),"",IF(COUNTIF(Equipamentos!$A$2:$A$201,B119)=0,"tag não encontrada",IFERROR(INDEX(Equipamentos!$H$2:$H$201,MATCH(1,INDEX((Equipamentos!$A$2:$A$201=B119)*(Equipamentos!$P$2:$P$201=A119),0),0)),"confira a data")))</f>
        <v/>
      </c>
      <c r="D119">
        <f>IF(B119="","",IFERROR(INDEX(Equipamentos!$C$2:$C$201,MATCH(B119,Equipamentos!$A$2:$A$201,0)),""))</f>
        <v/>
      </c>
      <c r="E119" s="55" t="n"/>
      <c r="F119" s="55" t="n"/>
      <c r="G119">
        <f>IF(B119="","",IFERROR(INDEX(Equipamentos!$N$2:$N$201,MATCH(B119,Equipamentos!$A$2:$A$201,0)),""))</f>
        <v/>
      </c>
      <c r="H119">
        <f>IF(B119="","",IFERROR(INDEX(Equipamentos!$L$2:$L$201,MATCH(B119,Equipamentos!$A$2:$A$201,0)),""))</f>
        <v/>
      </c>
      <c r="I119" s="57">
        <f>IF(OR(A119="",B119=""),"",IFERROR(INDEX(Equipamentos!$J$2:$J$201,MATCH(1,INDEX((Equipamentos!$A$2:$A$201=B119)*(Equipamentos!$P$2:$P$201=A119),0),0)),""))</f>
        <v/>
      </c>
    </row>
    <row r="120">
      <c r="A120" s="54" t="n"/>
      <c r="B120" s="55" t="n"/>
      <c r="C120" s="56">
        <f>IF(OR(A120="",B120=""),"",IF(COUNTIF(Equipamentos!$A$2:$A$201,B120)=0,"tag não encontrada",IFERROR(INDEX(Equipamentos!$H$2:$H$201,MATCH(1,INDEX((Equipamentos!$A$2:$A$201=B120)*(Equipamentos!$P$2:$P$201=A120),0),0)),"confira a data")))</f>
        <v/>
      </c>
      <c r="D120">
        <f>IF(B120="","",IFERROR(INDEX(Equipamentos!$C$2:$C$201,MATCH(B120,Equipamentos!$A$2:$A$201,0)),""))</f>
        <v/>
      </c>
      <c r="E120" s="55" t="n"/>
      <c r="F120" s="55" t="n"/>
      <c r="G120">
        <f>IF(B120="","",IFERROR(INDEX(Equipamentos!$N$2:$N$201,MATCH(B120,Equipamentos!$A$2:$A$201,0)),""))</f>
        <v/>
      </c>
      <c r="H120">
        <f>IF(B120="","",IFERROR(INDEX(Equipamentos!$L$2:$L$201,MATCH(B120,Equipamentos!$A$2:$A$201,0)),""))</f>
        <v/>
      </c>
      <c r="I120" s="57">
        <f>IF(OR(A120="",B120=""),"",IFERROR(INDEX(Equipamentos!$J$2:$J$201,MATCH(1,INDEX((Equipamentos!$A$2:$A$201=B120)*(Equipamentos!$P$2:$P$201=A120),0),0)),""))</f>
        <v/>
      </c>
    </row>
    <row r="121">
      <c r="A121" s="54" t="n"/>
      <c r="B121" s="55" t="n"/>
      <c r="C121" s="56">
        <f>IF(OR(A121="",B121=""),"",IF(COUNTIF(Equipamentos!$A$2:$A$201,B121)=0,"tag não encontrada",IFERROR(INDEX(Equipamentos!$H$2:$H$201,MATCH(1,INDEX((Equipamentos!$A$2:$A$201=B121)*(Equipamentos!$P$2:$P$201=A121),0),0)),"confira a data")))</f>
        <v/>
      </c>
      <c r="D121">
        <f>IF(B121="","",IFERROR(INDEX(Equipamentos!$C$2:$C$201,MATCH(B121,Equipamentos!$A$2:$A$201,0)),""))</f>
        <v/>
      </c>
      <c r="E121" s="55" t="n"/>
      <c r="F121" s="55" t="n"/>
      <c r="G121">
        <f>IF(B121="","",IFERROR(INDEX(Equipamentos!$N$2:$N$201,MATCH(B121,Equipamentos!$A$2:$A$201,0)),""))</f>
        <v/>
      </c>
      <c r="H121">
        <f>IF(B121="","",IFERROR(INDEX(Equipamentos!$L$2:$L$201,MATCH(B121,Equipamentos!$A$2:$A$201,0)),""))</f>
        <v/>
      </c>
      <c r="I121" s="57">
        <f>IF(OR(A121="",B121=""),"",IFERROR(INDEX(Equipamentos!$J$2:$J$201,MATCH(1,INDEX((Equipamentos!$A$2:$A$201=B121)*(Equipamentos!$P$2:$P$201=A121),0),0)),""))</f>
        <v/>
      </c>
    </row>
    <row r="122">
      <c r="A122" s="54" t="n"/>
      <c r="B122" s="55" t="n"/>
      <c r="C122" s="56">
        <f>IF(OR(A122="",B122=""),"",IF(COUNTIF(Equipamentos!$A$2:$A$201,B122)=0,"tag não encontrada",IFERROR(INDEX(Equipamentos!$H$2:$H$201,MATCH(1,INDEX((Equipamentos!$A$2:$A$201=B122)*(Equipamentos!$P$2:$P$201=A122),0),0)),"confira a data")))</f>
        <v/>
      </c>
      <c r="D122">
        <f>IF(B122="","",IFERROR(INDEX(Equipamentos!$C$2:$C$201,MATCH(B122,Equipamentos!$A$2:$A$201,0)),""))</f>
        <v/>
      </c>
      <c r="E122" s="55" t="n"/>
      <c r="F122" s="55" t="n"/>
      <c r="G122">
        <f>IF(B122="","",IFERROR(INDEX(Equipamentos!$N$2:$N$201,MATCH(B122,Equipamentos!$A$2:$A$201,0)),""))</f>
        <v/>
      </c>
      <c r="H122">
        <f>IF(B122="","",IFERROR(INDEX(Equipamentos!$L$2:$L$201,MATCH(B122,Equipamentos!$A$2:$A$201,0)),""))</f>
        <v/>
      </c>
      <c r="I122" s="57">
        <f>IF(OR(A122="",B122=""),"",IFERROR(INDEX(Equipamentos!$J$2:$J$201,MATCH(1,INDEX((Equipamentos!$A$2:$A$201=B122)*(Equipamentos!$P$2:$P$201=A122),0),0)),""))</f>
        <v/>
      </c>
    </row>
    <row r="123">
      <c r="A123" s="54" t="n"/>
      <c r="B123" s="55" t="n"/>
      <c r="C123" s="56">
        <f>IF(OR(A123="",B123=""),"",IF(COUNTIF(Equipamentos!$A$2:$A$201,B123)=0,"tag não encontrada",IFERROR(INDEX(Equipamentos!$H$2:$H$201,MATCH(1,INDEX((Equipamentos!$A$2:$A$201=B123)*(Equipamentos!$P$2:$P$201=A123),0),0)),"confira a data")))</f>
        <v/>
      </c>
      <c r="D123">
        <f>IF(B123="","",IFERROR(INDEX(Equipamentos!$C$2:$C$201,MATCH(B123,Equipamentos!$A$2:$A$201,0)),""))</f>
        <v/>
      </c>
      <c r="E123" s="55" t="n"/>
      <c r="F123" s="55" t="n"/>
      <c r="G123">
        <f>IF(B123="","",IFERROR(INDEX(Equipamentos!$N$2:$N$201,MATCH(B123,Equipamentos!$A$2:$A$201,0)),""))</f>
        <v/>
      </c>
      <c r="H123">
        <f>IF(B123="","",IFERROR(INDEX(Equipamentos!$L$2:$L$201,MATCH(B123,Equipamentos!$A$2:$A$201,0)),""))</f>
        <v/>
      </c>
      <c r="I123" s="57">
        <f>IF(OR(A123="",B123=""),"",IFERROR(INDEX(Equipamentos!$J$2:$J$201,MATCH(1,INDEX((Equipamentos!$A$2:$A$201=B123)*(Equipamentos!$P$2:$P$201=A123),0),0)),""))</f>
        <v/>
      </c>
    </row>
    <row r="124">
      <c r="A124" s="54" t="n"/>
      <c r="B124" s="55" t="n"/>
      <c r="C124" s="56">
        <f>IF(OR(A124="",B124=""),"",IF(COUNTIF(Equipamentos!$A$2:$A$201,B124)=0,"tag não encontrada",IFERROR(INDEX(Equipamentos!$H$2:$H$201,MATCH(1,INDEX((Equipamentos!$A$2:$A$201=B124)*(Equipamentos!$P$2:$P$201=A124),0),0)),"confira a data")))</f>
        <v/>
      </c>
      <c r="D124">
        <f>IF(B124="","",IFERROR(INDEX(Equipamentos!$C$2:$C$201,MATCH(B124,Equipamentos!$A$2:$A$201,0)),""))</f>
        <v/>
      </c>
      <c r="E124" s="55" t="n"/>
      <c r="F124" s="55" t="n"/>
      <c r="G124">
        <f>IF(B124="","",IFERROR(INDEX(Equipamentos!$N$2:$N$201,MATCH(B124,Equipamentos!$A$2:$A$201,0)),""))</f>
        <v/>
      </c>
      <c r="H124">
        <f>IF(B124="","",IFERROR(INDEX(Equipamentos!$L$2:$L$201,MATCH(B124,Equipamentos!$A$2:$A$201,0)),""))</f>
        <v/>
      </c>
      <c r="I124" s="57">
        <f>IF(OR(A124="",B124=""),"",IFERROR(INDEX(Equipamentos!$J$2:$J$201,MATCH(1,INDEX((Equipamentos!$A$2:$A$201=B124)*(Equipamentos!$P$2:$P$201=A124),0),0)),""))</f>
        <v/>
      </c>
    </row>
    <row r="125">
      <c r="A125" s="54" t="n"/>
      <c r="B125" s="55" t="n"/>
      <c r="C125" s="56">
        <f>IF(OR(A125="",B125=""),"",IF(COUNTIF(Equipamentos!$A$2:$A$201,B125)=0,"tag não encontrada",IFERROR(INDEX(Equipamentos!$H$2:$H$201,MATCH(1,INDEX((Equipamentos!$A$2:$A$201=B125)*(Equipamentos!$P$2:$P$201=A125),0),0)),"confira a data")))</f>
        <v/>
      </c>
      <c r="D125">
        <f>IF(B125="","",IFERROR(INDEX(Equipamentos!$C$2:$C$201,MATCH(B125,Equipamentos!$A$2:$A$201,0)),""))</f>
        <v/>
      </c>
      <c r="E125" s="55" t="n"/>
      <c r="F125" s="55" t="n"/>
      <c r="G125">
        <f>IF(B125="","",IFERROR(INDEX(Equipamentos!$N$2:$N$201,MATCH(B125,Equipamentos!$A$2:$A$201,0)),""))</f>
        <v/>
      </c>
      <c r="H125">
        <f>IF(B125="","",IFERROR(INDEX(Equipamentos!$L$2:$L$201,MATCH(B125,Equipamentos!$A$2:$A$201,0)),""))</f>
        <v/>
      </c>
      <c r="I125" s="57">
        <f>IF(OR(A125="",B125=""),"",IFERROR(INDEX(Equipamentos!$J$2:$J$201,MATCH(1,INDEX((Equipamentos!$A$2:$A$201=B125)*(Equipamentos!$P$2:$P$201=A125),0),0)),""))</f>
        <v/>
      </c>
    </row>
    <row r="126">
      <c r="A126" s="54" t="n"/>
      <c r="B126" s="55" t="n"/>
      <c r="C126" s="56">
        <f>IF(OR(A126="",B126=""),"",IF(COUNTIF(Equipamentos!$A$2:$A$201,B126)=0,"tag não encontrada",IFERROR(INDEX(Equipamentos!$H$2:$H$201,MATCH(1,INDEX((Equipamentos!$A$2:$A$201=B126)*(Equipamentos!$P$2:$P$201=A126),0),0)),"confira a data")))</f>
        <v/>
      </c>
      <c r="D126">
        <f>IF(B126="","",IFERROR(INDEX(Equipamentos!$C$2:$C$201,MATCH(B126,Equipamentos!$A$2:$A$201,0)),""))</f>
        <v/>
      </c>
      <c r="E126" s="55" t="n"/>
      <c r="F126" s="55" t="n"/>
      <c r="G126">
        <f>IF(B126="","",IFERROR(INDEX(Equipamentos!$N$2:$N$201,MATCH(B126,Equipamentos!$A$2:$A$201,0)),""))</f>
        <v/>
      </c>
      <c r="H126">
        <f>IF(B126="","",IFERROR(INDEX(Equipamentos!$L$2:$L$201,MATCH(B126,Equipamentos!$A$2:$A$201,0)),""))</f>
        <v/>
      </c>
      <c r="I126" s="57">
        <f>IF(OR(A126="",B126=""),"",IFERROR(INDEX(Equipamentos!$J$2:$J$201,MATCH(1,INDEX((Equipamentos!$A$2:$A$201=B126)*(Equipamentos!$P$2:$P$201=A126),0),0)),""))</f>
        <v/>
      </c>
    </row>
    <row r="127">
      <c r="A127" s="54" t="n"/>
      <c r="B127" s="55" t="n"/>
      <c r="C127" s="56">
        <f>IF(OR(A127="",B127=""),"",IF(COUNTIF(Equipamentos!$A$2:$A$201,B127)=0,"tag não encontrada",IFERROR(INDEX(Equipamentos!$H$2:$H$201,MATCH(1,INDEX((Equipamentos!$A$2:$A$201=B127)*(Equipamentos!$P$2:$P$201=A127),0),0)),"confira a data")))</f>
        <v/>
      </c>
      <c r="D127">
        <f>IF(B127="","",IFERROR(INDEX(Equipamentos!$C$2:$C$201,MATCH(B127,Equipamentos!$A$2:$A$201,0)),""))</f>
        <v/>
      </c>
      <c r="E127" s="55" t="n"/>
      <c r="F127" s="55" t="n"/>
      <c r="G127">
        <f>IF(B127="","",IFERROR(INDEX(Equipamentos!$N$2:$N$201,MATCH(B127,Equipamentos!$A$2:$A$201,0)),""))</f>
        <v/>
      </c>
      <c r="H127">
        <f>IF(B127="","",IFERROR(INDEX(Equipamentos!$L$2:$L$201,MATCH(B127,Equipamentos!$A$2:$A$201,0)),""))</f>
        <v/>
      </c>
      <c r="I127" s="57">
        <f>IF(OR(A127="",B127=""),"",IFERROR(INDEX(Equipamentos!$J$2:$J$201,MATCH(1,INDEX((Equipamentos!$A$2:$A$201=B127)*(Equipamentos!$P$2:$P$201=A127),0),0)),""))</f>
        <v/>
      </c>
    </row>
    <row r="128">
      <c r="A128" s="54" t="n"/>
      <c r="B128" s="55" t="n"/>
      <c r="C128" s="56">
        <f>IF(OR(A128="",B128=""),"",IF(COUNTIF(Equipamentos!$A$2:$A$201,B128)=0,"tag não encontrada",IFERROR(INDEX(Equipamentos!$H$2:$H$201,MATCH(1,INDEX((Equipamentos!$A$2:$A$201=B128)*(Equipamentos!$P$2:$P$201=A128),0),0)),"confira a data")))</f>
        <v/>
      </c>
      <c r="D128">
        <f>IF(B128="","",IFERROR(INDEX(Equipamentos!$C$2:$C$201,MATCH(B128,Equipamentos!$A$2:$A$201,0)),""))</f>
        <v/>
      </c>
      <c r="E128" s="55" t="n"/>
      <c r="F128" s="55" t="n"/>
      <c r="G128">
        <f>IF(B128="","",IFERROR(INDEX(Equipamentos!$N$2:$N$201,MATCH(B128,Equipamentos!$A$2:$A$201,0)),""))</f>
        <v/>
      </c>
      <c r="H128">
        <f>IF(B128="","",IFERROR(INDEX(Equipamentos!$L$2:$L$201,MATCH(B128,Equipamentos!$A$2:$A$201,0)),""))</f>
        <v/>
      </c>
      <c r="I128" s="57">
        <f>IF(OR(A128="",B128=""),"",IFERROR(INDEX(Equipamentos!$J$2:$J$201,MATCH(1,INDEX((Equipamentos!$A$2:$A$201=B128)*(Equipamentos!$P$2:$P$201=A128),0),0)),""))</f>
        <v/>
      </c>
    </row>
    <row r="129">
      <c r="A129" s="54" t="n"/>
      <c r="B129" s="55" t="n"/>
      <c r="C129" s="56">
        <f>IF(OR(A129="",B129=""),"",IF(COUNTIF(Equipamentos!$A$2:$A$201,B129)=0,"tag não encontrada",IFERROR(INDEX(Equipamentos!$H$2:$H$201,MATCH(1,INDEX((Equipamentos!$A$2:$A$201=B129)*(Equipamentos!$P$2:$P$201=A129),0),0)),"confira a data")))</f>
        <v/>
      </c>
      <c r="D129">
        <f>IF(B129="","",IFERROR(INDEX(Equipamentos!$C$2:$C$201,MATCH(B129,Equipamentos!$A$2:$A$201,0)),""))</f>
        <v/>
      </c>
      <c r="E129" s="55" t="n"/>
      <c r="F129" s="55" t="n"/>
      <c r="G129">
        <f>IF(B129="","",IFERROR(INDEX(Equipamentos!$N$2:$N$201,MATCH(B129,Equipamentos!$A$2:$A$201,0)),""))</f>
        <v/>
      </c>
      <c r="H129">
        <f>IF(B129="","",IFERROR(INDEX(Equipamentos!$L$2:$L$201,MATCH(B129,Equipamentos!$A$2:$A$201,0)),""))</f>
        <v/>
      </c>
      <c r="I129" s="57">
        <f>IF(OR(A129="",B129=""),"",IFERROR(INDEX(Equipamentos!$J$2:$J$201,MATCH(1,INDEX((Equipamentos!$A$2:$A$201=B129)*(Equipamentos!$P$2:$P$201=A129),0),0)),""))</f>
        <v/>
      </c>
    </row>
    <row r="130">
      <c r="A130" s="54" t="n"/>
      <c r="B130" s="55" t="n"/>
      <c r="C130" s="56">
        <f>IF(OR(A130="",B130=""),"",IF(COUNTIF(Equipamentos!$A$2:$A$201,B130)=0,"tag não encontrada",IFERROR(INDEX(Equipamentos!$H$2:$H$201,MATCH(1,INDEX((Equipamentos!$A$2:$A$201=B130)*(Equipamentos!$P$2:$P$201=A130),0),0)),"confira a data")))</f>
        <v/>
      </c>
      <c r="D130">
        <f>IF(B130="","",IFERROR(INDEX(Equipamentos!$C$2:$C$201,MATCH(B130,Equipamentos!$A$2:$A$201,0)),""))</f>
        <v/>
      </c>
      <c r="E130" s="55" t="n"/>
      <c r="F130" s="55" t="n"/>
      <c r="G130">
        <f>IF(B130="","",IFERROR(INDEX(Equipamentos!$N$2:$N$201,MATCH(B130,Equipamentos!$A$2:$A$201,0)),""))</f>
        <v/>
      </c>
      <c r="H130">
        <f>IF(B130="","",IFERROR(INDEX(Equipamentos!$L$2:$L$201,MATCH(B130,Equipamentos!$A$2:$A$201,0)),""))</f>
        <v/>
      </c>
      <c r="I130" s="57">
        <f>IF(OR(A130="",B130=""),"",IFERROR(INDEX(Equipamentos!$J$2:$J$201,MATCH(1,INDEX((Equipamentos!$A$2:$A$201=B130)*(Equipamentos!$P$2:$P$201=A130),0),0)),""))</f>
        <v/>
      </c>
    </row>
    <row r="131">
      <c r="A131" s="54" t="n"/>
      <c r="B131" s="55" t="n"/>
      <c r="C131" s="56">
        <f>IF(OR(A131="",B131=""),"",IF(COUNTIF(Equipamentos!$A$2:$A$201,B131)=0,"tag não encontrada",IFERROR(INDEX(Equipamentos!$H$2:$H$201,MATCH(1,INDEX((Equipamentos!$A$2:$A$201=B131)*(Equipamentos!$P$2:$P$201=A131),0),0)),"confira a data")))</f>
        <v/>
      </c>
      <c r="D131">
        <f>IF(B131="","",IFERROR(INDEX(Equipamentos!$C$2:$C$201,MATCH(B131,Equipamentos!$A$2:$A$201,0)),""))</f>
        <v/>
      </c>
      <c r="E131" s="55" t="n"/>
      <c r="F131" s="55" t="n"/>
      <c r="G131">
        <f>IF(B131="","",IFERROR(INDEX(Equipamentos!$N$2:$N$201,MATCH(B131,Equipamentos!$A$2:$A$201,0)),""))</f>
        <v/>
      </c>
      <c r="H131">
        <f>IF(B131="","",IFERROR(INDEX(Equipamentos!$L$2:$L$201,MATCH(B131,Equipamentos!$A$2:$A$201,0)),""))</f>
        <v/>
      </c>
      <c r="I131" s="57">
        <f>IF(OR(A131="",B131=""),"",IFERROR(INDEX(Equipamentos!$J$2:$J$201,MATCH(1,INDEX((Equipamentos!$A$2:$A$201=B131)*(Equipamentos!$P$2:$P$201=A131),0),0)),""))</f>
        <v/>
      </c>
    </row>
    <row r="132">
      <c r="A132" s="54" t="n"/>
      <c r="B132" s="55" t="n"/>
      <c r="C132" s="56">
        <f>IF(OR(A132="",B132=""),"",IF(COUNTIF(Equipamentos!$A$2:$A$201,B132)=0,"tag não encontrada",IFERROR(INDEX(Equipamentos!$H$2:$H$201,MATCH(1,INDEX((Equipamentos!$A$2:$A$201=B132)*(Equipamentos!$P$2:$P$201=A132),0),0)),"confira a data")))</f>
        <v/>
      </c>
      <c r="D132">
        <f>IF(B132="","",IFERROR(INDEX(Equipamentos!$C$2:$C$201,MATCH(B132,Equipamentos!$A$2:$A$201,0)),""))</f>
        <v/>
      </c>
      <c r="E132" s="55" t="n"/>
      <c r="F132" s="55" t="n"/>
      <c r="G132">
        <f>IF(B132="","",IFERROR(INDEX(Equipamentos!$N$2:$N$201,MATCH(B132,Equipamentos!$A$2:$A$201,0)),""))</f>
        <v/>
      </c>
      <c r="H132">
        <f>IF(B132="","",IFERROR(INDEX(Equipamentos!$L$2:$L$201,MATCH(B132,Equipamentos!$A$2:$A$201,0)),""))</f>
        <v/>
      </c>
      <c r="I132" s="57">
        <f>IF(OR(A132="",B132=""),"",IFERROR(INDEX(Equipamentos!$J$2:$J$201,MATCH(1,INDEX((Equipamentos!$A$2:$A$201=B132)*(Equipamentos!$P$2:$P$201=A132),0),0)),""))</f>
        <v/>
      </c>
    </row>
    <row r="133">
      <c r="A133" s="54" t="n"/>
      <c r="B133" s="55" t="n"/>
      <c r="C133" s="56">
        <f>IF(OR(A133="",B133=""),"",IF(COUNTIF(Equipamentos!$A$2:$A$201,B133)=0,"tag não encontrada",IFERROR(INDEX(Equipamentos!$H$2:$H$201,MATCH(1,INDEX((Equipamentos!$A$2:$A$201=B133)*(Equipamentos!$P$2:$P$201=A133),0),0)),"confira a data")))</f>
        <v/>
      </c>
      <c r="D133">
        <f>IF(B133="","",IFERROR(INDEX(Equipamentos!$C$2:$C$201,MATCH(B133,Equipamentos!$A$2:$A$201,0)),""))</f>
        <v/>
      </c>
      <c r="E133" s="55" t="n"/>
      <c r="F133" s="55" t="n"/>
      <c r="G133">
        <f>IF(B133="","",IFERROR(INDEX(Equipamentos!$N$2:$N$201,MATCH(B133,Equipamentos!$A$2:$A$201,0)),""))</f>
        <v/>
      </c>
      <c r="H133">
        <f>IF(B133="","",IFERROR(INDEX(Equipamentos!$L$2:$L$201,MATCH(B133,Equipamentos!$A$2:$A$201,0)),""))</f>
        <v/>
      </c>
      <c r="I133" s="57">
        <f>IF(OR(A133="",B133=""),"",IFERROR(INDEX(Equipamentos!$J$2:$J$201,MATCH(1,INDEX((Equipamentos!$A$2:$A$201=B133)*(Equipamentos!$P$2:$P$201=A133),0),0)),""))</f>
        <v/>
      </c>
    </row>
    <row r="134">
      <c r="A134" s="54" t="n"/>
      <c r="B134" s="55" t="n"/>
      <c r="C134" s="56">
        <f>IF(OR(A134="",B134=""),"",IF(COUNTIF(Equipamentos!$A$2:$A$201,B134)=0,"tag não encontrada",IFERROR(INDEX(Equipamentos!$H$2:$H$201,MATCH(1,INDEX((Equipamentos!$A$2:$A$201=B134)*(Equipamentos!$P$2:$P$201=A134),0),0)),"confira a data")))</f>
        <v/>
      </c>
      <c r="D134">
        <f>IF(B134="","",IFERROR(INDEX(Equipamentos!$C$2:$C$201,MATCH(B134,Equipamentos!$A$2:$A$201,0)),""))</f>
        <v/>
      </c>
      <c r="E134" s="55" t="n"/>
      <c r="F134" s="55" t="n"/>
      <c r="G134">
        <f>IF(B134="","",IFERROR(INDEX(Equipamentos!$N$2:$N$201,MATCH(B134,Equipamentos!$A$2:$A$201,0)),""))</f>
        <v/>
      </c>
      <c r="H134">
        <f>IF(B134="","",IFERROR(INDEX(Equipamentos!$L$2:$L$201,MATCH(B134,Equipamentos!$A$2:$A$201,0)),""))</f>
        <v/>
      </c>
      <c r="I134" s="57">
        <f>IF(OR(A134="",B134=""),"",IFERROR(INDEX(Equipamentos!$J$2:$J$201,MATCH(1,INDEX((Equipamentos!$A$2:$A$201=B134)*(Equipamentos!$P$2:$P$201=A134),0),0)),""))</f>
        <v/>
      </c>
    </row>
    <row r="135">
      <c r="A135" s="54" t="n"/>
      <c r="B135" s="55" t="n"/>
      <c r="C135" s="56">
        <f>IF(OR(A135="",B135=""),"",IF(COUNTIF(Equipamentos!$A$2:$A$201,B135)=0,"tag não encontrada",IFERROR(INDEX(Equipamentos!$H$2:$H$201,MATCH(1,INDEX((Equipamentos!$A$2:$A$201=B135)*(Equipamentos!$P$2:$P$201=A135),0),0)),"confira a data")))</f>
        <v/>
      </c>
      <c r="D135">
        <f>IF(B135="","",IFERROR(INDEX(Equipamentos!$C$2:$C$201,MATCH(B135,Equipamentos!$A$2:$A$201,0)),""))</f>
        <v/>
      </c>
      <c r="E135" s="55" t="n"/>
      <c r="F135" s="55" t="n"/>
      <c r="G135">
        <f>IF(B135="","",IFERROR(INDEX(Equipamentos!$N$2:$N$201,MATCH(B135,Equipamentos!$A$2:$A$201,0)),""))</f>
        <v/>
      </c>
      <c r="H135">
        <f>IF(B135="","",IFERROR(INDEX(Equipamentos!$L$2:$L$201,MATCH(B135,Equipamentos!$A$2:$A$201,0)),""))</f>
        <v/>
      </c>
      <c r="I135" s="57">
        <f>IF(OR(A135="",B135=""),"",IFERROR(INDEX(Equipamentos!$J$2:$J$201,MATCH(1,INDEX((Equipamentos!$A$2:$A$201=B135)*(Equipamentos!$P$2:$P$201=A135),0),0)),""))</f>
        <v/>
      </c>
    </row>
    <row r="136">
      <c r="A136" s="54" t="n"/>
      <c r="B136" s="55" t="n"/>
      <c r="C136" s="56">
        <f>IF(OR(A136="",B136=""),"",IF(COUNTIF(Equipamentos!$A$2:$A$201,B136)=0,"tag não encontrada",IFERROR(INDEX(Equipamentos!$H$2:$H$201,MATCH(1,INDEX((Equipamentos!$A$2:$A$201=B136)*(Equipamentos!$P$2:$P$201=A136),0),0)),"confira a data")))</f>
        <v/>
      </c>
      <c r="D136">
        <f>IF(B136="","",IFERROR(INDEX(Equipamentos!$C$2:$C$201,MATCH(B136,Equipamentos!$A$2:$A$201,0)),""))</f>
        <v/>
      </c>
      <c r="E136" s="55" t="n"/>
      <c r="F136" s="55" t="n"/>
      <c r="G136">
        <f>IF(B136="","",IFERROR(INDEX(Equipamentos!$N$2:$N$201,MATCH(B136,Equipamentos!$A$2:$A$201,0)),""))</f>
        <v/>
      </c>
      <c r="H136">
        <f>IF(B136="","",IFERROR(INDEX(Equipamentos!$L$2:$L$201,MATCH(B136,Equipamentos!$A$2:$A$201,0)),""))</f>
        <v/>
      </c>
      <c r="I136" s="57">
        <f>IF(OR(A136="",B136=""),"",IFERROR(INDEX(Equipamentos!$J$2:$J$201,MATCH(1,INDEX((Equipamentos!$A$2:$A$201=B136)*(Equipamentos!$P$2:$P$201=A136),0),0)),""))</f>
        <v/>
      </c>
    </row>
    <row r="137">
      <c r="A137" s="54" t="n"/>
      <c r="B137" s="55" t="n"/>
      <c r="C137" s="56">
        <f>IF(OR(A137="",B137=""),"",IF(COUNTIF(Equipamentos!$A$2:$A$201,B137)=0,"tag não encontrada",IFERROR(INDEX(Equipamentos!$H$2:$H$201,MATCH(1,INDEX((Equipamentos!$A$2:$A$201=B137)*(Equipamentos!$P$2:$P$201=A137),0),0)),"confira a data")))</f>
        <v/>
      </c>
      <c r="D137">
        <f>IF(B137="","",IFERROR(INDEX(Equipamentos!$C$2:$C$201,MATCH(B137,Equipamentos!$A$2:$A$201,0)),""))</f>
        <v/>
      </c>
      <c r="E137" s="55" t="n"/>
      <c r="F137" s="55" t="n"/>
      <c r="G137">
        <f>IF(B137="","",IFERROR(INDEX(Equipamentos!$N$2:$N$201,MATCH(B137,Equipamentos!$A$2:$A$201,0)),""))</f>
        <v/>
      </c>
      <c r="H137">
        <f>IF(B137="","",IFERROR(INDEX(Equipamentos!$L$2:$L$201,MATCH(B137,Equipamentos!$A$2:$A$201,0)),""))</f>
        <v/>
      </c>
      <c r="I137" s="57">
        <f>IF(OR(A137="",B137=""),"",IFERROR(INDEX(Equipamentos!$J$2:$J$201,MATCH(1,INDEX((Equipamentos!$A$2:$A$201=B137)*(Equipamentos!$P$2:$P$201=A137),0),0)),""))</f>
        <v/>
      </c>
    </row>
    <row r="138">
      <c r="A138" s="54" t="n"/>
      <c r="B138" s="55" t="n"/>
      <c r="C138" s="56">
        <f>IF(OR(A138="",B138=""),"",IF(COUNTIF(Equipamentos!$A$2:$A$201,B138)=0,"tag não encontrada",IFERROR(INDEX(Equipamentos!$H$2:$H$201,MATCH(1,INDEX((Equipamentos!$A$2:$A$201=B138)*(Equipamentos!$P$2:$P$201=A138),0),0)),"confira a data")))</f>
        <v/>
      </c>
      <c r="D138">
        <f>IF(B138="","",IFERROR(INDEX(Equipamentos!$C$2:$C$201,MATCH(B138,Equipamentos!$A$2:$A$201,0)),""))</f>
        <v/>
      </c>
      <c r="E138" s="55" t="n"/>
      <c r="F138" s="55" t="n"/>
      <c r="G138">
        <f>IF(B138="","",IFERROR(INDEX(Equipamentos!$N$2:$N$201,MATCH(B138,Equipamentos!$A$2:$A$201,0)),""))</f>
        <v/>
      </c>
      <c r="H138">
        <f>IF(B138="","",IFERROR(INDEX(Equipamentos!$L$2:$L$201,MATCH(B138,Equipamentos!$A$2:$A$201,0)),""))</f>
        <v/>
      </c>
      <c r="I138" s="57">
        <f>IF(OR(A138="",B138=""),"",IFERROR(INDEX(Equipamentos!$J$2:$J$201,MATCH(1,INDEX((Equipamentos!$A$2:$A$201=B138)*(Equipamentos!$P$2:$P$201=A138),0),0)),""))</f>
        <v/>
      </c>
    </row>
    <row r="139">
      <c r="A139" s="54" t="n"/>
      <c r="B139" s="55" t="n"/>
      <c r="C139" s="56">
        <f>IF(OR(A139="",B139=""),"",IF(COUNTIF(Equipamentos!$A$2:$A$201,B139)=0,"tag não encontrada",IFERROR(INDEX(Equipamentos!$H$2:$H$201,MATCH(1,INDEX((Equipamentos!$A$2:$A$201=B139)*(Equipamentos!$P$2:$P$201=A139),0),0)),"confira a data")))</f>
        <v/>
      </c>
      <c r="D139">
        <f>IF(B139="","",IFERROR(INDEX(Equipamentos!$C$2:$C$201,MATCH(B139,Equipamentos!$A$2:$A$201,0)),""))</f>
        <v/>
      </c>
      <c r="E139" s="55" t="n"/>
      <c r="F139" s="55" t="n"/>
      <c r="G139">
        <f>IF(B139="","",IFERROR(INDEX(Equipamentos!$N$2:$N$201,MATCH(B139,Equipamentos!$A$2:$A$201,0)),""))</f>
        <v/>
      </c>
      <c r="H139">
        <f>IF(B139="","",IFERROR(INDEX(Equipamentos!$L$2:$L$201,MATCH(B139,Equipamentos!$A$2:$A$201,0)),""))</f>
        <v/>
      </c>
      <c r="I139" s="57">
        <f>IF(OR(A139="",B139=""),"",IFERROR(INDEX(Equipamentos!$J$2:$J$201,MATCH(1,INDEX((Equipamentos!$A$2:$A$201=B139)*(Equipamentos!$P$2:$P$201=A139),0),0)),""))</f>
        <v/>
      </c>
    </row>
    <row r="140">
      <c r="A140" s="54" t="n"/>
      <c r="B140" s="55" t="n"/>
      <c r="C140" s="56">
        <f>IF(OR(A140="",B140=""),"",IF(COUNTIF(Equipamentos!$A$2:$A$201,B140)=0,"tag não encontrada",IFERROR(INDEX(Equipamentos!$H$2:$H$201,MATCH(1,INDEX((Equipamentos!$A$2:$A$201=B140)*(Equipamentos!$P$2:$P$201=A140),0),0)),"confira a data")))</f>
        <v/>
      </c>
      <c r="D140">
        <f>IF(B140="","",IFERROR(INDEX(Equipamentos!$C$2:$C$201,MATCH(B140,Equipamentos!$A$2:$A$201,0)),""))</f>
        <v/>
      </c>
      <c r="E140" s="55" t="n"/>
      <c r="F140" s="55" t="n"/>
      <c r="G140">
        <f>IF(B140="","",IFERROR(INDEX(Equipamentos!$N$2:$N$201,MATCH(B140,Equipamentos!$A$2:$A$201,0)),""))</f>
        <v/>
      </c>
      <c r="H140">
        <f>IF(B140="","",IFERROR(INDEX(Equipamentos!$L$2:$L$201,MATCH(B140,Equipamentos!$A$2:$A$201,0)),""))</f>
        <v/>
      </c>
      <c r="I140" s="57">
        <f>IF(OR(A140="",B140=""),"",IFERROR(INDEX(Equipamentos!$J$2:$J$201,MATCH(1,INDEX((Equipamentos!$A$2:$A$201=B140)*(Equipamentos!$P$2:$P$201=A140),0),0)),""))</f>
        <v/>
      </c>
    </row>
    <row r="141">
      <c r="A141" s="54" t="n"/>
      <c r="B141" s="55" t="n"/>
      <c r="C141" s="56">
        <f>IF(OR(A141="",B141=""),"",IF(COUNTIF(Equipamentos!$A$2:$A$201,B141)=0,"tag não encontrada",IFERROR(INDEX(Equipamentos!$H$2:$H$201,MATCH(1,INDEX((Equipamentos!$A$2:$A$201=B141)*(Equipamentos!$P$2:$P$201=A141),0),0)),"confira a data")))</f>
        <v/>
      </c>
      <c r="D141">
        <f>IF(B141="","",IFERROR(INDEX(Equipamentos!$C$2:$C$201,MATCH(B141,Equipamentos!$A$2:$A$201,0)),""))</f>
        <v/>
      </c>
      <c r="E141" s="55" t="n"/>
      <c r="F141" s="55" t="n"/>
      <c r="G141">
        <f>IF(B141="","",IFERROR(INDEX(Equipamentos!$N$2:$N$201,MATCH(B141,Equipamentos!$A$2:$A$201,0)),""))</f>
        <v/>
      </c>
      <c r="H141">
        <f>IF(B141="","",IFERROR(INDEX(Equipamentos!$L$2:$L$201,MATCH(B141,Equipamentos!$A$2:$A$201,0)),""))</f>
        <v/>
      </c>
      <c r="I141" s="57">
        <f>IF(OR(A141="",B141=""),"",IFERROR(INDEX(Equipamentos!$J$2:$J$201,MATCH(1,INDEX((Equipamentos!$A$2:$A$201=B141)*(Equipamentos!$P$2:$P$201=A141),0),0)),""))</f>
        <v/>
      </c>
    </row>
    <row r="142">
      <c r="A142" s="54" t="n"/>
      <c r="B142" s="55" t="n"/>
      <c r="C142" s="56">
        <f>IF(OR(A142="",B142=""),"",IF(COUNTIF(Equipamentos!$A$2:$A$201,B142)=0,"tag não encontrada",IFERROR(INDEX(Equipamentos!$H$2:$H$201,MATCH(1,INDEX((Equipamentos!$A$2:$A$201=B142)*(Equipamentos!$P$2:$P$201=A142),0),0)),"confira a data")))</f>
        <v/>
      </c>
      <c r="D142">
        <f>IF(B142="","",IFERROR(INDEX(Equipamentos!$C$2:$C$201,MATCH(B142,Equipamentos!$A$2:$A$201,0)),""))</f>
        <v/>
      </c>
      <c r="E142" s="55" t="n"/>
      <c r="F142" s="55" t="n"/>
      <c r="G142">
        <f>IF(B142="","",IFERROR(INDEX(Equipamentos!$N$2:$N$201,MATCH(B142,Equipamentos!$A$2:$A$201,0)),""))</f>
        <v/>
      </c>
      <c r="H142">
        <f>IF(B142="","",IFERROR(INDEX(Equipamentos!$L$2:$L$201,MATCH(B142,Equipamentos!$A$2:$A$201,0)),""))</f>
        <v/>
      </c>
      <c r="I142" s="57">
        <f>IF(OR(A142="",B142=""),"",IFERROR(INDEX(Equipamentos!$J$2:$J$201,MATCH(1,INDEX((Equipamentos!$A$2:$A$201=B142)*(Equipamentos!$P$2:$P$201=A142),0),0)),""))</f>
        <v/>
      </c>
    </row>
    <row r="143">
      <c r="A143" s="54" t="n"/>
      <c r="B143" s="55" t="n"/>
      <c r="C143" s="56">
        <f>IF(OR(A143="",B143=""),"",IF(COUNTIF(Equipamentos!$A$2:$A$201,B143)=0,"tag não encontrada",IFERROR(INDEX(Equipamentos!$H$2:$H$201,MATCH(1,INDEX((Equipamentos!$A$2:$A$201=B143)*(Equipamentos!$P$2:$P$201=A143),0),0)),"confira a data")))</f>
        <v/>
      </c>
      <c r="D143">
        <f>IF(B143="","",IFERROR(INDEX(Equipamentos!$C$2:$C$201,MATCH(B143,Equipamentos!$A$2:$A$201,0)),""))</f>
        <v/>
      </c>
      <c r="E143" s="55" t="n"/>
      <c r="F143" s="55" t="n"/>
      <c r="G143">
        <f>IF(B143="","",IFERROR(INDEX(Equipamentos!$N$2:$N$201,MATCH(B143,Equipamentos!$A$2:$A$201,0)),""))</f>
        <v/>
      </c>
      <c r="H143">
        <f>IF(B143="","",IFERROR(INDEX(Equipamentos!$L$2:$L$201,MATCH(B143,Equipamentos!$A$2:$A$201,0)),""))</f>
        <v/>
      </c>
      <c r="I143" s="57">
        <f>IF(OR(A143="",B143=""),"",IFERROR(INDEX(Equipamentos!$J$2:$J$201,MATCH(1,INDEX((Equipamentos!$A$2:$A$201=B143)*(Equipamentos!$P$2:$P$201=A143),0),0)),""))</f>
        <v/>
      </c>
    </row>
    <row r="144">
      <c r="A144" s="54" t="n"/>
      <c r="B144" s="55" t="n"/>
      <c r="C144" s="56">
        <f>IF(OR(A144="",B144=""),"",IF(COUNTIF(Equipamentos!$A$2:$A$201,B144)=0,"tag não encontrada",IFERROR(INDEX(Equipamentos!$H$2:$H$201,MATCH(1,INDEX((Equipamentos!$A$2:$A$201=B144)*(Equipamentos!$P$2:$P$201=A144),0),0)),"confira a data")))</f>
        <v/>
      </c>
      <c r="D144">
        <f>IF(B144="","",IFERROR(INDEX(Equipamentos!$C$2:$C$201,MATCH(B144,Equipamentos!$A$2:$A$201,0)),""))</f>
        <v/>
      </c>
      <c r="E144" s="55" t="n"/>
      <c r="F144" s="55" t="n"/>
      <c r="G144">
        <f>IF(B144="","",IFERROR(INDEX(Equipamentos!$N$2:$N$201,MATCH(B144,Equipamentos!$A$2:$A$201,0)),""))</f>
        <v/>
      </c>
      <c r="H144">
        <f>IF(B144="","",IFERROR(INDEX(Equipamentos!$L$2:$L$201,MATCH(B144,Equipamentos!$A$2:$A$201,0)),""))</f>
        <v/>
      </c>
      <c r="I144" s="57">
        <f>IF(OR(A144="",B144=""),"",IFERROR(INDEX(Equipamentos!$J$2:$J$201,MATCH(1,INDEX((Equipamentos!$A$2:$A$201=B144)*(Equipamentos!$P$2:$P$201=A144),0),0)),""))</f>
        <v/>
      </c>
    </row>
    <row r="145">
      <c r="A145" s="54" t="n"/>
      <c r="B145" s="55" t="n"/>
      <c r="C145" s="56">
        <f>IF(OR(A145="",B145=""),"",IF(COUNTIF(Equipamentos!$A$2:$A$201,B145)=0,"tag não encontrada",IFERROR(INDEX(Equipamentos!$H$2:$H$201,MATCH(1,INDEX((Equipamentos!$A$2:$A$201=B145)*(Equipamentos!$P$2:$P$201=A145),0),0)),"confira a data")))</f>
        <v/>
      </c>
      <c r="D145">
        <f>IF(B145="","",IFERROR(INDEX(Equipamentos!$C$2:$C$201,MATCH(B145,Equipamentos!$A$2:$A$201,0)),""))</f>
        <v/>
      </c>
      <c r="E145" s="55" t="n"/>
      <c r="F145" s="55" t="n"/>
      <c r="G145">
        <f>IF(B145="","",IFERROR(INDEX(Equipamentos!$N$2:$N$201,MATCH(B145,Equipamentos!$A$2:$A$201,0)),""))</f>
        <v/>
      </c>
      <c r="H145">
        <f>IF(B145="","",IFERROR(INDEX(Equipamentos!$L$2:$L$201,MATCH(B145,Equipamentos!$A$2:$A$201,0)),""))</f>
        <v/>
      </c>
      <c r="I145" s="57">
        <f>IF(OR(A145="",B145=""),"",IFERROR(INDEX(Equipamentos!$J$2:$J$201,MATCH(1,INDEX((Equipamentos!$A$2:$A$201=B145)*(Equipamentos!$P$2:$P$201=A145),0),0)),""))</f>
        <v/>
      </c>
    </row>
    <row r="146">
      <c r="A146" s="54" t="n"/>
      <c r="B146" s="55" t="n"/>
      <c r="C146" s="56">
        <f>IF(OR(A146="",B146=""),"",IF(COUNTIF(Equipamentos!$A$2:$A$201,B146)=0,"tag não encontrada",IFERROR(INDEX(Equipamentos!$H$2:$H$201,MATCH(1,INDEX((Equipamentos!$A$2:$A$201=B146)*(Equipamentos!$P$2:$P$201=A146),0),0)),"confira a data")))</f>
        <v/>
      </c>
      <c r="D146">
        <f>IF(B146="","",IFERROR(INDEX(Equipamentos!$C$2:$C$201,MATCH(B146,Equipamentos!$A$2:$A$201,0)),""))</f>
        <v/>
      </c>
      <c r="E146" s="55" t="n"/>
      <c r="F146" s="55" t="n"/>
      <c r="G146">
        <f>IF(B146="","",IFERROR(INDEX(Equipamentos!$N$2:$N$201,MATCH(B146,Equipamentos!$A$2:$A$201,0)),""))</f>
        <v/>
      </c>
      <c r="H146">
        <f>IF(B146="","",IFERROR(INDEX(Equipamentos!$L$2:$L$201,MATCH(B146,Equipamentos!$A$2:$A$201,0)),""))</f>
        <v/>
      </c>
      <c r="I146" s="57">
        <f>IF(OR(A146="",B146=""),"",IFERROR(INDEX(Equipamentos!$J$2:$J$201,MATCH(1,INDEX((Equipamentos!$A$2:$A$201=B146)*(Equipamentos!$P$2:$P$201=A146),0),0)),""))</f>
        <v/>
      </c>
    </row>
    <row r="147">
      <c r="A147" s="54" t="n"/>
      <c r="B147" s="55" t="n"/>
      <c r="C147" s="56">
        <f>IF(OR(A147="",B147=""),"",IF(COUNTIF(Equipamentos!$A$2:$A$201,B147)=0,"tag não encontrada",IFERROR(INDEX(Equipamentos!$H$2:$H$201,MATCH(1,INDEX((Equipamentos!$A$2:$A$201=B147)*(Equipamentos!$P$2:$P$201=A147),0),0)),"confira a data")))</f>
        <v/>
      </c>
      <c r="D147">
        <f>IF(B147="","",IFERROR(INDEX(Equipamentos!$C$2:$C$201,MATCH(B147,Equipamentos!$A$2:$A$201,0)),""))</f>
        <v/>
      </c>
      <c r="E147" s="55" t="n"/>
      <c r="F147" s="55" t="n"/>
      <c r="G147">
        <f>IF(B147="","",IFERROR(INDEX(Equipamentos!$N$2:$N$201,MATCH(B147,Equipamentos!$A$2:$A$201,0)),""))</f>
        <v/>
      </c>
      <c r="H147">
        <f>IF(B147="","",IFERROR(INDEX(Equipamentos!$L$2:$L$201,MATCH(B147,Equipamentos!$A$2:$A$201,0)),""))</f>
        <v/>
      </c>
      <c r="I147" s="57">
        <f>IF(OR(A147="",B147=""),"",IFERROR(INDEX(Equipamentos!$J$2:$J$201,MATCH(1,INDEX((Equipamentos!$A$2:$A$201=B147)*(Equipamentos!$P$2:$P$201=A147),0),0)),""))</f>
        <v/>
      </c>
    </row>
    <row r="148">
      <c r="A148" s="54" t="n"/>
      <c r="B148" s="55" t="n"/>
      <c r="C148" s="56">
        <f>IF(OR(A148="",B148=""),"",IF(COUNTIF(Equipamentos!$A$2:$A$201,B148)=0,"tag não encontrada",IFERROR(INDEX(Equipamentos!$H$2:$H$201,MATCH(1,INDEX((Equipamentos!$A$2:$A$201=B148)*(Equipamentos!$P$2:$P$201=A148),0),0)),"confira a data")))</f>
        <v/>
      </c>
      <c r="D148">
        <f>IF(B148="","",IFERROR(INDEX(Equipamentos!$C$2:$C$201,MATCH(B148,Equipamentos!$A$2:$A$201,0)),""))</f>
        <v/>
      </c>
      <c r="E148" s="55" t="n"/>
      <c r="F148" s="55" t="n"/>
      <c r="G148">
        <f>IF(B148="","",IFERROR(INDEX(Equipamentos!$N$2:$N$201,MATCH(B148,Equipamentos!$A$2:$A$201,0)),""))</f>
        <v/>
      </c>
      <c r="H148">
        <f>IF(B148="","",IFERROR(INDEX(Equipamentos!$L$2:$L$201,MATCH(B148,Equipamentos!$A$2:$A$201,0)),""))</f>
        <v/>
      </c>
      <c r="I148" s="57">
        <f>IF(OR(A148="",B148=""),"",IFERROR(INDEX(Equipamentos!$J$2:$J$201,MATCH(1,INDEX((Equipamentos!$A$2:$A$201=B148)*(Equipamentos!$P$2:$P$201=A148),0),0)),""))</f>
        <v/>
      </c>
    </row>
    <row r="149">
      <c r="A149" s="54" t="n"/>
      <c r="B149" s="55" t="n"/>
      <c r="C149" s="56">
        <f>IF(OR(A149="",B149=""),"",IF(COUNTIF(Equipamentos!$A$2:$A$201,B149)=0,"tag não encontrada",IFERROR(INDEX(Equipamentos!$H$2:$H$201,MATCH(1,INDEX((Equipamentos!$A$2:$A$201=B149)*(Equipamentos!$P$2:$P$201=A149),0),0)),"confira a data")))</f>
        <v/>
      </c>
      <c r="D149">
        <f>IF(B149="","",IFERROR(INDEX(Equipamentos!$C$2:$C$201,MATCH(B149,Equipamentos!$A$2:$A$201,0)),""))</f>
        <v/>
      </c>
      <c r="E149" s="55" t="n"/>
      <c r="F149" s="55" t="n"/>
      <c r="G149">
        <f>IF(B149="","",IFERROR(INDEX(Equipamentos!$N$2:$N$201,MATCH(B149,Equipamentos!$A$2:$A$201,0)),""))</f>
        <v/>
      </c>
      <c r="H149">
        <f>IF(B149="","",IFERROR(INDEX(Equipamentos!$L$2:$L$201,MATCH(B149,Equipamentos!$A$2:$A$201,0)),""))</f>
        <v/>
      </c>
      <c r="I149" s="57">
        <f>IF(OR(A149="",B149=""),"",IFERROR(INDEX(Equipamentos!$J$2:$J$201,MATCH(1,INDEX((Equipamentos!$A$2:$A$201=B149)*(Equipamentos!$P$2:$P$201=A149),0),0)),""))</f>
        <v/>
      </c>
    </row>
    <row r="150">
      <c r="A150" s="54" t="n"/>
      <c r="B150" s="55" t="n"/>
      <c r="C150" s="56">
        <f>IF(OR(A150="",B150=""),"",IF(COUNTIF(Equipamentos!$A$2:$A$201,B150)=0,"tag não encontrada",IFERROR(INDEX(Equipamentos!$H$2:$H$201,MATCH(1,INDEX((Equipamentos!$A$2:$A$201=B150)*(Equipamentos!$P$2:$P$201=A150),0),0)),"confira a data")))</f>
        <v/>
      </c>
      <c r="D150">
        <f>IF(B150="","",IFERROR(INDEX(Equipamentos!$C$2:$C$201,MATCH(B150,Equipamentos!$A$2:$A$201,0)),""))</f>
        <v/>
      </c>
      <c r="E150" s="55" t="n"/>
      <c r="F150" s="55" t="n"/>
      <c r="G150">
        <f>IF(B150="","",IFERROR(INDEX(Equipamentos!$N$2:$N$201,MATCH(B150,Equipamentos!$A$2:$A$201,0)),""))</f>
        <v/>
      </c>
      <c r="H150">
        <f>IF(B150="","",IFERROR(INDEX(Equipamentos!$L$2:$L$201,MATCH(B150,Equipamentos!$A$2:$A$201,0)),""))</f>
        <v/>
      </c>
      <c r="I150" s="57">
        <f>IF(OR(A150="",B150=""),"",IFERROR(INDEX(Equipamentos!$J$2:$J$201,MATCH(1,INDEX((Equipamentos!$A$2:$A$201=B150)*(Equipamentos!$P$2:$P$201=A150),0),0)),""))</f>
        <v/>
      </c>
    </row>
    <row r="151">
      <c r="A151" s="54" t="n"/>
      <c r="B151" s="55" t="n"/>
      <c r="C151" s="56">
        <f>IF(OR(A151="",B151=""),"",IF(COUNTIF(Equipamentos!$A$2:$A$201,B151)=0,"tag não encontrada",IFERROR(INDEX(Equipamentos!$H$2:$H$201,MATCH(1,INDEX((Equipamentos!$A$2:$A$201=B151)*(Equipamentos!$P$2:$P$201=A151),0),0)),"confira a data")))</f>
        <v/>
      </c>
      <c r="D151">
        <f>IF(B151="","",IFERROR(INDEX(Equipamentos!$C$2:$C$201,MATCH(B151,Equipamentos!$A$2:$A$201,0)),""))</f>
        <v/>
      </c>
      <c r="E151" s="55" t="n"/>
      <c r="F151" s="55" t="n"/>
      <c r="G151">
        <f>IF(B151="","",IFERROR(INDEX(Equipamentos!$N$2:$N$201,MATCH(B151,Equipamentos!$A$2:$A$201,0)),""))</f>
        <v/>
      </c>
      <c r="H151">
        <f>IF(B151="","",IFERROR(INDEX(Equipamentos!$L$2:$L$201,MATCH(B151,Equipamentos!$A$2:$A$201,0)),""))</f>
        <v/>
      </c>
      <c r="I151" s="57">
        <f>IF(OR(A151="",B151=""),"",IFERROR(INDEX(Equipamentos!$J$2:$J$201,MATCH(1,INDEX((Equipamentos!$A$2:$A$201=B151)*(Equipamentos!$P$2:$P$201=A151),0),0)),""))</f>
        <v/>
      </c>
    </row>
    <row r="152">
      <c r="A152" s="54" t="n"/>
      <c r="B152" s="55" t="n"/>
      <c r="C152" s="56">
        <f>IF(OR(A152="",B152=""),"",IF(COUNTIF(Equipamentos!$A$2:$A$201,B152)=0,"tag não encontrada",IFERROR(INDEX(Equipamentos!$H$2:$H$201,MATCH(1,INDEX((Equipamentos!$A$2:$A$201=B152)*(Equipamentos!$P$2:$P$201=A152),0),0)),"confira a data")))</f>
        <v/>
      </c>
      <c r="D152">
        <f>IF(B152="","",IFERROR(INDEX(Equipamentos!$C$2:$C$201,MATCH(B152,Equipamentos!$A$2:$A$201,0)),""))</f>
        <v/>
      </c>
      <c r="E152" s="55" t="n"/>
      <c r="F152" s="55" t="n"/>
      <c r="G152">
        <f>IF(B152="","",IFERROR(INDEX(Equipamentos!$N$2:$N$201,MATCH(B152,Equipamentos!$A$2:$A$201,0)),""))</f>
        <v/>
      </c>
      <c r="H152">
        <f>IF(B152="","",IFERROR(INDEX(Equipamentos!$L$2:$L$201,MATCH(B152,Equipamentos!$A$2:$A$201,0)),""))</f>
        <v/>
      </c>
      <c r="I152" s="57">
        <f>IF(OR(A152="",B152=""),"",IFERROR(INDEX(Equipamentos!$J$2:$J$201,MATCH(1,INDEX((Equipamentos!$A$2:$A$201=B152)*(Equipamentos!$P$2:$P$201=A152),0),0)),""))</f>
        <v/>
      </c>
    </row>
    <row r="153">
      <c r="A153" s="54" t="n"/>
      <c r="B153" s="55" t="n"/>
      <c r="C153" s="56">
        <f>IF(OR(A153="",B153=""),"",IF(COUNTIF(Equipamentos!$A$2:$A$201,B153)=0,"tag não encontrada",IFERROR(INDEX(Equipamentos!$H$2:$H$201,MATCH(1,INDEX((Equipamentos!$A$2:$A$201=B153)*(Equipamentos!$P$2:$P$201=A153),0),0)),"confira a data")))</f>
        <v/>
      </c>
      <c r="D153">
        <f>IF(B153="","",IFERROR(INDEX(Equipamentos!$C$2:$C$201,MATCH(B153,Equipamentos!$A$2:$A$201,0)),""))</f>
        <v/>
      </c>
      <c r="E153" s="55" t="n"/>
      <c r="F153" s="55" t="n"/>
      <c r="G153">
        <f>IF(B153="","",IFERROR(INDEX(Equipamentos!$N$2:$N$201,MATCH(B153,Equipamentos!$A$2:$A$201,0)),""))</f>
        <v/>
      </c>
      <c r="H153">
        <f>IF(B153="","",IFERROR(INDEX(Equipamentos!$L$2:$L$201,MATCH(B153,Equipamentos!$A$2:$A$201,0)),""))</f>
        <v/>
      </c>
      <c r="I153" s="57">
        <f>IF(OR(A153="",B153=""),"",IFERROR(INDEX(Equipamentos!$J$2:$J$201,MATCH(1,INDEX((Equipamentos!$A$2:$A$201=B153)*(Equipamentos!$P$2:$P$201=A153),0),0)),""))</f>
        <v/>
      </c>
    </row>
    <row r="154">
      <c r="A154" s="54" t="n"/>
      <c r="B154" s="55" t="n"/>
      <c r="C154" s="56">
        <f>IF(OR(A154="",B154=""),"",IF(COUNTIF(Equipamentos!$A$2:$A$201,B154)=0,"tag não encontrada",IFERROR(INDEX(Equipamentos!$H$2:$H$201,MATCH(1,INDEX((Equipamentos!$A$2:$A$201=B154)*(Equipamentos!$P$2:$P$201=A154),0),0)),"confira a data")))</f>
        <v/>
      </c>
      <c r="D154">
        <f>IF(B154="","",IFERROR(INDEX(Equipamentos!$C$2:$C$201,MATCH(B154,Equipamentos!$A$2:$A$201,0)),""))</f>
        <v/>
      </c>
      <c r="E154" s="55" t="n"/>
      <c r="F154" s="55" t="n"/>
      <c r="G154">
        <f>IF(B154="","",IFERROR(INDEX(Equipamentos!$N$2:$N$201,MATCH(B154,Equipamentos!$A$2:$A$201,0)),""))</f>
        <v/>
      </c>
      <c r="H154">
        <f>IF(B154="","",IFERROR(INDEX(Equipamentos!$L$2:$L$201,MATCH(B154,Equipamentos!$A$2:$A$201,0)),""))</f>
        <v/>
      </c>
      <c r="I154" s="57">
        <f>IF(OR(A154="",B154=""),"",IFERROR(INDEX(Equipamentos!$J$2:$J$201,MATCH(1,INDEX((Equipamentos!$A$2:$A$201=B154)*(Equipamentos!$P$2:$P$201=A154),0),0)),""))</f>
        <v/>
      </c>
    </row>
    <row r="155">
      <c r="A155" s="54" t="n"/>
      <c r="B155" s="55" t="n"/>
      <c r="C155" s="56">
        <f>IF(OR(A155="",B155=""),"",IF(COUNTIF(Equipamentos!$A$2:$A$201,B155)=0,"tag não encontrada",IFERROR(INDEX(Equipamentos!$H$2:$H$201,MATCH(1,INDEX((Equipamentos!$A$2:$A$201=B155)*(Equipamentos!$P$2:$P$201=A155),0),0)),"confira a data")))</f>
        <v/>
      </c>
      <c r="D155">
        <f>IF(B155="","",IFERROR(INDEX(Equipamentos!$C$2:$C$201,MATCH(B155,Equipamentos!$A$2:$A$201,0)),""))</f>
        <v/>
      </c>
      <c r="E155" s="55" t="n"/>
      <c r="F155" s="55" t="n"/>
      <c r="G155">
        <f>IF(B155="","",IFERROR(INDEX(Equipamentos!$N$2:$N$201,MATCH(B155,Equipamentos!$A$2:$A$201,0)),""))</f>
        <v/>
      </c>
      <c r="H155">
        <f>IF(B155="","",IFERROR(INDEX(Equipamentos!$L$2:$L$201,MATCH(B155,Equipamentos!$A$2:$A$201,0)),""))</f>
        <v/>
      </c>
      <c r="I155" s="57">
        <f>IF(OR(A155="",B155=""),"",IFERROR(INDEX(Equipamentos!$J$2:$J$201,MATCH(1,INDEX((Equipamentos!$A$2:$A$201=B155)*(Equipamentos!$P$2:$P$201=A155),0),0)),""))</f>
        <v/>
      </c>
    </row>
    <row r="156">
      <c r="A156" s="54" t="n"/>
      <c r="B156" s="55" t="n"/>
      <c r="C156" s="56">
        <f>IF(OR(A156="",B156=""),"",IF(COUNTIF(Equipamentos!$A$2:$A$201,B156)=0,"tag não encontrada",IFERROR(INDEX(Equipamentos!$H$2:$H$201,MATCH(1,INDEX((Equipamentos!$A$2:$A$201=B156)*(Equipamentos!$P$2:$P$201=A156),0),0)),"confira a data")))</f>
        <v/>
      </c>
      <c r="D156">
        <f>IF(B156="","",IFERROR(INDEX(Equipamentos!$C$2:$C$201,MATCH(B156,Equipamentos!$A$2:$A$201,0)),""))</f>
        <v/>
      </c>
      <c r="E156" s="55" t="n"/>
      <c r="F156" s="55" t="n"/>
      <c r="G156">
        <f>IF(B156="","",IFERROR(INDEX(Equipamentos!$N$2:$N$201,MATCH(B156,Equipamentos!$A$2:$A$201,0)),""))</f>
        <v/>
      </c>
      <c r="H156">
        <f>IF(B156="","",IFERROR(INDEX(Equipamentos!$L$2:$L$201,MATCH(B156,Equipamentos!$A$2:$A$201,0)),""))</f>
        <v/>
      </c>
      <c r="I156" s="57">
        <f>IF(OR(A156="",B156=""),"",IFERROR(INDEX(Equipamentos!$J$2:$J$201,MATCH(1,INDEX((Equipamentos!$A$2:$A$201=B156)*(Equipamentos!$P$2:$P$201=A156),0),0)),""))</f>
        <v/>
      </c>
    </row>
    <row r="157">
      <c r="A157" s="54" t="n"/>
      <c r="B157" s="55" t="n"/>
      <c r="C157" s="56">
        <f>IF(OR(A157="",B157=""),"",IF(COUNTIF(Equipamentos!$A$2:$A$201,B157)=0,"tag não encontrada",IFERROR(INDEX(Equipamentos!$H$2:$H$201,MATCH(1,INDEX((Equipamentos!$A$2:$A$201=B157)*(Equipamentos!$P$2:$P$201=A157),0),0)),"confira a data")))</f>
        <v/>
      </c>
      <c r="D157">
        <f>IF(B157="","",IFERROR(INDEX(Equipamentos!$C$2:$C$201,MATCH(B157,Equipamentos!$A$2:$A$201,0)),""))</f>
        <v/>
      </c>
      <c r="E157" s="55" t="n"/>
      <c r="F157" s="55" t="n"/>
      <c r="G157">
        <f>IF(B157="","",IFERROR(INDEX(Equipamentos!$N$2:$N$201,MATCH(B157,Equipamentos!$A$2:$A$201,0)),""))</f>
        <v/>
      </c>
      <c r="H157">
        <f>IF(B157="","",IFERROR(INDEX(Equipamentos!$L$2:$L$201,MATCH(B157,Equipamentos!$A$2:$A$201,0)),""))</f>
        <v/>
      </c>
      <c r="I157" s="57">
        <f>IF(OR(A157="",B157=""),"",IFERROR(INDEX(Equipamentos!$J$2:$J$201,MATCH(1,INDEX((Equipamentos!$A$2:$A$201=B157)*(Equipamentos!$P$2:$P$201=A157),0),0)),""))</f>
        <v/>
      </c>
    </row>
    <row r="158">
      <c r="A158" s="54" t="n"/>
      <c r="B158" s="55" t="n"/>
      <c r="C158" s="56">
        <f>IF(OR(A158="",B158=""),"",IF(COUNTIF(Equipamentos!$A$2:$A$201,B158)=0,"tag não encontrada",IFERROR(INDEX(Equipamentos!$H$2:$H$201,MATCH(1,INDEX((Equipamentos!$A$2:$A$201=B158)*(Equipamentos!$P$2:$P$201=A158),0),0)),"confira a data")))</f>
        <v/>
      </c>
      <c r="D158">
        <f>IF(B158="","",IFERROR(INDEX(Equipamentos!$C$2:$C$201,MATCH(B158,Equipamentos!$A$2:$A$201,0)),""))</f>
        <v/>
      </c>
      <c r="E158" s="55" t="n"/>
      <c r="F158" s="55" t="n"/>
      <c r="G158">
        <f>IF(B158="","",IFERROR(INDEX(Equipamentos!$N$2:$N$201,MATCH(B158,Equipamentos!$A$2:$A$201,0)),""))</f>
        <v/>
      </c>
      <c r="H158">
        <f>IF(B158="","",IFERROR(INDEX(Equipamentos!$L$2:$L$201,MATCH(B158,Equipamentos!$A$2:$A$201,0)),""))</f>
        <v/>
      </c>
      <c r="I158" s="57">
        <f>IF(OR(A158="",B158=""),"",IFERROR(INDEX(Equipamentos!$J$2:$J$201,MATCH(1,INDEX((Equipamentos!$A$2:$A$201=B158)*(Equipamentos!$P$2:$P$201=A158),0),0)),""))</f>
        <v/>
      </c>
    </row>
    <row r="159">
      <c r="A159" s="54" t="n"/>
      <c r="B159" s="55" t="n"/>
      <c r="C159" s="56">
        <f>IF(OR(A159="",B159=""),"",IF(COUNTIF(Equipamentos!$A$2:$A$201,B159)=0,"tag não encontrada",IFERROR(INDEX(Equipamentos!$H$2:$H$201,MATCH(1,INDEX((Equipamentos!$A$2:$A$201=B159)*(Equipamentos!$P$2:$P$201=A159),0),0)),"confira a data")))</f>
        <v/>
      </c>
      <c r="D159">
        <f>IF(B159="","",IFERROR(INDEX(Equipamentos!$C$2:$C$201,MATCH(B159,Equipamentos!$A$2:$A$201,0)),""))</f>
        <v/>
      </c>
      <c r="E159" s="55" t="n"/>
      <c r="F159" s="55" t="n"/>
      <c r="G159">
        <f>IF(B159="","",IFERROR(INDEX(Equipamentos!$N$2:$N$201,MATCH(B159,Equipamentos!$A$2:$A$201,0)),""))</f>
        <v/>
      </c>
      <c r="H159">
        <f>IF(B159="","",IFERROR(INDEX(Equipamentos!$L$2:$L$201,MATCH(B159,Equipamentos!$A$2:$A$201,0)),""))</f>
        <v/>
      </c>
      <c r="I159" s="57">
        <f>IF(OR(A159="",B159=""),"",IFERROR(INDEX(Equipamentos!$J$2:$J$201,MATCH(1,INDEX((Equipamentos!$A$2:$A$201=B159)*(Equipamentos!$P$2:$P$201=A159),0),0)),""))</f>
        <v/>
      </c>
    </row>
    <row r="160">
      <c r="A160" s="54" t="n"/>
      <c r="B160" s="55" t="n"/>
      <c r="C160" s="56">
        <f>IF(OR(A160="",B160=""),"",IF(COUNTIF(Equipamentos!$A$2:$A$201,B160)=0,"tag não encontrada",IFERROR(INDEX(Equipamentos!$H$2:$H$201,MATCH(1,INDEX((Equipamentos!$A$2:$A$201=B160)*(Equipamentos!$P$2:$P$201=A160),0),0)),"confira a data")))</f>
        <v/>
      </c>
      <c r="D160">
        <f>IF(B160="","",IFERROR(INDEX(Equipamentos!$C$2:$C$201,MATCH(B160,Equipamentos!$A$2:$A$201,0)),""))</f>
        <v/>
      </c>
      <c r="E160" s="55" t="n"/>
      <c r="F160" s="55" t="n"/>
      <c r="G160">
        <f>IF(B160="","",IFERROR(INDEX(Equipamentos!$N$2:$N$201,MATCH(B160,Equipamentos!$A$2:$A$201,0)),""))</f>
        <v/>
      </c>
      <c r="H160">
        <f>IF(B160="","",IFERROR(INDEX(Equipamentos!$L$2:$L$201,MATCH(B160,Equipamentos!$A$2:$A$201,0)),""))</f>
        <v/>
      </c>
      <c r="I160" s="57">
        <f>IF(OR(A160="",B160=""),"",IFERROR(INDEX(Equipamentos!$J$2:$J$201,MATCH(1,INDEX((Equipamentos!$A$2:$A$201=B160)*(Equipamentos!$P$2:$P$201=A160),0),0)),""))</f>
        <v/>
      </c>
    </row>
    <row r="161">
      <c r="A161" s="54" t="n"/>
      <c r="B161" s="55" t="n"/>
      <c r="C161" s="56">
        <f>IF(OR(A161="",B161=""),"",IF(COUNTIF(Equipamentos!$A$2:$A$201,B161)=0,"tag não encontrada",IFERROR(INDEX(Equipamentos!$H$2:$H$201,MATCH(1,INDEX((Equipamentos!$A$2:$A$201=B161)*(Equipamentos!$P$2:$P$201=A161),0),0)),"confira a data")))</f>
        <v/>
      </c>
      <c r="D161">
        <f>IF(B161="","",IFERROR(INDEX(Equipamentos!$C$2:$C$201,MATCH(B161,Equipamentos!$A$2:$A$201,0)),""))</f>
        <v/>
      </c>
      <c r="E161" s="55" t="n"/>
      <c r="F161" s="55" t="n"/>
      <c r="G161">
        <f>IF(B161="","",IFERROR(INDEX(Equipamentos!$N$2:$N$201,MATCH(B161,Equipamentos!$A$2:$A$201,0)),""))</f>
        <v/>
      </c>
      <c r="H161">
        <f>IF(B161="","",IFERROR(INDEX(Equipamentos!$L$2:$L$201,MATCH(B161,Equipamentos!$A$2:$A$201,0)),""))</f>
        <v/>
      </c>
      <c r="I161" s="57">
        <f>IF(OR(A161="",B161=""),"",IFERROR(INDEX(Equipamentos!$J$2:$J$201,MATCH(1,INDEX((Equipamentos!$A$2:$A$201=B161)*(Equipamentos!$P$2:$P$201=A161),0),0)),""))</f>
        <v/>
      </c>
    </row>
    <row r="162">
      <c r="A162" s="54" t="n"/>
      <c r="B162" s="55" t="n"/>
      <c r="C162" s="56">
        <f>IF(OR(A162="",B162=""),"",IF(COUNTIF(Equipamentos!$A$2:$A$201,B162)=0,"tag não encontrada",IFERROR(INDEX(Equipamentos!$H$2:$H$201,MATCH(1,INDEX((Equipamentos!$A$2:$A$201=B162)*(Equipamentos!$P$2:$P$201=A162),0),0)),"confira a data")))</f>
        <v/>
      </c>
      <c r="D162">
        <f>IF(B162="","",IFERROR(INDEX(Equipamentos!$C$2:$C$201,MATCH(B162,Equipamentos!$A$2:$A$201,0)),""))</f>
        <v/>
      </c>
      <c r="E162" s="55" t="n"/>
      <c r="F162" s="55" t="n"/>
      <c r="G162">
        <f>IF(B162="","",IFERROR(INDEX(Equipamentos!$N$2:$N$201,MATCH(B162,Equipamentos!$A$2:$A$201,0)),""))</f>
        <v/>
      </c>
      <c r="H162">
        <f>IF(B162="","",IFERROR(INDEX(Equipamentos!$L$2:$L$201,MATCH(B162,Equipamentos!$A$2:$A$201,0)),""))</f>
        <v/>
      </c>
      <c r="I162" s="57">
        <f>IF(OR(A162="",B162=""),"",IFERROR(INDEX(Equipamentos!$J$2:$J$201,MATCH(1,INDEX((Equipamentos!$A$2:$A$201=B162)*(Equipamentos!$P$2:$P$201=A162),0),0)),""))</f>
        <v/>
      </c>
    </row>
    <row r="163">
      <c r="A163" s="54" t="n"/>
      <c r="B163" s="55" t="n"/>
      <c r="C163" s="56">
        <f>IF(OR(A163="",B163=""),"",IF(COUNTIF(Equipamentos!$A$2:$A$201,B163)=0,"tag não encontrada",IFERROR(INDEX(Equipamentos!$H$2:$H$201,MATCH(1,INDEX((Equipamentos!$A$2:$A$201=B163)*(Equipamentos!$P$2:$P$201=A163),0),0)),"confira a data")))</f>
        <v/>
      </c>
      <c r="D163">
        <f>IF(B163="","",IFERROR(INDEX(Equipamentos!$C$2:$C$201,MATCH(B163,Equipamentos!$A$2:$A$201,0)),""))</f>
        <v/>
      </c>
      <c r="E163" s="55" t="n"/>
      <c r="F163" s="55" t="n"/>
      <c r="G163">
        <f>IF(B163="","",IFERROR(INDEX(Equipamentos!$N$2:$N$201,MATCH(B163,Equipamentos!$A$2:$A$201,0)),""))</f>
        <v/>
      </c>
      <c r="H163">
        <f>IF(B163="","",IFERROR(INDEX(Equipamentos!$L$2:$L$201,MATCH(B163,Equipamentos!$A$2:$A$201,0)),""))</f>
        <v/>
      </c>
      <c r="I163" s="57">
        <f>IF(OR(A163="",B163=""),"",IFERROR(INDEX(Equipamentos!$J$2:$J$201,MATCH(1,INDEX((Equipamentos!$A$2:$A$201=B163)*(Equipamentos!$P$2:$P$201=A163),0),0)),""))</f>
        <v/>
      </c>
    </row>
    <row r="164">
      <c r="A164" s="54" t="n"/>
      <c r="B164" s="55" t="n"/>
      <c r="C164" s="56">
        <f>IF(OR(A164="",B164=""),"",IF(COUNTIF(Equipamentos!$A$2:$A$201,B164)=0,"tag não encontrada",IFERROR(INDEX(Equipamentos!$H$2:$H$201,MATCH(1,INDEX((Equipamentos!$A$2:$A$201=B164)*(Equipamentos!$P$2:$P$201=A164),0),0)),"confira a data")))</f>
        <v/>
      </c>
      <c r="D164">
        <f>IF(B164="","",IFERROR(INDEX(Equipamentos!$C$2:$C$201,MATCH(B164,Equipamentos!$A$2:$A$201,0)),""))</f>
        <v/>
      </c>
      <c r="E164" s="55" t="n"/>
      <c r="F164" s="55" t="n"/>
      <c r="G164">
        <f>IF(B164="","",IFERROR(INDEX(Equipamentos!$N$2:$N$201,MATCH(B164,Equipamentos!$A$2:$A$201,0)),""))</f>
        <v/>
      </c>
      <c r="H164">
        <f>IF(B164="","",IFERROR(INDEX(Equipamentos!$L$2:$L$201,MATCH(B164,Equipamentos!$A$2:$A$201,0)),""))</f>
        <v/>
      </c>
      <c r="I164" s="57">
        <f>IF(OR(A164="",B164=""),"",IFERROR(INDEX(Equipamentos!$J$2:$J$201,MATCH(1,INDEX((Equipamentos!$A$2:$A$201=B164)*(Equipamentos!$P$2:$P$201=A164),0),0)),""))</f>
        <v/>
      </c>
    </row>
    <row r="165">
      <c r="A165" s="54" t="n"/>
      <c r="B165" s="55" t="n"/>
      <c r="C165" s="56">
        <f>IF(OR(A165="",B165=""),"",IF(COUNTIF(Equipamentos!$A$2:$A$201,B165)=0,"tag não encontrada",IFERROR(INDEX(Equipamentos!$H$2:$H$201,MATCH(1,INDEX((Equipamentos!$A$2:$A$201=B165)*(Equipamentos!$P$2:$P$201=A165),0),0)),"confira a data")))</f>
        <v/>
      </c>
      <c r="D165">
        <f>IF(B165="","",IFERROR(INDEX(Equipamentos!$C$2:$C$201,MATCH(B165,Equipamentos!$A$2:$A$201,0)),""))</f>
        <v/>
      </c>
      <c r="E165" s="55" t="n"/>
      <c r="F165" s="55" t="n"/>
      <c r="G165">
        <f>IF(B165="","",IFERROR(INDEX(Equipamentos!$N$2:$N$201,MATCH(B165,Equipamentos!$A$2:$A$201,0)),""))</f>
        <v/>
      </c>
      <c r="H165">
        <f>IF(B165="","",IFERROR(INDEX(Equipamentos!$L$2:$L$201,MATCH(B165,Equipamentos!$A$2:$A$201,0)),""))</f>
        <v/>
      </c>
      <c r="I165" s="57">
        <f>IF(OR(A165="",B165=""),"",IFERROR(INDEX(Equipamentos!$J$2:$J$201,MATCH(1,INDEX((Equipamentos!$A$2:$A$201=B165)*(Equipamentos!$P$2:$P$201=A165),0),0)),""))</f>
        <v/>
      </c>
    </row>
    <row r="166">
      <c r="A166" s="54" t="n"/>
      <c r="B166" s="55" t="n"/>
      <c r="C166" s="56">
        <f>IF(OR(A166="",B166=""),"",IF(COUNTIF(Equipamentos!$A$2:$A$201,B166)=0,"tag não encontrada",IFERROR(INDEX(Equipamentos!$H$2:$H$201,MATCH(1,INDEX((Equipamentos!$A$2:$A$201=B166)*(Equipamentos!$P$2:$P$201=A166),0),0)),"confira a data")))</f>
        <v/>
      </c>
      <c r="D166">
        <f>IF(B166="","",IFERROR(INDEX(Equipamentos!$C$2:$C$201,MATCH(B166,Equipamentos!$A$2:$A$201,0)),""))</f>
        <v/>
      </c>
      <c r="E166" s="55" t="n"/>
      <c r="F166" s="55" t="n"/>
      <c r="G166">
        <f>IF(B166="","",IFERROR(INDEX(Equipamentos!$N$2:$N$201,MATCH(B166,Equipamentos!$A$2:$A$201,0)),""))</f>
        <v/>
      </c>
      <c r="H166">
        <f>IF(B166="","",IFERROR(INDEX(Equipamentos!$L$2:$L$201,MATCH(B166,Equipamentos!$A$2:$A$201,0)),""))</f>
        <v/>
      </c>
      <c r="I166" s="57">
        <f>IF(OR(A166="",B166=""),"",IFERROR(INDEX(Equipamentos!$J$2:$J$201,MATCH(1,INDEX((Equipamentos!$A$2:$A$201=B166)*(Equipamentos!$P$2:$P$201=A166),0),0)),""))</f>
        <v/>
      </c>
    </row>
    <row r="167">
      <c r="A167" s="54" t="n"/>
      <c r="B167" s="55" t="n"/>
      <c r="C167" s="56">
        <f>IF(OR(A167="",B167=""),"",IF(COUNTIF(Equipamentos!$A$2:$A$201,B167)=0,"tag não encontrada",IFERROR(INDEX(Equipamentos!$H$2:$H$201,MATCH(1,INDEX((Equipamentos!$A$2:$A$201=B167)*(Equipamentos!$P$2:$P$201=A167),0),0)),"confira a data")))</f>
        <v/>
      </c>
      <c r="D167">
        <f>IF(B167="","",IFERROR(INDEX(Equipamentos!$C$2:$C$201,MATCH(B167,Equipamentos!$A$2:$A$201,0)),""))</f>
        <v/>
      </c>
      <c r="E167" s="55" t="n"/>
      <c r="F167" s="55" t="n"/>
      <c r="G167">
        <f>IF(B167="","",IFERROR(INDEX(Equipamentos!$N$2:$N$201,MATCH(B167,Equipamentos!$A$2:$A$201,0)),""))</f>
        <v/>
      </c>
      <c r="H167">
        <f>IF(B167="","",IFERROR(INDEX(Equipamentos!$L$2:$L$201,MATCH(B167,Equipamentos!$A$2:$A$201,0)),""))</f>
        <v/>
      </c>
      <c r="I167" s="57">
        <f>IF(OR(A167="",B167=""),"",IFERROR(INDEX(Equipamentos!$J$2:$J$201,MATCH(1,INDEX((Equipamentos!$A$2:$A$201=B167)*(Equipamentos!$P$2:$P$201=A167),0),0)),""))</f>
        <v/>
      </c>
    </row>
    <row r="168">
      <c r="A168" s="54" t="n"/>
      <c r="B168" s="55" t="n"/>
      <c r="C168" s="56">
        <f>IF(OR(A168="",B168=""),"",IF(COUNTIF(Equipamentos!$A$2:$A$201,B168)=0,"tag não encontrada",IFERROR(INDEX(Equipamentos!$H$2:$H$201,MATCH(1,INDEX((Equipamentos!$A$2:$A$201=B168)*(Equipamentos!$P$2:$P$201=A168),0),0)),"confira a data")))</f>
        <v/>
      </c>
      <c r="D168">
        <f>IF(B168="","",IFERROR(INDEX(Equipamentos!$C$2:$C$201,MATCH(B168,Equipamentos!$A$2:$A$201,0)),""))</f>
        <v/>
      </c>
      <c r="E168" s="55" t="n"/>
      <c r="F168" s="55" t="n"/>
      <c r="G168">
        <f>IF(B168="","",IFERROR(INDEX(Equipamentos!$N$2:$N$201,MATCH(B168,Equipamentos!$A$2:$A$201,0)),""))</f>
        <v/>
      </c>
      <c r="H168">
        <f>IF(B168="","",IFERROR(INDEX(Equipamentos!$L$2:$L$201,MATCH(B168,Equipamentos!$A$2:$A$201,0)),""))</f>
        <v/>
      </c>
      <c r="I168" s="57">
        <f>IF(OR(A168="",B168=""),"",IFERROR(INDEX(Equipamentos!$J$2:$J$201,MATCH(1,INDEX((Equipamentos!$A$2:$A$201=B168)*(Equipamentos!$P$2:$P$201=A168),0),0)),""))</f>
        <v/>
      </c>
    </row>
    <row r="169">
      <c r="A169" s="54" t="n"/>
      <c r="B169" s="55" t="n"/>
      <c r="C169" s="56">
        <f>IF(OR(A169="",B169=""),"",IF(COUNTIF(Equipamentos!$A$2:$A$201,B169)=0,"tag não encontrada",IFERROR(INDEX(Equipamentos!$H$2:$H$201,MATCH(1,INDEX((Equipamentos!$A$2:$A$201=B169)*(Equipamentos!$P$2:$P$201=A169),0),0)),"confira a data")))</f>
        <v/>
      </c>
      <c r="D169">
        <f>IF(B169="","",IFERROR(INDEX(Equipamentos!$C$2:$C$201,MATCH(B169,Equipamentos!$A$2:$A$201,0)),""))</f>
        <v/>
      </c>
      <c r="E169" s="55" t="n"/>
      <c r="F169" s="55" t="n"/>
      <c r="G169">
        <f>IF(B169="","",IFERROR(INDEX(Equipamentos!$N$2:$N$201,MATCH(B169,Equipamentos!$A$2:$A$201,0)),""))</f>
        <v/>
      </c>
      <c r="H169">
        <f>IF(B169="","",IFERROR(INDEX(Equipamentos!$L$2:$L$201,MATCH(B169,Equipamentos!$A$2:$A$201,0)),""))</f>
        <v/>
      </c>
      <c r="I169" s="57">
        <f>IF(OR(A169="",B169=""),"",IFERROR(INDEX(Equipamentos!$J$2:$J$201,MATCH(1,INDEX((Equipamentos!$A$2:$A$201=B169)*(Equipamentos!$P$2:$P$201=A169),0),0)),""))</f>
        <v/>
      </c>
    </row>
    <row r="170">
      <c r="A170" s="54" t="n"/>
      <c r="B170" s="55" t="n"/>
      <c r="C170" s="56">
        <f>IF(OR(A170="",B170=""),"",IF(COUNTIF(Equipamentos!$A$2:$A$201,B170)=0,"tag não encontrada",IFERROR(INDEX(Equipamentos!$H$2:$H$201,MATCH(1,INDEX((Equipamentos!$A$2:$A$201=B170)*(Equipamentos!$P$2:$P$201=A170),0),0)),"confira a data")))</f>
        <v/>
      </c>
      <c r="D170">
        <f>IF(B170="","",IFERROR(INDEX(Equipamentos!$C$2:$C$201,MATCH(B170,Equipamentos!$A$2:$A$201,0)),""))</f>
        <v/>
      </c>
      <c r="E170" s="55" t="n"/>
      <c r="F170" s="55" t="n"/>
      <c r="G170">
        <f>IF(B170="","",IFERROR(INDEX(Equipamentos!$N$2:$N$201,MATCH(B170,Equipamentos!$A$2:$A$201,0)),""))</f>
        <v/>
      </c>
      <c r="H170">
        <f>IF(B170="","",IFERROR(INDEX(Equipamentos!$L$2:$L$201,MATCH(B170,Equipamentos!$A$2:$A$201,0)),""))</f>
        <v/>
      </c>
      <c r="I170" s="57">
        <f>IF(OR(A170="",B170=""),"",IFERROR(INDEX(Equipamentos!$J$2:$J$201,MATCH(1,INDEX((Equipamentos!$A$2:$A$201=B170)*(Equipamentos!$P$2:$P$201=A170),0),0)),""))</f>
        <v/>
      </c>
    </row>
    <row r="171">
      <c r="A171" s="54" t="n"/>
      <c r="B171" s="55" t="n"/>
      <c r="C171" s="56">
        <f>IF(OR(A171="",B171=""),"",IF(COUNTIF(Equipamentos!$A$2:$A$201,B171)=0,"tag não encontrada",IFERROR(INDEX(Equipamentos!$H$2:$H$201,MATCH(1,INDEX((Equipamentos!$A$2:$A$201=B171)*(Equipamentos!$P$2:$P$201=A171),0),0)),"confira a data")))</f>
        <v/>
      </c>
      <c r="D171">
        <f>IF(B171="","",IFERROR(INDEX(Equipamentos!$C$2:$C$201,MATCH(B171,Equipamentos!$A$2:$A$201,0)),""))</f>
        <v/>
      </c>
      <c r="E171" s="55" t="n"/>
      <c r="F171" s="55" t="n"/>
      <c r="G171">
        <f>IF(B171="","",IFERROR(INDEX(Equipamentos!$N$2:$N$201,MATCH(B171,Equipamentos!$A$2:$A$201,0)),""))</f>
        <v/>
      </c>
      <c r="H171">
        <f>IF(B171="","",IFERROR(INDEX(Equipamentos!$L$2:$L$201,MATCH(B171,Equipamentos!$A$2:$A$201,0)),""))</f>
        <v/>
      </c>
      <c r="I171" s="57">
        <f>IF(OR(A171="",B171=""),"",IFERROR(INDEX(Equipamentos!$J$2:$J$201,MATCH(1,INDEX((Equipamentos!$A$2:$A$201=B171)*(Equipamentos!$P$2:$P$201=A171),0),0)),""))</f>
        <v/>
      </c>
    </row>
    <row r="172">
      <c r="A172" s="54" t="n"/>
      <c r="B172" s="55" t="n"/>
      <c r="C172" s="56">
        <f>IF(OR(A172="",B172=""),"",IF(COUNTIF(Equipamentos!$A$2:$A$201,B172)=0,"tag não encontrada",IFERROR(INDEX(Equipamentos!$H$2:$H$201,MATCH(1,INDEX((Equipamentos!$A$2:$A$201=B172)*(Equipamentos!$P$2:$P$201=A172),0),0)),"confira a data")))</f>
        <v/>
      </c>
      <c r="D172">
        <f>IF(B172="","",IFERROR(INDEX(Equipamentos!$C$2:$C$201,MATCH(B172,Equipamentos!$A$2:$A$201,0)),""))</f>
        <v/>
      </c>
      <c r="E172" s="55" t="n"/>
      <c r="F172" s="55" t="n"/>
      <c r="G172">
        <f>IF(B172="","",IFERROR(INDEX(Equipamentos!$N$2:$N$201,MATCH(B172,Equipamentos!$A$2:$A$201,0)),""))</f>
        <v/>
      </c>
      <c r="H172">
        <f>IF(B172="","",IFERROR(INDEX(Equipamentos!$L$2:$L$201,MATCH(B172,Equipamentos!$A$2:$A$201,0)),""))</f>
        <v/>
      </c>
      <c r="I172" s="57">
        <f>IF(OR(A172="",B172=""),"",IFERROR(INDEX(Equipamentos!$J$2:$J$201,MATCH(1,INDEX((Equipamentos!$A$2:$A$201=B172)*(Equipamentos!$P$2:$P$201=A172),0),0)),""))</f>
        <v/>
      </c>
    </row>
    <row r="173">
      <c r="A173" s="54" t="n"/>
      <c r="B173" s="55" t="n"/>
      <c r="C173" s="56">
        <f>IF(OR(A173="",B173=""),"",IF(COUNTIF(Equipamentos!$A$2:$A$201,B173)=0,"tag não encontrada",IFERROR(INDEX(Equipamentos!$H$2:$H$201,MATCH(1,INDEX((Equipamentos!$A$2:$A$201=B173)*(Equipamentos!$P$2:$P$201=A173),0),0)),"confira a data")))</f>
        <v/>
      </c>
      <c r="D173">
        <f>IF(B173="","",IFERROR(INDEX(Equipamentos!$C$2:$C$201,MATCH(B173,Equipamentos!$A$2:$A$201,0)),""))</f>
        <v/>
      </c>
      <c r="E173" s="55" t="n"/>
      <c r="F173" s="55" t="n"/>
      <c r="G173">
        <f>IF(B173="","",IFERROR(INDEX(Equipamentos!$N$2:$N$201,MATCH(B173,Equipamentos!$A$2:$A$201,0)),""))</f>
        <v/>
      </c>
      <c r="H173">
        <f>IF(B173="","",IFERROR(INDEX(Equipamentos!$L$2:$L$201,MATCH(B173,Equipamentos!$A$2:$A$201,0)),""))</f>
        <v/>
      </c>
      <c r="I173" s="57">
        <f>IF(OR(A173="",B173=""),"",IFERROR(INDEX(Equipamentos!$J$2:$J$201,MATCH(1,INDEX((Equipamentos!$A$2:$A$201=B173)*(Equipamentos!$P$2:$P$201=A173),0),0)),""))</f>
        <v/>
      </c>
    </row>
    <row r="174">
      <c r="A174" s="54" t="n"/>
      <c r="B174" s="55" t="n"/>
      <c r="C174" s="56">
        <f>IF(OR(A174="",B174=""),"",IF(COUNTIF(Equipamentos!$A$2:$A$201,B174)=0,"tag não encontrada",IFERROR(INDEX(Equipamentos!$H$2:$H$201,MATCH(1,INDEX((Equipamentos!$A$2:$A$201=B174)*(Equipamentos!$P$2:$P$201=A174),0),0)),"confira a data")))</f>
        <v/>
      </c>
      <c r="D174">
        <f>IF(B174="","",IFERROR(INDEX(Equipamentos!$C$2:$C$201,MATCH(B174,Equipamentos!$A$2:$A$201,0)),""))</f>
        <v/>
      </c>
      <c r="E174" s="55" t="n"/>
      <c r="F174" s="55" t="n"/>
      <c r="G174">
        <f>IF(B174="","",IFERROR(INDEX(Equipamentos!$N$2:$N$201,MATCH(B174,Equipamentos!$A$2:$A$201,0)),""))</f>
        <v/>
      </c>
      <c r="H174">
        <f>IF(B174="","",IFERROR(INDEX(Equipamentos!$L$2:$L$201,MATCH(B174,Equipamentos!$A$2:$A$201,0)),""))</f>
        <v/>
      </c>
      <c r="I174" s="57">
        <f>IF(OR(A174="",B174=""),"",IFERROR(INDEX(Equipamentos!$J$2:$J$201,MATCH(1,INDEX((Equipamentos!$A$2:$A$201=B174)*(Equipamentos!$P$2:$P$201=A174),0),0)),""))</f>
        <v/>
      </c>
    </row>
    <row r="175">
      <c r="A175" s="54" t="n"/>
      <c r="B175" s="55" t="n"/>
      <c r="C175" s="56">
        <f>IF(OR(A175="",B175=""),"",IF(COUNTIF(Equipamentos!$A$2:$A$201,B175)=0,"tag não encontrada",IFERROR(INDEX(Equipamentos!$H$2:$H$201,MATCH(1,INDEX((Equipamentos!$A$2:$A$201=B175)*(Equipamentos!$P$2:$P$201=A175),0),0)),"confira a data")))</f>
        <v/>
      </c>
      <c r="D175">
        <f>IF(B175="","",IFERROR(INDEX(Equipamentos!$C$2:$C$201,MATCH(B175,Equipamentos!$A$2:$A$201,0)),""))</f>
        <v/>
      </c>
      <c r="E175" s="55" t="n"/>
      <c r="F175" s="55" t="n"/>
      <c r="G175">
        <f>IF(B175="","",IFERROR(INDEX(Equipamentos!$N$2:$N$201,MATCH(B175,Equipamentos!$A$2:$A$201,0)),""))</f>
        <v/>
      </c>
      <c r="H175">
        <f>IF(B175="","",IFERROR(INDEX(Equipamentos!$L$2:$L$201,MATCH(B175,Equipamentos!$A$2:$A$201,0)),""))</f>
        <v/>
      </c>
      <c r="I175" s="57">
        <f>IF(OR(A175="",B175=""),"",IFERROR(INDEX(Equipamentos!$J$2:$J$201,MATCH(1,INDEX((Equipamentos!$A$2:$A$201=B175)*(Equipamentos!$P$2:$P$201=A175),0),0)),""))</f>
        <v/>
      </c>
    </row>
    <row r="176">
      <c r="A176" s="54" t="n"/>
      <c r="B176" s="55" t="n"/>
      <c r="C176" s="56">
        <f>IF(OR(A176="",B176=""),"",IF(COUNTIF(Equipamentos!$A$2:$A$201,B176)=0,"tag não encontrada",IFERROR(INDEX(Equipamentos!$H$2:$H$201,MATCH(1,INDEX((Equipamentos!$A$2:$A$201=B176)*(Equipamentos!$P$2:$P$201=A176),0),0)),"confira a data")))</f>
        <v/>
      </c>
      <c r="D176">
        <f>IF(B176="","",IFERROR(INDEX(Equipamentos!$C$2:$C$201,MATCH(B176,Equipamentos!$A$2:$A$201,0)),""))</f>
        <v/>
      </c>
      <c r="E176" s="55" t="n"/>
      <c r="F176" s="55" t="n"/>
      <c r="G176">
        <f>IF(B176="","",IFERROR(INDEX(Equipamentos!$N$2:$N$201,MATCH(B176,Equipamentos!$A$2:$A$201,0)),""))</f>
        <v/>
      </c>
      <c r="H176">
        <f>IF(B176="","",IFERROR(INDEX(Equipamentos!$L$2:$L$201,MATCH(B176,Equipamentos!$A$2:$A$201,0)),""))</f>
        <v/>
      </c>
      <c r="I176" s="57">
        <f>IF(OR(A176="",B176=""),"",IFERROR(INDEX(Equipamentos!$J$2:$J$201,MATCH(1,INDEX((Equipamentos!$A$2:$A$201=B176)*(Equipamentos!$P$2:$P$201=A176),0),0)),""))</f>
        <v/>
      </c>
    </row>
    <row r="177">
      <c r="A177" s="54" t="n"/>
      <c r="B177" s="55" t="n"/>
      <c r="C177" s="56">
        <f>IF(OR(A177="",B177=""),"",IF(COUNTIF(Equipamentos!$A$2:$A$201,B177)=0,"tag não encontrada",IFERROR(INDEX(Equipamentos!$H$2:$H$201,MATCH(1,INDEX((Equipamentos!$A$2:$A$201=B177)*(Equipamentos!$P$2:$P$201=A177),0),0)),"confira a data")))</f>
        <v/>
      </c>
      <c r="D177">
        <f>IF(B177="","",IFERROR(INDEX(Equipamentos!$C$2:$C$201,MATCH(B177,Equipamentos!$A$2:$A$201,0)),""))</f>
        <v/>
      </c>
      <c r="E177" s="55" t="n"/>
      <c r="F177" s="55" t="n"/>
      <c r="G177">
        <f>IF(B177="","",IFERROR(INDEX(Equipamentos!$N$2:$N$201,MATCH(B177,Equipamentos!$A$2:$A$201,0)),""))</f>
        <v/>
      </c>
      <c r="H177">
        <f>IF(B177="","",IFERROR(INDEX(Equipamentos!$L$2:$L$201,MATCH(B177,Equipamentos!$A$2:$A$201,0)),""))</f>
        <v/>
      </c>
      <c r="I177" s="57">
        <f>IF(OR(A177="",B177=""),"",IFERROR(INDEX(Equipamentos!$J$2:$J$201,MATCH(1,INDEX((Equipamentos!$A$2:$A$201=B177)*(Equipamentos!$P$2:$P$201=A177),0),0)),""))</f>
        <v/>
      </c>
    </row>
    <row r="178">
      <c r="A178" s="54" t="n"/>
      <c r="B178" s="55" t="n"/>
      <c r="C178" s="56">
        <f>IF(OR(A178="",B178=""),"",IF(COUNTIF(Equipamentos!$A$2:$A$201,B178)=0,"tag não encontrada",IFERROR(INDEX(Equipamentos!$H$2:$H$201,MATCH(1,INDEX((Equipamentos!$A$2:$A$201=B178)*(Equipamentos!$P$2:$P$201=A178),0),0)),"confira a data")))</f>
        <v/>
      </c>
      <c r="D178">
        <f>IF(B178="","",IFERROR(INDEX(Equipamentos!$C$2:$C$201,MATCH(B178,Equipamentos!$A$2:$A$201,0)),""))</f>
        <v/>
      </c>
      <c r="E178" s="55" t="n"/>
      <c r="F178" s="55" t="n"/>
      <c r="G178">
        <f>IF(B178="","",IFERROR(INDEX(Equipamentos!$N$2:$N$201,MATCH(B178,Equipamentos!$A$2:$A$201,0)),""))</f>
        <v/>
      </c>
      <c r="H178">
        <f>IF(B178="","",IFERROR(INDEX(Equipamentos!$L$2:$L$201,MATCH(B178,Equipamentos!$A$2:$A$201,0)),""))</f>
        <v/>
      </c>
      <c r="I178" s="57">
        <f>IF(OR(A178="",B178=""),"",IFERROR(INDEX(Equipamentos!$J$2:$J$201,MATCH(1,INDEX((Equipamentos!$A$2:$A$201=B178)*(Equipamentos!$P$2:$P$201=A178),0),0)),""))</f>
        <v/>
      </c>
    </row>
    <row r="179">
      <c r="A179" s="54" t="n"/>
      <c r="B179" s="55" t="n"/>
      <c r="C179" s="56">
        <f>IF(OR(A179="",B179=""),"",IF(COUNTIF(Equipamentos!$A$2:$A$201,B179)=0,"tag não encontrada",IFERROR(INDEX(Equipamentos!$H$2:$H$201,MATCH(1,INDEX((Equipamentos!$A$2:$A$201=B179)*(Equipamentos!$P$2:$P$201=A179),0),0)),"confira a data")))</f>
        <v/>
      </c>
      <c r="D179">
        <f>IF(B179="","",IFERROR(INDEX(Equipamentos!$C$2:$C$201,MATCH(B179,Equipamentos!$A$2:$A$201,0)),""))</f>
        <v/>
      </c>
      <c r="E179" s="55" t="n"/>
      <c r="F179" s="55" t="n"/>
      <c r="G179">
        <f>IF(B179="","",IFERROR(INDEX(Equipamentos!$N$2:$N$201,MATCH(B179,Equipamentos!$A$2:$A$201,0)),""))</f>
        <v/>
      </c>
      <c r="H179">
        <f>IF(B179="","",IFERROR(INDEX(Equipamentos!$L$2:$L$201,MATCH(B179,Equipamentos!$A$2:$A$201,0)),""))</f>
        <v/>
      </c>
      <c r="I179" s="57">
        <f>IF(OR(A179="",B179=""),"",IFERROR(INDEX(Equipamentos!$J$2:$J$201,MATCH(1,INDEX((Equipamentos!$A$2:$A$201=B179)*(Equipamentos!$P$2:$P$201=A179),0),0)),""))</f>
        <v/>
      </c>
    </row>
    <row r="180">
      <c r="A180" s="54" t="n"/>
      <c r="B180" s="55" t="n"/>
      <c r="C180" s="56">
        <f>IF(OR(A180="",B180=""),"",IF(COUNTIF(Equipamentos!$A$2:$A$201,B180)=0,"tag não encontrada",IFERROR(INDEX(Equipamentos!$H$2:$H$201,MATCH(1,INDEX((Equipamentos!$A$2:$A$201=B180)*(Equipamentos!$P$2:$P$201=A180),0),0)),"confira a data")))</f>
        <v/>
      </c>
      <c r="D180">
        <f>IF(B180="","",IFERROR(INDEX(Equipamentos!$C$2:$C$201,MATCH(B180,Equipamentos!$A$2:$A$201,0)),""))</f>
        <v/>
      </c>
      <c r="E180" s="55" t="n"/>
      <c r="F180" s="55" t="n"/>
      <c r="G180">
        <f>IF(B180="","",IFERROR(INDEX(Equipamentos!$N$2:$N$201,MATCH(B180,Equipamentos!$A$2:$A$201,0)),""))</f>
        <v/>
      </c>
      <c r="H180">
        <f>IF(B180="","",IFERROR(INDEX(Equipamentos!$L$2:$L$201,MATCH(B180,Equipamentos!$A$2:$A$201,0)),""))</f>
        <v/>
      </c>
      <c r="I180" s="57">
        <f>IF(OR(A180="",B180=""),"",IFERROR(INDEX(Equipamentos!$J$2:$J$201,MATCH(1,INDEX((Equipamentos!$A$2:$A$201=B180)*(Equipamentos!$P$2:$P$201=A180),0),0)),""))</f>
        <v/>
      </c>
    </row>
    <row r="181">
      <c r="A181" s="54" t="n"/>
      <c r="B181" s="55" t="n"/>
      <c r="C181" s="56">
        <f>IF(OR(A181="",B181=""),"",IF(COUNTIF(Equipamentos!$A$2:$A$201,B181)=0,"tag não encontrada",IFERROR(INDEX(Equipamentos!$H$2:$H$201,MATCH(1,INDEX((Equipamentos!$A$2:$A$201=B181)*(Equipamentos!$P$2:$P$201=A181),0),0)),"confira a data")))</f>
        <v/>
      </c>
      <c r="D181">
        <f>IF(B181="","",IFERROR(INDEX(Equipamentos!$C$2:$C$201,MATCH(B181,Equipamentos!$A$2:$A$201,0)),""))</f>
        <v/>
      </c>
      <c r="E181" s="55" t="n"/>
      <c r="F181" s="55" t="n"/>
      <c r="G181">
        <f>IF(B181="","",IFERROR(INDEX(Equipamentos!$N$2:$N$201,MATCH(B181,Equipamentos!$A$2:$A$201,0)),""))</f>
        <v/>
      </c>
      <c r="H181">
        <f>IF(B181="","",IFERROR(INDEX(Equipamentos!$L$2:$L$201,MATCH(B181,Equipamentos!$A$2:$A$201,0)),""))</f>
        <v/>
      </c>
      <c r="I181" s="57">
        <f>IF(OR(A181="",B181=""),"",IFERROR(INDEX(Equipamentos!$J$2:$J$201,MATCH(1,INDEX((Equipamentos!$A$2:$A$201=B181)*(Equipamentos!$P$2:$P$201=A181),0),0)),""))</f>
        <v/>
      </c>
    </row>
    <row r="182">
      <c r="A182" s="54" t="n"/>
      <c r="B182" s="55" t="n"/>
      <c r="C182" s="56">
        <f>IF(OR(A182="",B182=""),"",IF(COUNTIF(Equipamentos!$A$2:$A$201,B182)=0,"tag não encontrada",IFERROR(INDEX(Equipamentos!$H$2:$H$201,MATCH(1,INDEX((Equipamentos!$A$2:$A$201=B182)*(Equipamentos!$P$2:$P$201=A182),0),0)),"confira a data")))</f>
        <v/>
      </c>
      <c r="D182">
        <f>IF(B182="","",IFERROR(INDEX(Equipamentos!$C$2:$C$201,MATCH(B182,Equipamentos!$A$2:$A$201,0)),""))</f>
        <v/>
      </c>
      <c r="E182" s="55" t="n"/>
      <c r="F182" s="55" t="n"/>
      <c r="G182">
        <f>IF(B182="","",IFERROR(INDEX(Equipamentos!$N$2:$N$201,MATCH(B182,Equipamentos!$A$2:$A$201,0)),""))</f>
        <v/>
      </c>
      <c r="H182">
        <f>IF(B182="","",IFERROR(INDEX(Equipamentos!$L$2:$L$201,MATCH(B182,Equipamentos!$A$2:$A$201,0)),""))</f>
        <v/>
      </c>
      <c r="I182" s="57">
        <f>IF(OR(A182="",B182=""),"",IFERROR(INDEX(Equipamentos!$J$2:$J$201,MATCH(1,INDEX((Equipamentos!$A$2:$A$201=B182)*(Equipamentos!$P$2:$P$201=A182),0),0)),""))</f>
        <v/>
      </c>
    </row>
    <row r="183">
      <c r="A183" s="54" t="n"/>
      <c r="B183" s="55" t="n"/>
      <c r="C183" s="56">
        <f>IF(OR(A183="",B183=""),"",IF(COUNTIF(Equipamentos!$A$2:$A$201,B183)=0,"tag não encontrada",IFERROR(INDEX(Equipamentos!$H$2:$H$201,MATCH(1,INDEX((Equipamentos!$A$2:$A$201=B183)*(Equipamentos!$P$2:$P$201=A183),0),0)),"confira a data")))</f>
        <v/>
      </c>
      <c r="D183">
        <f>IF(B183="","",IFERROR(INDEX(Equipamentos!$C$2:$C$201,MATCH(B183,Equipamentos!$A$2:$A$201,0)),""))</f>
        <v/>
      </c>
      <c r="E183" s="55" t="n"/>
      <c r="F183" s="55" t="n"/>
      <c r="G183">
        <f>IF(B183="","",IFERROR(INDEX(Equipamentos!$N$2:$N$201,MATCH(B183,Equipamentos!$A$2:$A$201,0)),""))</f>
        <v/>
      </c>
      <c r="H183">
        <f>IF(B183="","",IFERROR(INDEX(Equipamentos!$L$2:$L$201,MATCH(B183,Equipamentos!$A$2:$A$201,0)),""))</f>
        <v/>
      </c>
      <c r="I183" s="57">
        <f>IF(OR(A183="",B183=""),"",IFERROR(INDEX(Equipamentos!$J$2:$J$201,MATCH(1,INDEX((Equipamentos!$A$2:$A$201=B183)*(Equipamentos!$P$2:$P$201=A183),0),0)),""))</f>
        <v/>
      </c>
    </row>
    <row r="184">
      <c r="A184" s="54" t="n"/>
      <c r="B184" s="55" t="n"/>
      <c r="C184" s="56">
        <f>IF(OR(A184="",B184=""),"",IF(COUNTIF(Equipamentos!$A$2:$A$201,B184)=0,"tag não encontrada",IFERROR(INDEX(Equipamentos!$H$2:$H$201,MATCH(1,INDEX((Equipamentos!$A$2:$A$201=B184)*(Equipamentos!$P$2:$P$201=A184),0),0)),"confira a data")))</f>
        <v/>
      </c>
      <c r="D184">
        <f>IF(B184="","",IFERROR(INDEX(Equipamentos!$C$2:$C$201,MATCH(B184,Equipamentos!$A$2:$A$201,0)),""))</f>
        <v/>
      </c>
      <c r="E184" s="55" t="n"/>
      <c r="F184" s="55" t="n"/>
      <c r="G184">
        <f>IF(B184="","",IFERROR(INDEX(Equipamentos!$N$2:$N$201,MATCH(B184,Equipamentos!$A$2:$A$201,0)),""))</f>
        <v/>
      </c>
      <c r="H184">
        <f>IF(B184="","",IFERROR(INDEX(Equipamentos!$L$2:$L$201,MATCH(B184,Equipamentos!$A$2:$A$201,0)),""))</f>
        <v/>
      </c>
      <c r="I184" s="57">
        <f>IF(OR(A184="",B184=""),"",IFERROR(INDEX(Equipamentos!$J$2:$J$201,MATCH(1,INDEX((Equipamentos!$A$2:$A$201=B184)*(Equipamentos!$P$2:$P$201=A184),0),0)),""))</f>
        <v/>
      </c>
    </row>
    <row r="185">
      <c r="A185" s="54" t="n"/>
      <c r="B185" s="55" t="n"/>
      <c r="C185" s="56">
        <f>IF(OR(A185="",B185=""),"",IF(COUNTIF(Equipamentos!$A$2:$A$201,B185)=0,"tag não encontrada",IFERROR(INDEX(Equipamentos!$H$2:$H$201,MATCH(1,INDEX((Equipamentos!$A$2:$A$201=B185)*(Equipamentos!$P$2:$P$201=A185),0),0)),"confira a data")))</f>
        <v/>
      </c>
      <c r="D185">
        <f>IF(B185="","",IFERROR(INDEX(Equipamentos!$C$2:$C$201,MATCH(B185,Equipamentos!$A$2:$A$201,0)),""))</f>
        <v/>
      </c>
      <c r="E185" s="55" t="n"/>
      <c r="F185" s="55" t="n"/>
      <c r="G185">
        <f>IF(B185="","",IFERROR(INDEX(Equipamentos!$N$2:$N$201,MATCH(B185,Equipamentos!$A$2:$A$201,0)),""))</f>
        <v/>
      </c>
      <c r="H185">
        <f>IF(B185="","",IFERROR(INDEX(Equipamentos!$L$2:$L$201,MATCH(B185,Equipamentos!$A$2:$A$201,0)),""))</f>
        <v/>
      </c>
      <c r="I185" s="57">
        <f>IF(OR(A185="",B185=""),"",IFERROR(INDEX(Equipamentos!$J$2:$J$201,MATCH(1,INDEX((Equipamentos!$A$2:$A$201=B185)*(Equipamentos!$P$2:$P$201=A185),0),0)),""))</f>
        <v/>
      </c>
    </row>
    <row r="186">
      <c r="A186" s="54" t="n"/>
      <c r="B186" s="55" t="n"/>
      <c r="C186" s="56">
        <f>IF(OR(A186="",B186=""),"",IF(COUNTIF(Equipamentos!$A$2:$A$201,B186)=0,"tag não encontrada",IFERROR(INDEX(Equipamentos!$H$2:$H$201,MATCH(1,INDEX((Equipamentos!$A$2:$A$201=B186)*(Equipamentos!$P$2:$P$201=A186),0),0)),"confira a data")))</f>
        <v/>
      </c>
      <c r="D186">
        <f>IF(B186="","",IFERROR(INDEX(Equipamentos!$C$2:$C$201,MATCH(B186,Equipamentos!$A$2:$A$201,0)),""))</f>
        <v/>
      </c>
      <c r="E186" s="55" t="n"/>
      <c r="F186" s="55" t="n"/>
      <c r="G186">
        <f>IF(B186="","",IFERROR(INDEX(Equipamentos!$N$2:$N$201,MATCH(B186,Equipamentos!$A$2:$A$201,0)),""))</f>
        <v/>
      </c>
      <c r="H186">
        <f>IF(B186="","",IFERROR(INDEX(Equipamentos!$L$2:$L$201,MATCH(B186,Equipamentos!$A$2:$A$201,0)),""))</f>
        <v/>
      </c>
      <c r="I186" s="57">
        <f>IF(OR(A186="",B186=""),"",IFERROR(INDEX(Equipamentos!$J$2:$J$201,MATCH(1,INDEX((Equipamentos!$A$2:$A$201=B186)*(Equipamentos!$P$2:$P$201=A186),0),0)),""))</f>
        <v/>
      </c>
    </row>
    <row r="187">
      <c r="A187" s="54" t="n"/>
      <c r="B187" s="55" t="n"/>
      <c r="C187" s="56">
        <f>IF(OR(A187="",B187=""),"",IF(COUNTIF(Equipamentos!$A$2:$A$201,B187)=0,"tag não encontrada",IFERROR(INDEX(Equipamentos!$H$2:$H$201,MATCH(1,INDEX((Equipamentos!$A$2:$A$201=B187)*(Equipamentos!$P$2:$P$201=A187),0),0)),"confira a data")))</f>
        <v/>
      </c>
      <c r="D187">
        <f>IF(B187="","",IFERROR(INDEX(Equipamentos!$C$2:$C$201,MATCH(B187,Equipamentos!$A$2:$A$201,0)),""))</f>
        <v/>
      </c>
      <c r="E187" s="55" t="n"/>
      <c r="F187" s="55" t="n"/>
      <c r="G187">
        <f>IF(B187="","",IFERROR(INDEX(Equipamentos!$N$2:$N$201,MATCH(B187,Equipamentos!$A$2:$A$201,0)),""))</f>
        <v/>
      </c>
      <c r="H187">
        <f>IF(B187="","",IFERROR(INDEX(Equipamentos!$L$2:$L$201,MATCH(B187,Equipamentos!$A$2:$A$201,0)),""))</f>
        <v/>
      </c>
      <c r="I187" s="57">
        <f>IF(OR(A187="",B187=""),"",IFERROR(INDEX(Equipamentos!$J$2:$J$201,MATCH(1,INDEX((Equipamentos!$A$2:$A$201=B187)*(Equipamentos!$P$2:$P$201=A187),0),0)),""))</f>
        <v/>
      </c>
    </row>
    <row r="188">
      <c r="A188" s="54" t="n"/>
      <c r="B188" s="55" t="n"/>
      <c r="C188" s="56">
        <f>IF(OR(A188="",B188=""),"",IF(COUNTIF(Equipamentos!$A$2:$A$201,B188)=0,"tag não encontrada",IFERROR(INDEX(Equipamentos!$H$2:$H$201,MATCH(1,INDEX((Equipamentos!$A$2:$A$201=B188)*(Equipamentos!$P$2:$P$201=A188),0),0)),"confira a data")))</f>
        <v/>
      </c>
      <c r="D188">
        <f>IF(B188="","",IFERROR(INDEX(Equipamentos!$C$2:$C$201,MATCH(B188,Equipamentos!$A$2:$A$201,0)),""))</f>
        <v/>
      </c>
      <c r="E188" s="55" t="n"/>
      <c r="F188" s="55" t="n"/>
      <c r="G188">
        <f>IF(B188="","",IFERROR(INDEX(Equipamentos!$N$2:$N$201,MATCH(B188,Equipamentos!$A$2:$A$201,0)),""))</f>
        <v/>
      </c>
      <c r="H188">
        <f>IF(B188="","",IFERROR(INDEX(Equipamentos!$L$2:$L$201,MATCH(B188,Equipamentos!$A$2:$A$201,0)),""))</f>
        <v/>
      </c>
      <c r="I188" s="57">
        <f>IF(OR(A188="",B188=""),"",IFERROR(INDEX(Equipamentos!$J$2:$J$201,MATCH(1,INDEX((Equipamentos!$A$2:$A$201=B188)*(Equipamentos!$P$2:$P$201=A188),0),0)),""))</f>
        <v/>
      </c>
    </row>
    <row r="189">
      <c r="A189" s="54" t="n"/>
      <c r="B189" s="55" t="n"/>
      <c r="C189" s="56">
        <f>IF(OR(A189="",B189=""),"",IF(COUNTIF(Equipamentos!$A$2:$A$201,B189)=0,"tag não encontrada",IFERROR(INDEX(Equipamentos!$H$2:$H$201,MATCH(1,INDEX((Equipamentos!$A$2:$A$201=B189)*(Equipamentos!$P$2:$P$201=A189),0),0)),"confira a data")))</f>
        <v/>
      </c>
      <c r="D189">
        <f>IF(B189="","",IFERROR(INDEX(Equipamentos!$C$2:$C$201,MATCH(B189,Equipamentos!$A$2:$A$201,0)),""))</f>
        <v/>
      </c>
      <c r="E189" s="55" t="n"/>
      <c r="F189" s="55" t="n"/>
      <c r="G189">
        <f>IF(B189="","",IFERROR(INDEX(Equipamentos!$N$2:$N$201,MATCH(B189,Equipamentos!$A$2:$A$201,0)),""))</f>
        <v/>
      </c>
      <c r="H189">
        <f>IF(B189="","",IFERROR(INDEX(Equipamentos!$L$2:$L$201,MATCH(B189,Equipamentos!$A$2:$A$201,0)),""))</f>
        <v/>
      </c>
      <c r="I189" s="57">
        <f>IF(OR(A189="",B189=""),"",IFERROR(INDEX(Equipamentos!$J$2:$J$201,MATCH(1,INDEX((Equipamentos!$A$2:$A$201=B189)*(Equipamentos!$P$2:$P$201=A189),0),0)),""))</f>
        <v/>
      </c>
    </row>
    <row r="190">
      <c r="A190" s="54" t="n"/>
      <c r="B190" s="55" t="n"/>
      <c r="C190" s="56">
        <f>IF(OR(A190="",B190=""),"",IF(COUNTIF(Equipamentos!$A$2:$A$201,B190)=0,"tag não encontrada",IFERROR(INDEX(Equipamentos!$H$2:$H$201,MATCH(1,INDEX((Equipamentos!$A$2:$A$201=B190)*(Equipamentos!$P$2:$P$201=A190),0),0)),"confira a data")))</f>
        <v/>
      </c>
      <c r="D190">
        <f>IF(B190="","",IFERROR(INDEX(Equipamentos!$C$2:$C$201,MATCH(B190,Equipamentos!$A$2:$A$201,0)),""))</f>
        <v/>
      </c>
      <c r="E190" s="55" t="n"/>
      <c r="F190" s="55" t="n"/>
      <c r="G190">
        <f>IF(B190="","",IFERROR(INDEX(Equipamentos!$N$2:$N$201,MATCH(B190,Equipamentos!$A$2:$A$201,0)),""))</f>
        <v/>
      </c>
      <c r="H190">
        <f>IF(B190="","",IFERROR(INDEX(Equipamentos!$L$2:$L$201,MATCH(B190,Equipamentos!$A$2:$A$201,0)),""))</f>
        <v/>
      </c>
      <c r="I190" s="57">
        <f>IF(OR(A190="",B190=""),"",IFERROR(INDEX(Equipamentos!$J$2:$J$201,MATCH(1,INDEX((Equipamentos!$A$2:$A$201=B190)*(Equipamentos!$P$2:$P$201=A190),0),0)),""))</f>
        <v/>
      </c>
    </row>
    <row r="191">
      <c r="A191" s="54" t="n"/>
      <c r="B191" s="55" t="n"/>
      <c r="C191" s="56">
        <f>IF(OR(A191="",B191=""),"",IF(COUNTIF(Equipamentos!$A$2:$A$201,B191)=0,"tag não encontrada",IFERROR(INDEX(Equipamentos!$H$2:$H$201,MATCH(1,INDEX((Equipamentos!$A$2:$A$201=B191)*(Equipamentos!$P$2:$P$201=A191),0),0)),"confira a data")))</f>
        <v/>
      </c>
      <c r="D191">
        <f>IF(B191="","",IFERROR(INDEX(Equipamentos!$C$2:$C$201,MATCH(B191,Equipamentos!$A$2:$A$201,0)),""))</f>
        <v/>
      </c>
      <c r="E191" s="55" t="n"/>
      <c r="F191" s="55" t="n"/>
      <c r="G191">
        <f>IF(B191="","",IFERROR(INDEX(Equipamentos!$N$2:$N$201,MATCH(B191,Equipamentos!$A$2:$A$201,0)),""))</f>
        <v/>
      </c>
      <c r="H191">
        <f>IF(B191="","",IFERROR(INDEX(Equipamentos!$L$2:$L$201,MATCH(B191,Equipamentos!$A$2:$A$201,0)),""))</f>
        <v/>
      </c>
      <c r="I191" s="57">
        <f>IF(OR(A191="",B191=""),"",IFERROR(INDEX(Equipamentos!$J$2:$J$201,MATCH(1,INDEX((Equipamentos!$A$2:$A$201=B191)*(Equipamentos!$P$2:$P$201=A191),0),0)),""))</f>
        <v/>
      </c>
    </row>
    <row r="192">
      <c r="A192" s="54" t="n"/>
      <c r="B192" s="55" t="n"/>
      <c r="C192" s="56">
        <f>IF(OR(A192="",B192=""),"",IF(COUNTIF(Equipamentos!$A$2:$A$201,B192)=0,"tag não encontrada",IFERROR(INDEX(Equipamentos!$H$2:$H$201,MATCH(1,INDEX((Equipamentos!$A$2:$A$201=B192)*(Equipamentos!$P$2:$P$201=A192),0),0)),"confira a data")))</f>
        <v/>
      </c>
      <c r="D192">
        <f>IF(B192="","",IFERROR(INDEX(Equipamentos!$C$2:$C$201,MATCH(B192,Equipamentos!$A$2:$A$201,0)),""))</f>
        <v/>
      </c>
      <c r="E192" s="55" t="n"/>
      <c r="F192" s="55" t="n"/>
      <c r="G192">
        <f>IF(B192="","",IFERROR(INDEX(Equipamentos!$N$2:$N$201,MATCH(B192,Equipamentos!$A$2:$A$201,0)),""))</f>
        <v/>
      </c>
      <c r="H192">
        <f>IF(B192="","",IFERROR(INDEX(Equipamentos!$L$2:$L$201,MATCH(B192,Equipamentos!$A$2:$A$201,0)),""))</f>
        <v/>
      </c>
      <c r="I192" s="57">
        <f>IF(OR(A192="",B192=""),"",IFERROR(INDEX(Equipamentos!$J$2:$J$201,MATCH(1,INDEX((Equipamentos!$A$2:$A$201=B192)*(Equipamentos!$P$2:$P$201=A192),0),0)),""))</f>
        <v/>
      </c>
    </row>
    <row r="193">
      <c r="A193" s="54" t="n"/>
      <c r="B193" s="55" t="n"/>
      <c r="C193" s="56">
        <f>IF(OR(A193="",B193=""),"",IF(COUNTIF(Equipamentos!$A$2:$A$201,B193)=0,"tag não encontrada",IFERROR(INDEX(Equipamentos!$H$2:$H$201,MATCH(1,INDEX((Equipamentos!$A$2:$A$201=B193)*(Equipamentos!$P$2:$P$201=A193),0),0)),"confira a data")))</f>
        <v/>
      </c>
      <c r="D193">
        <f>IF(B193="","",IFERROR(INDEX(Equipamentos!$C$2:$C$201,MATCH(B193,Equipamentos!$A$2:$A$201,0)),""))</f>
        <v/>
      </c>
      <c r="E193" s="55" t="n"/>
      <c r="F193" s="55" t="n"/>
      <c r="G193">
        <f>IF(B193="","",IFERROR(INDEX(Equipamentos!$N$2:$N$201,MATCH(B193,Equipamentos!$A$2:$A$201,0)),""))</f>
        <v/>
      </c>
      <c r="H193">
        <f>IF(B193="","",IFERROR(INDEX(Equipamentos!$L$2:$L$201,MATCH(B193,Equipamentos!$A$2:$A$201,0)),""))</f>
        <v/>
      </c>
      <c r="I193" s="57">
        <f>IF(OR(A193="",B193=""),"",IFERROR(INDEX(Equipamentos!$J$2:$J$201,MATCH(1,INDEX((Equipamentos!$A$2:$A$201=B193)*(Equipamentos!$P$2:$P$201=A193),0),0)),""))</f>
        <v/>
      </c>
    </row>
    <row r="194">
      <c r="A194" s="54" t="n"/>
      <c r="B194" s="55" t="n"/>
      <c r="C194" s="56">
        <f>IF(OR(A194="",B194=""),"",IF(COUNTIF(Equipamentos!$A$2:$A$201,B194)=0,"tag não encontrada",IFERROR(INDEX(Equipamentos!$H$2:$H$201,MATCH(1,INDEX((Equipamentos!$A$2:$A$201=B194)*(Equipamentos!$P$2:$P$201=A194),0),0)),"confira a data")))</f>
        <v/>
      </c>
      <c r="D194">
        <f>IF(B194="","",IFERROR(INDEX(Equipamentos!$C$2:$C$201,MATCH(B194,Equipamentos!$A$2:$A$201,0)),""))</f>
        <v/>
      </c>
      <c r="E194" s="55" t="n"/>
      <c r="F194" s="55" t="n"/>
      <c r="G194">
        <f>IF(B194="","",IFERROR(INDEX(Equipamentos!$N$2:$N$201,MATCH(B194,Equipamentos!$A$2:$A$201,0)),""))</f>
        <v/>
      </c>
      <c r="H194">
        <f>IF(B194="","",IFERROR(INDEX(Equipamentos!$L$2:$L$201,MATCH(B194,Equipamentos!$A$2:$A$201,0)),""))</f>
        <v/>
      </c>
      <c r="I194" s="57">
        <f>IF(OR(A194="",B194=""),"",IFERROR(INDEX(Equipamentos!$J$2:$J$201,MATCH(1,INDEX((Equipamentos!$A$2:$A$201=B194)*(Equipamentos!$P$2:$P$201=A194),0),0)),""))</f>
        <v/>
      </c>
    </row>
    <row r="195">
      <c r="A195" s="54" t="n"/>
      <c r="B195" s="55" t="n"/>
      <c r="C195" s="56">
        <f>IF(OR(A195="",B195=""),"",IF(COUNTIF(Equipamentos!$A$2:$A$201,B195)=0,"tag não encontrada",IFERROR(INDEX(Equipamentos!$H$2:$H$201,MATCH(1,INDEX((Equipamentos!$A$2:$A$201=B195)*(Equipamentos!$P$2:$P$201=A195),0),0)),"confira a data")))</f>
        <v/>
      </c>
      <c r="D195">
        <f>IF(B195="","",IFERROR(INDEX(Equipamentos!$C$2:$C$201,MATCH(B195,Equipamentos!$A$2:$A$201,0)),""))</f>
        <v/>
      </c>
      <c r="E195" s="55" t="n"/>
      <c r="F195" s="55" t="n"/>
      <c r="G195">
        <f>IF(B195="","",IFERROR(INDEX(Equipamentos!$N$2:$N$201,MATCH(B195,Equipamentos!$A$2:$A$201,0)),""))</f>
        <v/>
      </c>
      <c r="H195">
        <f>IF(B195="","",IFERROR(INDEX(Equipamentos!$L$2:$L$201,MATCH(B195,Equipamentos!$A$2:$A$201,0)),""))</f>
        <v/>
      </c>
      <c r="I195" s="57">
        <f>IF(OR(A195="",B195=""),"",IFERROR(INDEX(Equipamentos!$J$2:$J$201,MATCH(1,INDEX((Equipamentos!$A$2:$A$201=B195)*(Equipamentos!$P$2:$P$201=A195),0),0)),""))</f>
        <v/>
      </c>
    </row>
    <row r="196">
      <c r="A196" s="54" t="n"/>
      <c r="B196" s="55" t="n"/>
      <c r="C196" s="56">
        <f>IF(OR(A196="",B196=""),"",IF(COUNTIF(Equipamentos!$A$2:$A$201,B196)=0,"tag não encontrada",IFERROR(INDEX(Equipamentos!$H$2:$H$201,MATCH(1,INDEX((Equipamentos!$A$2:$A$201=B196)*(Equipamentos!$P$2:$P$201=A196),0),0)),"confira a data")))</f>
        <v/>
      </c>
      <c r="D196">
        <f>IF(B196="","",IFERROR(INDEX(Equipamentos!$C$2:$C$201,MATCH(B196,Equipamentos!$A$2:$A$201,0)),""))</f>
        <v/>
      </c>
      <c r="E196" s="55" t="n"/>
      <c r="F196" s="55" t="n"/>
      <c r="G196">
        <f>IF(B196="","",IFERROR(INDEX(Equipamentos!$N$2:$N$201,MATCH(B196,Equipamentos!$A$2:$A$201,0)),""))</f>
        <v/>
      </c>
      <c r="H196">
        <f>IF(B196="","",IFERROR(INDEX(Equipamentos!$L$2:$L$201,MATCH(B196,Equipamentos!$A$2:$A$201,0)),""))</f>
        <v/>
      </c>
      <c r="I196" s="57">
        <f>IF(OR(A196="",B196=""),"",IFERROR(INDEX(Equipamentos!$J$2:$J$201,MATCH(1,INDEX((Equipamentos!$A$2:$A$201=B196)*(Equipamentos!$P$2:$P$201=A196),0),0)),""))</f>
        <v/>
      </c>
    </row>
    <row r="197">
      <c r="A197" s="54" t="n"/>
      <c r="B197" s="55" t="n"/>
      <c r="C197" s="56">
        <f>IF(OR(A197="",B197=""),"",IF(COUNTIF(Equipamentos!$A$2:$A$201,B197)=0,"tag não encontrada",IFERROR(INDEX(Equipamentos!$H$2:$H$201,MATCH(1,INDEX((Equipamentos!$A$2:$A$201=B197)*(Equipamentos!$P$2:$P$201=A197),0),0)),"confira a data")))</f>
        <v/>
      </c>
      <c r="D197">
        <f>IF(B197="","",IFERROR(INDEX(Equipamentos!$C$2:$C$201,MATCH(B197,Equipamentos!$A$2:$A$201,0)),""))</f>
        <v/>
      </c>
      <c r="E197" s="55" t="n"/>
      <c r="F197" s="55" t="n"/>
      <c r="G197">
        <f>IF(B197="","",IFERROR(INDEX(Equipamentos!$N$2:$N$201,MATCH(B197,Equipamentos!$A$2:$A$201,0)),""))</f>
        <v/>
      </c>
      <c r="H197">
        <f>IF(B197="","",IFERROR(INDEX(Equipamentos!$L$2:$L$201,MATCH(B197,Equipamentos!$A$2:$A$201,0)),""))</f>
        <v/>
      </c>
      <c r="I197" s="57">
        <f>IF(OR(A197="",B197=""),"",IFERROR(INDEX(Equipamentos!$J$2:$J$201,MATCH(1,INDEX((Equipamentos!$A$2:$A$201=B197)*(Equipamentos!$P$2:$P$201=A197),0),0)),""))</f>
        <v/>
      </c>
    </row>
    <row r="198">
      <c r="A198" s="54" t="n"/>
      <c r="B198" s="55" t="n"/>
      <c r="C198" s="56">
        <f>IF(OR(A198="",B198=""),"",IF(COUNTIF(Equipamentos!$A$2:$A$201,B198)=0,"tag não encontrada",IFERROR(INDEX(Equipamentos!$H$2:$H$201,MATCH(1,INDEX((Equipamentos!$A$2:$A$201=B198)*(Equipamentos!$P$2:$P$201=A198),0),0)),"confira a data")))</f>
        <v/>
      </c>
      <c r="D198">
        <f>IF(B198="","",IFERROR(INDEX(Equipamentos!$C$2:$C$201,MATCH(B198,Equipamentos!$A$2:$A$201,0)),""))</f>
        <v/>
      </c>
      <c r="E198" s="55" t="n"/>
      <c r="F198" s="55" t="n"/>
      <c r="G198">
        <f>IF(B198="","",IFERROR(INDEX(Equipamentos!$N$2:$N$201,MATCH(B198,Equipamentos!$A$2:$A$201,0)),""))</f>
        <v/>
      </c>
      <c r="H198">
        <f>IF(B198="","",IFERROR(INDEX(Equipamentos!$L$2:$L$201,MATCH(B198,Equipamentos!$A$2:$A$201,0)),""))</f>
        <v/>
      </c>
      <c r="I198" s="57">
        <f>IF(OR(A198="",B198=""),"",IFERROR(INDEX(Equipamentos!$J$2:$J$201,MATCH(1,INDEX((Equipamentos!$A$2:$A$201=B198)*(Equipamentos!$P$2:$P$201=A198),0),0)),""))</f>
        <v/>
      </c>
    </row>
    <row r="199">
      <c r="A199" s="54" t="n"/>
      <c r="B199" s="55" t="n"/>
      <c r="C199" s="56">
        <f>IF(OR(A199="",B199=""),"",IF(COUNTIF(Equipamentos!$A$2:$A$201,B199)=0,"tag não encontrada",IFERROR(INDEX(Equipamentos!$H$2:$H$201,MATCH(1,INDEX((Equipamentos!$A$2:$A$201=B199)*(Equipamentos!$P$2:$P$201=A199),0),0)),"confira a data")))</f>
        <v/>
      </c>
      <c r="D199">
        <f>IF(B199="","",IFERROR(INDEX(Equipamentos!$C$2:$C$201,MATCH(B199,Equipamentos!$A$2:$A$201,0)),""))</f>
        <v/>
      </c>
      <c r="E199" s="55" t="n"/>
      <c r="F199" s="55" t="n"/>
      <c r="G199">
        <f>IF(B199="","",IFERROR(INDEX(Equipamentos!$N$2:$N$201,MATCH(B199,Equipamentos!$A$2:$A$201,0)),""))</f>
        <v/>
      </c>
      <c r="H199">
        <f>IF(B199="","",IFERROR(INDEX(Equipamentos!$L$2:$L$201,MATCH(B199,Equipamentos!$A$2:$A$201,0)),""))</f>
        <v/>
      </c>
      <c r="I199" s="57">
        <f>IF(OR(A199="",B199=""),"",IFERROR(INDEX(Equipamentos!$J$2:$J$201,MATCH(1,INDEX((Equipamentos!$A$2:$A$201=B199)*(Equipamentos!$P$2:$P$201=A199),0),0)),""))</f>
        <v/>
      </c>
    </row>
    <row r="200">
      <c r="A200" s="54" t="n"/>
      <c r="B200" s="55" t="n"/>
      <c r="C200" s="56">
        <f>IF(OR(A200="",B200=""),"",IF(COUNTIF(Equipamentos!$A$2:$A$201,B200)=0,"tag não encontrada",IFERROR(INDEX(Equipamentos!$H$2:$H$201,MATCH(1,INDEX((Equipamentos!$A$2:$A$201=B200)*(Equipamentos!$P$2:$P$201=A200),0),0)),"confira a data")))</f>
        <v/>
      </c>
      <c r="D200">
        <f>IF(B200="","",IFERROR(INDEX(Equipamentos!$C$2:$C$201,MATCH(B200,Equipamentos!$A$2:$A$201,0)),""))</f>
        <v/>
      </c>
      <c r="E200" s="55" t="n"/>
      <c r="F200" s="55" t="n"/>
      <c r="G200">
        <f>IF(B200="","",IFERROR(INDEX(Equipamentos!$N$2:$N$201,MATCH(B200,Equipamentos!$A$2:$A$201,0)),""))</f>
        <v/>
      </c>
      <c r="H200">
        <f>IF(B200="","",IFERROR(INDEX(Equipamentos!$L$2:$L$201,MATCH(B200,Equipamentos!$A$2:$A$201,0)),""))</f>
        <v/>
      </c>
      <c r="I200" s="57">
        <f>IF(OR(A200="",B200=""),"",IFERROR(INDEX(Equipamentos!$J$2:$J$201,MATCH(1,INDEX((Equipamentos!$A$2:$A$201=B200)*(Equipamentos!$P$2:$P$201=A200),0),0)),""))</f>
        <v/>
      </c>
    </row>
    <row r="201">
      <c r="A201" s="54" t="n"/>
      <c r="B201" s="55" t="n"/>
      <c r="C201" s="56">
        <f>IF(OR(A201="",B201=""),"",IF(COUNTIF(Equipamentos!$A$2:$A$201,B201)=0,"tag não encontrada",IFERROR(INDEX(Equipamentos!$H$2:$H$201,MATCH(1,INDEX((Equipamentos!$A$2:$A$201=B201)*(Equipamentos!$P$2:$P$201=A201),0),0)),"confira a data")))</f>
        <v/>
      </c>
      <c r="D201">
        <f>IF(B201="","",IFERROR(INDEX(Equipamentos!$C$2:$C$201,MATCH(B201,Equipamentos!$A$2:$A$201,0)),""))</f>
        <v/>
      </c>
      <c r="E201" s="55" t="n"/>
      <c r="F201" s="55" t="n"/>
      <c r="G201">
        <f>IF(B201="","",IFERROR(INDEX(Equipamentos!$N$2:$N$201,MATCH(B201,Equipamentos!$A$2:$A$201,0)),""))</f>
        <v/>
      </c>
      <c r="H201">
        <f>IF(B201="","",IFERROR(INDEX(Equipamentos!$L$2:$L$201,MATCH(B201,Equipamentos!$A$2:$A$201,0)),""))</f>
        <v/>
      </c>
      <c r="I201" s="57">
        <f>IF(OR(A201="",B201=""),"",IFERROR(INDEX(Equipamentos!$J$2:$J$201,MATCH(1,INDEX((Equipamentos!$A$2:$A$201=B201)*(Equipamentos!$P$2:$P$201=A201),0),0)),""))</f>
        <v/>
      </c>
    </row>
    <row r="202">
      <c r="A202" s="54" t="n"/>
      <c r="B202" s="55" t="n"/>
      <c r="C202" s="56">
        <f>IF(OR(A202="",B202=""),"",IF(COUNTIF(Equipamentos!$A$2:$A$201,B202)=0,"tag não encontrada",IFERROR(INDEX(Equipamentos!$H$2:$H$201,MATCH(1,INDEX((Equipamentos!$A$2:$A$201=B202)*(Equipamentos!$P$2:$P$201=A202),0),0)),"confira a data")))</f>
        <v/>
      </c>
      <c r="D202">
        <f>IF(B202="","",IFERROR(INDEX(Equipamentos!$C$2:$C$201,MATCH(B202,Equipamentos!$A$2:$A$201,0)),""))</f>
        <v/>
      </c>
      <c r="E202" s="55" t="n"/>
      <c r="F202" s="55" t="n"/>
      <c r="G202">
        <f>IF(B202="","",IFERROR(INDEX(Equipamentos!$N$2:$N$201,MATCH(B202,Equipamentos!$A$2:$A$201,0)),""))</f>
        <v/>
      </c>
      <c r="H202">
        <f>IF(B202="","",IFERROR(INDEX(Equipamentos!$L$2:$L$201,MATCH(B202,Equipamentos!$A$2:$A$201,0)),""))</f>
        <v/>
      </c>
      <c r="I202" s="57">
        <f>IF(OR(A202="",B202=""),"",IFERROR(INDEX(Equipamentos!$J$2:$J$201,MATCH(1,INDEX((Equipamentos!$A$2:$A$201=B202)*(Equipamentos!$P$2:$P$201=A202),0),0)),""))</f>
        <v/>
      </c>
    </row>
    <row r="203">
      <c r="A203" s="54" t="n"/>
      <c r="B203" s="55" t="n"/>
      <c r="C203" s="56">
        <f>IF(OR(A203="",B203=""),"",IF(COUNTIF(Equipamentos!$A$2:$A$201,B203)=0,"tag não encontrada",IFERROR(INDEX(Equipamentos!$H$2:$H$201,MATCH(1,INDEX((Equipamentos!$A$2:$A$201=B203)*(Equipamentos!$P$2:$P$201=A203),0),0)),"confira a data")))</f>
        <v/>
      </c>
      <c r="D203">
        <f>IF(B203="","",IFERROR(INDEX(Equipamentos!$C$2:$C$201,MATCH(B203,Equipamentos!$A$2:$A$201,0)),""))</f>
        <v/>
      </c>
      <c r="E203" s="55" t="n"/>
      <c r="F203" s="55" t="n"/>
      <c r="G203">
        <f>IF(B203="","",IFERROR(INDEX(Equipamentos!$N$2:$N$201,MATCH(B203,Equipamentos!$A$2:$A$201,0)),""))</f>
        <v/>
      </c>
      <c r="H203">
        <f>IF(B203="","",IFERROR(INDEX(Equipamentos!$L$2:$L$201,MATCH(B203,Equipamentos!$A$2:$A$201,0)),""))</f>
        <v/>
      </c>
      <c r="I203" s="57">
        <f>IF(OR(A203="",B203=""),"",IFERROR(INDEX(Equipamentos!$J$2:$J$201,MATCH(1,INDEX((Equipamentos!$A$2:$A$201=B203)*(Equipamentos!$P$2:$P$201=A203),0),0)),""))</f>
        <v/>
      </c>
    </row>
    <row r="204">
      <c r="A204" s="54" t="n"/>
      <c r="B204" s="55" t="n"/>
      <c r="C204" s="56">
        <f>IF(OR(A204="",B204=""),"",IF(COUNTIF(Equipamentos!$A$2:$A$201,B204)=0,"tag não encontrada",IFERROR(INDEX(Equipamentos!$H$2:$H$201,MATCH(1,INDEX((Equipamentos!$A$2:$A$201=B204)*(Equipamentos!$P$2:$P$201=A204),0),0)),"confira a data")))</f>
        <v/>
      </c>
      <c r="D204">
        <f>IF(B204="","",IFERROR(INDEX(Equipamentos!$C$2:$C$201,MATCH(B204,Equipamentos!$A$2:$A$201,0)),""))</f>
        <v/>
      </c>
      <c r="E204" s="55" t="n"/>
      <c r="F204" s="55" t="n"/>
      <c r="G204">
        <f>IF(B204="","",IFERROR(INDEX(Equipamentos!$N$2:$N$201,MATCH(B204,Equipamentos!$A$2:$A$201,0)),""))</f>
        <v/>
      </c>
      <c r="H204">
        <f>IF(B204="","",IFERROR(INDEX(Equipamentos!$L$2:$L$201,MATCH(B204,Equipamentos!$A$2:$A$201,0)),""))</f>
        <v/>
      </c>
      <c r="I204" s="57">
        <f>IF(OR(A204="",B204=""),"",IFERROR(INDEX(Equipamentos!$J$2:$J$201,MATCH(1,INDEX((Equipamentos!$A$2:$A$201=B204)*(Equipamentos!$P$2:$P$201=A204),0),0)),""))</f>
        <v/>
      </c>
    </row>
    <row r="205">
      <c r="A205" s="54" t="n"/>
      <c r="B205" s="55" t="n"/>
      <c r="C205" s="56">
        <f>IF(OR(A205="",B205=""),"",IF(COUNTIF(Equipamentos!$A$2:$A$201,B205)=0,"tag não encontrada",IFERROR(INDEX(Equipamentos!$H$2:$H$201,MATCH(1,INDEX((Equipamentos!$A$2:$A$201=B205)*(Equipamentos!$P$2:$P$201=A205),0),0)),"confira a data")))</f>
        <v/>
      </c>
      <c r="D205">
        <f>IF(B205="","",IFERROR(INDEX(Equipamentos!$C$2:$C$201,MATCH(B205,Equipamentos!$A$2:$A$201,0)),""))</f>
        <v/>
      </c>
      <c r="E205" s="55" t="n"/>
      <c r="F205" s="55" t="n"/>
      <c r="G205">
        <f>IF(B205="","",IFERROR(INDEX(Equipamentos!$N$2:$N$201,MATCH(B205,Equipamentos!$A$2:$A$201,0)),""))</f>
        <v/>
      </c>
      <c r="H205">
        <f>IF(B205="","",IFERROR(INDEX(Equipamentos!$L$2:$L$201,MATCH(B205,Equipamentos!$A$2:$A$201,0)),""))</f>
        <v/>
      </c>
      <c r="I205" s="57">
        <f>IF(OR(A205="",B205=""),"",IFERROR(INDEX(Equipamentos!$J$2:$J$201,MATCH(1,INDEX((Equipamentos!$A$2:$A$201=B205)*(Equipamentos!$P$2:$P$201=A205),0),0)),""))</f>
        <v/>
      </c>
    </row>
    <row r="206">
      <c r="A206" s="54" t="n"/>
      <c r="B206" s="55" t="n"/>
      <c r="C206" s="56">
        <f>IF(OR(A206="",B206=""),"",IF(COUNTIF(Equipamentos!$A$2:$A$201,B206)=0,"tag não encontrada",IFERROR(INDEX(Equipamentos!$H$2:$H$201,MATCH(1,INDEX((Equipamentos!$A$2:$A$201=B206)*(Equipamentos!$P$2:$P$201=A206),0),0)),"confira a data")))</f>
        <v/>
      </c>
      <c r="D206">
        <f>IF(B206="","",IFERROR(INDEX(Equipamentos!$C$2:$C$201,MATCH(B206,Equipamentos!$A$2:$A$201,0)),""))</f>
        <v/>
      </c>
      <c r="E206" s="55" t="n"/>
      <c r="F206" s="55" t="n"/>
      <c r="G206">
        <f>IF(B206="","",IFERROR(INDEX(Equipamentos!$N$2:$N$201,MATCH(B206,Equipamentos!$A$2:$A$201,0)),""))</f>
        <v/>
      </c>
      <c r="H206">
        <f>IF(B206="","",IFERROR(INDEX(Equipamentos!$L$2:$L$201,MATCH(B206,Equipamentos!$A$2:$A$201,0)),""))</f>
        <v/>
      </c>
      <c r="I206" s="57">
        <f>IF(OR(A206="",B206=""),"",IFERROR(INDEX(Equipamentos!$J$2:$J$201,MATCH(1,INDEX((Equipamentos!$A$2:$A$201=B206)*(Equipamentos!$P$2:$P$201=A206),0),0)),""))</f>
        <v/>
      </c>
    </row>
    <row r="207">
      <c r="A207" s="54" t="n"/>
      <c r="B207" s="55" t="n"/>
      <c r="C207" s="56">
        <f>IF(OR(A207="",B207=""),"",IF(COUNTIF(Equipamentos!$A$2:$A$201,B207)=0,"tag não encontrada",IFERROR(INDEX(Equipamentos!$H$2:$H$201,MATCH(1,INDEX((Equipamentos!$A$2:$A$201=B207)*(Equipamentos!$P$2:$P$201=A207),0),0)),"confira a data")))</f>
        <v/>
      </c>
      <c r="D207">
        <f>IF(B207="","",IFERROR(INDEX(Equipamentos!$C$2:$C$201,MATCH(B207,Equipamentos!$A$2:$A$201,0)),""))</f>
        <v/>
      </c>
      <c r="E207" s="55" t="n"/>
      <c r="F207" s="55" t="n"/>
      <c r="G207">
        <f>IF(B207="","",IFERROR(INDEX(Equipamentos!$N$2:$N$201,MATCH(B207,Equipamentos!$A$2:$A$201,0)),""))</f>
        <v/>
      </c>
      <c r="H207">
        <f>IF(B207="","",IFERROR(INDEX(Equipamentos!$L$2:$L$201,MATCH(B207,Equipamentos!$A$2:$A$201,0)),""))</f>
        <v/>
      </c>
      <c r="I207" s="57">
        <f>IF(OR(A207="",B207=""),"",IFERROR(INDEX(Equipamentos!$J$2:$J$201,MATCH(1,INDEX((Equipamentos!$A$2:$A$201=B207)*(Equipamentos!$P$2:$P$201=A207),0),0)),""))</f>
        <v/>
      </c>
    </row>
    <row r="208">
      <c r="A208" s="54" t="n"/>
      <c r="B208" s="55" t="n"/>
      <c r="C208" s="56">
        <f>IF(OR(A208="",B208=""),"",IF(COUNTIF(Equipamentos!$A$2:$A$201,B208)=0,"tag não encontrada",IFERROR(INDEX(Equipamentos!$H$2:$H$201,MATCH(1,INDEX((Equipamentos!$A$2:$A$201=B208)*(Equipamentos!$P$2:$P$201=A208),0),0)),"confira a data")))</f>
        <v/>
      </c>
      <c r="D208">
        <f>IF(B208="","",IFERROR(INDEX(Equipamentos!$C$2:$C$201,MATCH(B208,Equipamentos!$A$2:$A$201,0)),""))</f>
        <v/>
      </c>
      <c r="E208" s="55" t="n"/>
      <c r="F208" s="55" t="n"/>
      <c r="G208">
        <f>IF(B208="","",IFERROR(INDEX(Equipamentos!$N$2:$N$201,MATCH(B208,Equipamentos!$A$2:$A$201,0)),""))</f>
        <v/>
      </c>
      <c r="H208">
        <f>IF(B208="","",IFERROR(INDEX(Equipamentos!$L$2:$L$201,MATCH(B208,Equipamentos!$A$2:$A$201,0)),""))</f>
        <v/>
      </c>
      <c r="I208" s="57">
        <f>IF(OR(A208="",B208=""),"",IFERROR(INDEX(Equipamentos!$J$2:$J$201,MATCH(1,INDEX((Equipamentos!$A$2:$A$201=B208)*(Equipamentos!$P$2:$P$201=A208),0),0)),""))</f>
        <v/>
      </c>
    </row>
    <row r="209">
      <c r="A209" s="54" t="n"/>
      <c r="B209" s="55" t="n"/>
      <c r="C209" s="56">
        <f>IF(OR(A209="",B209=""),"",IF(COUNTIF(Equipamentos!$A$2:$A$201,B209)=0,"tag não encontrada",IFERROR(INDEX(Equipamentos!$H$2:$H$201,MATCH(1,INDEX((Equipamentos!$A$2:$A$201=B209)*(Equipamentos!$P$2:$P$201=A209),0),0)),"confira a data")))</f>
        <v/>
      </c>
      <c r="D209">
        <f>IF(B209="","",IFERROR(INDEX(Equipamentos!$C$2:$C$201,MATCH(B209,Equipamentos!$A$2:$A$201,0)),""))</f>
        <v/>
      </c>
      <c r="E209" s="55" t="n"/>
      <c r="F209" s="55" t="n"/>
      <c r="G209">
        <f>IF(B209="","",IFERROR(INDEX(Equipamentos!$N$2:$N$201,MATCH(B209,Equipamentos!$A$2:$A$201,0)),""))</f>
        <v/>
      </c>
      <c r="H209">
        <f>IF(B209="","",IFERROR(INDEX(Equipamentos!$L$2:$L$201,MATCH(B209,Equipamentos!$A$2:$A$201,0)),""))</f>
        <v/>
      </c>
      <c r="I209" s="57">
        <f>IF(OR(A209="",B209=""),"",IFERROR(INDEX(Equipamentos!$J$2:$J$201,MATCH(1,INDEX((Equipamentos!$A$2:$A$201=B209)*(Equipamentos!$P$2:$P$201=A209),0),0)),""))</f>
        <v/>
      </c>
    </row>
    <row r="210">
      <c r="A210" s="54" t="n"/>
      <c r="B210" s="55" t="n"/>
      <c r="C210" s="56">
        <f>IF(OR(A210="",B210=""),"",IF(COUNTIF(Equipamentos!$A$2:$A$201,B210)=0,"tag não encontrada",IFERROR(INDEX(Equipamentos!$H$2:$H$201,MATCH(1,INDEX((Equipamentos!$A$2:$A$201=B210)*(Equipamentos!$P$2:$P$201=A210),0),0)),"confira a data")))</f>
        <v/>
      </c>
      <c r="D210">
        <f>IF(B210="","",IFERROR(INDEX(Equipamentos!$C$2:$C$201,MATCH(B210,Equipamentos!$A$2:$A$201,0)),""))</f>
        <v/>
      </c>
      <c r="E210" s="55" t="n"/>
      <c r="F210" s="55" t="n"/>
      <c r="G210">
        <f>IF(B210="","",IFERROR(INDEX(Equipamentos!$N$2:$N$201,MATCH(B210,Equipamentos!$A$2:$A$201,0)),""))</f>
        <v/>
      </c>
      <c r="H210">
        <f>IF(B210="","",IFERROR(INDEX(Equipamentos!$L$2:$L$201,MATCH(B210,Equipamentos!$A$2:$A$201,0)),""))</f>
        <v/>
      </c>
      <c r="I210" s="57">
        <f>IF(OR(A210="",B210=""),"",IFERROR(INDEX(Equipamentos!$J$2:$J$201,MATCH(1,INDEX((Equipamentos!$A$2:$A$201=B210)*(Equipamentos!$P$2:$P$201=A210),0),0)),""))</f>
        <v/>
      </c>
    </row>
    <row r="211">
      <c r="A211" s="54" t="n"/>
      <c r="B211" s="55" t="n"/>
      <c r="C211" s="56">
        <f>IF(OR(A211="",B211=""),"",IF(COUNTIF(Equipamentos!$A$2:$A$201,B211)=0,"tag não encontrada",IFERROR(INDEX(Equipamentos!$H$2:$H$201,MATCH(1,INDEX((Equipamentos!$A$2:$A$201=B211)*(Equipamentos!$P$2:$P$201=A211),0),0)),"confira a data")))</f>
        <v/>
      </c>
      <c r="D211">
        <f>IF(B211="","",IFERROR(INDEX(Equipamentos!$C$2:$C$201,MATCH(B211,Equipamentos!$A$2:$A$201,0)),""))</f>
        <v/>
      </c>
      <c r="E211" s="55" t="n"/>
      <c r="F211" s="55" t="n"/>
      <c r="G211">
        <f>IF(B211="","",IFERROR(INDEX(Equipamentos!$N$2:$N$201,MATCH(B211,Equipamentos!$A$2:$A$201,0)),""))</f>
        <v/>
      </c>
      <c r="H211">
        <f>IF(B211="","",IFERROR(INDEX(Equipamentos!$L$2:$L$201,MATCH(B211,Equipamentos!$A$2:$A$201,0)),""))</f>
        <v/>
      </c>
      <c r="I211" s="57">
        <f>IF(OR(A211="",B211=""),"",IFERROR(INDEX(Equipamentos!$J$2:$J$201,MATCH(1,INDEX((Equipamentos!$A$2:$A$201=B211)*(Equipamentos!$P$2:$P$201=A211),0),0)),""))</f>
        <v/>
      </c>
    </row>
    <row r="212">
      <c r="A212" s="54" t="n"/>
      <c r="B212" s="55" t="n"/>
      <c r="C212" s="56">
        <f>IF(OR(A212="",B212=""),"",IF(COUNTIF(Equipamentos!$A$2:$A$201,B212)=0,"tag não encontrada",IFERROR(INDEX(Equipamentos!$H$2:$H$201,MATCH(1,INDEX((Equipamentos!$A$2:$A$201=B212)*(Equipamentos!$P$2:$P$201=A212),0),0)),"confira a data")))</f>
        <v/>
      </c>
      <c r="D212">
        <f>IF(B212="","",IFERROR(INDEX(Equipamentos!$C$2:$C$201,MATCH(B212,Equipamentos!$A$2:$A$201,0)),""))</f>
        <v/>
      </c>
      <c r="E212" s="55" t="n"/>
      <c r="F212" s="55" t="n"/>
      <c r="G212">
        <f>IF(B212="","",IFERROR(INDEX(Equipamentos!$N$2:$N$201,MATCH(B212,Equipamentos!$A$2:$A$201,0)),""))</f>
        <v/>
      </c>
      <c r="H212">
        <f>IF(B212="","",IFERROR(INDEX(Equipamentos!$L$2:$L$201,MATCH(B212,Equipamentos!$A$2:$A$201,0)),""))</f>
        <v/>
      </c>
      <c r="I212" s="57">
        <f>IF(OR(A212="",B212=""),"",IFERROR(INDEX(Equipamentos!$J$2:$J$201,MATCH(1,INDEX((Equipamentos!$A$2:$A$201=B212)*(Equipamentos!$P$2:$P$201=A212),0),0)),""))</f>
        <v/>
      </c>
    </row>
    <row r="213">
      <c r="A213" s="54" t="n"/>
      <c r="B213" s="55" t="n"/>
      <c r="C213" s="56">
        <f>IF(OR(A213="",B213=""),"",IF(COUNTIF(Equipamentos!$A$2:$A$201,B213)=0,"tag não encontrada",IFERROR(INDEX(Equipamentos!$H$2:$H$201,MATCH(1,INDEX((Equipamentos!$A$2:$A$201=B213)*(Equipamentos!$P$2:$P$201=A213),0),0)),"confira a data")))</f>
        <v/>
      </c>
      <c r="D213">
        <f>IF(B213="","",IFERROR(INDEX(Equipamentos!$C$2:$C$201,MATCH(B213,Equipamentos!$A$2:$A$201,0)),""))</f>
        <v/>
      </c>
      <c r="E213" s="55" t="n"/>
      <c r="F213" s="55" t="n"/>
      <c r="G213">
        <f>IF(B213="","",IFERROR(INDEX(Equipamentos!$N$2:$N$201,MATCH(B213,Equipamentos!$A$2:$A$201,0)),""))</f>
        <v/>
      </c>
      <c r="H213">
        <f>IF(B213="","",IFERROR(INDEX(Equipamentos!$L$2:$L$201,MATCH(B213,Equipamentos!$A$2:$A$201,0)),""))</f>
        <v/>
      </c>
      <c r="I213" s="57">
        <f>IF(OR(A213="",B213=""),"",IFERROR(INDEX(Equipamentos!$J$2:$J$201,MATCH(1,INDEX((Equipamentos!$A$2:$A$201=B213)*(Equipamentos!$P$2:$P$201=A213),0),0)),""))</f>
        <v/>
      </c>
    </row>
    <row r="214">
      <c r="A214" s="54" t="n"/>
      <c r="B214" s="55" t="n"/>
      <c r="C214" s="56">
        <f>IF(OR(A214="",B214=""),"",IF(COUNTIF(Equipamentos!$A$2:$A$201,B214)=0,"tag não encontrada",IFERROR(INDEX(Equipamentos!$H$2:$H$201,MATCH(1,INDEX((Equipamentos!$A$2:$A$201=B214)*(Equipamentos!$P$2:$P$201=A214),0),0)),"confira a data")))</f>
        <v/>
      </c>
      <c r="D214">
        <f>IF(B214="","",IFERROR(INDEX(Equipamentos!$C$2:$C$201,MATCH(B214,Equipamentos!$A$2:$A$201,0)),""))</f>
        <v/>
      </c>
      <c r="E214" s="55" t="n"/>
      <c r="F214" s="55" t="n"/>
      <c r="G214">
        <f>IF(B214="","",IFERROR(INDEX(Equipamentos!$N$2:$N$201,MATCH(B214,Equipamentos!$A$2:$A$201,0)),""))</f>
        <v/>
      </c>
      <c r="H214">
        <f>IF(B214="","",IFERROR(INDEX(Equipamentos!$L$2:$L$201,MATCH(B214,Equipamentos!$A$2:$A$201,0)),""))</f>
        <v/>
      </c>
      <c r="I214" s="57">
        <f>IF(OR(A214="",B214=""),"",IFERROR(INDEX(Equipamentos!$J$2:$J$201,MATCH(1,INDEX((Equipamentos!$A$2:$A$201=B214)*(Equipamentos!$P$2:$P$201=A214),0),0)),""))</f>
        <v/>
      </c>
    </row>
    <row r="215">
      <c r="A215" s="54" t="n"/>
      <c r="B215" s="55" t="n"/>
      <c r="C215" s="56">
        <f>IF(OR(A215="",B215=""),"",IF(COUNTIF(Equipamentos!$A$2:$A$201,B215)=0,"tag não encontrada",IFERROR(INDEX(Equipamentos!$H$2:$H$201,MATCH(1,INDEX((Equipamentos!$A$2:$A$201=B215)*(Equipamentos!$P$2:$P$201=A215),0),0)),"confira a data")))</f>
        <v/>
      </c>
      <c r="D215">
        <f>IF(B215="","",IFERROR(INDEX(Equipamentos!$C$2:$C$201,MATCH(B215,Equipamentos!$A$2:$A$201,0)),""))</f>
        <v/>
      </c>
      <c r="E215" s="55" t="n"/>
      <c r="F215" s="55" t="n"/>
      <c r="G215">
        <f>IF(B215="","",IFERROR(INDEX(Equipamentos!$N$2:$N$201,MATCH(B215,Equipamentos!$A$2:$A$201,0)),""))</f>
        <v/>
      </c>
      <c r="H215">
        <f>IF(B215="","",IFERROR(INDEX(Equipamentos!$L$2:$L$201,MATCH(B215,Equipamentos!$A$2:$A$201,0)),""))</f>
        <v/>
      </c>
      <c r="I215" s="57">
        <f>IF(OR(A215="",B215=""),"",IFERROR(INDEX(Equipamentos!$J$2:$J$201,MATCH(1,INDEX((Equipamentos!$A$2:$A$201=B215)*(Equipamentos!$P$2:$P$201=A215),0),0)),""))</f>
        <v/>
      </c>
    </row>
    <row r="216">
      <c r="A216" s="54" t="n"/>
      <c r="B216" s="55" t="n"/>
      <c r="C216" s="56">
        <f>IF(OR(A216="",B216=""),"",IF(COUNTIF(Equipamentos!$A$2:$A$201,B216)=0,"tag não encontrada",IFERROR(INDEX(Equipamentos!$H$2:$H$201,MATCH(1,INDEX((Equipamentos!$A$2:$A$201=B216)*(Equipamentos!$P$2:$P$201=A216),0),0)),"confira a data")))</f>
        <v/>
      </c>
      <c r="D216">
        <f>IF(B216="","",IFERROR(INDEX(Equipamentos!$C$2:$C$201,MATCH(B216,Equipamentos!$A$2:$A$201,0)),""))</f>
        <v/>
      </c>
      <c r="E216" s="55" t="n"/>
      <c r="F216" s="55" t="n"/>
      <c r="G216">
        <f>IF(B216="","",IFERROR(INDEX(Equipamentos!$N$2:$N$201,MATCH(B216,Equipamentos!$A$2:$A$201,0)),""))</f>
        <v/>
      </c>
      <c r="H216">
        <f>IF(B216="","",IFERROR(INDEX(Equipamentos!$L$2:$L$201,MATCH(B216,Equipamentos!$A$2:$A$201,0)),""))</f>
        <v/>
      </c>
      <c r="I216" s="57">
        <f>IF(OR(A216="",B216=""),"",IFERROR(INDEX(Equipamentos!$J$2:$J$201,MATCH(1,INDEX((Equipamentos!$A$2:$A$201=B216)*(Equipamentos!$P$2:$P$201=A216),0),0)),""))</f>
        <v/>
      </c>
    </row>
    <row r="217">
      <c r="A217" s="54" t="n"/>
      <c r="B217" s="55" t="n"/>
      <c r="C217" s="56">
        <f>IF(OR(A217="",B217=""),"",IF(COUNTIF(Equipamentos!$A$2:$A$201,B217)=0,"tag não encontrada",IFERROR(INDEX(Equipamentos!$H$2:$H$201,MATCH(1,INDEX((Equipamentos!$A$2:$A$201=B217)*(Equipamentos!$P$2:$P$201=A217),0),0)),"confira a data")))</f>
        <v/>
      </c>
      <c r="D217">
        <f>IF(B217="","",IFERROR(INDEX(Equipamentos!$C$2:$C$201,MATCH(B217,Equipamentos!$A$2:$A$201,0)),""))</f>
        <v/>
      </c>
      <c r="E217" s="55" t="n"/>
      <c r="F217" s="55" t="n"/>
      <c r="G217">
        <f>IF(B217="","",IFERROR(INDEX(Equipamentos!$N$2:$N$201,MATCH(B217,Equipamentos!$A$2:$A$201,0)),""))</f>
        <v/>
      </c>
      <c r="H217">
        <f>IF(B217="","",IFERROR(INDEX(Equipamentos!$L$2:$L$201,MATCH(B217,Equipamentos!$A$2:$A$201,0)),""))</f>
        <v/>
      </c>
      <c r="I217" s="57">
        <f>IF(OR(A217="",B217=""),"",IFERROR(INDEX(Equipamentos!$J$2:$J$201,MATCH(1,INDEX((Equipamentos!$A$2:$A$201=B217)*(Equipamentos!$P$2:$P$201=A217),0),0)),""))</f>
        <v/>
      </c>
    </row>
    <row r="218">
      <c r="A218" s="54" t="n"/>
      <c r="B218" s="55" t="n"/>
      <c r="C218" s="56">
        <f>IF(OR(A218="",B218=""),"",IF(COUNTIF(Equipamentos!$A$2:$A$201,B218)=0,"tag não encontrada",IFERROR(INDEX(Equipamentos!$H$2:$H$201,MATCH(1,INDEX((Equipamentos!$A$2:$A$201=B218)*(Equipamentos!$P$2:$P$201=A218),0),0)),"confira a data")))</f>
        <v/>
      </c>
      <c r="D218">
        <f>IF(B218="","",IFERROR(INDEX(Equipamentos!$C$2:$C$201,MATCH(B218,Equipamentos!$A$2:$A$201,0)),""))</f>
        <v/>
      </c>
      <c r="E218" s="55" t="n"/>
      <c r="F218" s="55" t="n"/>
      <c r="G218">
        <f>IF(B218="","",IFERROR(INDEX(Equipamentos!$N$2:$N$201,MATCH(B218,Equipamentos!$A$2:$A$201,0)),""))</f>
        <v/>
      </c>
      <c r="H218">
        <f>IF(B218="","",IFERROR(INDEX(Equipamentos!$L$2:$L$201,MATCH(B218,Equipamentos!$A$2:$A$201,0)),""))</f>
        <v/>
      </c>
      <c r="I218" s="57">
        <f>IF(OR(A218="",B218=""),"",IFERROR(INDEX(Equipamentos!$J$2:$J$201,MATCH(1,INDEX((Equipamentos!$A$2:$A$201=B218)*(Equipamentos!$P$2:$P$201=A218),0),0)),""))</f>
        <v/>
      </c>
    </row>
    <row r="219">
      <c r="A219" s="54" t="n"/>
      <c r="B219" s="55" t="n"/>
      <c r="C219" s="56">
        <f>IF(OR(A219="",B219=""),"",IF(COUNTIF(Equipamentos!$A$2:$A$201,B219)=0,"tag não encontrada",IFERROR(INDEX(Equipamentos!$H$2:$H$201,MATCH(1,INDEX((Equipamentos!$A$2:$A$201=B219)*(Equipamentos!$P$2:$P$201=A219),0),0)),"confira a data")))</f>
        <v/>
      </c>
      <c r="D219">
        <f>IF(B219="","",IFERROR(INDEX(Equipamentos!$C$2:$C$201,MATCH(B219,Equipamentos!$A$2:$A$201,0)),""))</f>
        <v/>
      </c>
      <c r="E219" s="55" t="n"/>
      <c r="F219" s="55" t="n"/>
      <c r="G219">
        <f>IF(B219="","",IFERROR(INDEX(Equipamentos!$N$2:$N$201,MATCH(B219,Equipamentos!$A$2:$A$201,0)),""))</f>
        <v/>
      </c>
      <c r="H219">
        <f>IF(B219="","",IFERROR(INDEX(Equipamentos!$L$2:$L$201,MATCH(B219,Equipamentos!$A$2:$A$201,0)),""))</f>
        <v/>
      </c>
      <c r="I219" s="57">
        <f>IF(OR(A219="",B219=""),"",IFERROR(INDEX(Equipamentos!$J$2:$J$201,MATCH(1,INDEX((Equipamentos!$A$2:$A$201=B219)*(Equipamentos!$P$2:$P$201=A219),0),0)),""))</f>
        <v/>
      </c>
    </row>
    <row r="220">
      <c r="A220" s="54" t="n"/>
      <c r="B220" s="55" t="n"/>
      <c r="C220" s="56">
        <f>IF(OR(A220="",B220=""),"",IF(COUNTIF(Equipamentos!$A$2:$A$201,B220)=0,"tag não encontrada",IFERROR(INDEX(Equipamentos!$H$2:$H$201,MATCH(1,INDEX((Equipamentos!$A$2:$A$201=B220)*(Equipamentos!$P$2:$P$201=A220),0),0)),"confira a data")))</f>
        <v/>
      </c>
      <c r="D220">
        <f>IF(B220="","",IFERROR(INDEX(Equipamentos!$C$2:$C$201,MATCH(B220,Equipamentos!$A$2:$A$201,0)),""))</f>
        <v/>
      </c>
      <c r="E220" s="55" t="n"/>
      <c r="F220" s="55" t="n"/>
      <c r="G220">
        <f>IF(B220="","",IFERROR(INDEX(Equipamentos!$N$2:$N$201,MATCH(B220,Equipamentos!$A$2:$A$201,0)),""))</f>
        <v/>
      </c>
      <c r="H220">
        <f>IF(B220="","",IFERROR(INDEX(Equipamentos!$L$2:$L$201,MATCH(B220,Equipamentos!$A$2:$A$201,0)),""))</f>
        <v/>
      </c>
      <c r="I220" s="57">
        <f>IF(OR(A220="",B220=""),"",IFERROR(INDEX(Equipamentos!$J$2:$J$201,MATCH(1,INDEX((Equipamentos!$A$2:$A$201=B220)*(Equipamentos!$P$2:$P$201=A220),0),0)),""))</f>
        <v/>
      </c>
    </row>
    <row r="221">
      <c r="A221" s="54" t="n"/>
      <c r="B221" s="55" t="n"/>
      <c r="C221" s="56">
        <f>IF(OR(A221="",B221=""),"",IF(COUNTIF(Equipamentos!$A$2:$A$201,B221)=0,"tag não encontrada",IFERROR(INDEX(Equipamentos!$H$2:$H$201,MATCH(1,INDEX((Equipamentos!$A$2:$A$201=B221)*(Equipamentos!$P$2:$P$201=A221),0),0)),"confira a data")))</f>
        <v/>
      </c>
      <c r="D221">
        <f>IF(B221="","",IFERROR(INDEX(Equipamentos!$C$2:$C$201,MATCH(B221,Equipamentos!$A$2:$A$201,0)),""))</f>
        <v/>
      </c>
      <c r="E221" s="55" t="n"/>
      <c r="F221" s="55" t="n"/>
      <c r="G221">
        <f>IF(B221="","",IFERROR(INDEX(Equipamentos!$N$2:$N$201,MATCH(B221,Equipamentos!$A$2:$A$201,0)),""))</f>
        <v/>
      </c>
      <c r="H221">
        <f>IF(B221="","",IFERROR(INDEX(Equipamentos!$L$2:$L$201,MATCH(B221,Equipamentos!$A$2:$A$201,0)),""))</f>
        <v/>
      </c>
      <c r="I221" s="57">
        <f>IF(OR(A221="",B221=""),"",IFERROR(INDEX(Equipamentos!$J$2:$J$201,MATCH(1,INDEX((Equipamentos!$A$2:$A$201=B221)*(Equipamentos!$P$2:$P$201=A221),0),0)),""))</f>
        <v/>
      </c>
    </row>
    <row r="222">
      <c r="A222" s="54" t="n"/>
      <c r="B222" s="55" t="n"/>
      <c r="C222" s="56">
        <f>IF(OR(A222="",B222=""),"",IF(COUNTIF(Equipamentos!$A$2:$A$201,B222)=0,"tag não encontrada",IFERROR(INDEX(Equipamentos!$H$2:$H$201,MATCH(1,INDEX((Equipamentos!$A$2:$A$201=B222)*(Equipamentos!$P$2:$P$201=A222),0),0)),"confira a data")))</f>
        <v/>
      </c>
      <c r="D222">
        <f>IF(B222="","",IFERROR(INDEX(Equipamentos!$C$2:$C$201,MATCH(B222,Equipamentos!$A$2:$A$201,0)),""))</f>
        <v/>
      </c>
      <c r="E222" s="55" t="n"/>
      <c r="F222" s="55" t="n"/>
      <c r="G222">
        <f>IF(B222="","",IFERROR(INDEX(Equipamentos!$N$2:$N$201,MATCH(B222,Equipamentos!$A$2:$A$201,0)),""))</f>
        <v/>
      </c>
      <c r="H222">
        <f>IF(B222="","",IFERROR(INDEX(Equipamentos!$L$2:$L$201,MATCH(B222,Equipamentos!$A$2:$A$201,0)),""))</f>
        <v/>
      </c>
      <c r="I222" s="57">
        <f>IF(OR(A222="",B222=""),"",IFERROR(INDEX(Equipamentos!$J$2:$J$201,MATCH(1,INDEX((Equipamentos!$A$2:$A$201=B222)*(Equipamentos!$P$2:$P$201=A222),0),0)),""))</f>
        <v/>
      </c>
    </row>
    <row r="223">
      <c r="A223" s="54" t="n"/>
      <c r="B223" s="55" t="n"/>
      <c r="C223" s="56">
        <f>IF(OR(A223="",B223=""),"",IF(COUNTIF(Equipamentos!$A$2:$A$201,B223)=0,"tag não encontrada",IFERROR(INDEX(Equipamentos!$H$2:$H$201,MATCH(1,INDEX((Equipamentos!$A$2:$A$201=B223)*(Equipamentos!$P$2:$P$201=A223),0),0)),"confira a data")))</f>
        <v/>
      </c>
      <c r="D223">
        <f>IF(B223="","",IFERROR(INDEX(Equipamentos!$C$2:$C$201,MATCH(B223,Equipamentos!$A$2:$A$201,0)),""))</f>
        <v/>
      </c>
      <c r="E223" s="55" t="n"/>
      <c r="F223" s="55" t="n"/>
      <c r="G223">
        <f>IF(B223="","",IFERROR(INDEX(Equipamentos!$N$2:$N$201,MATCH(B223,Equipamentos!$A$2:$A$201,0)),""))</f>
        <v/>
      </c>
      <c r="H223">
        <f>IF(B223="","",IFERROR(INDEX(Equipamentos!$L$2:$L$201,MATCH(B223,Equipamentos!$A$2:$A$201,0)),""))</f>
        <v/>
      </c>
      <c r="I223" s="57">
        <f>IF(OR(A223="",B223=""),"",IFERROR(INDEX(Equipamentos!$J$2:$J$201,MATCH(1,INDEX((Equipamentos!$A$2:$A$201=B223)*(Equipamentos!$P$2:$P$201=A223),0),0)),""))</f>
        <v/>
      </c>
    </row>
    <row r="224">
      <c r="A224" s="54" t="n"/>
      <c r="B224" s="55" t="n"/>
      <c r="C224" s="56">
        <f>IF(OR(A224="",B224=""),"",IF(COUNTIF(Equipamentos!$A$2:$A$201,B224)=0,"tag não encontrada",IFERROR(INDEX(Equipamentos!$H$2:$H$201,MATCH(1,INDEX((Equipamentos!$A$2:$A$201=B224)*(Equipamentos!$P$2:$P$201=A224),0),0)),"confira a data")))</f>
        <v/>
      </c>
      <c r="D224">
        <f>IF(B224="","",IFERROR(INDEX(Equipamentos!$C$2:$C$201,MATCH(B224,Equipamentos!$A$2:$A$201,0)),""))</f>
        <v/>
      </c>
      <c r="E224" s="55" t="n"/>
      <c r="F224" s="55" t="n"/>
      <c r="G224">
        <f>IF(B224="","",IFERROR(INDEX(Equipamentos!$N$2:$N$201,MATCH(B224,Equipamentos!$A$2:$A$201,0)),""))</f>
        <v/>
      </c>
      <c r="H224">
        <f>IF(B224="","",IFERROR(INDEX(Equipamentos!$L$2:$L$201,MATCH(B224,Equipamentos!$A$2:$A$201,0)),""))</f>
        <v/>
      </c>
      <c r="I224" s="57">
        <f>IF(OR(A224="",B224=""),"",IFERROR(INDEX(Equipamentos!$J$2:$J$201,MATCH(1,INDEX((Equipamentos!$A$2:$A$201=B224)*(Equipamentos!$P$2:$P$201=A224),0),0)),""))</f>
        <v/>
      </c>
    </row>
    <row r="225">
      <c r="A225" s="54" t="n"/>
      <c r="B225" s="55" t="n"/>
      <c r="C225" s="56">
        <f>IF(OR(A225="",B225=""),"",IF(COUNTIF(Equipamentos!$A$2:$A$201,B225)=0,"tag não encontrada",IFERROR(INDEX(Equipamentos!$H$2:$H$201,MATCH(1,INDEX((Equipamentos!$A$2:$A$201=B225)*(Equipamentos!$P$2:$P$201=A225),0),0)),"confira a data")))</f>
        <v/>
      </c>
      <c r="D225">
        <f>IF(B225="","",IFERROR(INDEX(Equipamentos!$C$2:$C$201,MATCH(B225,Equipamentos!$A$2:$A$201,0)),""))</f>
        <v/>
      </c>
      <c r="E225" s="55" t="n"/>
      <c r="F225" s="55" t="n"/>
      <c r="G225">
        <f>IF(B225="","",IFERROR(INDEX(Equipamentos!$N$2:$N$201,MATCH(B225,Equipamentos!$A$2:$A$201,0)),""))</f>
        <v/>
      </c>
      <c r="H225">
        <f>IF(B225="","",IFERROR(INDEX(Equipamentos!$L$2:$L$201,MATCH(B225,Equipamentos!$A$2:$A$201,0)),""))</f>
        <v/>
      </c>
      <c r="I225" s="57">
        <f>IF(OR(A225="",B225=""),"",IFERROR(INDEX(Equipamentos!$J$2:$J$201,MATCH(1,INDEX((Equipamentos!$A$2:$A$201=B225)*(Equipamentos!$P$2:$P$201=A225),0),0)),""))</f>
        <v/>
      </c>
    </row>
    <row r="226">
      <c r="A226" s="54" t="n"/>
      <c r="B226" s="55" t="n"/>
      <c r="C226" s="56">
        <f>IF(OR(A226="",B226=""),"",IF(COUNTIF(Equipamentos!$A$2:$A$201,B226)=0,"tag não encontrada",IFERROR(INDEX(Equipamentos!$H$2:$H$201,MATCH(1,INDEX((Equipamentos!$A$2:$A$201=B226)*(Equipamentos!$P$2:$P$201=A226),0),0)),"confira a data")))</f>
        <v/>
      </c>
      <c r="D226">
        <f>IF(B226="","",IFERROR(INDEX(Equipamentos!$C$2:$C$201,MATCH(B226,Equipamentos!$A$2:$A$201,0)),""))</f>
        <v/>
      </c>
      <c r="E226" s="55" t="n"/>
      <c r="F226" s="55" t="n"/>
      <c r="G226">
        <f>IF(B226="","",IFERROR(INDEX(Equipamentos!$N$2:$N$201,MATCH(B226,Equipamentos!$A$2:$A$201,0)),""))</f>
        <v/>
      </c>
      <c r="H226">
        <f>IF(B226="","",IFERROR(INDEX(Equipamentos!$L$2:$L$201,MATCH(B226,Equipamentos!$A$2:$A$201,0)),""))</f>
        <v/>
      </c>
      <c r="I226" s="57">
        <f>IF(OR(A226="",B226=""),"",IFERROR(INDEX(Equipamentos!$J$2:$J$201,MATCH(1,INDEX((Equipamentos!$A$2:$A$201=B226)*(Equipamentos!$P$2:$P$201=A226),0),0)),""))</f>
        <v/>
      </c>
    </row>
    <row r="227">
      <c r="A227" s="54" t="n"/>
      <c r="B227" s="55" t="n"/>
      <c r="C227" s="56">
        <f>IF(OR(A227="",B227=""),"",IF(COUNTIF(Equipamentos!$A$2:$A$201,B227)=0,"tag não encontrada",IFERROR(INDEX(Equipamentos!$H$2:$H$201,MATCH(1,INDEX((Equipamentos!$A$2:$A$201=B227)*(Equipamentos!$P$2:$P$201=A227),0),0)),"confira a data")))</f>
        <v/>
      </c>
      <c r="D227">
        <f>IF(B227="","",IFERROR(INDEX(Equipamentos!$C$2:$C$201,MATCH(B227,Equipamentos!$A$2:$A$201,0)),""))</f>
        <v/>
      </c>
      <c r="E227" s="55" t="n"/>
      <c r="F227" s="55" t="n"/>
      <c r="G227">
        <f>IF(B227="","",IFERROR(INDEX(Equipamentos!$N$2:$N$201,MATCH(B227,Equipamentos!$A$2:$A$201,0)),""))</f>
        <v/>
      </c>
      <c r="H227">
        <f>IF(B227="","",IFERROR(INDEX(Equipamentos!$L$2:$L$201,MATCH(B227,Equipamentos!$A$2:$A$201,0)),""))</f>
        <v/>
      </c>
      <c r="I227" s="57">
        <f>IF(OR(A227="",B227=""),"",IFERROR(INDEX(Equipamentos!$J$2:$J$201,MATCH(1,INDEX((Equipamentos!$A$2:$A$201=B227)*(Equipamentos!$P$2:$P$201=A227),0),0)),""))</f>
        <v/>
      </c>
    </row>
    <row r="228">
      <c r="A228" s="54" t="n"/>
      <c r="B228" s="55" t="n"/>
      <c r="C228" s="56">
        <f>IF(OR(A228="",B228=""),"",IF(COUNTIF(Equipamentos!$A$2:$A$201,B228)=0,"tag não encontrada",IFERROR(INDEX(Equipamentos!$H$2:$H$201,MATCH(1,INDEX((Equipamentos!$A$2:$A$201=B228)*(Equipamentos!$P$2:$P$201=A228),0),0)),"confira a data")))</f>
        <v/>
      </c>
      <c r="D228">
        <f>IF(B228="","",IFERROR(INDEX(Equipamentos!$C$2:$C$201,MATCH(B228,Equipamentos!$A$2:$A$201,0)),""))</f>
        <v/>
      </c>
      <c r="E228" s="55" t="n"/>
      <c r="F228" s="55" t="n"/>
      <c r="G228">
        <f>IF(B228="","",IFERROR(INDEX(Equipamentos!$N$2:$N$201,MATCH(B228,Equipamentos!$A$2:$A$201,0)),""))</f>
        <v/>
      </c>
      <c r="H228">
        <f>IF(B228="","",IFERROR(INDEX(Equipamentos!$L$2:$L$201,MATCH(B228,Equipamentos!$A$2:$A$201,0)),""))</f>
        <v/>
      </c>
      <c r="I228" s="57">
        <f>IF(OR(A228="",B228=""),"",IFERROR(INDEX(Equipamentos!$J$2:$J$201,MATCH(1,INDEX((Equipamentos!$A$2:$A$201=B228)*(Equipamentos!$P$2:$P$201=A228),0),0)),""))</f>
        <v/>
      </c>
    </row>
    <row r="229">
      <c r="A229" s="54" t="n"/>
      <c r="B229" s="55" t="n"/>
      <c r="C229" s="56">
        <f>IF(OR(A229="",B229=""),"",IF(COUNTIF(Equipamentos!$A$2:$A$201,B229)=0,"tag não encontrada",IFERROR(INDEX(Equipamentos!$H$2:$H$201,MATCH(1,INDEX((Equipamentos!$A$2:$A$201=B229)*(Equipamentos!$P$2:$P$201=A229),0),0)),"confira a data")))</f>
        <v/>
      </c>
      <c r="D229">
        <f>IF(B229="","",IFERROR(INDEX(Equipamentos!$C$2:$C$201,MATCH(B229,Equipamentos!$A$2:$A$201,0)),""))</f>
        <v/>
      </c>
      <c r="E229" s="55" t="n"/>
      <c r="F229" s="55" t="n"/>
      <c r="G229">
        <f>IF(B229="","",IFERROR(INDEX(Equipamentos!$N$2:$N$201,MATCH(B229,Equipamentos!$A$2:$A$201,0)),""))</f>
        <v/>
      </c>
      <c r="H229">
        <f>IF(B229="","",IFERROR(INDEX(Equipamentos!$L$2:$L$201,MATCH(B229,Equipamentos!$A$2:$A$201,0)),""))</f>
        <v/>
      </c>
      <c r="I229" s="57">
        <f>IF(OR(A229="",B229=""),"",IFERROR(INDEX(Equipamentos!$J$2:$J$201,MATCH(1,INDEX((Equipamentos!$A$2:$A$201=B229)*(Equipamentos!$P$2:$P$201=A229),0),0)),""))</f>
        <v/>
      </c>
    </row>
    <row r="230">
      <c r="A230" s="54" t="n"/>
      <c r="B230" s="55" t="n"/>
      <c r="C230" s="56">
        <f>IF(OR(A230="",B230=""),"",IF(COUNTIF(Equipamentos!$A$2:$A$201,B230)=0,"tag não encontrada",IFERROR(INDEX(Equipamentos!$H$2:$H$201,MATCH(1,INDEX((Equipamentos!$A$2:$A$201=B230)*(Equipamentos!$P$2:$P$201=A230),0),0)),"confira a data")))</f>
        <v/>
      </c>
      <c r="D230">
        <f>IF(B230="","",IFERROR(INDEX(Equipamentos!$C$2:$C$201,MATCH(B230,Equipamentos!$A$2:$A$201,0)),""))</f>
        <v/>
      </c>
      <c r="E230" s="55" t="n"/>
      <c r="F230" s="55" t="n"/>
      <c r="G230">
        <f>IF(B230="","",IFERROR(INDEX(Equipamentos!$N$2:$N$201,MATCH(B230,Equipamentos!$A$2:$A$201,0)),""))</f>
        <v/>
      </c>
      <c r="H230">
        <f>IF(B230="","",IFERROR(INDEX(Equipamentos!$L$2:$L$201,MATCH(B230,Equipamentos!$A$2:$A$201,0)),""))</f>
        <v/>
      </c>
      <c r="I230" s="57">
        <f>IF(OR(A230="",B230=""),"",IFERROR(INDEX(Equipamentos!$J$2:$J$201,MATCH(1,INDEX((Equipamentos!$A$2:$A$201=B230)*(Equipamentos!$P$2:$P$201=A230),0),0)),""))</f>
        <v/>
      </c>
    </row>
    <row r="231">
      <c r="A231" s="54" t="n"/>
      <c r="B231" s="55" t="n"/>
      <c r="C231" s="56">
        <f>IF(OR(A231="",B231=""),"",IF(COUNTIF(Equipamentos!$A$2:$A$201,B231)=0,"tag não encontrada",IFERROR(INDEX(Equipamentos!$H$2:$H$201,MATCH(1,INDEX((Equipamentos!$A$2:$A$201=B231)*(Equipamentos!$P$2:$P$201=A231),0),0)),"confira a data")))</f>
        <v/>
      </c>
      <c r="D231">
        <f>IF(B231="","",IFERROR(INDEX(Equipamentos!$C$2:$C$201,MATCH(B231,Equipamentos!$A$2:$A$201,0)),""))</f>
        <v/>
      </c>
      <c r="E231" s="55" t="n"/>
      <c r="F231" s="55" t="n"/>
      <c r="G231">
        <f>IF(B231="","",IFERROR(INDEX(Equipamentos!$N$2:$N$201,MATCH(B231,Equipamentos!$A$2:$A$201,0)),""))</f>
        <v/>
      </c>
      <c r="H231">
        <f>IF(B231="","",IFERROR(INDEX(Equipamentos!$L$2:$L$201,MATCH(B231,Equipamentos!$A$2:$A$201,0)),""))</f>
        <v/>
      </c>
      <c r="I231" s="57">
        <f>IF(OR(A231="",B231=""),"",IFERROR(INDEX(Equipamentos!$J$2:$J$201,MATCH(1,INDEX((Equipamentos!$A$2:$A$201=B231)*(Equipamentos!$P$2:$P$201=A231),0),0)),""))</f>
        <v/>
      </c>
    </row>
    <row r="232">
      <c r="A232" s="54" t="n"/>
      <c r="B232" s="55" t="n"/>
      <c r="C232" s="56">
        <f>IF(OR(A232="",B232=""),"",IF(COUNTIF(Equipamentos!$A$2:$A$201,B232)=0,"tag não encontrada",IFERROR(INDEX(Equipamentos!$H$2:$H$201,MATCH(1,INDEX((Equipamentos!$A$2:$A$201=B232)*(Equipamentos!$P$2:$P$201=A232),0),0)),"confira a data")))</f>
        <v/>
      </c>
      <c r="D232">
        <f>IF(B232="","",IFERROR(INDEX(Equipamentos!$C$2:$C$201,MATCH(B232,Equipamentos!$A$2:$A$201,0)),""))</f>
        <v/>
      </c>
      <c r="E232" s="55" t="n"/>
      <c r="F232" s="55" t="n"/>
      <c r="G232">
        <f>IF(B232="","",IFERROR(INDEX(Equipamentos!$N$2:$N$201,MATCH(B232,Equipamentos!$A$2:$A$201,0)),""))</f>
        <v/>
      </c>
      <c r="H232">
        <f>IF(B232="","",IFERROR(INDEX(Equipamentos!$L$2:$L$201,MATCH(B232,Equipamentos!$A$2:$A$201,0)),""))</f>
        <v/>
      </c>
      <c r="I232" s="57">
        <f>IF(OR(A232="",B232=""),"",IFERROR(INDEX(Equipamentos!$J$2:$J$201,MATCH(1,INDEX((Equipamentos!$A$2:$A$201=B232)*(Equipamentos!$P$2:$P$201=A232),0),0)),""))</f>
        <v/>
      </c>
    </row>
    <row r="233">
      <c r="A233" s="54" t="n"/>
      <c r="B233" s="55" t="n"/>
      <c r="C233" s="56">
        <f>IF(OR(A233="",B233=""),"",IF(COUNTIF(Equipamentos!$A$2:$A$201,B233)=0,"tag não encontrada",IFERROR(INDEX(Equipamentos!$H$2:$H$201,MATCH(1,INDEX((Equipamentos!$A$2:$A$201=B233)*(Equipamentos!$P$2:$P$201=A233),0),0)),"confira a data")))</f>
        <v/>
      </c>
      <c r="D233">
        <f>IF(B233="","",IFERROR(INDEX(Equipamentos!$C$2:$C$201,MATCH(B233,Equipamentos!$A$2:$A$201,0)),""))</f>
        <v/>
      </c>
      <c r="E233" s="55" t="n"/>
      <c r="F233" s="55" t="n"/>
      <c r="G233">
        <f>IF(B233="","",IFERROR(INDEX(Equipamentos!$N$2:$N$201,MATCH(B233,Equipamentos!$A$2:$A$201,0)),""))</f>
        <v/>
      </c>
      <c r="H233">
        <f>IF(B233="","",IFERROR(INDEX(Equipamentos!$L$2:$L$201,MATCH(B233,Equipamentos!$A$2:$A$201,0)),""))</f>
        <v/>
      </c>
      <c r="I233" s="57">
        <f>IF(OR(A233="",B233=""),"",IFERROR(INDEX(Equipamentos!$J$2:$J$201,MATCH(1,INDEX((Equipamentos!$A$2:$A$201=B233)*(Equipamentos!$P$2:$P$201=A233),0),0)),""))</f>
        <v/>
      </c>
    </row>
    <row r="234">
      <c r="A234" s="54" t="n"/>
      <c r="B234" s="55" t="n"/>
      <c r="C234" s="56">
        <f>IF(OR(A234="",B234=""),"",IF(COUNTIF(Equipamentos!$A$2:$A$201,B234)=0,"tag não encontrada",IFERROR(INDEX(Equipamentos!$H$2:$H$201,MATCH(1,INDEX((Equipamentos!$A$2:$A$201=B234)*(Equipamentos!$P$2:$P$201=A234),0),0)),"confira a data")))</f>
        <v/>
      </c>
      <c r="D234">
        <f>IF(B234="","",IFERROR(INDEX(Equipamentos!$C$2:$C$201,MATCH(B234,Equipamentos!$A$2:$A$201,0)),""))</f>
        <v/>
      </c>
      <c r="E234" s="55" t="n"/>
      <c r="F234" s="55" t="n"/>
      <c r="G234">
        <f>IF(B234="","",IFERROR(INDEX(Equipamentos!$N$2:$N$201,MATCH(B234,Equipamentos!$A$2:$A$201,0)),""))</f>
        <v/>
      </c>
      <c r="H234">
        <f>IF(B234="","",IFERROR(INDEX(Equipamentos!$L$2:$L$201,MATCH(B234,Equipamentos!$A$2:$A$201,0)),""))</f>
        <v/>
      </c>
      <c r="I234" s="57">
        <f>IF(OR(A234="",B234=""),"",IFERROR(INDEX(Equipamentos!$J$2:$J$201,MATCH(1,INDEX((Equipamentos!$A$2:$A$201=B234)*(Equipamentos!$P$2:$P$201=A234),0),0)),""))</f>
        <v/>
      </c>
    </row>
    <row r="235">
      <c r="A235" s="54" t="n"/>
      <c r="B235" s="55" t="n"/>
      <c r="C235" s="56">
        <f>IF(OR(A235="",B235=""),"",IF(COUNTIF(Equipamentos!$A$2:$A$201,B235)=0,"tag não encontrada",IFERROR(INDEX(Equipamentos!$H$2:$H$201,MATCH(1,INDEX((Equipamentos!$A$2:$A$201=B235)*(Equipamentos!$P$2:$P$201=A235),0),0)),"confira a data")))</f>
        <v/>
      </c>
      <c r="D235">
        <f>IF(B235="","",IFERROR(INDEX(Equipamentos!$C$2:$C$201,MATCH(B235,Equipamentos!$A$2:$A$201,0)),""))</f>
        <v/>
      </c>
      <c r="E235" s="55" t="n"/>
      <c r="F235" s="55" t="n"/>
      <c r="G235">
        <f>IF(B235="","",IFERROR(INDEX(Equipamentos!$N$2:$N$201,MATCH(B235,Equipamentos!$A$2:$A$201,0)),""))</f>
        <v/>
      </c>
      <c r="H235">
        <f>IF(B235="","",IFERROR(INDEX(Equipamentos!$L$2:$L$201,MATCH(B235,Equipamentos!$A$2:$A$201,0)),""))</f>
        <v/>
      </c>
      <c r="I235" s="57">
        <f>IF(OR(A235="",B235=""),"",IFERROR(INDEX(Equipamentos!$J$2:$J$201,MATCH(1,INDEX((Equipamentos!$A$2:$A$201=B235)*(Equipamentos!$P$2:$P$201=A235),0),0)),""))</f>
        <v/>
      </c>
    </row>
    <row r="236">
      <c r="A236" s="54" t="n"/>
      <c r="B236" s="55" t="n"/>
      <c r="C236" s="56">
        <f>IF(OR(A236="",B236=""),"",IF(COUNTIF(Equipamentos!$A$2:$A$201,B236)=0,"tag não encontrada",IFERROR(INDEX(Equipamentos!$H$2:$H$201,MATCH(1,INDEX((Equipamentos!$A$2:$A$201=B236)*(Equipamentos!$P$2:$P$201=A236),0),0)),"confira a data")))</f>
        <v/>
      </c>
      <c r="D236">
        <f>IF(B236="","",IFERROR(INDEX(Equipamentos!$C$2:$C$201,MATCH(B236,Equipamentos!$A$2:$A$201,0)),""))</f>
        <v/>
      </c>
      <c r="E236" s="55" t="n"/>
      <c r="F236" s="55" t="n"/>
      <c r="G236">
        <f>IF(B236="","",IFERROR(INDEX(Equipamentos!$N$2:$N$201,MATCH(B236,Equipamentos!$A$2:$A$201,0)),""))</f>
        <v/>
      </c>
      <c r="H236">
        <f>IF(B236="","",IFERROR(INDEX(Equipamentos!$L$2:$L$201,MATCH(B236,Equipamentos!$A$2:$A$201,0)),""))</f>
        <v/>
      </c>
      <c r="I236" s="57">
        <f>IF(OR(A236="",B236=""),"",IFERROR(INDEX(Equipamentos!$J$2:$J$201,MATCH(1,INDEX((Equipamentos!$A$2:$A$201=B236)*(Equipamentos!$P$2:$P$201=A236),0),0)),""))</f>
        <v/>
      </c>
    </row>
    <row r="237">
      <c r="A237" s="54" t="n"/>
      <c r="B237" s="55" t="n"/>
      <c r="C237" s="56">
        <f>IF(OR(A237="",B237=""),"",IF(COUNTIF(Equipamentos!$A$2:$A$201,B237)=0,"tag não encontrada",IFERROR(INDEX(Equipamentos!$H$2:$H$201,MATCH(1,INDEX((Equipamentos!$A$2:$A$201=B237)*(Equipamentos!$P$2:$P$201=A237),0),0)),"confira a data")))</f>
        <v/>
      </c>
      <c r="D237">
        <f>IF(B237="","",IFERROR(INDEX(Equipamentos!$C$2:$C$201,MATCH(B237,Equipamentos!$A$2:$A$201,0)),""))</f>
        <v/>
      </c>
      <c r="E237" s="55" t="n"/>
      <c r="F237" s="55" t="n"/>
      <c r="G237">
        <f>IF(B237="","",IFERROR(INDEX(Equipamentos!$N$2:$N$201,MATCH(B237,Equipamentos!$A$2:$A$201,0)),""))</f>
        <v/>
      </c>
      <c r="H237">
        <f>IF(B237="","",IFERROR(INDEX(Equipamentos!$L$2:$L$201,MATCH(B237,Equipamentos!$A$2:$A$201,0)),""))</f>
        <v/>
      </c>
      <c r="I237" s="57">
        <f>IF(OR(A237="",B237=""),"",IFERROR(INDEX(Equipamentos!$J$2:$J$201,MATCH(1,INDEX((Equipamentos!$A$2:$A$201=B237)*(Equipamentos!$P$2:$P$201=A237),0),0)),""))</f>
        <v/>
      </c>
    </row>
    <row r="238">
      <c r="A238" s="54" t="n"/>
      <c r="B238" s="55" t="n"/>
      <c r="C238" s="56">
        <f>IF(OR(A238="",B238=""),"",IF(COUNTIF(Equipamentos!$A$2:$A$201,B238)=0,"tag não encontrada",IFERROR(INDEX(Equipamentos!$H$2:$H$201,MATCH(1,INDEX((Equipamentos!$A$2:$A$201=B238)*(Equipamentos!$P$2:$P$201=A238),0),0)),"confira a data")))</f>
        <v/>
      </c>
      <c r="D238">
        <f>IF(B238="","",IFERROR(INDEX(Equipamentos!$C$2:$C$201,MATCH(B238,Equipamentos!$A$2:$A$201,0)),""))</f>
        <v/>
      </c>
      <c r="E238" s="55" t="n"/>
      <c r="F238" s="55" t="n"/>
      <c r="G238">
        <f>IF(B238="","",IFERROR(INDEX(Equipamentos!$N$2:$N$201,MATCH(B238,Equipamentos!$A$2:$A$201,0)),""))</f>
        <v/>
      </c>
      <c r="H238">
        <f>IF(B238="","",IFERROR(INDEX(Equipamentos!$L$2:$L$201,MATCH(B238,Equipamentos!$A$2:$A$201,0)),""))</f>
        <v/>
      </c>
      <c r="I238" s="57">
        <f>IF(OR(A238="",B238=""),"",IFERROR(INDEX(Equipamentos!$J$2:$J$201,MATCH(1,INDEX((Equipamentos!$A$2:$A$201=B238)*(Equipamentos!$P$2:$P$201=A238),0),0)),""))</f>
        <v/>
      </c>
    </row>
    <row r="239">
      <c r="A239" s="54" t="n"/>
      <c r="B239" s="55" t="n"/>
      <c r="C239" s="56">
        <f>IF(OR(A239="",B239=""),"",IF(COUNTIF(Equipamentos!$A$2:$A$201,B239)=0,"tag não encontrada",IFERROR(INDEX(Equipamentos!$H$2:$H$201,MATCH(1,INDEX((Equipamentos!$A$2:$A$201=B239)*(Equipamentos!$P$2:$P$201=A239),0),0)),"confira a data")))</f>
        <v/>
      </c>
      <c r="D239">
        <f>IF(B239="","",IFERROR(INDEX(Equipamentos!$C$2:$C$201,MATCH(B239,Equipamentos!$A$2:$A$201,0)),""))</f>
        <v/>
      </c>
      <c r="E239" s="55" t="n"/>
      <c r="F239" s="55" t="n"/>
      <c r="G239">
        <f>IF(B239="","",IFERROR(INDEX(Equipamentos!$N$2:$N$201,MATCH(B239,Equipamentos!$A$2:$A$201,0)),""))</f>
        <v/>
      </c>
      <c r="H239">
        <f>IF(B239="","",IFERROR(INDEX(Equipamentos!$L$2:$L$201,MATCH(B239,Equipamentos!$A$2:$A$201,0)),""))</f>
        <v/>
      </c>
      <c r="I239" s="57">
        <f>IF(OR(A239="",B239=""),"",IFERROR(INDEX(Equipamentos!$J$2:$J$201,MATCH(1,INDEX((Equipamentos!$A$2:$A$201=B239)*(Equipamentos!$P$2:$P$201=A239),0),0)),""))</f>
        <v/>
      </c>
    </row>
    <row r="240">
      <c r="A240" s="54" t="n"/>
      <c r="B240" s="55" t="n"/>
      <c r="C240" s="56">
        <f>IF(OR(A240="",B240=""),"",IF(COUNTIF(Equipamentos!$A$2:$A$201,B240)=0,"tag não encontrada",IFERROR(INDEX(Equipamentos!$H$2:$H$201,MATCH(1,INDEX((Equipamentos!$A$2:$A$201=B240)*(Equipamentos!$P$2:$P$201=A240),0),0)),"confira a data")))</f>
        <v/>
      </c>
      <c r="D240">
        <f>IF(B240="","",IFERROR(INDEX(Equipamentos!$C$2:$C$201,MATCH(B240,Equipamentos!$A$2:$A$201,0)),""))</f>
        <v/>
      </c>
      <c r="E240" s="55" t="n"/>
      <c r="F240" s="55" t="n"/>
      <c r="G240">
        <f>IF(B240="","",IFERROR(INDEX(Equipamentos!$N$2:$N$201,MATCH(B240,Equipamentos!$A$2:$A$201,0)),""))</f>
        <v/>
      </c>
      <c r="H240">
        <f>IF(B240="","",IFERROR(INDEX(Equipamentos!$L$2:$L$201,MATCH(B240,Equipamentos!$A$2:$A$201,0)),""))</f>
        <v/>
      </c>
      <c r="I240" s="57">
        <f>IF(OR(A240="",B240=""),"",IFERROR(INDEX(Equipamentos!$J$2:$J$201,MATCH(1,INDEX((Equipamentos!$A$2:$A$201=B240)*(Equipamentos!$P$2:$P$201=A240),0),0)),""))</f>
        <v/>
      </c>
    </row>
    <row r="241">
      <c r="A241" s="54" t="n"/>
      <c r="B241" s="55" t="n"/>
      <c r="C241" s="56">
        <f>IF(OR(A241="",B241=""),"",IF(COUNTIF(Equipamentos!$A$2:$A$201,B241)=0,"tag não encontrada",IFERROR(INDEX(Equipamentos!$H$2:$H$201,MATCH(1,INDEX((Equipamentos!$A$2:$A$201=B241)*(Equipamentos!$P$2:$P$201=A241),0),0)),"confira a data")))</f>
        <v/>
      </c>
      <c r="D241">
        <f>IF(B241="","",IFERROR(INDEX(Equipamentos!$C$2:$C$201,MATCH(B241,Equipamentos!$A$2:$A$201,0)),""))</f>
        <v/>
      </c>
      <c r="E241" s="55" t="n"/>
      <c r="F241" s="55" t="n"/>
      <c r="G241">
        <f>IF(B241="","",IFERROR(INDEX(Equipamentos!$N$2:$N$201,MATCH(B241,Equipamentos!$A$2:$A$201,0)),""))</f>
        <v/>
      </c>
      <c r="H241">
        <f>IF(B241="","",IFERROR(INDEX(Equipamentos!$L$2:$L$201,MATCH(B241,Equipamentos!$A$2:$A$201,0)),""))</f>
        <v/>
      </c>
      <c r="I241" s="57">
        <f>IF(OR(A241="",B241=""),"",IFERROR(INDEX(Equipamentos!$J$2:$J$201,MATCH(1,INDEX((Equipamentos!$A$2:$A$201=B241)*(Equipamentos!$P$2:$P$201=A241),0),0)),""))</f>
        <v/>
      </c>
    </row>
    <row r="242">
      <c r="A242" s="54" t="n"/>
      <c r="B242" s="55" t="n"/>
      <c r="C242" s="56">
        <f>IF(OR(A242="",B242=""),"",IF(COUNTIF(Equipamentos!$A$2:$A$201,B242)=0,"tag não encontrada",IFERROR(INDEX(Equipamentos!$H$2:$H$201,MATCH(1,INDEX((Equipamentos!$A$2:$A$201=B242)*(Equipamentos!$P$2:$P$201=A242),0),0)),"confira a data")))</f>
        <v/>
      </c>
      <c r="D242">
        <f>IF(B242="","",IFERROR(INDEX(Equipamentos!$C$2:$C$201,MATCH(B242,Equipamentos!$A$2:$A$201,0)),""))</f>
        <v/>
      </c>
      <c r="E242" s="55" t="n"/>
      <c r="F242" s="55" t="n"/>
      <c r="G242">
        <f>IF(B242="","",IFERROR(INDEX(Equipamentos!$N$2:$N$201,MATCH(B242,Equipamentos!$A$2:$A$201,0)),""))</f>
        <v/>
      </c>
      <c r="H242">
        <f>IF(B242="","",IFERROR(INDEX(Equipamentos!$L$2:$L$201,MATCH(B242,Equipamentos!$A$2:$A$201,0)),""))</f>
        <v/>
      </c>
      <c r="I242" s="57">
        <f>IF(OR(A242="",B242=""),"",IFERROR(INDEX(Equipamentos!$J$2:$J$201,MATCH(1,INDEX((Equipamentos!$A$2:$A$201=B242)*(Equipamentos!$P$2:$P$201=A242),0),0)),""))</f>
        <v/>
      </c>
    </row>
    <row r="243">
      <c r="A243" s="54" t="n"/>
      <c r="B243" s="55" t="n"/>
      <c r="C243" s="56">
        <f>IF(OR(A243="",B243=""),"",IF(COUNTIF(Equipamentos!$A$2:$A$201,B243)=0,"tag não encontrada",IFERROR(INDEX(Equipamentos!$H$2:$H$201,MATCH(1,INDEX((Equipamentos!$A$2:$A$201=B243)*(Equipamentos!$P$2:$P$201=A243),0),0)),"confira a data")))</f>
        <v/>
      </c>
      <c r="D243">
        <f>IF(B243="","",IFERROR(INDEX(Equipamentos!$C$2:$C$201,MATCH(B243,Equipamentos!$A$2:$A$201,0)),""))</f>
        <v/>
      </c>
      <c r="E243" s="55" t="n"/>
      <c r="F243" s="55" t="n"/>
      <c r="G243">
        <f>IF(B243="","",IFERROR(INDEX(Equipamentos!$N$2:$N$201,MATCH(B243,Equipamentos!$A$2:$A$201,0)),""))</f>
        <v/>
      </c>
      <c r="H243">
        <f>IF(B243="","",IFERROR(INDEX(Equipamentos!$L$2:$L$201,MATCH(B243,Equipamentos!$A$2:$A$201,0)),""))</f>
        <v/>
      </c>
      <c r="I243" s="57">
        <f>IF(OR(A243="",B243=""),"",IFERROR(INDEX(Equipamentos!$J$2:$J$201,MATCH(1,INDEX((Equipamentos!$A$2:$A$201=B243)*(Equipamentos!$P$2:$P$201=A243),0),0)),""))</f>
        <v/>
      </c>
    </row>
    <row r="244">
      <c r="A244" s="54" t="n"/>
      <c r="B244" s="55" t="n"/>
      <c r="C244" s="56">
        <f>IF(OR(A244="",B244=""),"",IF(COUNTIF(Equipamentos!$A$2:$A$201,B244)=0,"tag não encontrada",IFERROR(INDEX(Equipamentos!$H$2:$H$201,MATCH(1,INDEX((Equipamentos!$A$2:$A$201=B244)*(Equipamentos!$P$2:$P$201=A244),0),0)),"confira a data")))</f>
        <v/>
      </c>
      <c r="D244">
        <f>IF(B244="","",IFERROR(INDEX(Equipamentos!$C$2:$C$201,MATCH(B244,Equipamentos!$A$2:$A$201,0)),""))</f>
        <v/>
      </c>
      <c r="E244" s="55" t="n"/>
      <c r="F244" s="55" t="n"/>
      <c r="G244">
        <f>IF(B244="","",IFERROR(INDEX(Equipamentos!$N$2:$N$201,MATCH(B244,Equipamentos!$A$2:$A$201,0)),""))</f>
        <v/>
      </c>
      <c r="H244">
        <f>IF(B244="","",IFERROR(INDEX(Equipamentos!$L$2:$L$201,MATCH(B244,Equipamentos!$A$2:$A$201,0)),""))</f>
        <v/>
      </c>
      <c r="I244" s="57">
        <f>IF(OR(A244="",B244=""),"",IFERROR(INDEX(Equipamentos!$J$2:$J$201,MATCH(1,INDEX((Equipamentos!$A$2:$A$201=B244)*(Equipamentos!$P$2:$P$201=A244),0),0)),""))</f>
        <v/>
      </c>
    </row>
    <row r="245">
      <c r="A245" s="54" t="n"/>
      <c r="B245" s="55" t="n"/>
      <c r="C245" s="56">
        <f>IF(OR(A245="",B245=""),"",IF(COUNTIF(Equipamentos!$A$2:$A$201,B245)=0,"tag não encontrada",IFERROR(INDEX(Equipamentos!$H$2:$H$201,MATCH(1,INDEX((Equipamentos!$A$2:$A$201=B245)*(Equipamentos!$P$2:$P$201=A245),0),0)),"confira a data")))</f>
        <v/>
      </c>
      <c r="D245">
        <f>IF(B245="","",IFERROR(INDEX(Equipamentos!$C$2:$C$201,MATCH(B245,Equipamentos!$A$2:$A$201,0)),""))</f>
        <v/>
      </c>
      <c r="E245" s="55" t="n"/>
      <c r="F245" s="55" t="n"/>
      <c r="G245">
        <f>IF(B245="","",IFERROR(INDEX(Equipamentos!$N$2:$N$201,MATCH(B245,Equipamentos!$A$2:$A$201,0)),""))</f>
        <v/>
      </c>
      <c r="H245">
        <f>IF(B245="","",IFERROR(INDEX(Equipamentos!$L$2:$L$201,MATCH(B245,Equipamentos!$A$2:$A$201,0)),""))</f>
        <v/>
      </c>
      <c r="I245" s="57">
        <f>IF(OR(A245="",B245=""),"",IFERROR(INDEX(Equipamentos!$J$2:$J$201,MATCH(1,INDEX((Equipamentos!$A$2:$A$201=B245)*(Equipamentos!$P$2:$P$201=A245),0),0)),""))</f>
        <v/>
      </c>
    </row>
    <row r="246">
      <c r="A246" s="54" t="n"/>
      <c r="B246" s="55" t="n"/>
      <c r="C246" s="56">
        <f>IF(OR(A246="",B246=""),"",IF(COUNTIF(Equipamentos!$A$2:$A$201,B246)=0,"tag não encontrada",IFERROR(INDEX(Equipamentos!$H$2:$H$201,MATCH(1,INDEX((Equipamentos!$A$2:$A$201=B246)*(Equipamentos!$P$2:$P$201=A246),0),0)),"confira a data")))</f>
        <v/>
      </c>
      <c r="D246">
        <f>IF(B246="","",IFERROR(INDEX(Equipamentos!$C$2:$C$201,MATCH(B246,Equipamentos!$A$2:$A$201,0)),""))</f>
        <v/>
      </c>
      <c r="E246" s="55" t="n"/>
      <c r="F246" s="55" t="n"/>
      <c r="G246">
        <f>IF(B246="","",IFERROR(INDEX(Equipamentos!$N$2:$N$201,MATCH(B246,Equipamentos!$A$2:$A$201,0)),""))</f>
        <v/>
      </c>
      <c r="H246">
        <f>IF(B246="","",IFERROR(INDEX(Equipamentos!$L$2:$L$201,MATCH(B246,Equipamentos!$A$2:$A$201,0)),""))</f>
        <v/>
      </c>
      <c r="I246" s="57">
        <f>IF(OR(A246="",B246=""),"",IFERROR(INDEX(Equipamentos!$J$2:$J$201,MATCH(1,INDEX((Equipamentos!$A$2:$A$201=B246)*(Equipamentos!$P$2:$P$201=A246),0),0)),""))</f>
        <v/>
      </c>
    </row>
    <row r="247">
      <c r="A247" s="54" t="n"/>
      <c r="B247" s="55" t="n"/>
      <c r="C247" s="56">
        <f>IF(OR(A247="",B247=""),"",IF(COUNTIF(Equipamentos!$A$2:$A$201,B247)=0,"tag não encontrada",IFERROR(INDEX(Equipamentos!$H$2:$H$201,MATCH(1,INDEX((Equipamentos!$A$2:$A$201=B247)*(Equipamentos!$P$2:$P$201=A247),0),0)),"confira a data")))</f>
        <v/>
      </c>
      <c r="D247">
        <f>IF(B247="","",IFERROR(INDEX(Equipamentos!$C$2:$C$201,MATCH(B247,Equipamentos!$A$2:$A$201,0)),""))</f>
        <v/>
      </c>
      <c r="E247" s="55" t="n"/>
      <c r="F247" s="55" t="n"/>
      <c r="G247">
        <f>IF(B247="","",IFERROR(INDEX(Equipamentos!$N$2:$N$201,MATCH(B247,Equipamentos!$A$2:$A$201,0)),""))</f>
        <v/>
      </c>
      <c r="H247">
        <f>IF(B247="","",IFERROR(INDEX(Equipamentos!$L$2:$L$201,MATCH(B247,Equipamentos!$A$2:$A$201,0)),""))</f>
        <v/>
      </c>
      <c r="I247" s="57">
        <f>IF(OR(A247="",B247=""),"",IFERROR(INDEX(Equipamentos!$J$2:$J$201,MATCH(1,INDEX((Equipamentos!$A$2:$A$201=B247)*(Equipamentos!$P$2:$P$201=A247),0),0)),""))</f>
        <v/>
      </c>
    </row>
    <row r="248">
      <c r="A248" s="54" t="n"/>
      <c r="B248" s="55" t="n"/>
      <c r="C248" s="56">
        <f>IF(OR(A248="",B248=""),"",IF(COUNTIF(Equipamentos!$A$2:$A$201,B248)=0,"tag não encontrada",IFERROR(INDEX(Equipamentos!$H$2:$H$201,MATCH(1,INDEX((Equipamentos!$A$2:$A$201=B248)*(Equipamentos!$P$2:$P$201=A248),0),0)),"confira a data")))</f>
        <v/>
      </c>
      <c r="D248">
        <f>IF(B248="","",IFERROR(INDEX(Equipamentos!$C$2:$C$201,MATCH(B248,Equipamentos!$A$2:$A$201,0)),""))</f>
        <v/>
      </c>
      <c r="E248" s="55" t="n"/>
      <c r="F248" s="55" t="n"/>
      <c r="G248">
        <f>IF(B248="","",IFERROR(INDEX(Equipamentos!$N$2:$N$201,MATCH(B248,Equipamentos!$A$2:$A$201,0)),""))</f>
        <v/>
      </c>
      <c r="H248">
        <f>IF(B248="","",IFERROR(INDEX(Equipamentos!$L$2:$L$201,MATCH(B248,Equipamentos!$A$2:$A$201,0)),""))</f>
        <v/>
      </c>
      <c r="I248" s="57">
        <f>IF(OR(A248="",B248=""),"",IFERROR(INDEX(Equipamentos!$J$2:$J$201,MATCH(1,INDEX((Equipamentos!$A$2:$A$201=B248)*(Equipamentos!$P$2:$P$201=A248),0),0)),""))</f>
        <v/>
      </c>
    </row>
    <row r="249">
      <c r="A249" s="54" t="n"/>
      <c r="B249" s="55" t="n"/>
      <c r="C249" s="56">
        <f>IF(OR(A249="",B249=""),"",IF(COUNTIF(Equipamentos!$A$2:$A$201,B249)=0,"tag não encontrada",IFERROR(INDEX(Equipamentos!$H$2:$H$201,MATCH(1,INDEX((Equipamentos!$A$2:$A$201=B249)*(Equipamentos!$P$2:$P$201=A249),0),0)),"confira a data")))</f>
        <v/>
      </c>
      <c r="D249">
        <f>IF(B249="","",IFERROR(INDEX(Equipamentos!$C$2:$C$201,MATCH(B249,Equipamentos!$A$2:$A$201,0)),""))</f>
        <v/>
      </c>
      <c r="E249" s="55" t="n"/>
      <c r="F249" s="55" t="n"/>
      <c r="G249">
        <f>IF(B249="","",IFERROR(INDEX(Equipamentos!$N$2:$N$201,MATCH(B249,Equipamentos!$A$2:$A$201,0)),""))</f>
        <v/>
      </c>
      <c r="H249">
        <f>IF(B249="","",IFERROR(INDEX(Equipamentos!$L$2:$L$201,MATCH(B249,Equipamentos!$A$2:$A$201,0)),""))</f>
        <v/>
      </c>
      <c r="I249" s="57">
        <f>IF(OR(A249="",B249=""),"",IFERROR(INDEX(Equipamentos!$J$2:$J$201,MATCH(1,INDEX((Equipamentos!$A$2:$A$201=B249)*(Equipamentos!$P$2:$P$201=A249),0),0)),""))</f>
        <v/>
      </c>
    </row>
    <row r="250">
      <c r="A250" s="54" t="n"/>
      <c r="B250" s="55" t="n"/>
      <c r="C250" s="56">
        <f>IF(OR(A250="",B250=""),"",IF(COUNTIF(Equipamentos!$A$2:$A$201,B250)=0,"tag não encontrada",IFERROR(INDEX(Equipamentos!$H$2:$H$201,MATCH(1,INDEX((Equipamentos!$A$2:$A$201=B250)*(Equipamentos!$P$2:$P$201=A250),0),0)),"confira a data")))</f>
        <v/>
      </c>
      <c r="D250">
        <f>IF(B250="","",IFERROR(INDEX(Equipamentos!$C$2:$C$201,MATCH(B250,Equipamentos!$A$2:$A$201,0)),""))</f>
        <v/>
      </c>
      <c r="E250" s="55" t="n"/>
      <c r="F250" s="55" t="n"/>
      <c r="G250">
        <f>IF(B250="","",IFERROR(INDEX(Equipamentos!$N$2:$N$201,MATCH(B250,Equipamentos!$A$2:$A$201,0)),""))</f>
        <v/>
      </c>
      <c r="H250">
        <f>IF(B250="","",IFERROR(INDEX(Equipamentos!$L$2:$L$201,MATCH(B250,Equipamentos!$A$2:$A$201,0)),""))</f>
        <v/>
      </c>
      <c r="I250" s="57">
        <f>IF(OR(A250="",B250=""),"",IFERROR(INDEX(Equipamentos!$J$2:$J$201,MATCH(1,INDEX((Equipamentos!$A$2:$A$201=B250)*(Equipamentos!$P$2:$P$201=A250),0),0)),""))</f>
        <v/>
      </c>
    </row>
    <row r="251">
      <c r="A251" s="54" t="n"/>
      <c r="B251" s="55" t="n"/>
      <c r="C251" s="56">
        <f>IF(OR(A251="",B251=""),"",IF(COUNTIF(Equipamentos!$A$2:$A$201,B251)=0,"tag não encontrada",IFERROR(INDEX(Equipamentos!$H$2:$H$201,MATCH(1,INDEX((Equipamentos!$A$2:$A$201=B251)*(Equipamentos!$P$2:$P$201=A251),0),0)),"confira a data")))</f>
        <v/>
      </c>
      <c r="D251">
        <f>IF(B251="","",IFERROR(INDEX(Equipamentos!$C$2:$C$201,MATCH(B251,Equipamentos!$A$2:$A$201,0)),""))</f>
        <v/>
      </c>
      <c r="E251" s="55" t="n"/>
      <c r="F251" s="55" t="n"/>
      <c r="G251">
        <f>IF(B251="","",IFERROR(INDEX(Equipamentos!$N$2:$N$201,MATCH(B251,Equipamentos!$A$2:$A$201,0)),""))</f>
        <v/>
      </c>
      <c r="H251">
        <f>IF(B251="","",IFERROR(INDEX(Equipamentos!$L$2:$L$201,MATCH(B251,Equipamentos!$A$2:$A$201,0)),""))</f>
        <v/>
      </c>
      <c r="I251" s="57">
        <f>IF(OR(A251="",B251=""),"",IFERROR(INDEX(Equipamentos!$J$2:$J$201,MATCH(1,INDEX((Equipamentos!$A$2:$A$201=B251)*(Equipamentos!$P$2:$P$201=A251),0),0)),""))</f>
        <v/>
      </c>
    </row>
    <row r="252">
      <c r="A252" s="54" t="n"/>
      <c r="B252" s="55" t="n"/>
      <c r="C252" s="56">
        <f>IF(OR(A252="",B252=""),"",IF(COUNTIF(Equipamentos!$A$2:$A$201,B252)=0,"tag não encontrada",IFERROR(INDEX(Equipamentos!$H$2:$H$201,MATCH(1,INDEX((Equipamentos!$A$2:$A$201=B252)*(Equipamentos!$P$2:$P$201=A252),0),0)),"confira a data")))</f>
        <v/>
      </c>
      <c r="D252">
        <f>IF(B252="","",IFERROR(INDEX(Equipamentos!$C$2:$C$201,MATCH(B252,Equipamentos!$A$2:$A$201,0)),""))</f>
        <v/>
      </c>
      <c r="E252" s="55" t="n"/>
      <c r="F252" s="55" t="n"/>
      <c r="G252">
        <f>IF(B252="","",IFERROR(INDEX(Equipamentos!$N$2:$N$201,MATCH(B252,Equipamentos!$A$2:$A$201,0)),""))</f>
        <v/>
      </c>
      <c r="H252">
        <f>IF(B252="","",IFERROR(INDEX(Equipamentos!$L$2:$L$201,MATCH(B252,Equipamentos!$A$2:$A$201,0)),""))</f>
        <v/>
      </c>
      <c r="I252" s="57">
        <f>IF(OR(A252="",B252=""),"",IFERROR(INDEX(Equipamentos!$J$2:$J$201,MATCH(1,INDEX((Equipamentos!$A$2:$A$201=B252)*(Equipamentos!$P$2:$P$201=A252),0),0)),""))</f>
        <v/>
      </c>
    </row>
    <row r="253">
      <c r="A253" s="54" t="n"/>
      <c r="B253" s="55" t="n"/>
      <c r="C253" s="56">
        <f>IF(OR(A253="",B253=""),"",IF(COUNTIF(Equipamentos!$A$2:$A$201,B253)=0,"tag não encontrada",IFERROR(INDEX(Equipamentos!$H$2:$H$201,MATCH(1,INDEX((Equipamentos!$A$2:$A$201=B253)*(Equipamentos!$P$2:$P$201=A253),0),0)),"confira a data")))</f>
        <v/>
      </c>
      <c r="D253">
        <f>IF(B253="","",IFERROR(INDEX(Equipamentos!$C$2:$C$201,MATCH(B253,Equipamentos!$A$2:$A$201,0)),""))</f>
        <v/>
      </c>
      <c r="E253" s="55" t="n"/>
      <c r="F253" s="55" t="n"/>
      <c r="G253">
        <f>IF(B253="","",IFERROR(INDEX(Equipamentos!$N$2:$N$201,MATCH(B253,Equipamentos!$A$2:$A$201,0)),""))</f>
        <v/>
      </c>
      <c r="H253">
        <f>IF(B253="","",IFERROR(INDEX(Equipamentos!$L$2:$L$201,MATCH(B253,Equipamentos!$A$2:$A$201,0)),""))</f>
        <v/>
      </c>
      <c r="I253" s="57">
        <f>IF(OR(A253="",B253=""),"",IFERROR(INDEX(Equipamentos!$J$2:$J$201,MATCH(1,INDEX((Equipamentos!$A$2:$A$201=B253)*(Equipamentos!$P$2:$P$201=A253),0),0)),""))</f>
        <v/>
      </c>
    </row>
    <row r="254">
      <c r="A254" s="54" t="n"/>
      <c r="B254" s="55" t="n"/>
      <c r="C254" s="56">
        <f>IF(OR(A254="",B254=""),"",IF(COUNTIF(Equipamentos!$A$2:$A$201,B254)=0,"tag não encontrada",IFERROR(INDEX(Equipamentos!$H$2:$H$201,MATCH(1,INDEX((Equipamentos!$A$2:$A$201=B254)*(Equipamentos!$P$2:$P$201=A254),0),0)),"confira a data")))</f>
        <v/>
      </c>
      <c r="D254">
        <f>IF(B254="","",IFERROR(INDEX(Equipamentos!$C$2:$C$201,MATCH(B254,Equipamentos!$A$2:$A$201,0)),""))</f>
        <v/>
      </c>
      <c r="E254" s="55" t="n"/>
      <c r="F254" s="55" t="n"/>
      <c r="G254">
        <f>IF(B254="","",IFERROR(INDEX(Equipamentos!$N$2:$N$201,MATCH(B254,Equipamentos!$A$2:$A$201,0)),""))</f>
        <v/>
      </c>
      <c r="H254">
        <f>IF(B254="","",IFERROR(INDEX(Equipamentos!$L$2:$L$201,MATCH(B254,Equipamentos!$A$2:$A$201,0)),""))</f>
        <v/>
      </c>
      <c r="I254" s="57">
        <f>IF(OR(A254="",B254=""),"",IFERROR(INDEX(Equipamentos!$J$2:$J$201,MATCH(1,INDEX((Equipamentos!$A$2:$A$201=B254)*(Equipamentos!$P$2:$P$201=A254),0),0)),""))</f>
        <v/>
      </c>
    </row>
    <row r="255">
      <c r="A255" s="54" t="n"/>
      <c r="B255" s="55" t="n"/>
      <c r="C255" s="56">
        <f>IF(OR(A255="",B255=""),"",IF(COUNTIF(Equipamentos!$A$2:$A$201,B255)=0,"tag não encontrada",IFERROR(INDEX(Equipamentos!$H$2:$H$201,MATCH(1,INDEX((Equipamentos!$A$2:$A$201=B255)*(Equipamentos!$P$2:$P$201=A255),0),0)),"confira a data")))</f>
        <v/>
      </c>
      <c r="D255">
        <f>IF(B255="","",IFERROR(INDEX(Equipamentos!$C$2:$C$201,MATCH(B255,Equipamentos!$A$2:$A$201,0)),""))</f>
        <v/>
      </c>
      <c r="E255" s="55" t="n"/>
      <c r="F255" s="55" t="n"/>
      <c r="G255">
        <f>IF(B255="","",IFERROR(INDEX(Equipamentos!$N$2:$N$201,MATCH(B255,Equipamentos!$A$2:$A$201,0)),""))</f>
        <v/>
      </c>
      <c r="H255">
        <f>IF(B255="","",IFERROR(INDEX(Equipamentos!$L$2:$L$201,MATCH(B255,Equipamentos!$A$2:$A$201,0)),""))</f>
        <v/>
      </c>
      <c r="I255" s="57">
        <f>IF(OR(A255="",B255=""),"",IFERROR(INDEX(Equipamentos!$J$2:$J$201,MATCH(1,INDEX((Equipamentos!$A$2:$A$201=B255)*(Equipamentos!$P$2:$P$201=A255),0),0)),""))</f>
        <v/>
      </c>
    </row>
    <row r="256">
      <c r="A256" s="54" t="n"/>
      <c r="B256" s="55" t="n"/>
      <c r="C256" s="56">
        <f>IF(OR(A256="",B256=""),"",IF(COUNTIF(Equipamentos!$A$2:$A$201,B256)=0,"tag não encontrada",IFERROR(INDEX(Equipamentos!$H$2:$H$201,MATCH(1,INDEX((Equipamentos!$A$2:$A$201=B256)*(Equipamentos!$P$2:$P$201=A256),0),0)),"confira a data")))</f>
        <v/>
      </c>
      <c r="D256">
        <f>IF(B256="","",IFERROR(INDEX(Equipamentos!$C$2:$C$201,MATCH(B256,Equipamentos!$A$2:$A$201,0)),""))</f>
        <v/>
      </c>
      <c r="E256" s="55" t="n"/>
      <c r="F256" s="55" t="n"/>
      <c r="G256">
        <f>IF(B256="","",IFERROR(INDEX(Equipamentos!$N$2:$N$201,MATCH(B256,Equipamentos!$A$2:$A$201,0)),""))</f>
        <v/>
      </c>
      <c r="H256">
        <f>IF(B256="","",IFERROR(INDEX(Equipamentos!$L$2:$L$201,MATCH(B256,Equipamentos!$A$2:$A$201,0)),""))</f>
        <v/>
      </c>
      <c r="I256" s="57">
        <f>IF(OR(A256="",B256=""),"",IFERROR(INDEX(Equipamentos!$J$2:$J$201,MATCH(1,INDEX((Equipamentos!$A$2:$A$201=B256)*(Equipamentos!$P$2:$P$201=A256),0),0)),""))</f>
        <v/>
      </c>
    </row>
    <row r="257">
      <c r="A257" s="54" t="n"/>
      <c r="B257" s="55" t="n"/>
      <c r="C257" s="56">
        <f>IF(OR(A257="",B257=""),"",IF(COUNTIF(Equipamentos!$A$2:$A$201,B257)=0,"tag não encontrada",IFERROR(INDEX(Equipamentos!$H$2:$H$201,MATCH(1,INDEX((Equipamentos!$A$2:$A$201=B257)*(Equipamentos!$P$2:$P$201=A257),0),0)),"confira a data")))</f>
        <v/>
      </c>
      <c r="D257">
        <f>IF(B257="","",IFERROR(INDEX(Equipamentos!$C$2:$C$201,MATCH(B257,Equipamentos!$A$2:$A$201,0)),""))</f>
        <v/>
      </c>
      <c r="E257" s="55" t="n"/>
      <c r="F257" s="55" t="n"/>
      <c r="G257">
        <f>IF(B257="","",IFERROR(INDEX(Equipamentos!$N$2:$N$201,MATCH(B257,Equipamentos!$A$2:$A$201,0)),""))</f>
        <v/>
      </c>
      <c r="H257">
        <f>IF(B257="","",IFERROR(INDEX(Equipamentos!$L$2:$L$201,MATCH(B257,Equipamentos!$A$2:$A$201,0)),""))</f>
        <v/>
      </c>
      <c r="I257" s="57">
        <f>IF(OR(A257="",B257=""),"",IFERROR(INDEX(Equipamentos!$J$2:$J$201,MATCH(1,INDEX((Equipamentos!$A$2:$A$201=B257)*(Equipamentos!$P$2:$P$201=A257),0),0)),""))</f>
        <v/>
      </c>
    </row>
    <row r="258">
      <c r="A258" s="54" t="n"/>
      <c r="B258" s="55" t="n"/>
      <c r="C258" s="56">
        <f>IF(OR(A258="",B258=""),"",IF(COUNTIF(Equipamentos!$A$2:$A$201,B258)=0,"tag não encontrada",IFERROR(INDEX(Equipamentos!$H$2:$H$201,MATCH(1,INDEX((Equipamentos!$A$2:$A$201=B258)*(Equipamentos!$P$2:$P$201=A258),0),0)),"confira a data")))</f>
        <v/>
      </c>
      <c r="D258">
        <f>IF(B258="","",IFERROR(INDEX(Equipamentos!$C$2:$C$201,MATCH(B258,Equipamentos!$A$2:$A$201,0)),""))</f>
        <v/>
      </c>
      <c r="E258" s="55" t="n"/>
      <c r="F258" s="55" t="n"/>
      <c r="G258">
        <f>IF(B258="","",IFERROR(INDEX(Equipamentos!$N$2:$N$201,MATCH(B258,Equipamentos!$A$2:$A$201,0)),""))</f>
        <v/>
      </c>
      <c r="H258">
        <f>IF(B258="","",IFERROR(INDEX(Equipamentos!$L$2:$L$201,MATCH(B258,Equipamentos!$A$2:$A$201,0)),""))</f>
        <v/>
      </c>
      <c r="I258" s="57">
        <f>IF(OR(A258="",B258=""),"",IFERROR(INDEX(Equipamentos!$J$2:$J$201,MATCH(1,INDEX((Equipamentos!$A$2:$A$201=B258)*(Equipamentos!$P$2:$P$201=A258),0),0)),""))</f>
        <v/>
      </c>
    </row>
    <row r="259">
      <c r="A259" s="54" t="n"/>
      <c r="B259" s="55" t="n"/>
      <c r="C259" s="56">
        <f>IF(OR(A259="",B259=""),"",IF(COUNTIF(Equipamentos!$A$2:$A$201,B259)=0,"tag não encontrada",IFERROR(INDEX(Equipamentos!$H$2:$H$201,MATCH(1,INDEX((Equipamentos!$A$2:$A$201=B259)*(Equipamentos!$P$2:$P$201=A259),0),0)),"confira a data")))</f>
        <v/>
      </c>
      <c r="D259">
        <f>IF(B259="","",IFERROR(INDEX(Equipamentos!$C$2:$C$201,MATCH(B259,Equipamentos!$A$2:$A$201,0)),""))</f>
        <v/>
      </c>
      <c r="E259" s="55" t="n"/>
      <c r="F259" s="55" t="n"/>
      <c r="G259">
        <f>IF(B259="","",IFERROR(INDEX(Equipamentos!$N$2:$N$201,MATCH(B259,Equipamentos!$A$2:$A$201,0)),""))</f>
        <v/>
      </c>
      <c r="H259">
        <f>IF(B259="","",IFERROR(INDEX(Equipamentos!$L$2:$L$201,MATCH(B259,Equipamentos!$A$2:$A$201,0)),""))</f>
        <v/>
      </c>
      <c r="I259" s="57">
        <f>IF(OR(A259="",B259=""),"",IFERROR(INDEX(Equipamentos!$J$2:$J$201,MATCH(1,INDEX((Equipamentos!$A$2:$A$201=B259)*(Equipamentos!$P$2:$P$201=A259),0),0)),""))</f>
        <v/>
      </c>
    </row>
    <row r="260">
      <c r="A260" s="54" t="n"/>
      <c r="B260" s="55" t="n"/>
      <c r="C260" s="56">
        <f>IF(OR(A260="",B260=""),"",IF(COUNTIF(Equipamentos!$A$2:$A$201,B260)=0,"tag não encontrada",IFERROR(INDEX(Equipamentos!$H$2:$H$201,MATCH(1,INDEX((Equipamentos!$A$2:$A$201=B260)*(Equipamentos!$P$2:$P$201=A260),0),0)),"confira a data")))</f>
        <v/>
      </c>
      <c r="D260">
        <f>IF(B260="","",IFERROR(INDEX(Equipamentos!$C$2:$C$201,MATCH(B260,Equipamentos!$A$2:$A$201,0)),""))</f>
        <v/>
      </c>
      <c r="E260" s="55" t="n"/>
      <c r="F260" s="55" t="n"/>
      <c r="G260">
        <f>IF(B260="","",IFERROR(INDEX(Equipamentos!$N$2:$N$201,MATCH(B260,Equipamentos!$A$2:$A$201,0)),""))</f>
        <v/>
      </c>
      <c r="H260">
        <f>IF(B260="","",IFERROR(INDEX(Equipamentos!$L$2:$L$201,MATCH(B260,Equipamentos!$A$2:$A$201,0)),""))</f>
        <v/>
      </c>
      <c r="I260" s="57">
        <f>IF(OR(A260="",B260=""),"",IFERROR(INDEX(Equipamentos!$J$2:$J$201,MATCH(1,INDEX((Equipamentos!$A$2:$A$201=B260)*(Equipamentos!$P$2:$P$201=A260),0),0)),""))</f>
        <v/>
      </c>
    </row>
    <row r="261">
      <c r="A261" s="54" t="n"/>
      <c r="B261" s="55" t="n"/>
      <c r="C261" s="56">
        <f>IF(OR(A261="",B261=""),"",IF(COUNTIF(Equipamentos!$A$2:$A$201,B261)=0,"tag não encontrada",IFERROR(INDEX(Equipamentos!$H$2:$H$201,MATCH(1,INDEX((Equipamentos!$A$2:$A$201=B261)*(Equipamentos!$P$2:$P$201=A261),0),0)),"confira a data")))</f>
        <v/>
      </c>
      <c r="D261">
        <f>IF(B261="","",IFERROR(INDEX(Equipamentos!$C$2:$C$201,MATCH(B261,Equipamentos!$A$2:$A$201,0)),""))</f>
        <v/>
      </c>
      <c r="E261" s="55" t="n"/>
      <c r="F261" s="55" t="n"/>
      <c r="G261">
        <f>IF(B261="","",IFERROR(INDEX(Equipamentos!$N$2:$N$201,MATCH(B261,Equipamentos!$A$2:$A$201,0)),""))</f>
        <v/>
      </c>
      <c r="H261">
        <f>IF(B261="","",IFERROR(INDEX(Equipamentos!$L$2:$L$201,MATCH(B261,Equipamentos!$A$2:$A$201,0)),""))</f>
        <v/>
      </c>
      <c r="I261" s="57">
        <f>IF(OR(A261="",B261=""),"",IFERROR(INDEX(Equipamentos!$J$2:$J$201,MATCH(1,INDEX((Equipamentos!$A$2:$A$201=B261)*(Equipamentos!$P$2:$P$201=A261),0),0)),""))</f>
        <v/>
      </c>
    </row>
    <row r="262">
      <c r="A262" s="54" t="n"/>
      <c r="B262" s="55" t="n"/>
      <c r="C262" s="56">
        <f>IF(OR(A262="",B262=""),"",IF(COUNTIF(Equipamentos!$A$2:$A$201,B262)=0,"tag não encontrada",IFERROR(INDEX(Equipamentos!$H$2:$H$201,MATCH(1,INDEX((Equipamentos!$A$2:$A$201=B262)*(Equipamentos!$P$2:$P$201=A262),0),0)),"confira a data")))</f>
        <v/>
      </c>
      <c r="D262">
        <f>IF(B262="","",IFERROR(INDEX(Equipamentos!$C$2:$C$201,MATCH(B262,Equipamentos!$A$2:$A$201,0)),""))</f>
        <v/>
      </c>
      <c r="E262" s="55" t="n"/>
      <c r="F262" s="55" t="n"/>
      <c r="G262">
        <f>IF(B262="","",IFERROR(INDEX(Equipamentos!$N$2:$N$201,MATCH(B262,Equipamentos!$A$2:$A$201,0)),""))</f>
        <v/>
      </c>
      <c r="H262">
        <f>IF(B262="","",IFERROR(INDEX(Equipamentos!$L$2:$L$201,MATCH(B262,Equipamentos!$A$2:$A$201,0)),""))</f>
        <v/>
      </c>
      <c r="I262" s="57">
        <f>IF(OR(A262="",B262=""),"",IFERROR(INDEX(Equipamentos!$J$2:$J$201,MATCH(1,INDEX((Equipamentos!$A$2:$A$201=B262)*(Equipamentos!$P$2:$P$201=A262),0),0)),""))</f>
        <v/>
      </c>
    </row>
    <row r="263">
      <c r="A263" s="54" t="n"/>
      <c r="B263" s="55" t="n"/>
      <c r="C263" s="56">
        <f>IF(OR(A263="",B263=""),"",IF(COUNTIF(Equipamentos!$A$2:$A$201,B263)=0,"tag não encontrada",IFERROR(INDEX(Equipamentos!$H$2:$H$201,MATCH(1,INDEX((Equipamentos!$A$2:$A$201=B263)*(Equipamentos!$P$2:$P$201=A263),0),0)),"confira a data")))</f>
        <v/>
      </c>
      <c r="D263">
        <f>IF(B263="","",IFERROR(INDEX(Equipamentos!$C$2:$C$201,MATCH(B263,Equipamentos!$A$2:$A$201,0)),""))</f>
        <v/>
      </c>
      <c r="E263" s="55" t="n"/>
      <c r="F263" s="55" t="n"/>
      <c r="G263">
        <f>IF(B263="","",IFERROR(INDEX(Equipamentos!$N$2:$N$201,MATCH(B263,Equipamentos!$A$2:$A$201,0)),""))</f>
        <v/>
      </c>
      <c r="H263">
        <f>IF(B263="","",IFERROR(INDEX(Equipamentos!$L$2:$L$201,MATCH(B263,Equipamentos!$A$2:$A$201,0)),""))</f>
        <v/>
      </c>
      <c r="I263" s="57">
        <f>IF(OR(A263="",B263=""),"",IFERROR(INDEX(Equipamentos!$J$2:$J$201,MATCH(1,INDEX((Equipamentos!$A$2:$A$201=B263)*(Equipamentos!$P$2:$P$201=A263),0),0)),""))</f>
        <v/>
      </c>
    </row>
    <row r="264">
      <c r="A264" s="54" t="n"/>
      <c r="B264" s="55" t="n"/>
      <c r="C264" s="56">
        <f>IF(OR(A264="",B264=""),"",IF(COUNTIF(Equipamentos!$A$2:$A$201,B264)=0,"tag não encontrada",IFERROR(INDEX(Equipamentos!$H$2:$H$201,MATCH(1,INDEX((Equipamentos!$A$2:$A$201=B264)*(Equipamentos!$P$2:$P$201=A264),0),0)),"confira a data")))</f>
        <v/>
      </c>
      <c r="D264">
        <f>IF(B264="","",IFERROR(INDEX(Equipamentos!$C$2:$C$201,MATCH(B264,Equipamentos!$A$2:$A$201,0)),""))</f>
        <v/>
      </c>
      <c r="E264" s="55" t="n"/>
      <c r="F264" s="55" t="n"/>
      <c r="G264">
        <f>IF(B264="","",IFERROR(INDEX(Equipamentos!$N$2:$N$201,MATCH(B264,Equipamentos!$A$2:$A$201,0)),""))</f>
        <v/>
      </c>
      <c r="H264">
        <f>IF(B264="","",IFERROR(INDEX(Equipamentos!$L$2:$L$201,MATCH(B264,Equipamentos!$A$2:$A$201,0)),""))</f>
        <v/>
      </c>
      <c r="I264" s="57">
        <f>IF(OR(A264="",B264=""),"",IFERROR(INDEX(Equipamentos!$J$2:$J$201,MATCH(1,INDEX((Equipamentos!$A$2:$A$201=B264)*(Equipamentos!$P$2:$P$201=A264),0),0)),""))</f>
        <v/>
      </c>
    </row>
    <row r="265">
      <c r="A265" s="54" t="n"/>
      <c r="B265" s="55" t="n"/>
      <c r="C265" s="56">
        <f>IF(OR(A265="",B265=""),"",IF(COUNTIF(Equipamentos!$A$2:$A$201,B265)=0,"tag não encontrada",IFERROR(INDEX(Equipamentos!$H$2:$H$201,MATCH(1,INDEX((Equipamentos!$A$2:$A$201=B265)*(Equipamentos!$P$2:$P$201=A265),0),0)),"confira a data")))</f>
        <v/>
      </c>
      <c r="D265">
        <f>IF(B265="","",IFERROR(INDEX(Equipamentos!$C$2:$C$201,MATCH(B265,Equipamentos!$A$2:$A$201,0)),""))</f>
        <v/>
      </c>
      <c r="E265" s="55" t="n"/>
      <c r="F265" s="55" t="n"/>
      <c r="G265">
        <f>IF(B265="","",IFERROR(INDEX(Equipamentos!$N$2:$N$201,MATCH(B265,Equipamentos!$A$2:$A$201,0)),""))</f>
        <v/>
      </c>
      <c r="H265">
        <f>IF(B265="","",IFERROR(INDEX(Equipamentos!$L$2:$L$201,MATCH(B265,Equipamentos!$A$2:$A$201,0)),""))</f>
        <v/>
      </c>
      <c r="I265" s="57">
        <f>IF(OR(A265="",B265=""),"",IFERROR(INDEX(Equipamentos!$J$2:$J$201,MATCH(1,INDEX((Equipamentos!$A$2:$A$201=B265)*(Equipamentos!$P$2:$P$201=A265),0),0)),""))</f>
        <v/>
      </c>
    </row>
    <row r="266">
      <c r="A266" s="54" t="n"/>
      <c r="B266" s="55" t="n"/>
      <c r="C266" s="56">
        <f>IF(OR(A266="",B266=""),"",IF(COUNTIF(Equipamentos!$A$2:$A$201,B266)=0,"tag não encontrada",IFERROR(INDEX(Equipamentos!$H$2:$H$201,MATCH(1,INDEX((Equipamentos!$A$2:$A$201=B266)*(Equipamentos!$P$2:$P$201=A266),0),0)),"confira a data")))</f>
        <v/>
      </c>
      <c r="D266">
        <f>IF(B266="","",IFERROR(INDEX(Equipamentos!$C$2:$C$201,MATCH(B266,Equipamentos!$A$2:$A$201,0)),""))</f>
        <v/>
      </c>
      <c r="E266" s="55" t="n"/>
      <c r="F266" s="55" t="n"/>
      <c r="G266">
        <f>IF(B266="","",IFERROR(INDEX(Equipamentos!$N$2:$N$201,MATCH(B266,Equipamentos!$A$2:$A$201,0)),""))</f>
        <v/>
      </c>
      <c r="H266">
        <f>IF(B266="","",IFERROR(INDEX(Equipamentos!$L$2:$L$201,MATCH(B266,Equipamentos!$A$2:$A$201,0)),""))</f>
        <v/>
      </c>
      <c r="I266" s="57">
        <f>IF(OR(A266="",B266=""),"",IFERROR(INDEX(Equipamentos!$J$2:$J$201,MATCH(1,INDEX((Equipamentos!$A$2:$A$201=B266)*(Equipamentos!$P$2:$P$201=A266),0),0)),""))</f>
        <v/>
      </c>
    </row>
    <row r="267">
      <c r="A267" s="54" t="n"/>
      <c r="B267" s="55" t="n"/>
      <c r="C267" s="56">
        <f>IF(OR(A267="",B267=""),"",IF(COUNTIF(Equipamentos!$A$2:$A$201,B267)=0,"tag não encontrada",IFERROR(INDEX(Equipamentos!$H$2:$H$201,MATCH(1,INDEX((Equipamentos!$A$2:$A$201=B267)*(Equipamentos!$P$2:$P$201=A267),0),0)),"confira a data")))</f>
        <v/>
      </c>
      <c r="D267">
        <f>IF(B267="","",IFERROR(INDEX(Equipamentos!$C$2:$C$201,MATCH(B267,Equipamentos!$A$2:$A$201,0)),""))</f>
        <v/>
      </c>
      <c r="E267" s="55" t="n"/>
      <c r="F267" s="55" t="n"/>
      <c r="G267">
        <f>IF(B267="","",IFERROR(INDEX(Equipamentos!$N$2:$N$201,MATCH(B267,Equipamentos!$A$2:$A$201,0)),""))</f>
        <v/>
      </c>
      <c r="H267">
        <f>IF(B267="","",IFERROR(INDEX(Equipamentos!$L$2:$L$201,MATCH(B267,Equipamentos!$A$2:$A$201,0)),""))</f>
        <v/>
      </c>
      <c r="I267" s="57">
        <f>IF(OR(A267="",B267=""),"",IFERROR(INDEX(Equipamentos!$J$2:$J$201,MATCH(1,INDEX((Equipamentos!$A$2:$A$201=B267)*(Equipamentos!$P$2:$P$201=A267),0),0)),""))</f>
        <v/>
      </c>
    </row>
    <row r="268">
      <c r="A268" s="54" t="n"/>
      <c r="B268" s="55" t="n"/>
      <c r="C268" s="56">
        <f>IF(OR(A268="",B268=""),"",IF(COUNTIF(Equipamentos!$A$2:$A$201,B268)=0,"tag não encontrada",IFERROR(INDEX(Equipamentos!$H$2:$H$201,MATCH(1,INDEX((Equipamentos!$A$2:$A$201=B268)*(Equipamentos!$P$2:$P$201=A268),0),0)),"confira a data")))</f>
        <v/>
      </c>
      <c r="D268">
        <f>IF(B268="","",IFERROR(INDEX(Equipamentos!$C$2:$C$201,MATCH(B268,Equipamentos!$A$2:$A$201,0)),""))</f>
        <v/>
      </c>
      <c r="E268" s="55" t="n"/>
      <c r="F268" s="55" t="n"/>
      <c r="G268">
        <f>IF(B268="","",IFERROR(INDEX(Equipamentos!$N$2:$N$201,MATCH(B268,Equipamentos!$A$2:$A$201,0)),""))</f>
        <v/>
      </c>
      <c r="H268">
        <f>IF(B268="","",IFERROR(INDEX(Equipamentos!$L$2:$L$201,MATCH(B268,Equipamentos!$A$2:$A$201,0)),""))</f>
        <v/>
      </c>
      <c r="I268" s="57">
        <f>IF(OR(A268="",B268=""),"",IFERROR(INDEX(Equipamentos!$J$2:$J$201,MATCH(1,INDEX((Equipamentos!$A$2:$A$201=B268)*(Equipamentos!$P$2:$P$201=A268),0),0)),""))</f>
        <v/>
      </c>
    </row>
    <row r="269">
      <c r="A269" s="54" t="n"/>
      <c r="B269" s="55" t="n"/>
      <c r="C269" s="56">
        <f>IF(OR(A269="",B269=""),"",IF(COUNTIF(Equipamentos!$A$2:$A$201,B269)=0,"tag não encontrada",IFERROR(INDEX(Equipamentos!$H$2:$H$201,MATCH(1,INDEX((Equipamentos!$A$2:$A$201=B269)*(Equipamentos!$P$2:$P$201=A269),0),0)),"confira a data")))</f>
        <v/>
      </c>
      <c r="D269">
        <f>IF(B269="","",IFERROR(INDEX(Equipamentos!$C$2:$C$201,MATCH(B269,Equipamentos!$A$2:$A$201,0)),""))</f>
        <v/>
      </c>
      <c r="E269" s="55" t="n"/>
      <c r="F269" s="55" t="n"/>
      <c r="G269">
        <f>IF(B269="","",IFERROR(INDEX(Equipamentos!$N$2:$N$201,MATCH(B269,Equipamentos!$A$2:$A$201,0)),""))</f>
        <v/>
      </c>
      <c r="H269">
        <f>IF(B269="","",IFERROR(INDEX(Equipamentos!$L$2:$L$201,MATCH(B269,Equipamentos!$A$2:$A$201,0)),""))</f>
        <v/>
      </c>
      <c r="I269" s="57">
        <f>IF(OR(A269="",B269=""),"",IFERROR(INDEX(Equipamentos!$J$2:$J$201,MATCH(1,INDEX((Equipamentos!$A$2:$A$201=B269)*(Equipamentos!$P$2:$P$201=A269),0),0)),""))</f>
        <v/>
      </c>
    </row>
    <row r="270">
      <c r="A270" s="54" t="n"/>
      <c r="B270" s="55" t="n"/>
      <c r="C270" s="56">
        <f>IF(OR(A270="",B270=""),"",IF(COUNTIF(Equipamentos!$A$2:$A$201,B270)=0,"tag não encontrada",IFERROR(INDEX(Equipamentos!$H$2:$H$201,MATCH(1,INDEX((Equipamentos!$A$2:$A$201=B270)*(Equipamentos!$P$2:$P$201=A270),0),0)),"confira a data")))</f>
        <v/>
      </c>
      <c r="D270">
        <f>IF(B270="","",IFERROR(INDEX(Equipamentos!$C$2:$C$201,MATCH(B270,Equipamentos!$A$2:$A$201,0)),""))</f>
        <v/>
      </c>
      <c r="E270" s="55" t="n"/>
      <c r="F270" s="55" t="n"/>
      <c r="G270">
        <f>IF(B270="","",IFERROR(INDEX(Equipamentos!$N$2:$N$201,MATCH(B270,Equipamentos!$A$2:$A$201,0)),""))</f>
        <v/>
      </c>
      <c r="H270">
        <f>IF(B270="","",IFERROR(INDEX(Equipamentos!$L$2:$L$201,MATCH(B270,Equipamentos!$A$2:$A$201,0)),""))</f>
        <v/>
      </c>
      <c r="I270" s="57">
        <f>IF(OR(A270="",B270=""),"",IFERROR(INDEX(Equipamentos!$J$2:$J$201,MATCH(1,INDEX((Equipamentos!$A$2:$A$201=B270)*(Equipamentos!$P$2:$P$201=A270),0),0)),""))</f>
        <v/>
      </c>
    </row>
    <row r="271">
      <c r="A271" s="54" t="n"/>
      <c r="B271" s="55" t="n"/>
      <c r="C271" s="56">
        <f>IF(OR(A271="",B271=""),"",IF(COUNTIF(Equipamentos!$A$2:$A$201,B271)=0,"tag não encontrada",IFERROR(INDEX(Equipamentos!$H$2:$H$201,MATCH(1,INDEX((Equipamentos!$A$2:$A$201=B271)*(Equipamentos!$P$2:$P$201=A271),0),0)),"confira a data")))</f>
        <v/>
      </c>
      <c r="D271">
        <f>IF(B271="","",IFERROR(INDEX(Equipamentos!$C$2:$C$201,MATCH(B271,Equipamentos!$A$2:$A$201,0)),""))</f>
        <v/>
      </c>
      <c r="E271" s="55" t="n"/>
      <c r="F271" s="55" t="n"/>
      <c r="G271">
        <f>IF(B271="","",IFERROR(INDEX(Equipamentos!$N$2:$N$201,MATCH(B271,Equipamentos!$A$2:$A$201,0)),""))</f>
        <v/>
      </c>
      <c r="H271">
        <f>IF(B271="","",IFERROR(INDEX(Equipamentos!$L$2:$L$201,MATCH(B271,Equipamentos!$A$2:$A$201,0)),""))</f>
        <v/>
      </c>
      <c r="I271" s="57">
        <f>IF(OR(A271="",B271=""),"",IFERROR(INDEX(Equipamentos!$J$2:$J$201,MATCH(1,INDEX((Equipamentos!$A$2:$A$201=B271)*(Equipamentos!$P$2:$P$201=A271),0),0)),""))</f>
        <v/>
      </c>
    </row>
    <row r="272">
      <c r="A272" s="54" t="n"/>
      <c r="B272" s="55" t="n"/>
      <c r="C272" s="56">
        <f>IF(OR(A272="",B272=""),"",IF(COUNTIF(Equipamentos!$A$2:$A$201,B272)=0,"tag não encontrada",IFERROR(INDEX(Equipamentos!$H$2:$H$201,MATCH(1,INDEX((Equipamentos!$A$2:$A$201=B272)*(Equipamentos!$P$2:$P$201=A272),0),0)),"confira a data")))</f>
        <v/>
      </c>
      <c r="D272">
        <f>IF(B272="","",IFERROR(INDEX(Equipamentos!$C$2:$C$201,MATCH(B272,Equipamentos!$A$2:$A$201,0)),""))</f>
        <v/>
      </c>
      <c r="E272" s="55" t="n"/>
      <c r="F272" s="55" t="n"/>
      <c r="G272">
        <f>IF(B272="","",IFERROR(INDEX(Equipamentos!$N$2:$N$201,MATCH(B272,Equipamentos!$A$2:$A$201,0)),""))</f>
        <v/>
      </c>
      <c r="H272">
        <f>IF(B272="","",IFERROR(INDEX(Equipamentos!$L$2:$L$201,MATCH(B272,Equipamentos!$A$2:$A$201,0)),""))</f>
        <v/>
      </c>
      <c r="I272" s="57">
        <f>IF(OR(A272="",B272=""),"",IFERROR(INDEX(Equipamentos!$J$2:$J$201,MATCH(1,INDEX((Equipamentos!$A$2:$A$201=B272)*(Equipamentos!$P$2:$P$201=A272),0),0)),""))</f>
        <v/>
      </c>
    </row>
    <row r="273">
      <c r="A273" s="54" t="n"/>
      <c r="B273" s="55" t="n"/>
      <c r="C273" s="56">
        <f>IF(OR(A273="",B273=""),"",IF(COUNTIF(Equipamentos!$A$2:$A$201,B273)=0,"tag não encontrada",IFERROR(INDEX(Equipamentos!$H$2:$H$201,MATCH(1,INDEX((Equipamentos!$A$2:$A$201=B273)*(Equipamentos!$P$2:$P$201=A273),0),0)),"confira a data")))</f>
        <v/>
      </c>
      <c r="D273">
        <f>IF(B273="","",IFERROR(INDEX(Equipamentos!$C$2:$C$201,MATCH(B273,Equipamentos!$A$2:$A$201,0)),""))</f>
        <v/>
      </c>
      <c r="E273" s="55" t="n"/>
      <c r="F273" s="55" t="n"/>
      <c r="G273">
        <f>IF(B273="","",IFERROR(INDEX(Equipamentos!$N$2:$N$201,MATCH(B273,Equipamentos!$A$2:$A$201,0)),""))</f>
        <v/>
      </c>
      <c r="H273">
        <f>IF(B273="","",IFERROR(INDEX(Equipamentos!$L$2:$L$201,MATCH(B273,Equipamentos!$A$2:$A$201,0)),""))</f>
        <v/>
      </c>
      <c r="I273" s="57">
        <f>IF(OR(A273="",B273=""),"",IFERROR(INDEX(Equipamentos!$J$2:$J$201,MATCH(1,INDEX((Equipamentos!$A$2:$A$201=B273)*(Equipamentos!$P$2:$P$201=A273),0),0)),""))</f>
        <v/>
      </c>
    </row>
    <row r="274">
      <c r="A274" s="54" t="n"/>
      <c r="B274" s="55" t="n"/>
      <c r="C274" s="56">
        <f>IF(OR(A274="",B274=""),"",IF(COUNTIF(Equipamentos!$A$2:$A$201,B274)=0,"tag não encontrada",IFERROR(INDEX(Equipamentos!$H$2:$H$201,MATCH(1,INDEX((Equipamentos!$A$2:$A$201=B274)*(Equipamentos!$P$2:$P$201=A274),0),0)),"confira a data")))</f>
        <v/>
      </c>
      <c r="D274">
        <f>IF(B274="","",IFERROR(INDEX(Equipamentos!$C$2:$C$201,MATCH(B274,Equipamentos!$A$2:$A$201,0)),""))</f>
        <v/>
      </c>
      <c r="E274" s="55" t="n"/>
      <c r="F274" s="55" t="n"/>
      <c r="G274">
        <f>IF(B274="","",IFERROR(INDEX(Equipamentos!$N$2:$N$201,MATCH(B274,Equipamentos!$A$2:$A$201,0)),""))</f>
        <v/>
      </c>
      <c r="H274">
        <f>IF(B274="","",IFERROR(INDEX(Equipamentos!$L$2:$L$201,MATCH(B274,Equipamentos!$A$2:$A$201,0)),""))</f>
        <v/>
      </c>
      <c r="I274" s="57">
        <f>IF(OR(A274="",B274=""),"",IFERROR(INDEX(Equipamentos!$J$2:$J$201,MATCH(1,INDEX((Equipamentos!$A$2:$A$201=B274)*(Equipamentos!$P$2:$P$201=A274),0),0)),""))</f>
        <v/>
      </c>
    </row>
    <row r="275">
      <c r="A275" s="54" t="n"/>
      <c r="B275" s="55" t="n"/>
      <c r="C275" s="56">
        <f>IF(OR(A275="",B275=""),"",IF(COUNTIF(Equipamentos!$A$2:$A$201,B275)=0,"tag não encontrada",IFERROR(INDEX(Equipamentos!$H$2:$H$201,MATCH(1,INDEX((Equipamentos!$A$2:$A$201=B275)*(Equipamentos!$P$2:$P$201=A275),0),0)),"confira a data")))</f>
        <v/>
      </c>
      <c r="D275">
        <f>IF(B275="","",IFERROR(INDEX(Equipamentos!$C$2:$C$201,MATCH(B275,Equipamentos!$A$2:$A$201,0)),""))</f>
        <v/>
      </c>
      <c r="E275" s="55" t="n"/>
      <c r="F275" s="55" t="n"/>
      <c r="G275">
        <f>IF(B275="","",IFERROR(INDEX(Equipamentos!$N$2:$N$201,MATCH(B275,Equipamentos!$A$2:$A$201,0)),""))</f>
        <v/>
      </c>
      <c r="H275">
        <f>IF(B275="","",IFERROR(INDEX(Equipamentos!$L$2:$L$201,MATCH(B275,Equipamentos!$A$2:$A$201,0)),""))</f>
        <v/>
      </c>
      <c r="I275" s="57">
        <f>IF(OR(A275="",B275=""),"",IFERROR(INDEX(Equipamentos!$J$2:$J$201,MATCH(1,INDEX((Equipamentos!$A$2:$A$201=B275)*(Equipamentos!$P$2:$P$201=A275),0),0)),""))</f>
        <v/>
      </c>
    </row>
    <row r="276">
      <c r="A276" s="54" t="n"/>
      <c r="B276" s="55" t="n"/>
      <c r="C276" s="56">
        <f>IF(OR(A276="",B276=""),"",IF(COUNTIF(Equipamentos!$A$2:$A$201,B276)=0,"tag não encontrada",IFERROR(INDEX(Equipamentos!$H$2:$H$201,MATCH(1,INDEX((Equipamentos!$A$2:$A$201=B276)*(Equipamentos!$P$2:$P$201=A276),0),0)),"confira a data")))</f>
        <v/>
      </c>
      <c r="D276">
        <f>IF(B276="","",IFERROR(INDEX(Equipamentos!$C$2:$C$201,MATCH(B276,Equipamentos!$A$2:$A$201,0)),""))</f>
        <v/>
      </c>
      <c r="E276" s="55" t="n"/>
      <c r="F276" s="55" t="n"/>
      <c r="G276">
        <f>IF(B276="","",IFERROR(INDEX(Equipamentos!$N$2:$N$201,MATCH(B276,Equipamentos!$A$2:$A$201,0)),""))</f>
        <v/>
      </c>
      <c r="H276">
        <f>IF(B276="","",IFERROR(INDEX(Equipamentos!$L$2:$L$201,MATCH(B276,Equipamentos!$A$2:$A$201,0)),""))</f>
        <v/>
      </c>
      <c r="I276" s="57">
        <f>IF(OR(A276="",B276=""),"",IFERROR(INDEX(Equipamentos!$J$2:$J$201,MATCH(1,INDEX((Equipamentos!$A$2:$A$201=B276)*(Equipamentos!$P$2:$P$201=A276),0),0)),""))</f>
        <v/>
      </c>
    </row>
    <row r="277">
      <c r="A277" s="54" t="n"/>
      <c r="B277" s="55" t="n"/>
      <c r="C277" s="56">
        <f>IF(OR(A277="",B277=""),"",IF(COUNTIF(Equipamentos!$A$2:$A$201,B277)=0,"tag não encontrada",IFERROR(INDEX(Equipamentos!$H$2:$H$201,MATCH(1,INDEX((Equipamentos!$A$2:$A$201=B277)*(Equipamentos!$P$2:$P$201=A277),0),0)),"confira a data")))</f>
        <v/>
      </c>
      <c r="D277">
        <f>IF(B277="","",IFERROR(INDEX(Equipamentos!$C$2:$C$201,MATCH(B277,Equipamentos!$A$2:$A$201,0)),""))</f>
        <v/>
      </c>
      <c r="E277" s="55" t="n"/>
      <c r="F277" s="55" t="n"/>
      <c r="G277">
        <f>IF(B277="","",IFERROR(INDEX(Equipamentos!$N$2:$N$201,MATCH(B277,Equipamentos!$A$2:$A$201,0)),""))</f>
        <v/>
      </c>
      <c r="H277">
        <f>IF(B277="","",IFERROR(INDEX(Equipamentos!$L$2:$L$201,MATCH(B277,Equipamentos!$A$2:$A$201,0)),""))</f>
        <v/>
      </c>
      <c r="I277" s="57">
        <f>IF(OR(A277="",B277=""),"",IFERROR(INDEX(Equipamentos!$J$2:$J$201,MATCH(1,INDEX((Equipamentos!$A$2:$A$201=B277)*(Equipamentos!$P$2:$P$201=A277),0),0)),""))</f>
        <v/>
      </c>
    </row>
    <row r="278">
      <c r="A278" s="54" t="n"/>
      <c r="B278" s="55" t="n"/>
      <c r="C278" s="56">
        <f>IF(OR(A278="",B278=""),"",IF(COUNTIF(Equipamentos!$A$2:$A$201,B278)=0,"tag não encontrada",IFERROR(INDEX(Equipamentos!$H$2:$H$201,MATCH(1,INDEX((Equipamentos!$A$2:$A$201=B278)*(Equipamentos!$P$2:$P$201=A278),0),0)),"confira a data")))</f>
        <v/>
      </c>
      <c r="D278">
        <f>IF(B278="","",IFERROR(INDEX(Equipamentos!$C$2:$C$201,MATCH(B278,Equipamentos!$A$2:$A$201,0)),""))</f>
        <v/>
      </c>
      <c r="E278" s="55" t="n"/>
      <c r="F278" s="55" t="n"/>
      <c r="G278">
        <f>IF(B278="","",IFERROR(INDEX(Equipamentos!$N$2:$N$201,MATCH(B278,Equipamentos!$A$2:$A$201,0)),""))</f>
        <v/>
      </c>
      <c r="H278">
        <f>IF(B278="","",IFERROR(INDEX(Equipamentos!$L$2:$L$201,MATCH(B278,Equipamentos!$A$2:$A$201,0)),""))</f>
        <v/>
      </c>
      <c r="I278" s="57">
        <f>IF(OR(A278="",B278=""),"",IFERROR(INDEX(Equipamentos!$J$2:$J$201,MATCH(1,INDEX((Equipamentos!$A$2:$A$201=B278)*(Equipamentos!$P$2:$P$201=A278),0),0)),""))</f>
        <v/>
      </c>
    </row>
    <row r="279">
      <c r="A279" s="54" t="n"/>
      <c r="B279" s="55" t="n"/>
      <c r="C279" s="56">
        <f>IF(OR(A279="",B279=""),"",IF(COUNTIF(Equipamentos!$A$2:$A$201,B279)=0,"tag não encontrada",IFERROR(INDEX(Equipamentos!$H$2:$H$201,MATCH(1,INDEX((Equipamentos!$A$2:$A$201=B279)*(Equipamentos!$P$2:$P$201=A279),0),0)),"confira a data")))</f>
        <v/>
      </c>
      <c r="D279">
        <f>IF(B279="","",IFERROR(INDEX(Equipamentos!$C$2:$C$201,MATCH(B279,Equipamentos!$A$2:$A$201,0)),""))</f>
        <v/>
      </c>
      <c r="E279" s="55" t="n"/>
      <c r="F279" s="55" t="n"/>
      <c r="G279">
        <f>IF(B279="","",IFERROR(INDEX(Equipamentos!$N$2:$N$201,MATCH(B279,Equipamentos!$A$2:$A$201,0)),""))</f>
        <v/>
      </c>
      <c r="H279">
        <f>IF(B279="","",IFERROR(INDEX(Equipamentos!$L$2:$L$201,MATCH(B279,Equipamentos!$A$2:$A$201,0)),""))</f>
        <v/>
      </c>
      <c r="I279" s="57">
        <f>IF(OR(A279="",B279=""),"",IFERROR(INDEX(Equipamentos!$J$2:$J$201,MATCH(1,INDEX((Equipamentos!$A$2:$A$201=B279)*(Equipamentos!$P$2:$P$201=A279),0),0)),""))</f>
        <v/>
      </c>
    </row>
    <row r="280">
      <c r="A280" s="54" t="n"/>
      <c r="B280" s="55" t="n"/>
      <c r="C280" s="56">
        <f>IF(OR(A280="",B280=""),"",IF(COUNTIF(Equipamentos!$A$2:$A$201,B280)=0,"tag não encontrada",IFERROR(INDEX(Equipamentos!$H$2:$H$201,MATCH(1,INDEX((Equipamentos!$A$2:$A$201=B280)*(Equipamentos!$P$2:$P$201=A280),0),0)),"confira a data")))</f>
        <v/>
      </c>
      <c r="D280">
        <f>IF(B280="","",IFERROR(INDEX(Equipamentos!$C$2:$C$201,MATCH(B280,Equipamentos!$A$2:$A$201,0)),""))</f>
        <v/>
      </c>
      <c r="E280" s="55" t="n"/>
      <c r="F280" s="55" t="n"/>
      <c r="G280">
        <f>IF(B280="","",IFERROR(INDEX(Equipamentos!$N$2:$N$201,MATCH(B280,Equipamentos!$A$2:$A$201,0)),""))</f>
        <v/>
      </c>
      <c r="H280">
        <f>IF(B280="","",IFERROR(INDEX(Equipamentos!$L$2:$L$201,MATCH(B280,Equipamentos!$A$2:$A$201,0)),""))</f>
        <v/>
      </c>
      <c r="I280" s="57">
        <f>IF(OR(A280="",B280=""),"",IFERROR(INDEX(Equipamentos!$J$2:$J$201,MATCH(1,INDEX((Equipamentos!$A$2:$A$201=B280)*(Equipamentos!$P$2:$P$201=A280),0),0)),""))</f>
        <v/>
      </c>
    </row>
    <row r="281">
      <c r="A281" s="54" t="n"/>
      <c r="B281" s="55" t="n"/>
      <c r="C281" s="56">
        <f>IF(OR(A281="",B281=""),"",IF(COUNTIF(Equipamentos!$A$2:$A$201,B281)=0,"tag não encontrada",IFERROR(INDEX(Equipamentos!$H$2:$H$201,MATCH(1,INDEX((Equipamentos!$A$2:$A$201=B281)*(Equipamentos!$P$2:$P$201=A281),0),0)),"confira a data")))</f>
        <v/>
      </c>
      <c r="D281">
        <f>IF(B281="","",IFERROR(INDEX(Equipamentos!$C$2:$C$201,MATCH(B281,Equipamentos!$A$2:$A$201,0)),""))</f>
        <v/>
      </c>
      <c r="E281" s="55" t="n"/>
      <c r="F281" s="55" t="n"/>
      <c r="G281">
        <f>IF(B281="","",IFERROR(INDEX(Equipamentos!$N$2:$N$201,MATCH(B281,Equipamentos!$A$2:$A$201,0)),""))</f>
        <v/>
      </c>
      <c r="H281">
        <f>IF(B281="","",IFERROR(INDEX(Equipamentos!$L$2:$L$201,MATCH(B281,Equipamentos!$A$2:$A$201,0)),""))</f>
        <v/>
      </c>
      <c r="I281" s="57">
        <f>IF(OR(A281="",B281=""),"",IFERROR(INDEX(Equipamentos!$J$2:$J$201,MATCH(1,INDEX((Equipamentos!$A$2:$A$201=B281)*(Equipamentos!$P$2:$P$201=A281),0),0)),""))</f>
        <v/>
      </c>
    </row>
    <row r="282">
      <c r="A282" s="54" t="n"/>
      <c r="B282" s="55" t="n"/>
      <c r="C282" s="56">
        <f>IF(OR(A282="",B282=""),"",IF(COUNTIF(Equipamentos!$A$2:$A$201,B282)=0,"tag não encontrada",IFERROR(INDEX(Equipamentos!$H$2:$H$201,MATCH(1,INDEX((Equipamentos!$A$2:$A$201=B282)*(Equipamentos!$P$2:$P$201=A282),0),0)),"confira a data")))</f>
        <v/>
      </c>
      <c r="D282">
        <f>IF(B282="","",IFERROR(INDEX(Equipamentos!$C$2:$C$201,MATCH(B282,Equipamentos!$A$2:$A$201,0)),""))</f>
        <v/>
      </c>
      <c r="E282" s="55" t="n"/>
      <c r="F282" s="55" t="n"/>
      <c r="G282">
        <f>IF(B282="","",IFERROR(INDEX(Equipamentos!$N$2:$N$201,MATCH(B282,Equipamentos!$A$2:$A$201,0)),""))</f>
        <v/>
      </c>
      <c r="H282">
        <f>IF(B282="","",IFERROR(INDEX(Equipamentos!$L$2:$L$201,MATCH(B282,Equipamentos!$A$2:$A$201,0)),""))</f>
        <v/>
      </c>
      <c r="I282" s="57">
        <f>IF(OR(A282="",B282=""),"",IFERROR(INDEX(Equipamentos!$J$2:$J$201,MATCH(1,INDEX((Equipamentos!$A$2:$A$201=B282)*(Equipamentos!$P$2:$P$201=A282),0),0)),""))</f>
        <v/>
      </c>
    </row>
    <row r="283">
      <c r="A283" s="54" t="n"/>
      <c r="B283" s="55" t="n"/>
      <c r="C283" s="56">
        <f>IF(OR(A283="",B283=""),"",IF(COUNTIF(Equipamentos!$A$2:$A$201,B283)=0,"tag não encontrada",IFERROR(INDEX(Equipamentos!$H$2:$H$201,MATCH(1,INDEX((Equipamentos!$A$2:$A$201=B283)*(Equipamentos!$P$2:$P$201=A283),0),0)),"confira a data")))</f>
        <v/>
      </c>
      <c r="D283">
        <f>IF(B283="","",IFERROR(INDEX(Equipamentos!$C$2:$C$201,MATCH(B283,Equipamentos!$A$2:$A$201,0)),""))</f>
        <v/>
      </c>
      <c r="E283" s="55" t="n"/>
      <c r="F283" s="55" t="n"/>
      <c r="G283">
        <f>IF(B283="","",IFERROR(INDEX(Equipamentos!$N$2:$N$201,MATCH(B283,Equipamentos!$A$2:$A$201,0)),""))</f>
        <v/>
      </c>
      <c r="H283">
        <f>IF(B283="","",IFERROR(INDEX(Equipamentos!$L$2:$L$201,MATCH(B283,Equipamentos!$A$2:$A$201,0)),""))</f>
        <v/>
      </c>
      <c r="I283" s="57">
        <f>IF(OR(A283="",B283=""),"",IFERROR(INDEX(Equipamentos!$J$2:$J$201,MATCH(1,INDEX((Equipamentos!$A$2:$A$201=B283)*(Equipamentos!$P$2:$P$201=A283),0),0)),""))</f>
        <v/>
      </c>
    </row>
    <row r="284">
      <c r="A284" s="54" t="n"/>
      <c r="B284" s="55" t="n"/>
      <c r="C284" s="56">
        <f>IF(OR(A284="",B284=""),"",IF(COUNTIF(Equipamentos!$A$2:$A$201,B284)=0,"tag não encontrada",IFERROR(INDEX(Equipamentos!$H$2:$H$201,MATCH(1,INDEX((Equipamentos!$A$2:$A$201=B284)*(Equipamentos!$P$2:$P$201=A284),0),0)),"confira a data")))</f>
        <v/>
      </c>
      <c r="D284">
        <f>IF(B284="","",IFERROR(INDEX(Equipamentos!$C$2:$C$201,MATCH(B284,Equipamentos!$A$2:$A$201,0)),""))</f>
        <v/>
      </c>
      <c r="E284" s="55" t="n"/>
      <c r="F284" s="55" t="n"/>
      <c r="G284">
        <f>IF(B284="","",IFERROR(INDEX(Equipamentos!$N$2:$N$201,MATCH(B284,Equipamentos!$A$2:$A$201,0)),""))</f>
        <v/>
      </c>
      <c r="H284">
        <f>IF(B284="","",IFERROR(INDEX(Equipamentos!$L$2:$L$201,MATCH(B284,Equipamentos!$A$2:$A$201,0)),""))</f>
        <v/>
      </c>
      <c r="I284" s="57">
        <f>IF(OR(A284="",B284=""),"",IFERROR(INDEX(Equipamentos!$J$2:$J$201,MATCH(1,INDEX((Equipamentos!$A$2:$A$201=B284)*(Equipamentos!$P$2:$P$201=A284),0),0)),""))</f>
        <v/>
      </c>
    </row>
    <row r="285">
      <c r="A285" s="54" t="n"/>
      <c r="B285" s="55" t="n"/>
      <c r="C285" s="56">
        <f>IF(OR(A285="",B285=""),"",IF(COUNTIF(Equipamentos!$A$2:$A$201,B285)=0,"tag não encontrada",IFERROR(INDEX(Equipamentos!$H$2:$H$201,MATCH(1,INDEX((Equipamentos!$A$2:$A$201=B285)*(Equipamentos!$P$2:$P$201=A285),0),0)),"confira a data")))</f>
        <v/>
      </c>
      <c r="D285">
        <f>IF(B285="","",IFERROR(INDEX(Equipamentos!$C$2:$C$201,MATCH(B285,Equipamentos!$A$2:$A$201,0)),""))</f>
        <v/>
      </c>
      <c r="E285" s="55" t="n"/>
      <c r="F285" s="55" t="n"/>
      <c r="G285">
        <f>IF(B285="","",IFERROR(INDEX(Equipamentos!$N$2:$N$201,MATCH(B285,Equipamentos!$A$2:$A$201,0)),""))</f>
        <v/>
      </c>
      <c r="H285">
        <f>IF(B285="","",IFERROR(INDEX(Equipamentos!$L$2:$L$201,MATCH(B285,Equipamentos!$A$2:$A$201,0)),""))</f>
        <v/>
      </c>
      <c r="I285" s="57">
        <f>IF(OR(A285="",B285=""),"",IFERROR(INDEX(Equipamentos!$J$2:$J$201,MATCH(1,INDEX((Equipamentos!$A$2:$A$201=B285)*(Equipamentos!$P$2:$P$201=A285),0),0)),""))</f>
        <v/>
      </c>
    </row>
    <row r="286">
      <c r="A286" s="54" t="n"/>
      <c r="B286" s="55" t="n"/>
      <c r="C286" s="56">
        <f>IF(OR(A286="",B286=""),"",IF(COUNTIF(Equipamentos!$A$2:$A$201,B286)=0,"tag não encontrada",IFERROR(INDEX(Equipamentos!$H$2:$H$201,MATCH(1,INDEX((Equipamentos!$A$2:$A$201=B286)*(Equipamentos!$P$2:$P$201=A286),0),0)),"confira a data")))</f>
        <v/>
      </c>
      <c r="D286">
        <f>IF(B286="","",IFERROR(INDEX(Equipamentos!$C$2:$C$201,MATCH(B286,Equipamentos!$A$2:$A$201,0)),""))</f>
        <v/>
      </c>
      <c r="E286" s="55" t="n"/>
      <c r="F286" s="55" t="n"/>
      <c r="G286">
        <f>IF(B286="","",IFERROR(INDEX(Equipamentos!$N$2:$N$201,MATCH(B286,Equipamentos!$A$2:$A$201,0)),""))</f>
        <v/>
      </c>
      <c r="H286">
        <f>IF(B286="","",IFERROR(INDEX(Equipamentos!$L$2:$L$201,MATCH(B286,Equipamentos!$A$2:$A$201,0)),""))</f>
        <v/>
      </c>
      <c r="I286" s="57">
        <f>IF(OR(A286="",B286=""),"",IFERROR(INDEX(Equipamentos!$J$2:$J$201,MATCH(1,INDEX((Equipamentos!$A$2:$A$201=B286)*(Equipamentos!$P$2:$P$201=A286),0),0)),""))</f>
        <v/>
      </c>
    </row>
    <row r="287">
      <c r="A287" s="54" t="n"/>
      <c r="B287" s="55" t="n"/>
      <c r="C287" s="56">
        <f>IF(OR(A287="",B287=""),"",IF(COUNTIF(Equipamentos!$A$2:$A$201,B287)=0,"tag não encontrada",IFERROR(INDEX(Equipamentos!$H$2:$H$201,MATCH(1,INDEX((Equipamentos!$A$2:$A$201=B287)*(Equipamentos!$P$2:$P$201=A287),0),0)),"confira a data")))</f>
        <v/>
      </c>
      <c r="D287">
        <f>IF(B287="","",IFERROR(INDEX(Equipamentos!$C$2:$C$201,MATCH(B287,Equipamentos!$A$2:$A$201,0)),""))</f>
        <v/>
      </c>
      <c r="E287" s="55" t="n"/>
      <c r="F287" s="55" t="n"/>
      <c r="G287">
        <f>IF(B287="","",IFERROR(INDEX(Equipamentos!$N$2:$N$201,MATCH(B287,Equipamentos!$A$2:$A$201,0)),""))</f>
        <v/>
      </c>
      <c r="H287">
        <f>IF(B287="","",IFERROR(INDEX(Equipamentos!$L$2:$L$201,MATCH(B287,Equipamentos!$A$2:$A$201,0)),""))</f>
        <v/>
      </c>
      <c r="I287" s="57">
        <f>IF(OR(A287="",B287=""),"",IFERROR(INDEX(Equipamentos!$J$2:$J$201,MATCH(1,INDEX((Equipamentos!$A$2:$A$201=B287)*(Equipamentos!$P$2:$P$201=A287),0),0)),""))</f>
        <v/>
      </c>
    </row>
    <row r="288">
      <c r="A288" s="54" t="n"/>
      <c r="B288" s="55" t="n"/>
      <c r="C288" s="56">
        <f>IF(OR(A288="",B288=""),"",IF(COUNTIF(Equipamentos!$A$2:$A$201,B288)=0,"tag não encontrada",IFERROR(INDEX(Equipamentos!$H$2:$H$201,MATCH(1,INDEX((Equipamentos!$A$2:$A$201=B288)*(Equipamentos!$P$2:$P$201=A288),0),0)),"confira a data")))</f>
        <v/>
      </c>
      <c r="D288">
        <f>IF(B288="","",IFERROR(INDEX(Equipamentos!$C$2:$C$201,MATCH(B288,Equipamentos!$A$2:$A$201,0)),""))</f>
        <v/>
      </c>
      <c r="E288" s="55" t="n"/>
      <c r="F288" s="55" t="n"/>
      <c r="G288">
        <f>IF(B288="","",IFERROR(INDEX(Equipamentos!$N$2:$N$201,MATCH(B288,Equipamentos!$A$2:$A$201,0)),""))</f>
        <v/>
      </c>
      <c r="H288">
        <f>IF(B288="","",IFERROR(INDEX(Equipamentos!$L$2:$L$201,MATCH(B288,Equipamentos!$A$2:$A$201,0)),""))</f>
        <v/>
      </c>
      <c r="I288" s="57">
        <f>IF(OR(A288="",B288=""),"",IFERROR(INDEX(Equipamentos!$J$2:$J$201,MATCH(1,INDEX((Equipamentos!$A$2:$A$201=B288)*(Equipamentos!$P$2:$P$201=A288),0),0)),""))</f>
        <v/>
      </c>
    </row>
    <row r="289">
      <c r="A289" s="54" t="n"/>
      <c r="B289" s="55" t="n"/>
      <c r="C289" s="56">
        <f>IF(OR(A289="",B289=""),"",IF(COUNTIF(Equipamentos!$A$2:$A$201,B289)=0,"tag não encontrada",IFERROR(INDEX(Equipamentos!$H$2:$H$201,MATCH(1,INDEX((Equipamentos!$A$2:$A$201=B289)*(Equipamentos!$P$2:$P$201=A289),0),0)),"confira a data")))</f>
        <v/>
      </c>
      <c r="D289">
        <f>IF(B289="","",IFERROR(INDEX(Equipamentos!$C$2:$C$201,MATCH(B289,Equipamentos!$A$2:$A$201,0)),""))</f>
        <v/>
      </c>
      <c r="E289" s="55" t="n"/>
      <c r="F289" s="55" t="n"/>
      <c r="G289">
        <f>IF(B289="","",IFERROR(INDEX(Equipamentos!$N$2:$N$201,MATCH(B289,Equipamentos!$A$2:$A$201,0)),""))</f>
        <v/>
      </c>
      <c r="H289">
        <f>IF(B289="","",IFERROR(INDEX(Equipamentos!$L$2:$L$201,MATCH(B289,Equipamentos!$A$2:$A$201,0)),""))</f>
        <v/>
      </c>
      <c r="I289" s="57">
        <f>IF(OR(A289="",B289=""),"",IFERROR(INDEX(Equipamentos!$J$2:$J$201,MATCH(1,INDEX((Equipamentos!$A$2:$A$201=B289)*(Equipamentos!$P$2:$P$201=A289),0),0)),""))</f>
        <v/>
      </c>
    </row>
    <row r="290">
      <c r="A290" s="54" t="n"/>
      <c r="B290" s="55" t="n"/>
      <c r="C290" s="56">
        <f>IF(OR(A290="",B290=""),"",IF(COUNTIF(Equipamentos!$A$2:$A$201,B290)=0,"tag não encontrada",IFERROR(INDEX(Equipamentos!$H$2:$H$201,MATCH(1,INDEX((Equipamentos!$A$2:$A$201=B290)*(Equipamentos!$P$2:$P$201=A290),0),0)),"confira a data")))</f>
        <v/>
      </c>
      <c r="D290">
        <f>IF(B290="","",IFERROR(INDEX(Equipamentos!$C$2:$C$201,MATCH(B290,Equipamentos!$A$2:$A$201,0)),""))</f>
        <v/>
      </c>
      <c r="E290" s="55" t="n"/>
      <c r="F290" s="55" t="n"/>
      <c r="G290">
        <f>IF(B290="","",IFERROR(INDEX(Equipamentos!$N$2:$N$201,MATCH(B290,Equipamentos!$A$2:$A$201,0)),""))</f>
        <v/>
      </c>
      <c r="H290">
        <f>IF(B290="","",IFERROR(INDEX(Equipamentos!$L$2:$L$201,MATCH(B290,Equipamentos!$A$2:$A$201,0)),""))</f>
        <v/>
      </c>
      <c r="I290" s="57">
        <f>IF(OR(A290="",B290=""),"",IFERROR(INDEX(Equipamentos!$J$2:$J$201,MATCH(1,INDEX((Equipamentos!$A$2:$A$201=B290)*(Equipamentos!$P$2:$P$201=A290),0),0)),""))</f>
        <v/>
      </c>
    </row>
    <row r="291">
      <c r="A291" s="54" t="n"/>
      <c r="B291" s="55" t="n"/>
      <c r="C291" s="56">
        <f>IF(OR(A291="",B291=""),"",IF(COUNTIF(Equipamentos!$A$2:$A$201,B291)=0,"tag não encontrada",IFERROR(INDEX(Equipamentos!$H$2:$H$201,MATCH(1,INDEX((Equipamentos!$A$2:$A$201=B291)*(Equipamentos!$P$2:$P$201=A291),0),0)),"confira a data")))</f>
        <v/>
      </c>
      <c r="D291">
        <f>IF(B291="","",IFERROR(INDEX(Equipamentos!$C$2:$C$201,MATCH(B291,Equipamentos!$A$2:$A$201,0)),""))</f>
        <v/>
      </c>
      <c r="E291" s="55" t="n"/>
      <c r="F291" s="55" t="n"/>
      <c r="G291">
        <f>IF(B291="","",IFERROR(INDEX(Equipamentos!$N$2:$N$201,MATCH(B291,Equipamentos!$A$2:$A$201,0)),""))</f>
        <v/>
      </c>
      <c r="H291">
        <f>IF(B291="","",IFERROR(INDEX(Equipamentos!$L$2:$L$201,MATCH(B291,Equipamentos!$A$2:$A$201,0)),""))</f>
        <v/>
      </c>
      <c r="I291" s="57">
        <f>IF(OR(A291="",B291=""),"",IFERROR(INDEX(Equipamentos!$J$2:$J$201,MATCH(1,INDEX((Equipamentos!$A$2:$A$201=B291)*(Equipamentos!$P$2:$P$201=A291),0),0)),""))</f>
        <v/>
      </c>
    </row>
    <row r="292">
      <c r="A292" s="54" t="n"/>
      <c r="B292" s="55" t="n"/>
      <c r="C292" s="56">
        <f>IF(OR(A292="",B292=""),"",IF(COUNTIF(Equipamentos!$A$2:$A$201,B292)=0,"tag não encontrada",IFERROR(INDEX(Equipamentos!$H$2:$H$201,MATCH(1,INDEX((Equipamentos!$A$2:$A$201=B292)*(Equipamentos!$P$2:$P$201=A292),0),0)),"confira a data")))</f>
        <v/>
      </c>
      <c r="D292">
        <f>IF(B292="","",IFERROR(INDEX(Equipamentos!$C$2:$C$201,MATCH(B292,Equipamentos!$A$2:$A$201,0)),""))</f>
        <v/>
      </c>
      <c r="E292" s="55" t="n"/>
      <c r="F292" s="55" t="n"/>
      <c r="G292">
        <f>IF(B292="","",IFERROR(INDEX(Equipamentos!$N$2:$N$201,MATCH(B292,Equipamentos!$A$2:$A$201,0)),""))</f>
        <v/>
      </c>
      <c r="H292">
        <f>IF(B292="","",IFERROR(INDEX(Equipamentos!$L$2:$L$201,MATCH(B292,Equipamentos!$A$2:$A$201,0)),""))</f>
        <v/>
      </c>
      <c r="I292" s="57">
        <f>IF(OR(A292="",B292=""),"",IFERROR(INDEX(Equipamentos!$J$2:$J$201,MATCH(1,INDEX((Equipamentos!$A$2:$A$201=B292)*(Equipamentos!$P$2:$P$201=A292),0),0)),""))</f>
        <v/>
      </c>
    </row>
    <row r="293">
      <c r="A293" s="54" t="n"/>
      <c r="B293" s="55" t="n"/>
      <c r="C293" s="56">
        <f>IF(OR(A293="",B293=""),"",IF(COUNTIF(Equipamentos!$A$2:$A$201,B293)=0,"tag não encontrada",IFERROR(INDEX(Equipamentos!$H$2:$H$201,MATCH(1,INDEX((Equipamentos!$A$2:$A$201=B293)*(Equipamentos!$P$2:$P$201=A293),0),0)),"confira a data")))</f>
        <v/>
      </c>
      <c r="D293">
        <f>IF(B293="","",IFERROR(INDEX(Equipamentos!$C$2:$C$201,MATCH(B293,Equipamentos!$A$2:$A$201,0)),""))</f>
        <v/>
      </c>
      <c r="E293" s="55" t="n"/>
      <c r="F293" s="55" t="n"/>
      <c r="G293">
        <f>IF(B293="","",IFERROR(INDEX(Equipamentos!$N$2:$N$201,MATCH(B293,Equipamentos!$A$2:$A$201,0)),""))</f>
        <v/>
      </c>
      <c r="H293">
        <f>IF(B293="","",IFERROR(INDEX(Equipamentos!$L$2:$L$201,MATCH(B293,Equipamentos!$A$2:$A$201,0)),""))</f>
        <v/>
      </c>
      <c r="I293" s="57">
        <f>IF(OR(A293="",B293=""),"",IFERROR(INDEX(Equipamentos!$J$2:$J$201,MATCH(1,INDEX((Equipamentos!$A$2:$A$201=B293)*(Equipamentos!$P$2:$P$201=A293),0),0)),""))</f>
        <v/>
      </c>
    </row>
    <row r="294">
      <c r="A294" s="54" t="n"/>
      <c r="B294" s="55" t="n"/>
      <c r="C294" s="56">
        <f>IF(OR(A294="",B294=""),"",IF(COUNTIF(Equipamentos!$A$2:$A$201,B294)=0,"tag não encontrada",IFERROR(INDEX(Equipamentos!$H$2:$H$201,MATCH(1,INDEX((Equipamentos!$A$2:$A$201=B294)*(Equipamentos!$P$2:$P$201=A294),0),0)),"confira a data")))</f>
        <v/>
      </c>
      <c r="D294">
        <f>IF(B294="","",IFERROR(INDEX(Equipamentos!$C$2:$C$201,MATCH(B294,Equipamentos!$A$2:$A$201,0)),""))</f>
        <v/>
      </c>
      <c r="E294" s="55" t="n"/>
      <c r="F294" s="55" t="n"/>
      <c r="G294">
        <f>IF(B294="","",IFERROR(INDEX(Equipamentos!$N$2:$N$201,MATCH(B294,Equipamentos!$A$2:$A$201,0)),""))</f>
        <v/>
      </c>
      <c r="H294">
        <f>IF(B294="","",IFERROR(INDEX(Equipamentos!$L$2:$L$201,MATCH(B294,Equipamentos!$A$2:$A$201,0)),""))</f>
        <v/>
      </c>
      <c r="I294" s="57">
        <f>IF(OR(A294="",B294=""),"",IFERROR(INDEX(Equipamentos!$J$2:$J$201,MATCH(1,INDEX((Equipamentos!$A$2:$A$201=B294)*(Equipamentos!$P$2:$P$201=A294),0),0)),""))</f>
        <v/>
      </c>
    </row>
    <row r="295">
      <c r="A295" s="54" t="n"/>
      <c r="B295" s="55" t="n"/>
      <c r="C295" s="56">
        <f>IF(OR(A295="",B295=""),"",IF(COUNTIF(Equipamentos!$A$2:$A$201,B295)=0,"tag não encontrada",IFERROR(INDEX(Equipamentos!$H$2:$H$201,MATCH(1,INDEX((Equipamentos!$A$2:$A$201=B295)*(Equipamentos!$P$2:$P$201=A295),0),0)),"confira a data")))</f>
        <v/>
      </c>
      <c r="D295">
        <f>IF(B295="","",IFERROR(INDEX(Equipamentos!$C$2:$C$201,MATCH(B295,Equipamentos!$A$2:$A$201,0)),""))</f>
        <v/>
      </c>
      <c r="E295" s="55" t="n"/>
      <c r="F295" s="55" t="n"/>
      <c r="G295">
        <f>IF(B295="","",IFERROR(INDEX(Equipamentos!$N$2:$N$201,MATCH(B295,Equipamentos!$A$2:$A$201,0)),""))</f>
        <v/>
      </c>
      <c r="H295">
        <f>IF(B295="","",IFERROR(INDEX(Equipamentos!$L$2:$L$201,MATCH(B295,Equipamentos!$A$2:$A$201,0)),""))</f>
        <v/>
      </c>
      <c r="I295" s="57">
        <f>IF(OR(A295="",B295=""),"",IFERROR(INDEX(Equipamentos!$J$2:$J$201,MATCH(1,INDEX((Equipamentos!$A$2:$A$201=B295)*(Equipamentos!$P$2:$P$201=A295),0),0)),""))</f>
        <v/>
      </c>
    </row>
    <row r="296">
      <c r="A296" s="54" t="n"/>
      <c r="B296" s="55" t="n"/>
      <c r="C296" s="56">
        <f>IF(OR(A296="",B296=""),"",IF(COUNTIF(Equipamentos!$A$2:$A$201,B296)=0,"tag não encontrada",IFERROR(INDEX(Equipamentos!$H$2:$H$201,MATCH(1,INDEX((Equipamentos!$A$2:$A$201=B296)*(Equipamentos!$P$2:$P$201=A296),0),0)),"confira a data")))</f>
        <v/>
      </c>
      <c r="D296">
        <f>IF(B296="","",IFERROR(INDEX(Equipamentos!$C$2:$C$201,MATCH(B296,Equipamentos!$A$2:$A$201,0)),""))</f>
        <v/>
      </c>
      <c r="E296" s="55" t="n"/>
      <c r="F296" s="55" t="n"/>
      <c r="G296">
        <f>IF(B296="","",IFERROR(INDEX(Equipamentos!$N$2:$N$201,MATCH(B296,Equipamentos!$A$2:$A$201,0)),""))</f>
        <v/>
      </c>
      <c r="H296">
        <f>IF(B296="","",IFERROR(INDEX(Equipamentos!$L$2:$L$201,MATCH(B296,Equipamentos!$A$2:$A$201,0)),""))</f>
        <v/>
      </c>
      <c r="I296" s="57">
        <f>IF(OR(A296="",B296=""),"",IFERROR(INDEX(Equipamentos!$J$2:$J$201,MATCH(1,INDEX((Equipamentos!$A$2:$A$201=B296)*(Equipamentos!$P$2:$P$201=A296),0),0)),""))</f>
        <v/>
      </c>
    </row>
    <row r="297">
      <c r="A297" s="54" t="n"/>
      <c r="B297" s="55" t="n"/>
      <c r="C297" s="56">
        <f>IF(OR(A297="",B297=""),"",IF(COUNTIF(Equipamentos!$A$2:$A$201,B297)=0,"tag não encontrada",IFERROR(INDEX(Equipamentos!$H$2:$H$201,MATCH(1,INDEX((Equipamentos!$A$2:$A$201=B297)*(Equipamentos!$P$2:$P$201=A297),0),0)),"confira a data")))</f>
        <v/>
      </c>
      <c r="D297">
        <f>IF(B297="","",IFERROR(INDEX(Equipamentos!$C$2:$C$201,MATCH(B297,Equipamentos!$A$2:$A$201,0)),""))</f>
        <v/>
      </c>
      <c r="E297" s="55" t="n"/>
      <c r="F297" s="55" t="n"/>
      <c r="G297">
        <f>IF(B297="","",IFERROR(INDEX(Equipamentos!$N$2:$N$201,MATCH(B297,Equipamentos!$A$2:$A$201,0)),""))</f>
        <v/>
      </c>
      <c r="H297">
        <f>IF(B297="","",IFERROR(INDEX(Equipamentos!$L$2:$L$201,MATCH(B297,Equipamentos!$A$2:$A$201,0)),""))</f>
        <v/>
      </c>
      <c r="I297" s="57">
        <f>IF(OR(A297="",B297=""),"",IFERROR(INDEX(Equipamentos!$J$2:$J$201,MATCH(1,INDEX((Equipamentos!$A$2:$A$201=B297)*(Equipamentos!$P$2:$P$201=A297),0),0)),""))</f>
        <v/>
      </c>
    </row>
    <row r="298">
      <c r="A298" s="54" t="n"/>
      <c r="B298" s="55" t="n"/>
      <c r="C298" s="56">
        <f>IF(OR(A298="",B298=""),"",IF(COUNTIF(Equipamentos!$A$2:$A$201,B298)=0,"tag não encontrada",IFERROR(INDEX(Equipamentos!$H$2:$H$201,MATCH(1,INDEX((Equipamentos!$A$2:$A$201=B298)*(Equipamentos!$P$2:$P$201=A298),0),0)),"confira a data")))</f>
        <v/>
      </c>
      <c r="D298">
        <f>IF(B298="","",IFERROR(INDEX(Equipamentos!$C$2:$C$201,MATCH(B298,Equipamentos!$A$2:$A$201,0)),""))</f>
        <v/>
      </c>
      <c r="E298" s="55" t="n"/>
      <c r="F298" s="55" t="n"/>
      <c r="G298">
        <f>IF(B298="","",IFERROR(INDEX(Equipamentos!$N$2:$N$201,MATCH(B298,Equipamentos!$A$2:$A$201,0)),""))</f>
        <v/>
      </c>
      <c r="H298">
        <f>IF(B298="","",IFERROR(INDEX(Equipamentos!$L$2:$L$201,MATCH(B298,Equipamentos!$A$2:$A$201,0)),""))</f>
        <v/>
      </c>
      <c r="I298" s="57">
        <f>IF(OR(A298="",B298=""),"",IFERROR(INDEX(Equipamentos!$J$2:$J$201,MATCH(1,INDEX((Equipamentos!$A$2:$A$201=B298)*(Equipamentos!$P$2:$P$201=A298),0),0)),""))</f>
        <v/>
      </c>
    </row>
    <row r="299">
      <c r="A299" s="54" t="n"/>
      <c r="B299" s="55" t="n"/>
      <c r="C299" s="56">
        <f>IF(OR(A299="",B299=""),"",IF(COUNTIF(Equipamentos!$A$2:$A$201,B299)=0,"tag não encontrada",IFERROR(INDEX(Equipamentos!$H$2:$H$201,MATCH(1,INDEX((Equipamentos!$A$2:$A$201=B299)*(Equipamentos!$P$2:$P$201=A299),0),0)),"confira a data")))</f>
        <v/>
      </c>
      <c r="D299">
        <f>IF(B299="","",IFERROR(INDEX(Equipamentos!$C$2:$C$201,MATCH(B299,Equipamentos!$A$2:$A$201,0)),""))</f>
        <v/>
      </c>
      <c r="E299" s="55" t="n"/>
      <c r="F299" s="55" t="n"/>
      <c r="G299">
        <f>IF(B299="","",IFERROR(INDEX(Equipamentos!$N$2:$N$201,MATCH(B299,Equipamentos!$A$2:$A$201,0)),""))</f>
        <v/>
      </c>
      <c r="H299">
        <f>IF(B299="","",IFERROR(INDEX(Equipamentos!$L$2:$L$201,MATCH(B299,Equipamentos!$A$2:$A$201,0)),""))</f>
        <v/>
      </c>
      <c r="I299" s="57">
        <f>IF(OR(A299="",B299=""),"",IFERROR(INDEX(Equipamentos!$J$2:$J$201,MATCH(1,INDEX((Equipamentos!$A$2:$A$201=B299)*(Equipamentos!$P$2:$P$201=A299),0),0)),""))</f>
        <v/>
      </c>
    </row>
    <row r="300">
      <c r="A300" s="54" t="n"/>
      <c r="B300" s="55" t="n"/>
      <c r="C300" s="56">
        <f>IF(OR(A300="",B300=""),"",IF(COUNTIF(Equipamentos!$A$2:$A$201,B300)=0,"tag não encontrada",IFERROR(INDEX(Equipamentos!$H$2:$H$201,MATCH(1,INDEX((Equipamentos!$A$2:$A$201=B300)*(Equipamentos!$P$2:$P$201=A300),0),0)),"confira a data")))</f>
        <v/>
      </c>
      <c r="D300">
        <f>IF(B300="","",IFERROR(INDEX(Equipamentos!$C$2:$C$201,MATCH(B300,Equipamentos!$A$2:$A$201,0)),""))</f>
        <v/>
      </c>
      <c r="E300" s="55" t="n"/>
      <c r="F300" s="55" t="n"/>
      <c r="G300">
        <f>IF(B300="","",IFERROR(INDEX(Equipamentos!$N$2:$N$201,MATCH(B300,Equipamentos!$A$2:$A$201,0)),""))</f>
        <v/>
      </c>
      <c r="H300">
        <f>IF(B300="","",IFERROR(INDEX(Equipamentos!$L$2:$L$201,MATCH(B300,Equipamentos!$A$2:$A$201,0)),""))</f>
        <v/>
      </c>
      <c r="I300" s="57">
        <f>IF(OR(A300="",B300=""),"",IFERROR(INDEX(Equipamentos!$J$2:$J$201,MATCH(1,INDEX((Equipamentos!$A$2:$A$201=B300)*(Equipamentos!$P$2:$P$201=A300),0),0)),""))</f>
        <v/>
      </c>
    </row>
    <row r="301">
      <c r="A301" s="54" t="n"/>
      <c r="B301" s="55" t="n"/>
      <c r="C301" s="56">
        <f>IF(OR(A301="",B301=""),"",IF(COUNTIF(Equipamentos!$A$2:$A$201,B301)=0,"tag não encontrada",IFERROR(INDEX(Equipamentos!$H$2:$H$201,MATCH(1,INDEX((Equipamentos!$A$2:$A$201=B301)*(Equipamentos!$P$2:$P$201=A301),0),0)),"confira a data")))</f>
        <v/>
      </c>
      <c r="D301">
        <f>IF(B301="","",IFERROR(INDEX(Equipamentos!$C$2:$C$201,MATCH(B301,Equipamentos!$A$2:$A$201,0)),""))</f>
        <v/>
      </c>
      <c r="E301" s="55" t="n"/>
      <c r="F301" s="55" t="n"/>
      <c r="G301">
        <f>IF(B301="","",IFERROR(INDEX(Equipamentos!$N$2:$N$201,MATCH(B301,Equipamentos!$A$2:$A$201,0)),""))</f>
        <v/>
      </c>
      <c r="H301">
        <f>IF(B301="","",IFERROR(INDEX(Equipamentos!$L$2:$L$201,MATCH(B301,Equipamentos!$A$2:$A$201,0)),""))</f>
        <v/>
      </c>
      <c r="I301" s="57">
        <f>IF(OR(A301="",B301=""),"",IFERROR(INDEX(Equipamentos!$J$2:$J$201,MATCH(1,INDEX((Equipamentos!$A$2:$A$201=B301)*(Equipamentos!$P$2:$P$201=A301),0),0)),""))</f>
        <v/>
      </c>
    </row>
    <row r="302">
      <c r="A302" s="54" t="n"/>
      <c r="B302" s="55" t="n"/>
      <c r="C302" s="56">
        <f>IF(OR(A302="",B302=""),"",IF(COUNTIF(Equipamentos!$A$2:$A$201,B302)=0,"tag não encontrada",IFERROR(INDEX(Equipamentos!$H$2:$H$201,MATCH(1,INDEX((Equipamentos!$A$2:$A$201=B302)*(Equipamentos!$P$2:$P$201=A302),0),0)),"confira a data")))</f>
        <v/>
      </c>
      <c r="D302">
        <f>IF(B302="","",IFERROR(INDEX(Equipamentos!$C$2:$C$201,MATCH(B302,Equipamentos!$A$2:$A$201,0)),""))</f>
        <v/>
      </c>
      <c r="E302" s="55" t="n"/>
      <c r="F302" s="55" t="n"/>
      <c r="G302">
        <f>IF(B302="","",IFERROR(INDEX(Equipamentos!$N$2:$N$201,MATCH(B302,Equipamentos!$A$2:$A$201,0)),""))</f>
        <v/>
      </c>
      <c r="H302">
        <f>IF(B302="","",IFERROR(INDEX(Equipamentos!$L$2:$L$201,MATCH(B302,Equipamentos!$A$2:$A$201,0)),""))</f>
        <v/>
      </c>
      <c r="I302" s="57">
        <f>IF(OR(A302="",B302=""),"",IFERROR(INDEX(Equipamentos!$J$2:$J$201,MATCH(1,INDEX((Equipamentos!$A$2:$A$201=B302)*(Equipamentos!$P$2:$P$201=A302),0),0)),""))</f>
        <v/>
      </c>
    </row>
    <row r="303">
      <c r="A303" s="54" t="n"/>
      <c r="B303" s="55" t="n"/>
      <c r="C303" s="56">
        <f>IF(OR(A303="",B303=""),"",IF(COUNTIF(Equipamentos!$A$2:$A$201,B303)=0,"tag não encontrada",IFERROR(INDEX(Equipamentos!$H$2:$H$201,MATCH(1,INDEX((Equipamentos!$A$2:$A$201=B303)*(Equipamentos!$P$2:$P$201=A303),0),0)),"confira a data")))</f>
        <v/>
      </c>
      <c r="D303">
        <f>IF(B303="","",IFERROR(INDEX(Equipamentos!$C$2:$C$201,MATCH(B303,Equipamentos!$A$2:$A$201,0)),""))</f>
        <v/>
      </c>
      <c r="E303" s="55" t="n"/>
      <c r="F303" s="55" t="n"/>
      <c r="G303">
        <f>IF(B303="","",IFERROR(INDEX(Equipamentos!$N$2:$N$201,MATCH(B303,Equipamentos!$A$2:$A$201,0)),""))</f>
        <v/>
      </c>
      <c r="H303">
        <f>IF(B303="","",IFERROR(INDEX(Equipamentos!$L$2:$L$201,MATCH(B303,Equipamentos!$A$2:$A$201,0)),""))</f>
        <v/>
      </c>
      <c r="I303" s="57">
        <f>IF(OR(A303="",B303=""),"",IFERROR(INDEX(Equipamentos!$J$2:$J$201,MATCH(1,INDEX((Equipamentos!$A$2:$A$201=B303)*(Equipamentos!$P$2:$P$201=A303),0),0)),""))</f>
        <v/>
      </c>
    </row>
    <row r="304">
      <c r="A304" s="54" t="n"/>
      <c r="B304" s="55" t="n"/>
      <c r="C304" s="56">
        <f>IF(OR(A304="",B304=""),"",IF(COUNTIF(Equipamentos!$A$2:$A$201,B304)=0,"tag não encontrada",IFERROR(INDEX(Equipamentos!$H$2:$H$201,MATCH(1,INDEX((Equipamentos!$A$2:$A$201=B304)*(Equipamentos!$P$2:$P$201=A304),0),0)),"confira a data")))</f>
        <v/>
      </c>
      <c r="D304">
        <f>IF(B304="","",IFERROR(INDEX(Equipamentos!$C$2:$C$201,MATCH(B304,Equipamentos!$A$2:$A$201,0)),""))</f>
        <v/>
      </c>
      <c r="E304" s="55" t="n"/>
      <c r="F304" s="55" t="n"/>
      <c r="G304">
        <f>IF(B304="","",IFERROR(INDEX(Equipamentos!$N$2:$N$201,MATCH(B304,Equipamentos!$A$2:$A$201,0)),""))</f>
        <v/>
      </c>
      <c r="H304">
        <f>IF(B304="","",IFERROR(INDEX(Equipamentos!$L$2:$L$201,MATCH(B304,Equipamentos!$A$2:$A$201,0)),""))</f>
        <v/>
      </c>
      <c r="I304" s="57">
        <f>IF(OR(A304="",B304=""),"",IFERROR(INDEX(Equipamentos!$J$2:$J$201,MATCH(1,INDEX((Equipamentos!$A$2:$A$201=B304)*(Equipamentos!$P$2:$P$201=A304),0),0)),""))</f>
        <v/>
      </c>
    </row>
    <row r="305">
      <c r="A305" s="54" t="n"/>
      <c r="B305" s="55" t="n"/>
      <c r="C305" s="56">
        <f>IF(OR(A305="",B305=""),"",IF(COUNTIF(Equipamentos!$A$2:$A$201,B305)=0,"tag não encontrada",IFERROR(INDEX(Equipamentos!$H$2:$H$201,MATCH(1,INDEX((Equipamentos!$A$2:$A$201=B305)*(Equipamentos!$P$2:$P$201=A305),0),0)),"confira a data")))</f>
        <v/>
      </c>
      <c r="D305">
        <f>IF(B305="","",IFERROR(INDEX(Equipamentos!$C$2:$C$201,MATCH(B305,Equipamentos!$A$2:$A$201,0)),""))</f>
        <v/>
      </c>
      <c r="E305" s="55" t="n"/>
      <c r="F305" s="55" t="n"/>
      <c r="G305">
        <f>IF(B305="","",IFERROR(INDEX(Equipamentos!$N$2:$N$201,MATCH(B305,Equipamentos!$A$2:$A$201,0)),""))</f>
        <v/>
      </c>
      <c r="H305">
        <f>IF(B305="","",IFERROR(INDEX(Equipamentos!$L$2:$L$201,MATCH(B305,Equipamentos!$A$2:$A$201,0)),""))</f>
        <v/>
      </c>
      <c r="I305" s="57">
        <f>IF(OR(A305="",B305=""),"",IFERROR(INDEX(Equipamentos!$J$2:$J$201,MATCH(1,INDEX((Equipamentos!$A$2:$A$201=B305)*(Equipamentos!$P$2:$P$201=A305),0),0)),""))</f>
        <v/>
      </c>
    </row>
    <row r="306">
      <c r="A306" s="54" t="n"/>
      <c r="B306" s="55" t="n"/>
      <c r="C306" s="56">
        <f>IF(OR(A306="",B306=""),"",IF(COUNTIF(Equipamentos!$A$2:$A$201,B306)=0,"tag não encontrada",IFERROR(INDEX(Equipamentos!$H$2:$H$201,MATCH(1,INDEX((Equipamentos!$A$2:$A$201=B306)*(Equipamentos!$P$2:$P$201=A306),0),0)),"confira a data")))</f>
        <v/>
      </c>
      <c r="D306">
        <f>IF(B306="","",IFERROR(INDEX(Equipamentos!$C$2:$C$201,MATCH(B306,Equipamentos!$A$2:$A$201,0)),""))</f>
        <v/>
      </c>
      <c r="E306" s="55" t="n"/>
      <c r="F306" s="55" t="n"/>
      <c r="G306">
        <f>IF(B306="","",IFERROR(INDEX(Equipamentos!$N$2:$N$201,MATCH(B306,Equipamentos!$A$2:$A$201,0)),""))</f>
        <v/>
      </c>
      <c r="H306">
        <f>IF(B306="","",IFERROR(INDEX(Equipamentos!$L$2:$L$201,MATCH(B306,Equipamentos!$A$2:$A$201,0)),""))</f>
        <v/>
      </c>
      <c r="I306" s="57">
        <f>IF(OR(A306="",B306=""),"",IFERROR(INDEX(Equipamentos!$J$2:$J$201,MATCH(1,INDEX((Equipamentos!$A$2:$A$201=B306)*(Equipamentos!$P$2:$P$201=A306),0),0)),""))</f>
        <v/>
      </c>
    </row>
    <row r="307">
      <c r="A307" s="54" t="n"/>
      <c r="B307" s="55" t="n"/>
      <c r="C307" s="56">
        <f>IF(OR(A307="",B307=""),"",IF(COUNTIF(Equipamentos!$A$2:$A$201,B307)=0,"tag não encontrada",IFERROR(INDEX(Equipamentos!$H$2:$H$201,MATCH(1,INDEX((Equipamentos!$A$2:$A$201=B307)*(Equipamentos!$P$2:$P$201=A307),0),0)),"confira a data")))</f>
        <v/>
      </c>
      <c r="D307">
        <f>IF(B307="","",IFERROR(INDEX(Equipamentos!$C$2:$C$201,MATCH(B307,Equipamentos!$A$2:$A$201,0)),""))</f>
        <v/>
      </c>
      <c r="E307" s="55" t="n"/>
      <c r="F307" s="55" t="n"/>
      <c r="G307">
        <f>IF(B307="","",IFERROR(INDEX(Equipamentos!$N$2:$N$201,MATCH(B307,Equipamentos!$A$2:$A$201,0)),""))</f>
        <v/>
      </c>
      <c r="H307">
        <f>IF(B307="","",IFERROR(INDEX(Equipamentos!$L$2:$L$201,MATCH(B307,Equipamentos!$A$2:$A$201,0)),""))</f>
        <v/>
      </c>
      <c r="I307" s="57">
        <f>IF(OR(A307="",B307=""),"",IFERROR(INDEX(Equipamentos!$J$2:$J$201,MATCH(1,INDEX((Equipamentos!$A$2:$A$201=B307)*(Equipamentos!$P$2:$P$201=A307),0),0)),""))</f>
        <v/>
      </c>
    </row>
    <row r="308">
      <c r="A308" s="54" t="n"/>
      <c r="B308" s="55" t="n"/>
      <c r="C308" s="56">
        <f>IF(OR(A308="",B308=""),"",IF(COUNTIF(Equipamentos!$A$2:$A$201,B308)=0,"tag não encontrada",IFERROR(INDEX(Equipamentos!$H$2:$H$201,MATCH(1,INDEX((Equipamentos!$A$2:$A$201=B308)*(Equipamentos!$P$2:$P$201=A308),0),0)),"confira a data")))</f>
        <v/>
      </c>
      <c r="D308">
        <f>IF(B308="","",IFERROR(INDEX(Equipamentos!$C$2:$C$201,MATCH(B308,Equipamentos!$A$2:$A$201,0)),""))</f>
        <v/>
      </c>
      <c r="E308" s="55" t="n"/>
      <c r="F308" s="55" t="n"/>
      <c r="G308">
        <f>IF(B308="","",IFERROR(INDEX(Equipamentos!$N$2:$N$201,MATCH(B308,Equipamentos!$A$2:$A$201,0)),""))</f>
        <v/>
      </c>
      <c r="H308">
        <f>IF(B308="","",IFERROR(INDEX(Equipamentos!$L$2:$L$201,MATCH(B308,Equipamentos!$A$2:$A$201,0)),""))</f>
        <v/>
      </c>
      <c r="I308" s="57">
        <f>IF(OR(A308="",B308=""),"",IFERROR(INDEX(Equipamentos!$J$2:$J$201,MATCH(1,INDEX((Equipamentos!$A$2:$A$201=B308)*(Equipamentos!$P$2:$P$201=A308),0),0)),""))</f>
        <v/>
      </c>
    </row>
    <row r="309">
      <c r="A309" s="54" t="n"/>
      <c r="B309" s="55" t="n"/>
      <c r="C309" s="56">
        <f>IF(OR(A309="",B309=""),"",IF(COUNTIF(Equipamentos!$A$2:$A$201,B309)=0,"tag não encontrada",IFERROR(INDEX(Equipamentos!$H$2:$H$201,MATCH(1,INDEX((Equipamentos!$A$2:$A$201=B309)*(Equipamentos!$P$2:$P$201=A309),0),0)),"confira a data")))</f>
        <v/>
      </c>
      <c r="D309">
        <f>IF(B309="","",IFERROR(INDEX(Equipamentos!$C$2:$C$201,MATCH(B309,Equipamentos!$A$2:$A$201,0)),""))</f>
        <v/>
      </c>
      <c r="E309" s="55" t="n"/>
      <c r="F309" s="55" t="n"/>
      <c r="G309">
        <f>IF(B309="","",IFERROR(INDEX(Equipamentos!$N$2:$N$201,MATCH(B309,Equipamentos!$A$2:$A$201,0)),""))</f>
        <v/>
      </c>
      <c r="H309">
        <f>IF(B309="","",IFERROR(INDEX(Equipamentos!$L$2:$L$201,MATCH(B309,Equipamentos!$A$2:$A$201,0)),""))</f>
        <v/>
      </c>
      <c r="I309" s="57">
        <f>IF(OR(A309="",B309=""),"",IFERROR(INDEX(Equipamentos!$J$2:$J$201,MATCH(1,INDEX((Equipamentos!$A$2:$A$201=B309)*(Equipamentos!$P$2:$P$201=A309),0),0)),""))</f>
        <v/>
      </c>
    </row>
    <row r="310">
      <c r="A310" s="54" t="n"/>
      <c r="B310" s="55" t="n"/>
      <c r="C310" s="56">
        <f>IF(OR(A310="",B310=""),"",IF(COUNTIF(Equipamentos!$A$2:$A$201,B310)=0,"tag não encontrada",IFERROR(INDEX(Equipamentos!$H$2:$H$201,MATCH(1,INDEX((Equipamentos!$A$2:$A$201=B310)*(Equipamentos!$P$2:$P$201=A310),0),0)),"confira a data")))</f>
        <v/>
      </c>
      <c r="D310">
        <f>IF(B310="","",IFERROR(INDEX(Equipamentos!$C$2:$C$201,MATCH(B310,Equipamentos!$A$2:$A$201,0)),""))</f>
        <v/>
      </c>
      <c r="E310" s="55" t="n"/>
      <c r="F310" s="55" t="n"/>
      <c r="G310">
        <f>IF(B310="","",IFERROR(INDEX(Equipamentos!$N$2:$N$201,MATCH(B310,Equipamentos!$A$2:$A$201,0)),""))</f>
        <v/>
      </c>
      <c r="H310">
        <f>IF(B310="","",IFERROR(INDEX(Equipamentos!$L$2:$L$201,MATCH(B310,Equipamentos!$A$2:$A$201,0)),""))</f>
        <v/>
      </c>
      <c r="I310" s="57">
        <f>IF(OR(A310="",B310=""),"",IFERROR(INDEX(Equipamentos!$J$2:$J$201,MATCH(1,INDEX((Equipamentos!$A$2:$A$201=B310)*(Equipamentos!$P$2:$P$201=A310),0),0)),""))</f>
        <v/>
      </c>
    </row>
    <row r="311">
      <c r="A311" s="54" t="n"/>
      <c r="B311" s="55" t="n"/>
      <c r="C311" s="56">
        <f>IF(OR(A311="",B311=""),"",IF(COUNTIF(Equipamentos!$A$2:$A$201,B311)=0,"tag não encontrada",IFERROR(INDEX(Equipamentos!$H$2:$H$201,MATCH(1,INDEX((Equipamentos!$A$2:$A$201=B311)*(Equipamentos!$P$2:$P$201=A311),0),0)),"confira a data")))</f>
        <v/>
      </c>
      <c r="D311">
        <f>IF(B311="","",IFERROR(INDEX(Equipamentos!$C$2:$C$201,MATCH(B311,Equipamentos!$A$2:$A$201,0)),""))</f>
        <v/>
      </c>
      <c r="E311" s="55" t="n"/>
      <c r="F311" s="55" t="n"/>
      <c r="G311">
        <f>IF(B311="","",IFERROR(INDEX(Equipamentos!$N$2:$N$201,MATCH(B311,Equipamentos!$A$2:$A$201,0)),""))</f>
        <v/>
      </c>
      <c r="H311">
        <f>IF(B311="","",IFERROR(INDEX(Equipamentos!$L$2:$L$201,MATCH(B311,Equipamentos!$A$2:$A$201,0)),""))</f>
        <v/>
      </c>
      <c r="I311" s="57">
        <f>IF(OR(A311="",B311=""),"",IFERROR(INDEX(Equipamentos!$J$2:$J$201,MATCH(1,INDEX((Equipamentos!$A$2:$A$201=B311)*(Equipamentos!$P$2:$P$201=A311),0),0)),""))</f>
        <v/>
      </c>
    </row>
    <row r="312">
      <c r="A312" s="54" t="n"/>
      <c r="B312" s="55" t="n"/>
      <c r="C312" s="56">
        <f>IF(OR(A312="",B312=""),"",IF(COUNTIF(Equipamentos!$A$2:$A$201,B312)=0,"tag não encontrada",IFERROR(INDEX(Equipamentos!$H$2:$H$201,MATCH(1,INDEX((Equipamentos!$A$2:$A$201=B312)*(Equipamentos!$P$2:$P$201=A312),0),0)),"confira a data")))</f>
        <v/>
      </c>
      <c r="D312">
        <f>IF(B312="","",IFERROR(INDEX(Equipamentos!$C$2:$C$201,MATCH(B312,Equipamentos!$A$2:$A$201,0)),""))</f>
        <v/>
      </c>
      <c r="E312" s="55" t="n"/>
      <c r="F312" s="55" t="n"/>
      <c r="G312">
        <f>IF(B312="","",IFERROR(INDEX(Equipamentos!$N$2:$N$201,MATCH(B312,Equipamentos!$A$2:$A$201,0)),""))</f>
        <v/>
      </c>
      <c r="H312">
        <f>IF(B312="","",IFERROR(INDEX(Equipamentos!$L$2:$L$201,MATCH(B312,Equipamentos!$A$2:$A$201,0)),""))</f>
        <v/>
      </c>
      <c r="I312" s="57">
        <f>IF(OR(A312="",B312=""),"",IFERROR(INDEX(Equipamentos!$J$2:$J$201,MATCH(1,INDEX((Equipamentos!$A$2:$A$201=B312)*(Equipamentos!$P$2:$P$201=A312),0),0)),""))</f>
        <v/>
      </c>
    </row>
    <row r="313">
      <c r="A313" s="54" t="n"/>
      <c r="B313" s="55" t="n"/>
      <c r="C313" s="56">
        <f>IF(OR(A313="",B313=""),"",IF(COUNTIF(Equipamentos!$A$2:$A$201,B313)=0,"tag não encontrada",IFERROR(INDEX(Equipamentos!$H$2:$H$201,MATCH(1,INDEX((Equipamentos!$A$2:$A$201=B313)*(Equipamentos!$P$2:$P$201=A313),0),0)),"confira a data")))</f>
        <v/>
      </c>
      <c r="D313">
        <f>IF(B313="","",IFERROR(INDEX(Equipamentos!$C$2:$C$201,MATCH(B313,Equipamentos!$A$2:$A$201,0)),""))</f>
        <v/>
      </c>
      <c r="E313" s="55" t="n"/>
      <c r="F313" s="55" t="n"/>
      <c r="G313">
        <f>IF(B313="","",IFERROR(INDEX(Equipamentos!$N$2:$N$201,MATCH(B313,Equipamentos!$A$2:$A$201,0)),""))</f>
        <v/>
      </c>
      <c r="H313">
        <f>IF(B313="","",IFERROR(INDEX(Equipamentos!$L$2:$L$201,MATCH(B313,Equipamentos!$A$2:$A$201,0)),""))</f>
        <v/>
      </c>
      <c r="I313" s="57">
        <f>IF(OR(A313="",B313=""),"",IFERROR(INDEX(Equipamentos!$J$2:$J$201,MATCH(1,INDEX((Equipamentos!$A$2:$A$201=B313)*(Equipamentos!$P$2:$P$201=A313),0),0)),""))</f>
        <v/>
      </c>
    </row>
    <row r="314">
      <c r="A314" s="54" t="n"/>
      <c r="B314" s="55" t="n"/>
      <c r="C314" s="56">
        <f>IF(OR(A314="",B314=""),"",IF(COUNTIF(Equipamentos!$A$2:$A$201,B314)=0,"tag não encontrada",IFERROR(INDEX(Equipamentos!$H$2:$H$201,MATCH(1,INDEX((Equipamentos!$A$2:$A$201=B314)*(Equipamentos!$P$2:$P$201=A314),0),0)),"confira a data")))</f>
        <v/>
      </c>
      <c r="D314">
        <f>IF(B314="","",IFERROR(INDEX(Equipamentos!$C$2:$C$201,MATCH(B314,Equipamentos!$A$2:$A$201,0)),""))</f>
        <v/>
      </c>
      <c r="E314" s="55" t="n"/>
      <c r="F314" s="55" t="n"/>
      <c r="G314">
        <f>IF(B314="","",IFERROR(INDEX(Equipamentos!$N$2:$N$201,MATCH(B314,Equipamentos!$A$2:$A$201,0)),""))</f>
        <v/>
      </c>
      <c r="H314">
        <f>IF(B314="","",IFERROR(INDEX(Equipamentos!$L$2:$L$201,MATCH(B314,Equipamentos!$A$2:$A$201,0)),""))</f>
        <v/>
      </c>
      <c r="I314" s="57">
        <f>IF(OR(A314="",B314=""),"",IFERROR(INDEX(Equipamentos!$J$2:$J$201,MATCH(1,INDEX((Equipamentos!$A$2:$A$201=B314)*(Equipamentos!$P$2:$P$201=A314),0),0)),""))</f>
        <v/>
      </c>
    </row>
    <row r="315">
      <c r="A315" s="54" t="n"/>
      <c r="B315" s="55" t="n"/>
      <c r="C315" s="56">
        <f>IF(OR(A315="",B315=""),"",IF(COUNTIF(Equipamentos!$A$2:$A$201,B315)=0,"tag não encontrada",IFERROR(INDEX(Equipamentos!$H$2:$H$201,MATCH(1,INDEX((Equipamentos!$A$2:$A$201=B315)*(Equipamentos!$P$2:$P$201=A315),0),0)),"confira a data")))</f>
        <v/>
      </c>
      <c r="D315">
        <f>IF(B315="","",IFERROR(INDEX(Equipamentos!$C$2:$C$201,MATCH(B315,Equipamentos!$A$2:$A$201,0)),""))</f>
        <v/>
      </c>
      <c r="E315" s="55" t="n"/>
      <c r="F315" s="55" t="n"/>
      <c r="G315">
        <f>IF(B315="","",IFERROR(INDEX(Equipamentos!$N$2:$N$201,MATCH(B315,Equipamentos!$A$2:$A$201,0)),""))</f>
        <v/>
      </c>
      <c r="H315">
        <f>IF(B315="","",IFERROR(INDEX(Equipamentos!$L$2:$L$201,MATCH(B315,Equipamentos!$A$2:$A$201,0)),""))</f>
        <v/>
      </c>
      <c r="I315" s="57">
        <f>IF(OR(A315="",B315=""),"",IFERROR(INDEX(Equipamentos!$J$2:$J$201,MATCH(1,INDEX((Equipamentos!$A$2:$A$201=B315)*(Equipamentos!$P$2:$P$201=A315),0),0)),""))</f>
        <v/>
      </c>
    </row>
    <row r="316">
      <c r="A316" s="54" t="n"/>
      <c r="B316" s="55" t="n"/>
      <c r="C316" s="56">
        <f>IF(OR(A316="",B316=""),"",IF(COUNTIF(Equipamentos!$A$2:$A$201,B316)=0,"tag não encontrada",IFERROR(INDEX(Equipamentos!$H$2:$H$201,MATCH(1,INDEX((Equipamentos!$A$2:$A$201=B316)*(Equipamentos!$P$2:$P$201=A316),0),0)),"confira a data")))</f>
        <v/>
      </c>
      <c r="D316">
        <f>IF(B316="","",IFERROR(INDEX(Equipamentos!$C$2:$C$201,MATCH(B316,Equipamentos!$A$2:$A$201,0)),""))</f>
        <v/>
      </c>
      <c r="E316" s="55" t="n"/>
      <c r="F316" s="55" t="n"/>
      <c r="G316">
        <f>IF(B316="","",IFERROR(INDEX(Equipamentos!$N$2:$N$201,MATCH(B316,Equipamentos!$A$2:$A$201,0)),""))</f>
        <v/>
      </c>
      <c r="H316">
        <f>IF(B316="","",IFERROR(INDEX(Equipamentos!$L$2:$L$201,MATCH(B316,Equipamentos!$A$2:$A$201,0)),""))</f>
        <v/>
      </c>
      <c r="I316" s="57">
        <f>IF(OR(A316="",B316=""),"",IFERROR(INDEX(Equipamentos!$J$2:$J$201,MATCH(1,INDEX((Equipamentos!$A$2:$A$201=B316)*(Equipamentos!$P$2:$P$201=A316),0),0)),""))</f>
        <v/>
      </c>
    </row>
    <row r="317">
      <c r="A317" s="54" t="n"/>
      <c r="B317" s="55" t="n"/>
      <c r="C317" s="56">
        <f>IF(OR(A317="",B317=""),"",IF(COUNTIF(Equipamentos!$A$2:$A$201,B317)=0,"tag não encontrada",IFERROR(INDEX(Equipamentos!$H$2:$H$201,MATCH(1,INDEX((Equipamentos!$A$2:$A$201=B317)*(Equipamentos!$P$2:$P$201=A317),0),0)),"confira a data")))</f>
        <v/>
      </c>
      <c r="D317">
        <f>IF(B317="","",IFERROR(INDEX(Equipamentos!$C$2:$C$201,MATCH(B317,Equipamentos!$A$2:$A$201,0)),""))</f>
        <v/>
      </c>
      <c r="E317" s="55" t="n"/>
      <c r="F317" s="55" t="n"/>
      <c r="G317">
        <f>IF(B317="","",IFERROR(INDEX(Equipamentos!$N$2:$N$201,MATCH(B317,Equipamentos!$A$2:$A$201,0)),""))</f>
        <v/>
      </c>
      <c r="H317">
        <f>IF(B317="","",IFERROR(INDEX(Equipamentos!$L$2:$L$201,MATCH(B317,Equipamentos!$A$2:$A$201,0)),""))</f>
        <v/>
      </c>
      <c r="I317" s="57">
        <f>IF(OR(A317="",B317=""),"",IFERROR(INDEX(Equipamentos!$J$2:$J$201,MATCH(1,INDEX((Equipamentos!$A$2:$A$201=B317)*(Equipamentos!$P$2:$P$201=A317),0),0)),""))</f>
        <v/>
      </c>
    </row>
    <row r="318">
      <c r="A318" s="54" t="n"/>
      <c r="B318" s="55" t="n"/>
      <c r="C318" s="56">
        <f>IF(OR(A318="",B318=""),"",IF(COUNTIF(Equipamentos!$A$2:$A$201,B318)=0,"tag não encontrada",IFERROR(INDEX(Equipamentos!$H$2:$H$201,MATCH(1,INDEX((Equipamentos!$A$2:$A$201=B318)*(Equipamentos!$P$2:$P$201=A318),0),0)),"confira a data")))</f>
        <v/>
      </c>
      <c r="D318">
        <f>IF(B318="","",IFERROR(INDEX(Equipamentos!$C$2:$C$201,MATCH(B318,Equipamentos!$A$2:$A$201,0)),""))</f>
        <v/>
      </c>
      <c r="E318" s="55" t="n"/>
      <c r="F318" s="55" t="n"/>
      <c r="G318">
        <f>IF(B318="","",IFERROR(INDEX(Equipamentos!$N$2:$N$201,MATCH(B318,Equipamentos!$A$2:$A$201,0)),""))</f>
        <v/>
      </c>
      <c r="H318">
        <f>IF(B318="","",IFERROR(INDEX(Equipamentos!$L$2:$L$201,MATCH(B318,Equipamentos!$A$2:$A$201,0)),""))</f>
        <v/>
      </c>
      <c r="I318" s="57">
        <f>IF(OR(A318="",B318=""),"",IFERROR(INDEX(Equipamentos!$J$2:$J$201,MATCH(1,INDEX((Equipamentos!$A$2:$A$201=B318)*(Equipamentos!$P$2:$P$201=A318),0),0)),""))</f>
        <v/>
      </c>
    </row>
    <row r="319">
      <c r="A319" s="54" t="n"/>
      <c r="B319" s="55" t="n"/>
      <c r="C319" s="56">
        <f>IF(OR(A319="",B319=""),"",IF(COUNTIF(Equipamentos!$A$2:$A$201,B319)=0,"tag não encontrada",IFERROR(INDEX(Equipamentos!$H$2:$H$201,MATCH(1,INDEX((Equipamentos!$A$2:$A$201=B319)*(Equipamentos!$P$2:$P$201=A319),0),0)),"confira a data")))</f>
        <v/>
      </c>
      <c r="D319">
        <f>IF(B319="","",IFERROR(INDEX(Equipamentos!$C$2:$C$201,MATCH(B319,Equipamentos!$A$2:$A$201,0)),""))</f>
        <v/>
      </c>
      <c r="E319" s="55" t="n"/>
      <c r="F319" s="55" t="n"/>
      <c r="G319">
        <f>IF(B319="","",IFERROR(INDEX(Equipamentos!$N$2:$N$201,MATCH(B319,Equipamentos!$A$2:$A$201,0)),""))</f>
        <v/>
      </c>
      <c r="H319">
        <f>IF(B319="","",IFERROR(INDEX(Equipamentos!$L$2:$L$201,MATCH(B319,Equipamentos!$A$2:$A$201,0)),""))</f>
        <v/>
      </c>
      <c r="I319" s="57">
        <f>IF(OR(A319="",B319=""),"",IFERROR(INDEX(Equipamentos!$J$2:$J$201,MATCH(1,INDEX((Equipamentos!$A$2:$A$201=B319)*(Equipamentos!$P$2:$P$201=A319),0),0)),""))</f>
        <v/>
      </c>
    </row>
    <row r="320">
      <c r="A320" s="54" t="n"/>
      <c r="B320" s="55" t="n"/>
      <c r="C320" s="56">
        <f>IF(OR(A320="",B320=""),"",IF(COUNTIF(Equipamentos!$A$2:$A$201,B320)=0,"tag não encontrada",IFERROR(INDEX(Equipamentos!$H$2:$H$201,MATCH(1,INDEX((Equipamentos!$A$2:$A$201=B320)*(Equipamentos!$P$2:$P$201=A320),0),0)),"confira a data")))</f>
        <v/>
      </c>
      <c r="D320">
        <f>IF(B320="","",IFERROR(INDEX(Equipamentos!$C$2:$C$201,MATCH(B320,Equipamentos!$A$2:$A$201,0)),""))</f>
        <v/>
      </c>
      <c r="E320" s="55" t="n"/>
      <c r="F320" s="55" t="n"/>
      <c r="G320">
        <f>IF(B320="","",IFERROR(INDEX(Equipamentos!$N$2:$N$201,MATCH(B320,Equipamentos!$A$2:$A$201,0)),""))</f>
        <v/>
      </c>
      <c r="H320">
        <f>IF(B320="","",IFERROR(INDEX(Equipamentos!$L$2:$L$201,MATCH(B320,Equipamentos!$A$2:$A$201,0)),""))</f>
        <v/>
      </c>
      <c r="I320" s="57">
        <f>IF(OR(A320="",B320=""),"",IFERROR(INDEX(Equipamentos!$J$2:$J$201,MATCH(1,INDEX((Equipamentos!$A$2:$A$201=B320)*(Equipamentos!$P$2:$P$201=A320),0),0)),""))</f>
        <v/>
      </c>
    </row>
    <row r="321">
      <c r="A321" s="54" t="n"/>
      <c r="B321" s="55" t="n"/>
      <c r="C321" s="56">
        <f>IF(OR(A321="",B321=""),"",IF(COUNTIF(Equipamentos!$A$2:$A$201,B321)=0,"tag não encontrada",IFERROR(INDEX(Equipamentos!$H$2:$H$201,MATCH(1,INDEX((Equipamentos!$A$2:$A$201=B321)*(Equipamentos!$P$2:$P$201=A321),0),0)),"confira a data")))</f>
        <v/>
      </c>
      <c r="D321">
        <f>IF(B321="","",IFERROR(INDEX(Equipamentos!$C$2:$C$201,MATCH(B321,Equipamentos!$A$2:$A$201,0)),""))</f>
        <v/>
      </c>
      <c r="E321" s="55" t="n"/>
      <c r="F321" s="55" t="n"/>
      <c r="G321">
        <f>IF(B321="","",IFERROR(INDEX(Equipamentos!$N$2:$N$201,MATCH(B321,Equipamentos!$A$2:$A$201,0)),""))</f>
        <v/>
      </c>
      <c r="H321">
        <f>IF(B321="","",IFERROR(INDEX(Equipamentos!$L$2:$L$201,MATCH(B321,Equipamentos!$A$2:$A$201,0)),""))</f>
        <v/>
      </c>
      <c r="I321" s="57">
        <f>IF(OR(A321="",B321=""),"",IFERROR(INDEX(Equipamentos!$J$2:$J$201,MATCH(1,INDEX((Equipamentos!$A$2:$A$201=B321)*(Equipamentos!$P$2:$P$201=A321),0),0)),""))</f>
        <v/>
      </c>
    </row>
    <row r="322">
      <c r="A322" s="54" t="n"/>
      <c r="B322" s="55" t="n"/>
      <c r="C322" s="56">
        <f>IF(OR(A322="",B322=""),"",IF(COUNTIF(Equipamentos!$A$2:$A$201,B322)=0,"tag não encontrada",IFERROR(INDEX(Equipamentos!$H$2:$H$201,MATCH(1,INDEX((Equipamentos!$A$2:$A$201=B322)*(Equipamentos!$P$2:$P$201=A322),0),0)),"confira a data")))</f>
        <v/>
      </c>
      <c r="D322">
        <f>IF(B322="","",IFERROR(INDEX(Equipamentos!$C$2:$C$201,MATCH(B322,Equipamentos!$A$2:$A$201,0)),""))</f>
        <v/>
      </c>
      <c r="E322" s="55" t="n"/>
      <c r="F322" s="55" t="n"/>
      <c r="G322">
        <f>IF(B322="","",IFERROR(INDEX(Equipamentos!$N$2:$N$201,MATCH(B322,Equipamentos!$A$2:$A$201,0)),""))</f>
        <v/>
      </c>
      <c r="H322">
        <f>IF(B322="","",IFERROR(INDEX(Equipamentos!$L$2:$L$201,MATCH(B322,Equipamentos!$A$2:$A$201,0)),""))</f>
        <v/>
      </c>
      <c r="I322" s="57">
        <f>IF(OR(A322="",B322=""),"",IFERROR(INDEX(Equipamentos!$J$2:$J$201,MATCH(1,INDEX((Equipamentos!$A$2:$A$201=B322)*(Equipamentos!$P$2:$P$201=A322),0),0)),""))</f>
        <v/>
      </c>
    </row>
    <row r="323">
      <c r="A323" s="54" t="n"/>
      <c r="B323" s="55" t="n"/>
      <c r="C323" s="56">
        <f>IF(OR(A323="",B323=""),"",IF(COUNTIF(Equipamentos!$A$2:$A$201,B323)=0,"tag não encontrada",IFERROR(INDEX(Equipamentos!$H$2:$H$201,MATCH(1,INDEX((Equipamentos!$A$2:$A$201=B323)*(Equipamentos!$P$2:$P$201=A323),0),0)),"confira a data")))</f>
        <v/>
      </c>
      <c r="D323">
        <f>IF(B323="","",IFERROR(INDEX(Equipamentos!$C$2:$C$201,MATCH(B323,Equipamentos!$A$2:$A$201,0)),""))</f>
        <v/>
      </c>
      <c r="E323" s="55" t="n"/>
      <c r="F323" s="55" t="n"/>
      <c r="G323">
        <f>IF(B323="","",IFERROR(INDEX(Equipamentos!$N$2:$N$201,MATCH(B323,Equipamentos!$A$2:$A$201,0)),""))</f>
        <v/>
      </c>
      <c r="H323">
        <f>IF(B323="","",IFERROR(INDEX(Equipamentos!$L$2:$L$201,MATCH(B323,Equipamentos!$A$2:$A$201,0)),""))</f>
        <v/>
      </c>
      <c r="I323" s="57">
        <f>IF(OR(A323="",B323=""),"",IFERROR(INDEX(Equipamentos!$J$2:$J$201,MATCH(1,INDEX((Equipamentos!$A$2:$A$201=B323)*(Equipamentos!$P$2:$P$201=A323),0),0)),""))</f>
        <v/>
      </c>
    </row>
    <row r="324">
      <c r="A324" s="54" t="n"/>
      <c r="B324" s="55" t="n"/>
      <c r="C324" s="56">
        <f>IF(OR(A324="",B324=""),"",IF(COUNTIF(Equipamentos!$A$2:$A$201,B324)=0,"tag não encontrada",IFERROR(INDEX(Equipamentos!$H$2:$H$201,MATCH(1,INDEX((Equipamentos!$A$2:$A$201=B324)*(Equipamentos!$P$2:$P$201=A324),0),0)),"confira a data")))</f>
        <v/>
      </c>
      <c r="D324">
        <f>IF(B324="","",IFERROR(INDEX(Equipamentos!$C$2:$C$201,MATCH(B324,Equipamentos!$A$2:$A$201,0)),""))</f>
        <v/>
      </c>
      <c r="E324" s="55" t="n"/>
      <c r="F324" s="55" t="n"/>
      <c r="G324">
        <f>IF(B324="","",IFERROR(INDEX(Equipamentos!$N$2:$N$201,MATCH(B324,Equipamentos!$A$2:$A$201,0)),""))</f>
        <v/>
      </c>
      <c r="H324">
        <f>IF(B324="","",IFERROR(INDEX(Equipamentos!$L$2:$L$201,MATCH(B324,Equipamentos!$A$2:$A$201,0)),""))</f>
        <v/>
      </c>
      <c r="I324" s="57">
        <f>IF(OR(A324="",B324=""),"",IFERROR(INDEX(Equipamentos!$J$2:$J$201,MATCH(1,INDEX((Equipamentos!$A$2:$A$201=B324)*(Equipamentos!$P$2:$P$201=A324),0),0)),""))</f>
        <v/>
      </c>
    </row>
    <row r="325">
      <c r="A325" s="54" t="n"/>
      <c r="B325" s="55" t="n"/>
      <c r="C325" s="56">
        <f>IF(OR(A325="",B325=""),"",IF(COUNTIF(Equipamentos!$A$2:$A$201,B325)=0,"tag não encontrada",IFERROR(INDEX(Equipamentos!$H$2:$H$201,MATCH(1,INDEX((Equipamentos!$A$2:$A$201=B325)*(Equipamentos!$P$2:$P$201=A325),0),0)),"confira a data")))</f>
        <v/>
      </c>
      <c r="D325">
        <f>IF(B325="","",IFERROR(INDEX(Equipamentos!$C$2:$C$201,MATCH(B325,Equipamentos!$A$2:$A$201,0)),""))</f>
        <v/>
      </c>
      <c r="E325" s="55" t="n"/>
      <c r="F325" s="55" t="n"/>
      <c r="G325">
        <f>IF(B325="","",IFERROR(INDEX(Equipamentos!$N$2:$N$201,MATCH(B325,Equipamentos!$A$2:$A$201,0)),""))</f>
        <v/>
      </c>
      <c r="H325">
        <f>IF(B325="","",IFERROR(INDEX(Equipamentos!$L$2:$L$201,MATCH(B325,Equipamentos!$A$2:$A$201,0)),""))</f>
        <v/>
      </c>
      <c r="I325" s="57">
        <f>IF(OR(A325="",B325=""),"",IFERROR(INDEX(Equipamentos!$J$2:$J$201,MATCH(1,INDEX((Equipamentos!$A$2:$A$201=B325)*(Equipamentos!$P$2:$P$201=A325),0),0)),""))</f>
        <v/>
      </c>
    </row>
    <row r="326">
      <c r="A326" s="54" t="n"/>
      <c r="B326" s="55" t="n"/>
      <c r="C326" s="56">
        <f>IF(OR(A326="",B326=""),"",IF(COUNTIF(Equipamentos!$A$2:$A$201,B326)=0,"tag não encontrada",IFERROR(INDEX(Equipamentos!$H$2:$H$201,MATCH(1,INDEX((Equipamentos!$A$2:$A$201=B326)*(Equipamentos!$P$2:$P$201=A326),0),0)),"confira a data")))</f>
        <v/>
      </c>
      <c r="D326">
        <f>IF(B326="","",IFERROR(INDEX(Equipamentos!$C$2:$C$201,MATCH(B326,Equipamentos!$A$2:$A$201,0)),""))</f>
        <v/>
      </c>
      <c r="E326" s="55" t="n"/>
      <c r="F326" s="55" t="n"/>
      <c r="G326">
        <f>IF(B326="","",IFERROR(INDEX(Equipamentos!$N$2:$N$201,MATCH(B326,Equipamentos!$A$2:$A$201,0)),""))</f>
        <v/>
      </c>
      <c r="H326">
        <f>IF(B326="","",IFERROR(INDEX(Equipamentos!$L$2:$L$201,MATCH(B326,Equipamentos!$A$2:$A$201,0)),""))</f>
        <v/>
      </c>
      <c r="I326" s="57">
        <f>IF(OR(A326="",B326=""),"",IFERROR(INDEX(Equipamentos!$J$2:$J$201,MATCH(1,INDEX((Equipamentos!$A$2:$A$201=B326)*(Equipamentos!$P$2:$P$201=A326),0),0)),""))</f>
        <v/>
      </c>
    </row>
    <row r="327">
      <c r="A327" s="54" t="n"/>
      <c r="B327" s="55" t="n"/>
      <c r="C327" s="56">
        <f>IF(OR(A327="",B327=""),"",IF(COUNTIF(Equipamentos!$A$2:$A$201,B327)=0,"tag não encontrada",IFERROR(INDEX(Equipamentos!$H$2:$H$201,MATCH(1,INDEX((Equipamentos!$A$2:$A$201=B327)*(Equipamentos!$P$2:$P$201=A327),0),0)),"confira a data")))</f>
        <v/>
      </c>
      <c r="D327">
        <f>IF(B327="","",IFERROR(INDEX(Equipamentos!$C$2:$C$201,MATCH(B327,Equipamentos!$A$2:$A$201,0)),""))</f>
        <v/>
      </c>
      <c r="E327" s="55" t="n"/>
      <c r="F327" s="55" t="n"/>
      <c r="G327">
        <f>IF(B327="","",IFERROR(INDEX(Equipamentos!$N$2:$N$201,MATCH(B327,Equipamentos!$A$2:$A$201,0)),""))</f>
        <v/>
      </c>
      <c r="H327">
        <f>IF(B327="","",IFERROR(INDEX(Equipamentos!$L$2:$L$201,MATCH(B327,Equipamentos!$A$2:$A$201,0)),""))</f>
        <v/>
      </c>
      <c r="I327" s="57">
        <f>IF(OR(A327="",B327=""),"",IFERROR(INDEX(Equipamentos!$J$2:$J$201,MATCH(1,INDEX((Equipamentos!$A$2:$A$201=B327)*(Equipamentos!$P$2:$P$201=A327),0),0)),""))</f>
        <v/>
      </c>
    </row>
    <row r="328">
      <c r="A328" s="54" t="n"/>
      <c r="B328" s="55" t="n"/>
      <c r="C328" s="56">
        <f>IF(OR(A328="",B328=""),"",IF(COUNTIF(Equipamentos!$A$2:$A$201,B328)=0,"tag não encontrada",IFERROR(INDEX(Equipamentos!$H$2:$H$201,MATCH(1,INDEX((Equipamentos!$A$2:$A$201=B328)*(Equipamentos!$P$2:$P$201=A328),0),0)),"confira a data")))</f>
        <v/>
      </c>
      <c r="D328">
        <f>IF(B328="","",IFERROR(INDEX(Equipamentos!$C$2:$C$201,MATCH(B328,Equipamentos!$A$2:$A$201,0)),""))</f>
        <v/>
      </c>
      <c r="E328" s="55" t="n"/>
      <c r="F328" s="55" t="n"/>
      <c r="G328">
        <f>IF(B328="","",IFERROR(INDEX(Equipamentos!$N$2:$N$201,MATCH(B328,Equipamentos!$A$2:$A$201,0)),""))</f>
        <v/>
      </c>
      <c r="H328">
        <f>IF(B328="","",IFERROR(INDEX(Equipamentos!$L$2:$L$201,MATCH(B328,Equipamentos!$A$2:$A$201,0)),""))</f>
        <v/>
      </c>
      <c r="I328" s="57">
        <f>IF(OR(A328="",B328=""),"",IFERROR(INDEX(Equipamentos!$J$2:$J$201,MATCH(1,INDEX((Equipamentos!$A$2:$A$201=B328)*(Equipamentos!$P$2:$P$201=A328),0),0)),""))</f>
        <v/>
      </c>
    </row>
    <row r="329">
      <c r="A329" s="54" t="n"/>
      <c r="B329" s="55" t="n"/>
      <c r="C329" s="56">
        <f>IF(OR(A329="",B329=""),"",IF(COUNTIF(Equipamentos!$A$2:$A$201,B329)=0,"tag não encontrada",IFERROR(INDEX(Equipamentos!$H$2:$H$201,MATCH(1,INDEX((Equipamentos!$A$2:$A$201=B329)*(Equipamentos!$P$2:$P$201=A329),0),0)),"confira a data")))</f>
        <v/>
      </c>
      <c r="D329">
        <f>IF(B329="","",IFERROR(INDEX(Equipamentos!$C$2:$C$201,MATCH(B329,Equipamentos!$A$2:$A$201,0)),""))</f>
        <v/>
      </c>
      <c r="E329" s="55" t="n"/>
      <c r="F329" s="55" t="n"/>
      <c r="G329">
        <f>IF(B329="","",IFERROR(INDEX(Equipamentos!$N$2:$N$201,MATCH(B329,Equipamentos!$A$2:$A$201,0)),""))</f>
        <v/>
      </c>
      <c r="H329">
        <f>IF(B329="","",IFERROR(INDEX(Equipamentos!$L$2:$L$201,MATCH(B329,Equipamentos!$A$2:$A$201,0)),""))</f>
        <v/>
      </c>
      <c r="I329" s="57">
        <f>IF(OR(A329="",B329=""),"",IFERROR(INDEX(Equipamentos!$J$2:$J$201,MATCH(1,INDEX((Equipamentos!$A$2:$A$201=B329)*(Equipamentos!$P$2:$P$201=A329),0),0)),""))</f>
        <v/>
      </c>
    </row>
    <row r="330">
      <c r="A330" s="54" t="n"/>
      <c r="B330" s="55" t="n"/>
      <c r="C330" s="56">
        <f>IF(OR(A330="",B330=""),"",IF(COUNTIF(Equipamentos!$A$2:$A$201,B330)=0,"tag não encontrada",IFERROR(INDEX(Equipamentos!$H$2:$H$201,MATCH(1,INDEX((Equipamentos!$A$2:$A$201=B330)*(Equipamentos!$P$2:$P$201=A330),0),0)),"confira a data")))</f>
        <v/>
      </c>
      <c r="D330">
        <f>IF(B330="","",IFERROR(INDEX(Equipamentos!$C$2:$C$201,MATCH(B330,Equipamentos!$A$2:$A$201,0)),""))</f>
        <v/>
      </c>
      <c r="E330" s="55" t="n"/>
      <c r="F330" s="55" t="n"/>
      <c r="G330">
        <f>IF(B330="","",IFERROR(INDEX(Equipamentos!$N$2:$N$201,MATCH(B330,Equipamentos!$A$2:$A$201,0)),""))</f>
        <v/>
      </c>
      <c r="H330">
        <f>IF(B330="","",IFERROR(INDEX(Equipamentos!$L$2:$L$201,MATCH(B330,Equipamentos!$A$2:$A$201,0)),""))</f>
        <v/>
      </c>
      <c r="I330" s="57">
        <f>IF(OR(A330="",B330=""),"",IFERROR(INDEX(Equipamentos!$J$2:$J$201,MATCH(1,INDEX((Equipamentos!$A$2:$A$201=B330)*(Equipamentos!$P$2:$P$201=A330),0),0)),""))</f>
        <v/>
      </c>
    </row>
    <row r="331">
      <c r="A331" s="54" t="n"/>
      <c r="B331" s="55" t="n"/>
      <c r="C331" s="56">
        <f>IF(OR(A331="",B331=""),"",IF(COUNTIF(Equipamentos!$A$2:$A$201,B331)=0,"tag não encontrada",IFERROR(INDEX(Equipamentos!$H$2:$H$201,MATCH(1,INDEX((Equipamentos!$A$2:$A$201=B331)*(Equipamentos!$P$2:$P$201=A331),0),0)),"confira a data")))</f>
        <v/>
      </c>
      <c r="D331">
        <f>IF(B331="","",IFERROR(INDEX(Equipamentos!$C$2:$C$201,MATCH(B331,Equipamentos!$A$2:$A$201,0)),""))</f>
        <v/>
      </c>
      <c r="E331" s="55" t="n"/>
      <c r="F331" s="55" t="n"/>
      <c r="G331">
        <f>IF(B331="","",IFERROR(INDEX(Equipamentos!$N$2:$N$201,MATCH(B331,Equipamentos!$A$2:$A$201,0)),""))</f>
        <v/>
      </c>
      <c r="H331">
        <f>IF(B331="","",IFERROR(INDEX(Equipamentos!$L$2:$L$201,MATCH(B331,Equipamentos!$A$2:$A$201,0)),""))</f>
        <v/>
      </c>
      <c r="I331" s="57">
        <f>IF(OR(A331="",B331=""),"",IFERROR(INDEX(Equipamentos!$J$2:$J$201,MATCH(1,INDEX((Equipamentos!$A$2:$A$201=B331)*(Equipamentos!$P$2:$P$201=A331),0),0)),""))</f>
        <v/>
      </c>
    </row>
    <row r="332">
      <c r="A332" s="54" t="n"/>
      <c r="B332" s="55" t="n"/>
      <c r="C332" s="56">
        <f>IF(OR(A332="",B332=""),"",IF(COUNTIF(Equipamentos!$A$2:$A$201,B332)=0,"tag não encontrada",IFERROR(INDEX(Equipamentos!$H$2:$H$201,MATCH(1,INDEX((Equipamentos!$A$2:$A$201=B332)*(Equipamentos!$P$2:$P$201=A332),0),0)),"confira a data")))</f>
        <v/>
      </c>
      <c r="D332">
        <f>IF(B332="","",IFERROR(INDEX(Equipamentos!$C$2:$C$201,MATCH(B332,Equipamentos!$A$2:$A$201,0)),""))</f>
        <v/>
      </c>
      <c r="E332" s="55" t="n"/>
      <c r="F332" s="55" t="n"/>
      <c r="G332">
        <f>IF(B332="","",IFERROR(INDEX(Equipamentos!$N$2:$N$201,MATCH(B332,Equipamentos!$A$2:$A$201,0)),""))</f>
        <v/>
      </c>
      <c r="H332">
        <f>IF(B332="","",IFERROR(INDEX(Equipamentos!$L$2:$L$201,MATCH(B332,Equipamentos!$A$2:$A$201,0)),""))</f>
        <v/>
      </c>
      <c r="I332" s="57">
        <f>IF(OR(A332="",B332=""),"",IFERROR(INDEX(Equipamentos!$J$2:$J$201,MATCH(1,INDEX((Equipamentos!$A$2:$A$201=B332)*(Equipamentos!$P$2:$P$201=A332),0),0)),""))</f>
        <v/>
      </c>
    </row>
    <row r="333">
      <c r="A333" s="54" t="n"/>
      <c r="B333" s="55" t="n"/>
      <c r="C333" s="56">
        <f>IF(OR(A333="",B333=""),"",IF(COUNTIF(Equipamentos!$A$2:$A$201,B333)=0,"tag não encontrada",IFERROR(INDEX(Equipamentos!$H$2:$H$201,MATCH(1,INDEX((Equipamentos!$A$2:$A$201=B333)*(Equipamentos!$P$2:$P$201=A333),0),0)),"confira a data")))</f>
        <v/>
      </c>
      <c r="D333">
        <f>IF(B333="","",IFERROR(INDEX(Equipamentos!$C$2:$C$201,MATCH(B333,Equipamentos!$A$2:$A$201,0)),""))</f>
        <v/>
      </c>
      <c r="E333" s="55" t="n"/>
      <c r="F333" s="55" t="n"/>
      <c r="G333">
        <f>IF(B333="","",IFERROR(INDEX(Equipamentos!$N$2:$N$201,MATCH(B333,Equipamentos!$A$2:$A$201,0)),""))</f>
        <v/>
      </c>
      <c r="H333">
        <f>IF(B333="","",IFERROR(INDEX(Equipamentos!$L$2:$L$201,MATCH(B333,Equipamentos!$A$2:$A$201,0)),""))</f>
        <v/>
      </c>
      <c r="I333" s="57">
        <f>IF(OR(A333="",B333=""),"",IFERROR(INDEX(Equipamentos!$J$2:$J$201,MATCH(1,INDEX((Equipamentos!$A$2:$A$201=B333)*(Equipamentos!$P$2:$P$201=A333),0),0)),""))</f>
        <v/>
      </c>
    </row>
    <row r="334">
      <c r="A334" s="54" t="n"/>
      <c r="B334" s="55" t="n"/>
      <c r="C334" s="56">
        <f>IF(OR(A334="",B334=""),"",IF(COUNTIF(Equipamentos!$A$2:$A$201,B334)=0,"tag não encontrada",IFERROR(INDEX(Equipamentos!$H$2:$H$201,MATCH(1,INDEX((Equipamentos!$A$2:$A$201=B334)*(Equipamentos!$P$2:$P$201=A334),0),0)),"confira a data")))</f>
        <v/>
      </c>
      <c r="D334">
        <f>IF(B334="","",IFERROR(INDEX(Equipamentos!$C$2:$C$201,MATCH(B334,Equipamentos!$A$2:$A$201,0)),""))</f>
        <v/>
      </c>
      <c r="E334" s="55" t="n"/>
      <c r="F334" s="55" t="n"/>
      <c r="G334">
        <f>IF(B334="","",IFERROR(INDEX(Equipamentos!$N$2:$N$201,MATCH(B334,Equipamentos!$A$2:$A$201,0)),""))</f>
        <v/>
      </c>
      <c r="H334">
        <f>IF(B334="","",IFERROR(INDEX(Equipamentos!$L$2:$L$201,MATCH(B334,Equipamentos!$A$2:$A$201,0)),""))</f>
        <v/>
      </c>
      <c r="I334" s="57">
        <f>IF(OR(A334="",B334=""),"",IFERROR(INDEX(Equipamentos!$J$2:$J$201,MATCH(1,INDEX((Equipamentos!$A$2:$A$201=B334)*(Equipamentos!$P$2:$P$201=A334),0),0)),""))</f>
        <v/>
      </c>
    </row>
    <row r="335">
      <c r="A335" s="54" t="n"/>
      <c r="B335" s="55" t="n"/>
      <c r="C335" s="56">
        <f>IF(OR(A335="",B335=""),"",IF(COUNTIF(Equipamentos!$A$2:$A$201,B335)=0,"tag não encontrada",IFERROR(INDEX(Equipamentos!$H$2:$H$201,MATCH(1,INDEX((Equipamentos!$A$2:$A$201=B335)*(Equipamentos!$P$2:$P$201=A335),0),0)),"confira a data")))</f>
        <v/>
      </c>
      <c r="D335">
        <f>IF(B335="","",IFERROR(INDEX(Equipamentos!$C$2:$C$201,MATCH(B335,Equipamentos!$A$2:$A$201,0)),""))</f>
        <v/>
      </c>
      <c r="E335" s="55" t="n"/>
      <c r="F335" s="55" t="n"/>
      <c r="G335">
        <f>IF(B335="","",IFERROR(INDEX(Equipamentos!$N$2:$N$201,MATCH(B335,Equipamentos!$A$2:$A$201,0)),""))</f>
        <v/>
      </c>
      <c r="H335">
        <f>IF(B335="","",IFERROR(INDEX(Equipamentos!$L$2:$L$201,MATCH(B335,Equipamentos!$A$2:$A$201,0)),""))</f>
        <v/>
      </c>
      <c r="I335" s="57">
        <f>IF(OR(A335="",B335=""),"",IFERROR(INDEX(Equipamentos!$J$2:$J$201,MATCH(1,INDEX((Equipamentos!$A$2:$A$201=B335)*(Equipamentos!$P$2:$P$201=A335),0),0)),""))</f>
        <v/>
      </c>
    </row>
    <row r="336">
      <c r="A336" s="54" t="n"/>
      <c r="B336" s="55" t="n"/>
      <c r="C336" s="56">
        <f>IF(OR(A336="",B336=""),"",IF(COUNTIF(Equipamentos!$A$2:$A$201,B336)=0,"tag não encontrada",IFERROR(INDEX(Equipamentos!$H$2:$H$201,MATCH(1,INDEX((Equipamentos!$A$2:$A$201=B336)*(Equipamentos!$P$2:$P$201=A336),0),0)),"confira a data")))</f>
        <v/>
      </c>
      <c r="D336">
        <f>IF(B336="","",IFERROR(INDEX(Equipamentos!$C$2:$C$201,MATCH(B336,Equipamentos!$A$2:$A$201,0)),""))</f>
        <v/>
      </c>
      <c r="E336" s="55" t="n"/>
      <c r="F336" s="55" t="n"/>
      <c r="G336">
        <f>IF(B336="","",IFERROR(INDEX(Equipamentos!$N$2:$N$201,MATCH(B336,Equipamentos!$A$2:$A$201,0)),""))</f>
        <v/>
      </c>
      <c r="H336">
        <f>IF(B336="","",IFERROR(INDEX(Equipamentos!$L$2:$L$201,MATCH(B336,Equipamentos!$A$2:$A$201,0)),""))</f>
        <v/>
      </c>
      <c r="I336" s="57">
        <f>IF(OR(A336="",B336=""),"",IFERROR(INDEX(Equipamentos!$J$2:$J$201,MATCH(1,INDEX((Equipamentos!$A$2:$A$201=B336)*(Equipamentos!$P$2:$P$201=A336),0),0)),""))</f>
        <v/>
      </c>
    </row>
    <row r="337">
      <c r="A337" s="54" t="n"/>
      <c r="B337" s="55" t="n"/>
      <c r="C337" s="56">
        <f>IF(OR(A337="",B337=""),"",IF(COUNTIF(Equipamentos!$A$2:$A$201,B337)=0,"tag não encontrada",IFERROR(INDEX(Equipamentos!$H$2:$H$201,MATCH(1,INDEX((Equipamentos!$A$2:$A$201=B337)*(Equipamentos!$P$2:$P$201=A337),0),0)),"confira a data")))</f>
        <v/>
      </c>
      <c r="D337">
        <f>IF(B337="","",IFERROR(INDEX(Equipamentos!$C$2:$C$201,MATCH(B337,Equipamentos!$A$2:$A$201,0)),""))</f>
        <v/>
      </c>
      <c r="E337" s="55" t="n"/>
      <c r="F337" s="55" t="n"/>
      <c r="G337">
        <f>IF(B337="","",IFERROR(INDEX(Equipamentos!$N$2:$N$201,MATCH(B337,Equipamentos!$A$2:$A$201,0)),""))</f>
        <v/>
      </c>
      <c r="H337">
        <f>IF(B337="","",IFERROR(INDEX(Equipamentos!$L$2:$L$201,MATCH(B337,Equipamentos!$A$2:$A$201,0)),""))</f>
        <v/>
      </c>
      <c r="I337" s="57">
        <f>IF(OR(A337="",B337=""),"",IFERROR(INDEX(Equipamentos!$J$2:$J$201,MATCH(1,INDEX((Equipamentos!$A$2:$A$201=B337)*(Equipamentos!$P$2:$P$201=A337),0),0)),""))</f>
        <v/>
      </c>
    </row>
    <row r="338">
      <c r="A338" s="54" t="n"/>
      <c r="B338" s="55" t="n"/>
      <c r="C338" s="56">
        <f>IF(OR(A338="",B338=""),"",IF(COUNTIF(Equipamentos!$A$2:$A$201,B338)=0,"tag não encontrada",IFERROR(INDEX(Equipamentos!$H$2:$H$201,MATCH(1,INDEX((Equipamentos!$A$2:$A$201=B338)*(Equipamentos!$P$2:$P$201=A338),0),0)),"confira a data")))</f>
        <v/>
      </c>
      <c r="D338">
        <f>IF(B338="","",IFERROR(INDEX(Equipamentos!$C$2:$C$201,MATCH(B338,Equipamentos!$A$2:$A$201,0)),""))</f>
        <v/>
      </c>
      <c r="E338" s="55" t="n"/>
      <c r="F338" s="55" t="n"/>
      <c r="G338">
        <f>IF(B338="","",IFERROR(INDEX(Equipamentos!$N$2:$N$201,MATCH(B338,Equipamentos!$A$2:$A$201,0)),""))</f>
        <v/>
      </c>
      <c r="H338">
        <f>IF(B338="","",IFERROR(INDEX(Equipamentos!$L$2:$L$201,MATCH(B338,Equipamentos!$A$2:$A$201,0)),""))</f>
        <v/>
      </c>
      <c r="I338" s="57">
        <f>IF(OR(A338="",B338=""),"",IFERROR(INDEX(Equipamentos!$J$2:$J$201,MATCH(1,INDEX((Equipamentos!$A$2:$A$201=B338)*(Equipamentos!$P$2:$P$201=A338),0),0)),""))</f>
        <v/>
      </c>
    </row>
    <row r="339">
      <c r="A339" s="54" t="n"/>
      <c r="B339" s="55" t="n"/>
      <c r="C339" s="56">
        <f>IF(OR(A339="",B339=""),"",IF(COUNTIF(Equipamentos!$A$2:$A$201,B339)=0,"tag não encontrada",IFERROR(INDEX(Equipamentos!$H$2:$H$201,MATCH(1,INDEX((Equipamentos!$A$2:$A$201=B339)*(Equipamentos!$P$2:$P$201=A339),0),0)),"confira a data")))</f>
        <v/>
      </c>
      <c r="D339">
        <f>IF(B339="","",IFERROR(INDEX(Equipamentos!$C$2:$C$201,MATCH(B339,Equipamentos!$A$2:$A$201,0)),""))</f>
        <v/>
      </c>
      <c r="E339" s="55" t="n"/>
      <c r="F339" s="55" t="n"/>
      <c r="G339">
        <f>IF(B339="","",IFERROR(INDEX(Equipamentos!$N$2:$N$201,MATCH(B339,Equipamentos!$A$2:$A$201,0)),""))</f>
        <v/>
      </c>
      <c r="H339">
        <f>IF(B339="","",IFERROR(INDEX(Equipamentos!$L$2:$L$201,MATCH(B339,Equipamentos!$A$2:$A$201,0)),""))</f>
        <v/>
      </c>
      <c r="I339" s="57">
        <f>IF(OR(A339="",B339=""),"",IFERROR(INDEX(Equipamentos!$J$2:$J$201,MATCH(1,INDEX((Equipamentos!$A$2:$A$201=B339)*(Equipamentos!$P$2:$P$201=A339),0),0)),""))</f>
        <v/>
      </c>
    </row>
    <row r="340">
      <c r="A340" s="54" t="n"/>
      <c r="B340" s="55" t="n"/>
      <c r="C340" s="56">
        <f>IF(OR(A340="",B340=""),"",IF(COUNTIF(Equipamentos!$A$2:$A$201,B340)=0,"tag não encontrada",IFERROR(INDEX(Equipamentos!$H$2:$H$201,MATCH(1,INDEX((Equipamentos!$A$2:$A$201=B340)*(Equipamentos!$P$2:$P$201=A340),0),0)),"confira a data")))</f>
        <v/>
      </c>
      <c r="D340">
        <f>IF(B340="","",IFERROR(INDEX(Equipamentos!$C$2:$C$201,MATCH(B340,Equipamentos!$A$2:$A$201,0)),""))</f>
        <v/>
      </c>
      <c r="E340" s="55" t="n"/>
      <c r="F340" s="55" t="n"/>
      <c r="G340">
        <f>IF(B340="","",IFERROR(INDEX(Equipamentos!$N$2:$N$201,MATCH(B340,Equipamentos!$A$2:$A$201,0)),""))</f>
        <v/>
      </c>
      <c r="H340">
        <f>IF(B340="","",IFERROR(INDEX(Equipamentos!$L$2:$L$201,MATCH(B340,Equipamentos!$A$2:$A$201,0)),""))</f>
        <v/>
      </c>
      <c r="I340" s="57">
        <f>IF(OR(A340="",B340=""),"",IFERROR(INDEX(Equipamentos!$J$2:$J$201,MATCH(1,INDEX((Equipamentos!$A$2:$A$201=B340)*(Equipamentos!$P$2:$P$201=A340),0),0)),""))</f>
        <v/>
      </c>
    </row>
    <row r="341">
      <c r="A341" s="54" t="n"/>
      <c r="B341" s="55" t="n"/>
      <c r="C341" s="56">
        <f>IF(OR(A341="",B341=""),"",IF(COUNTIF(Equipamentos!$A$2:$A$201,B341)=0,"tag não encontrada",IFERROR(INDEX(Equipamentos!$H$2:$H$201,MATCH(1,INDEX((Equipamentos!$A$2:$A$201=B341)*(Equipamentos!$P$2:$P$201=A341),0),0)),"confira a data")))</f>
        <v/>
      </c>
      <c r="D341">
        <f>IF(B341="","",IFERROR(INDEX(Equipamentos!$C$2:$C$201,MATCH(B341,Equipamentos!$A$2:$A$201,0)),""))</f>
        <v/>
      </c>
      <c r="E341" s="55" t="n"/>
      <c r="F341" s="55" t="n"/>
      <c r="G341">
        <f>IF(B341="","",IFERROR(INDEX(Equipamentos!$N$2:$N$201,MATCH(B341,Equipamentos!$A$2:$A$201,0)),""))</f>
        <v/>
      </c>
      <c r="H341">
        <f>IF(B341="","",IFERROR(INDEX(Equipamentos!$L$2:$L$201,MATCH(B341,Equipamentos!$A$2:$A$201,0)),""))</f>
        <v/>
      </c>
      <c r="I341" s="57">
        <f>IF(OR(A341="",B341=""),"",IFERROR(INDEX(Equipamentos!$J$2:$J$201,MATCH(1,INDEX((Equipamentos!$A$2:$A$201=B341)*(Equipamentos!$P$2:$P$201=A341),0),0)),""))</f>
        <v/>
      </c>
    </row>
    <row r="342">
      <c r="A342" s="54" t="n"/>
      <c r="B342" s="55" t="n"/>
      <c r="C342" s="56">
        <f>IF(OR(A342="",B342=""),"",IF(COUNTIF(Equipamentos!$A$2:$A$201,B342)=0,"tag não encontrada",IFERROR(INDEX(Equipamentos!$H$2:$H$201,MATCH(1,INDEX((Equipamentos!$A$2:$A$201=B342)*(Equipamentos!$P$2:$P$201=A342),0),0)),"confira a data")))</f>
        <v/>
      </c>
      <c r="D342">
        <f>IF(B342="","",IFERROR(INDEX(Equipamentos!$C$2:$C$201,MATCH(B342,Equipamentos!$A$2:$A$201,0)),""))</f>
        <v/>
      </c>
      <c r="E342" s="55" t="n"/>
      <c r="F342" s="55" t="n"/>
      <c r="G342">
        <f>IF(B342="","",IFERROR(INDEX(Equipamentos!$N$2:$N$201,MATCH(B342,Equipamentos!$A$2:$A$201,0)),""))</f>
        <v/>
      </c>
      <c r="H342">
        <f>IF(B342="","",IFERROR(INDEX(Equipamentos!$L$2:$L$201,MATCH(B342,Equipamentos!$A$2:$A$201,0)),""))</f>
        <v/>
      </c>
      <c r="I342" s="57">
        <f>IF(OR(A342="",B342=""),"",IFERROR(INDEX(Equipamentos!$J$2:$J$201,MATCH(1,INDEX((Equipamentos!$A$2:$A$201=B342)*(Equipamentos!$P$2:$P$201=A342),0),0)),""))</f>
        <v/>
      </c>
    </row>
    <row r="343">
      <c r="A343" s="54" t="n"/>
      <c r="B343" s="55" t="n"/>
      <c r="C343" s="56">
        <f>IF(OR(A343="",B343=""),"",IF(COUNTIF(Equipamentos!$A$2:$A$201,B343)=0,"tag não encontrada",IFERROR(INDEX(Equipamentos!$H$2:$H$201,MATCH(1,INDEX((Equipamentos!$A$2:$A$201=B343)*(Equipamentos!$P$2:$P$201=A343),0),0)),"confira a data")))</f>
        <v/>
      </c>
      <c r="D343">
        <f>IF(B343="","",IFERROR(INDEX(Equipamentos!$C$2:$C$201,MATCH(B343,Equipamentos!$A$2:$A$201,0)),""))</f>
        <v/>
      </c>
      <c r="E343" s="55" t="n"/>
      <c r="F343" s="55" t="n"/>
      <c r="G343">
        <f>IF(B343="","",IFERROR(INDEX(Equipamentos!$N$2:$N$201,MATCH(B343,Equipamentos!$A$2:$A$201,0)),""))</f>
        <v/>
      </c>
      <c r="H343">
        <f>IF(B343="","",IFERROR(INDEX(Equipamentos!$L$2:$L$201,MATCH(B343,Equipamentos!$A$2:$A$201,0)),""))</f>
        <v/>
      </c>
      <c r="I343" s="57">
        <f>IF(OR(A343="",B343=""),"",IFERROR(INDEX(Equipamentos!$J$2:$J$201,MATCH(1,INDEX((Equipamentos!$A$2:$A$201=B343)*(Equipamentos!$P$2:$P$201=A343),0),0)),""))</f>
        <v/>
      </c>
    </row>
    <row r="344">
      <c r="A344" s="54" t="n"/>
      <c r="B344" s="55" t="n"/>
      <c r="C344" s="56">
        <f>IF(OR(A344="",B344=""),"",IF(COUNTIF(Equipamentos!$A$2:$A$201,B344)=0,"tag não encontrada",IFERROR(INDEX(Equipamentos!$H$2:$H$201,MATCH(1,INDEX((Equipamentos!$A$2:$A$201=B344)*(Equipamentos!$P$2:$P$201=A344),0),0)),"confira a data")))</f>
        <v/>
      </c>
      <c r="D344">
        <f>IF(B344="","",IFERROR(INDEX(Equipamentos!$C$2:$C$201,MATCH(B344,Equipamentos!$A$2:$A$201,0)),""))</f>
        <v/>
      </c>
      <c r="E344" s="55" t="n"/>
      <c r="F344" s="55" t="n"/>
      <c r="G344">
        <f>IF(B344="","",IFERROR(INDEX(Equipamentos!$N$2:$N$201,MATCH(B344,Equipamentos!$A$2:$A$201,0)),""))</f>
        <v/>
      </c>
      <c r="H344">
        <f>IF(B344="","",IFERROR(INDEX(Equipamentos!$L$2:$L$201,MATCH(B344,Equipamentos!$A$2:$A$201,0)),""))</f>
        <v/>
      </c>
      <c r="I344" s="57">
        <f>IF(OR(A344="",B344=""),"",IFERROR(INDEX(Equipamentos!$J$2:$J$201,MATCH(1,INDEX((Equipamentos!$A$2:$A$201=B344)*(Equipamentos!$P$2:$P$201=A344),0),0)),""))</f>
        <v/>
      </c>
    </row>
    <row r="345">
      <c r="A345" s="54" t="n"/>
      <c r="B345" s="55" t="n"/>
      <c r="C345" s="56">
        <f>IF(OR(A345="",B345=""),"",IF(COUNTIF(Equipamentos!$A$2:$A$201,B345)=0,"tag não encontrada",IFERROR(INDEX(Equipamentos!$H$2:$H$201,MATCH(1,INDEX((Equipamentos!$A$2:$A$201=B345)*(Equipamentos!$P$2:$P$201=A345),0),0)),"confira a data")))</f>
        <v/>
      </c>
      <c r="D345">
        <f>IF(B345="","",IFERROR(INDEX(Equipamentos!$C$2:$C$201,MATCH(B345,Equipamentos!$A$2:$A$201,0)),""))</f>
        <v/>
      </c>
      <c r="E345" s="55" t="n"/>
      <c r="F345" s="55" t="n"/>
      <c r="G345">
        <f>IF(B345="","",IFERROR(INDEX(Equipamentos!$N$2:$N$201,MATCH(B345,Equipamentos!$A$2:$A$201,0)),""))</f>
        <v/>
      </c>
      <c r="H345">
        <f>IF(B345="","",IFERROR(INDEX(Equipamentos!$L$2:$L$201,MATCH(B345,Equipamentos!$A$2:$A$201,0)),""))</f>
        <v/>
      </c>
      <c r="I345" s="57">
        <f>IF(OR(A345="",B345=""),"",IFERROR(INDEX(Equipamentos!$J$2:$J$201,MATCH(1,INDEX((Equipamentos!$A$2:$A$201=B345)*(Equipamentos!$P$2:$P$201=A345),0),0)),""))</f>
        <v/>
      </c>
    </row>
    <row r="346">
      <c r="A346" s="54" t="n"/>
      <c r="B346" s="55" t="n"/>
      <c r="C346" s="56">
        <f>IF(OR(A346="",B346=""),"",IF(COUNTIF(Equipamentos!$A$2:$A$201,B346)=0,"tag não encontrada",IFERROR(INDEX(Equipamentos!$H$2:$H$201,MATCH(1,INDEX((Equipamentos!$A$2:$A$201=B346)*(Equipamentos!$P$2:$P$201=A346),0),0)),"confira a data")))</f>
        <v/>
      </c>
      <c r="D346">
        <f>IF(B346="","",IFERROR(INDEX(Equipamentos!$C$2:$C$201,MATCH(B346,Equipamentos!$A$2:$A$201,0)),""))</f>
        <v/>
      </c>
      <c r="E346" s="55" t="n"/>
      <c r="F346" s="55" t="n"/>
      <c r="G346">
        <f>IF(B346="","",IFERROR(INDEX(Equipamentos!$N$2:$N$201,MATCH(B346,Equipamentos!$A$2:$A$201,0)),""))</f>
        <v/>
      </c>
      <c r="H346">
        <f>IF(B346="","",IFERROR(INDEX(Equipamentos!$L$2:$L$201,MATCH(B346,Equipamentos!$A$2:$A$201,0)),""))</f>
        <v/>
      </c>
      <c r="I346" s="57">
        <f>IF(OR(A346="",B346=""),"",IFERROR(INDEX(Equipamentos!$J$2:$J$201,MATCH(1,INDEX((Equipamentos!$A$2:$A$201=B346)*(Equipamentos!$P$2:$P$201=A346),0),0)),""))</f>
        <v/>
      </c>
    </row>
    <row r="347">
      <c r="A347" s="54" t="n"/>
      <c r="B347" s="55" t="n"/>
      <c r="C347" s="56">
        <f>IF(OR(A347="",B347=""),"",IF(COUNTIF(Equipamentos!$A$2:$A$201,B347)=0,"tag não encontrada",IFERROR(INDEX(Equipamentos!$H$2:$H$201,MATCH(1,INDEX((Equipamentos!$A$2:$A$201=B347)*(Equipamentos!$P$2:$P$201=A347),0),0)),"confira a data")))</f>
        <v/>
      </c>
      <c r="D347">
        <f>IF(B347="","",IFERROR(INDEX(Equipamentos!$C$2:$C$201,MATCH(B347,Equipamentos!$A$2:$A$201,0)),""))</f>
        <v/>
      </c>
      <c r="E347" s="55" t="n"/>
      <c r="F347" s="55" t="n"/>
      <c r="G347">
        <f>IF(B347="","",IFERROR(INDEX(Equipamentos!$N$2:$N$201,MATCH(B347,Equipamentos!$A$2:$A$201,0)),""))</f>
        <v/>
      </c>
      <c r="H347">
        <f>IF(B347="","",IFERROR(INDEX(Equipamentos!$L$2:$L$201,MATCH(B347,Equipamentos!$A$2:$A$201,0)),""))</f>
        <v/>
      </c>
      <c r="I347" s="57">
        <f>IF(OR(A347="",B347=""),"",IFERROR(INDEX(Equipamentos!$J$2:$J$201,MATCH(1,INDEX((Equipamentos!$A$2:$A$201=B347)*(Equipamentos!$P$2:$P$201=A347),0),0)),""))</f>
        <v/>
      </c>
    </row>
    <row r="348">
      <c r="A348" s="54" t="n"/>
      <c r="B348" s="55" t="n"/>
      <c r="C348" s="56">
        <f>IF(OR(A348="",B348=""),"",IF(COUNTIF(Equipamentos!$A$2:$A$201,B348)=0,"tag não encontrada",IFERROR(INDEX(Equipamentos!$H$2:$H$201,MATCH(1,INDEX((Equipamentos!$A$2:$A$201=B348)*(Equipamentos!$P$2:$P$201=A348),0),0)),"confira a data")))</f>
        <v/>
      </c>
      <c r="D348">
        <f>IF(B348="","",IFERROR(INDEX(Equipamentos!$C$2:$C$201,MATCH(B348,Equipamentos!$A$2:$A$201,0)),""))</f>
        <v/>
      </c>
      <c r="E348" s="55" t="n"/>
      <c r="F348" s="55" t="n"/>
      <c r="G348">
        <f>IF(B348="","",IFERROR(INDEX(Equipamentos!$N$2:$N$201,MATCH(B348,Equipamentos!$A$2:$A$201,0)),""))</f>
        <v/>
      </c>
      <c r="H348">
        <f>IF(B348="","",IFERROR(INDEX(Equipamentos!$L$2:$L$201,MATCH(B348,Equipamentos!$A$2:$A$201,0)),""))</f>
        <v/>
      </c>
      <c r="I348" s="57">
        <f>IF(OR(A348="",B348=""),"",IFERROR(INDEX(Equipamentos!$J$2:$J$201,MATCH(1,INDEX((Equipamentos!$A$2:$A$201=B348)*(Equipamentos!$P$2:$P$201=A348),0),0)),""))</f>
        <v/>
      </c>
    </row>
    <row r="349">
      <c r="A349" s="54" t="n"/>
      <c r="B349" s="55" t="n"/>
      <c r="C349" s="56">
        <f>IF(OR(A349="",B349=""),"",IF(COUNTIF(Equipamentos!$A$2:$A$201,B349)=0,"tag não encontrada",IFERROR(INDEX(Equipamentos!$H$2:$H$201,MATCH(1,INDEX((Equipamentos!$A$2:$A$201=B349)*(Equipamentos!$P$2:$P$201=A349),0),0)),"confira a data")))</f>
        <v/>
      </c>
      <c r="D349">
        <f>IF(B349="","",IFERROR(INDEX(Equipamentos!$C$2:$C$201,MATCH(B349,Equipamentos!$A$2:$A$201,0)),""))</f>
        <v/>
      </c>
      <c r="E349" s="55" t="n"/>
      <c r="F349" s="55" t="n"/>
      <c r="G349">
        <f>IF(B349="","",IFERROR(INDEX(Equipamentos!$N$2:$N$201,MATCH(B349,Equipamentos!$A$2:$A$201,0)),""))</f>
        <v/>
      </c>
      <c r="H349">
        <f>IF(B349="","",IFERROR(INDEX(Equipamentos!$L$2:$L$201,MATCH(B349,Equipamentos!$A$2:$A$201,0)),""))</f>
        <v/>
      </c>
      <c r="I349" s="57">
        <f>IF(OR(A349="",B349=""),"",IFERROR(INDEX(Equipamentos!$J$2:$J$201,MATCH(1,INDEX((Equipamentos!$A$2:$A$201=B349)*(Equipamentos!$P$2:$P$201=A349),0),0)),""))</f>
        <v/>
      </c>
    </row>
    <row r="350">
      <c r="A350" s="54" t="n"/>
      <c r="B350" s="55" t="n"/>
      <c r="C350" s="56">
        <f>IF(OR(A350="",B350=""),"",IF(COUNTIF(Equipamentos!$A$2:$A$201,B350)=0,"tag não encontrada",IFERROR(INDEX(Equipamentos!$H$2:$H$201,MATCH(1,INDEX((Equipamentos!$A$2:$A$201=B350)*(Equipamentos!$P$2:$P$201=A350),0),0)),"confira a data")))</f>
        <v/>
      </c>
      <c r="D350">
        <f>IF(B350="","",IFERROR(INDEX(Equipamentos!$C$2:$C$201,MATCH(B350,Equipamentos!$A$2:$A$201,0)),""))</f>
        <v/>
      </c>
      <c r="E350" s="55" t="n"/>
      <c r="F350" s="55" t="n"/>
      <c r="G350">
        <f>IF(B350="","",IFERROR(INDEX(Equipamentos!$N$2:$N$201,MATCH(B350,Equipamentos!$A$2:$A$201,0)),""))</f>
        <v/>
      </c>
      <c r="H350">
        <f>IF(B350="","",IFERROR(INDEX(Equipamentos!$L$2:$L$201,MATCH(B350,Equipamentos!$A$2:$A$201,0)),""))</f>
        <v/>
      </c>
      <c r="I350" s="57">
        <f>IF(OR(A350="",B350=""),"",IFERROR(INDEX(Equipamentos!$J$2:$J$201,MATCH(1,INDEX((Equipamentos!$A$2:$A$201=B350)*(Equipamentos!$P$2:$P$201=A350),0),0)),""))</f>
        <v/>
      </c>
    </row>
    <row r="351">
      <c r="A351" s="54" t="n"/>
      <c r="B351" s="55" t="n"/>
      <c r="C351" s="56">
        <f>IF(OR(A351="",B351=""),"",IF(COUNTIF(Equipamentos!$A$2:$A$201,B351)=0,"tag não encontrada",IFERROR(INDEX(Equipamentos!$H$2:$H$201,MATCH(1,INDEX((Equipamentos!$A$2:$A$201=B351)*(Equipamentos!$P$2:$P$201=A351),0),0)),"confira a data")))</f>
        <v/>
      </c>
      <c r="D351">
        <f>IF(B351="","",IFERROR(INDEX(Equipamentos!$C$2:$C$201,MATCH(B351,Equipamentos!$A$2:$A$201,0)),""))</f>
        <v/>
      </c>
      <c r="E351" s="55" t="n"/>
      <c r="F351" s="55" t="n"/>
      <c r="G351">
        <f>IF(B351="","",IFERROR(INDEX(Equipamentos!$N$2:$N$201,MATCH(B351,Equipamentos!$A$2:$A$201,0)),""))</f>
        <v/>
      </c>
      <c r="H351">
        <f>IF(B351="","",IFERROR(INDEX(Equipamentos!$L$2:$L$201,MATCH(B351,Equipamentos!$A$2:$A$201,0)),""))</f>
        <v/>
      </c>
      <c r="I351" s="57">
        <f>IF(OR(A351="",B351=""),"",IFERROR(INDEX(Equipamentos!$J$2:$J$201,MATCH(1,INDEX((Equipamentos!$A$2:$A$201=B351)*(Equipamentos!$P$2:$P$201=A351),0),0)),""))</f>
        <v/>
      </c>
    </row>
    <row r="352">
      <c r="A352" s="54" t="n"/>
      <c r="B352" s="55" t="n"/>
      <c r="C352" s="56">
        <f>IF(OR(A352="",B352=""),"",IF(COUNTIF(Equipamentos!$A$2:$A$201,B352)=0,"tag não encontrada",IFERROR(INDEX(Equipamentos!$H$2:$H$201,MATCH(1,INDEX((Equipamentos!$A$2:$A$201=B352)*(Equipamentos!$P$2:$P$201=A352),0),0)),"confira a data")))</f>
        <v/>
      </c>
      <c r="D352">
        <f>IF(B352="","",IFERROR(INDEX(Equipamentos!$C$2:$C$201,MATCH(B352,Equipamentos!$A$2:$A$201,0)),""))</f>
        <v/>
      </c>
      <c r="E352" s="55" t="n"/>
      <c r="F352" s="55" t="n"/>
      <c r="G352">
        <f>IF(B352="","",IFERROR(INDEX(Equipamentos!$N$2:$N$201,MATCH(B352,Equipamentos!$A$2:$A$201,0)),""))</f>
        <v/>
      </c>
      <c r="H352">
        <f>IF(B352="","",IFERROR(INDEX(Equipamentos!$L$2:$L$201,MATCH(B352,Equipamentos!$A$2:$A$201,0)),""))</f>
        <v/>
      </c>
      <c r="I352" s="57">
        <f>IF(OR(A352="",B352=""),"",IFERROR(INDEX(Equipamentos!$J$2:$J$201,MATCH(1,INDEX((Equipamentos!$A$2:$A$201=B352)*(Equipamentos!$P$2:$P$201=A352),0),0)),""))</f>
        <v/>
      </c>
    </row>
    <row r="353">
      <c r="A353" s="54" t="n"/>
      <c r="B353" s="55" t="n"/>
      <c r="C353" s="56">
        <f>IF(OR(A353="",B353=""),"",IF(COUNTIF(Equipamentos!$A$2:$A$201,B353)=0,"tag não encontrada",IFERROR(INDEX(Equipamentos!$H$2:$H$201,MATCH(1,INDEX((Equipamentos!$A$2:$A$201=B353)*(Equipamentos!$P$2:$P$201=A353),0),0)),"confira a data")))</f>
        <v/>
      </c>
      <c r="D353">
        <f>IF(B353="","",IFERROR(INDEX(Equipamentos!$C$2:$C$201,MATCH(B353,Equipamentos!$A$2:$A$201,0)),""))</f>
        <v/>
      </c>
      <c r="E353" s="55" t="n"/>
      <c r="F353" s="55" t="n"/>
      <c r="G353">
        <f>IF(B353="","",IFERROR(INDEX(Equipamentos!$N$2:$N$201,MATCH(B353,Equipamentos!$A$2:$A$201,0)),""))</f>
        <v/>
      </c>
      <c r="H353">
        <f>IF(B353="","",IFERROR(INDEX(Equipamentos!$L$2:$L$201,MATCH(B353,Equipamentos!$A$2:$A$201,0)),""))</f>
        <v/>
      </c>
      <c r="I353" s="57">
        <f>IF(OR(A353="",B353=""),"",IFERROR(INDEX(Equipamentos!$J$2:$J$201,MATCH(1,INDEX((Equipamentos!$A$2:$A$201=B353)*(Equipamentos!$P$2:$P$201=A353),0),0)),""))</f>
        <v/>
      </c>
    </row>
    <row r="354">
      <c r="A354" s="54" t="n"/>
      <c r="B354" s="55" t="n"/>
      <c r="C354" s="56">
        <f>IF(OR(A354="",B354=""),"",IF(COUNTIF(Equipamentos!$A$2:$A$201,B354)=0,"tag não encontrada",IFERROR(INDEX(Equipamentos!$H$2:$H$201,MATCH(1,INDEX((Equipamentos!$A$2:$A$201=B354)*(Equipamentos!$P$2:$P$201=A354),0),0)),"confira a data")))</f>
        <v/>
      </c>
      <c r="D354">
        <f>IF(B354="","",IFERROR(INDEX(Equipamentos!$C$2:$C$201,MATCH(B354,Equipamentos!$A$2:$A$201,0)),""))</f>
        <v/>
      </c>
      <c r="E354" s="55" t="n"/>
      <c r="F354" s="55" t="n"/>
      <c r="G354">
        <f>IF(B354="","",IFERROR(INDEX(Equipamentos!$N$2:$N$201,MATCH(B354,Equipamentos!$A$2:$A$201,0)),""))</f>
        <v/>
      </c>
      <c r="H354">
        <f>IF(B354="","",IFERROR(INDEX(Equipamentos!$L$2:$L$201,MATCH(B354,Equipamentos!$A$2:$A$201,0)),""))</f>
        <v/>
      </c>
      <c r="I354" s="57">
        <f>IF(OR(A354="",B354=""),"",IFERROR(INDEX(Equipamentos!$J$2:$J$201,MATCH(1,INDEX((Equipamentos!$A$2:$A$201=B354)*(Equipamentos!$P$2:$P$201=A354),0),0)),""))</f>
        <v/>
      </c>
    </row>
    <row r="355">
      <c r="A355" s="54" t="n"/>
      <c r="B355" s="55" t="n"/>
      <c r="C355" s="56">
        <f>IF(OR(A355="",B355=""),"",IF(COUNTIF(Equipamentos!$A$2:$A$201,B355)=0,"tag não encontrada",IFERROR(INDEX(Equipamentos!$H$2:$H$201,MATCH(1,INDEX((Equipamentos!$A$2:$A$201=B355)*(Equipamentos!$P$2:$P$201=A355),0),0)),"confira a data")))</f>
        <v/>
      </c>
      <c r="D355">
        <f>IF(B355="","",IFERROR(INDEX(Equipamentos!$C$2:$C$201,MATCH(B355,Equipamentos!$A$2:$A$201,0)),""))</f>
        <v/>
      </c>
      <c r="E355" s="55" t="n"/>
      <c r="F355" s="55" t="n"/>
      <c r="G355">
        <f>IF(B355="","",IFERROR(INDEX(Equipamentos!$N$2:$N$201,MATCH(B355,Equipamentos!$A$2:$A$201,0)),""))</f>
        <v/>
      </c>
      <c r="H355">
        <f>IF(B355="","",IFERROR(INDEX(Equipamentos!$L$2:$L$201,MATCH(B355,Equipamentos!$A$2:$A$201,0)),""))</f>
        <v/>
      </c>
      <c r="I355" s="57">
        <f>IF(OR(A355="",B355=""),"",IFERROR(INDEX(Equipamentos!$J$2:$J$201,MATCH(1,INDEX((Equipamentos!$A$2:$A$201=B355)*(Equipamentos!$P$2:$P$201=A355),0),0)),""))</f>
        <v/>
      </c>
    </row>
    <row r="356">
      <c r="A356" s="54" t="n"/>
      <c r="B356" s="55" t="n"/>
      <c r="C356" s="56">
        <f>IF(OR(A356="",B356=""),"",IF(COUNTIF(Equipamentos!$A$2:$A$201,B356)=0,"tag não encontrada",IFERROR(INDEX(Equipamentos!$H$2:$H$201,MATCH(1,INDEX((Equipamentos!$A$2:$A$201=B356)*(Equipamentos!$P$2:$P$201=A356),0),0)),"confira a data")))</f>
        <v/>
      </c>
      <c r="D356">
        <f>IF(B356="","",IFERROR(INDEX(Equipamentos!$C$2:$C$201,MATCH(B356,Equipamentos!$A$2:$A$201,0)),""))</f>
        <v/>
      </c>
      <c r="E356" s="55" t="n"/>
      <c r="F356" s="55" t="n"/>
      <c r="G356">
        <f>IF(B356="","",IFERROR(INDEX(Equipamentos!$N$2:$N$201,MATCH(B356,Equipamentos!$A$2:$A$201,0)),""))</f>
        <v/>
      </c>
      <c r="H356">
        <f>IF(B356="","",IFERROR(INDEX(Equipamentos!$L$2:$L$201,MATCH(B356,Equipamentos!$A$2:$A$201,0)),""))</f>
        <v/>
      </c>
      <c r="I356" s="57">
        <f>IF(OR(A356="",B356=""),"",IFERROR(INDEX(Equipamentos!$J$2:$J$201,MATCH(1,INDEX((Equipamentos!$A$2:$A$201=B356)*(Equipamentos!$P$2:$P$201=A356),0),0)),""))</f>
        <v/>
      </c>
    </row>
    <row r="357">
      <c r="A357" s="54" t="n"/>
      <c r="B357" s="55" t="n"/>
      <c r="C357" s="56">
        <f>IF(OR(A357="",B357=""),"",IF(COUNTIF(Equipamentos!$A$2:$A$201,B357)=0,"tag não encontrada",IFERROR(INDEX(Equipamentos!$H$2:$H$201,MATCH(1,INDEX((Equipamentos!$A$2:$A$201=B357)*(Equipamentos!$P$2:$P$201=A357),0),0)),"confira a data")))</f>
        <v/>
      </c>
      <c r="D357">
        <f>IF(B357="","",IFERROR(INDEX(Equipamentos!$C$2:$C$201,MATCH(B357,Equipamentos!$A$2:$A$201,0)),""))</f>
        <v/>
      </c>
      <c r="E357" s="55" t="n"/>
      <c r="F357" s="55" t="n"/>
      <c r="G357">
        <f>IF(B357="","",IFERROR(INDEX(Equipamentos!$N$2:$N$201,MATCH(B357,Equipamentos!$A$2:$A$201,0)),""))</f>
        <v/>
      </c>
      <c r="H357">
        <f>IF(B357="","",IFERROR(INDEX(Equipamentos!$L$2:$L$201,MATCH(B357,Equipamentos!$A$2:$A$201,0)),""))</f>
        <v/>
      </c>
      <c r="I357" s="57">
        <f>IF(OR(A357="",B357=""),"",IFERROR(INDEX(Equipamentos!$J$2:$J$201,MATCH(1,INDEX((Equipamentos!$A$2:$A$201=B357)*(Equipamentos!$P$2:$P$201=A357),0),0)),""))</f>
        <v/>
      </c>
    </row>
    <row r="358">
      <c r="A358" s="54" t="n"/>
      <c r="B358" s="55" t="n"/>
      <c r="C358" s="56">
        <f>IF(OR(A358="",B358=""),"",IF(COUNTIF(Equipamentos!$A$2:$A$201,B358)=0,"tag não encontrada",IFERROR(INDEX(Equipamentos!$H$2:$H$201,MATCH(1,INDEX((Equipamentos!$A$2:$A$201=B358)*(Equipamentos!$P$2:$P$201=A358),0),0)),"confira a data")))</f>
        <v/>
      </c>
      <c r="D358">
        <f>IF(B358="","",IFERROR(INDEX(Equipamentos!$C$2:$C$201,MATCH(B358,Equipamentos!$A$2:$A$201,0)),""))</f>
        <v/>
      </c>
      <c r="E358" s="55" t="n"/>
      <c r="F358" s="55" t="n"/>
      <c r="G358">
        <f>IF(B358="","",IFERROR(INDEX(Equipamentos!$N$2:$N$201,MATCH(B358,Equipamentos!$A$2:$A$201,0)),""))</f>
        <v/>
      </c>
      <c r="H358">
        <f>IF(B358="","",IFERROR(INDEX(Equipamentos!$L$2:$L$201,MATCH(B358,Equipamentos!$A$2:$A$201,0)),""))</f>
        <v/>
      </c>
      <c r="I358" s="57">
        <f>IF(OR(A358="",B358=""),"",IFERROR(INDEX(Equipamentos!$J$2:$J$201,MATCH(1,INDEX((Equipamentos!$A$2:$A$201=B358)*(Equipamentos!$P$2:$P$201=A358),0),0)),""))</f>
        <v/>
      </c>
    </row>
    <row r="359">
      <c r="A359" s="54" t="n"/>
      <c r="B359" s="55" t="n"/>
      <c r="C359" s="56">
        <f>IF(OR(A359="",B359=""),"",IF(COUNTIF(Equipamentos!$A$2:$A$201,B359)=0,"tag não encontrada",IFERROR(INDEX(Equipamentos!$H$2:$H$201,MATCH(1,INDEX((Equipamentos!$A$2:$A$201=B359)*(Equipamentos!$P$2:$P$201=A359),0),0)),"confira a data")))</f>
        <v/>
      </c>
      <c r="D359">
        <f>IF(B359="","",IFERROR(INDEX(Equipamentos!$C$2:$C$201,MATCH(B359,Equipamentos!$A$2:$A$201,0)),""))</f>
        <v/>
      </c>
      <c r="E359" s="55" t="n"/>
      <c r="F359" s="55" t="n"/>
      <c r="G359">
        <f>IF(B359="","",IFERROR(INDEX(Equipamentos!$N$2:$N$201,MATCH(B359,Equipamentos!$A$2:$A$201,0)),""))</f>
        <v/>
      </c>
      <c r="H359">
        <f>IF(B359="","",IFERROR(INDEX(Equipamentos!$L$2:$L$201,MATCH(B359,Equipamentos!$A$2:$A$201,0)),""))</f>
        <v/>
      </c>
      <c r="I359" s="57">
        <f>IF(OR(A359="",B359=""),"",IFERROR(INDEX(Equipamentos!$J$2:$J$201,MATCH(1,INDEX((Equipamentos!$A$2:$A$201=B359)*(Equipamentos!$P$2:$P$201=A359),0),0)),""))</f>
        <v/>
      </c>
    </row>
    <row r="360">
      <c r="A360" s="54" t="n"/>
      <c r="B360" s="55" t="n"/>
      <c r="C360" s="56">
        <f>IF(OR(A360="",B360=""),"",IF(COUNTIF(Equipamentos!$A$2:$A$201,B360)=0,"tag não encontrada",IFERROR(INDEX(Equipamentos!$H$2:$H$201,MATCH(1,INDEX((Equipamentos!$A$2:$A$201=B360)*(Equipamentos!$P$2:$P$201=A360),0),0)),"confira a data")))</f>
        <v/>
      </c>
      <c r="D360">
        <f>IF(B360="","",IFERROR(INDEX(Equipamentos!$C$2:$C$201,MATCH(B360,Equipamentos!$A$2:$A$201,0)),""))</f>
        <v/>
      </c>
      <c r="E360" s="55" t="n"/>
      <c r="F360" s="55" t="n"/>
      <c r="G360">
        <f>IF(B360="","",IFERROR(INDEX(Equipamentos!$N$2:$N$201,MATCH(B360,Equipamentos!$A$2:$A$201,0)),""))</f>
        <v/>
      </c>
      <c r="H360">
        <f>IF(B360="","",IFERROR(INDEX(Equipamentos!$L$2:$L$201,MATCH(B360,Equipamentos!$A$2:$A$201,0)),""))</f>
        <v/>
      </c>
      <c r="I360" s="57">
        <f>IF(OR(A360="",B360=""),"",IFERROR(INDEX(Equipamentos!$J$2:$J$201,MATCH(1,INDEX((Equipamentos!$A$2:$A$201=B360)*(Equipamentos!$P$2:$P$201=A360),0),0)),""))</f>
        <v/>
      </c>
    </row>
    <row r="361">
      <c r="A361" s="54" t="n"/>
      <c r="B361" s="55" t="n"/>
      <c r="C361" s="56">
        <f>IF(OR(A361="",B361=""),"",IF(COUNTIF(Equipamentos!$A$2:$A$201,B361)=0,"tag não encontrada",IFERROR(INDEX(Equipamentos!$H$2:$H$201,MATCH(1,INDEX((Equipamentos!$A$2:$A$201=B361)*(Equipamentos!$P$2:$P$201=A361),0),0)),"confira a data")))</f>
        <v/>
      </c>
      <c r="D361">
        <f>IF(B361="","",IFERROR(INDEX(Equipamentos!$C$2:$C$201,MATCH(B361,Equipamentos!$A$2:$A$201,0)),""))</f>
        <v/>
      </c>
      <c r="E361" s="55" t="n"/>
      <c r="F361" s="55" t="n"/>
      <c r="G361">
        <f>IF(B361="","",IFERROR(INDEX(Equipamentos!$N$2:$N$201,MATCH(B361,Equipamentos!$A$2:$A$201,0)),""))</f>
        <v/>
      </c>
      <c r="H361">
        <f>IF(B361="","",IFERROR(INDEX(Equipamentos!$L$2:$L$201,MATCH(B361,Equipamentos!$A$2:$A$201,0)),""))</f>
        <v/>
      </c>
      <c r="I361" s="57">
        <f>IF(OR(A361="",B361=""),"",IFERROR(INDEX(Equipamentos!$J$2:$J$201,MATCH(1,INDEX((Equipamentos!$A$2:$A$201=B361)*(Equipamentos!$P$2:$P$201=A361),0),0)),""))</f>
        <v/>
      </c>
    </row>
    <row r="362">
      <c r="A362" s="54" t="n"/>
      <c r="B362" s="55" t="n"/>
      <c r="C362" s="56">
        <f>IF(OR(A362="",B362=""),"",IF(COUNTIF(Equipamentos!$A$2:$A$201,B362)=0,"tag não encontrada",IFERROR(INDEX(Equipamentos!$H$2:$H$201,MATCH(1,INDEX((Equipamentos!$A$2:$A$201=B362)*(Equipamentos!$P$2:$P$201=A362),0),0)),"confira a data")))</f>
        <v/>
      </c>
      <c r="D362">
        <f>IF(B362="","",IFERROR(INDEX(Equipamentos!$C$2:$C$201,MATCH(B362,Equipamentos!$A$2:$A$201,0)),""))</f>
        <v/>
      </c>
      <c r="E362" s="55" t="n"/>
      <c r="F362" s="55" t="n"/>
      <c r="G362">
        <f>IF(B362="","",IFERROR(INDEX(Equipamentos!$N$2:$N$201,MATCH(B362,Equipamentos!$A$2:$A$201,0)),""))</f>
        <v/>
      </c>
      <c r="H362">
        <f>IF(B362="","",IFERROR(INDEX(Equipamentos!$L$2:$L$201,MATCH(B362,Equipamentos!$A$2:$A$201,0)),""))</f>
        <v/>
      </c>
      <c r="I362" s="57">
        <f>IF(OR(A362="",B362=""),"",IFERROR(INDEX(Equipamentos!$J$2:$J$201,MATCH(1,INDEX((Equipamentos!$A$2:$A$201=B362)*(Equipamentos!$P$2:$P$201=A362),0),0)),""))</f>
        <v/>
      </c>
    </row>
    <row r="363">
      <c r="A363" s="54" t="n"/>
      <c r="B363" s="55" t="n"/>
      <c r="C363" s="56">
        <f>IF(OR(A363="",B363=""),"",IF(COUNTIF(Equipamentos!$A$2:$A$201,B363)=0,"tag não encontrada",IFERROR(INDEX(Equipamentos!$H$2:$H$201,MATCH(1,INDEX((Equipamentos!$A$2:$A$201=B363)*(Equipamentos!$P$2:$P$201=A363),0),0)),"confira a data")))</f>
        <v/>
      </c>
      <c r="D363">
        <f>IF(B363="","",IFERROR(INDEX(Equipamentos!$C$2:$C$201,MATCH(B363,Equipamentos!$A$2:$A$201,0)),""))</f>
        <v/>
      </c>
      <c r="E363" s="55" t="n"/>
      <c r="F363" s="55" t="n"/>
      <c r="G363">
        <f>IF(B363="","",IFERROR(INDEX(Equipamentos!$N$2:$N$201,MATCH(B363,Equipamentos!$A$2:$A$201,0)),""))</f>
        <v/>
      </c>
      <c r="H363">
        <f>IF(B363="","",IFERROR(INDEX(Equipamentos!$L$2:$L$201,MATCH(B363,Equipamentos!$A$2:$A$201,0)),""))</f>
        <v/>
      </c>
      <c r="I363" s="57">
        <f>IF(OR(A363="",B363=""),"",IFERROR(INDEX(Equipamentos!$J$2:$J$201,MATCH(1,INDEX((Equipamentos!$A$2:$A$201=B363)*(Equipamentos!$P$2:$P$201=A363),0),0)),""))</f>
        <v/>
      </c>
    </row>
    <row r="364">
      <c r="A364" s="54" t="n"/>
      <c r="B364" s="55" t="n"/>
      <c r="C364" s="56">
        <f>IF(OR(A364="",B364=""),"",IF(COUNTIF(Equipamentos!$A$2:$A$201,B364)=0,"tag não encontrada",IFERROR(INDEX(Equipamentos!$H$2:$H$201,MATCH(1,INDEX((Equipamentos!$A$2:$A$201=B364)*(Equipamentos!$P$2:$P$201=A364),0),0)),"confira a data")))</f>
        <v/>
      </c>
      <c r="D364">
        <f>IF(B364="","",IFERROR(INDEX(Equipamentos!$C$2:$C$201,MATCH(B364,Equipamentos!$A$2:$A$201,0)),""))</f>
        <v/>
      </c>
      <c r="E364" s="55" t="n"/>
      <c r="F364" s="55" t="n"/>
      <c r="G364">
        <f>IF(B364="","",IFERROR(INDEX(Equipamentos!$N$2:$N$201,MATCH(B364,Equipamentos!$A$2:$A$201,0)),""))</f>
        <v/>
      </c>
      <c r="H364">
        <f>IF(B364="","",IFERROR(INDEX(Equipamentos!$L$2:$L$201,MATCH(B364,Equipamentos!$A$2:$A$201,0)),""))</f>
        <v/>
      </c>
      <c r="I364" s="57">
        <f>IF(OR(A364="",B364=""),"",IFERROR(INDEX(Equipamentos!$J$2:$J$201,MATCH(1,INDEX((Equipamentos!$A$2:$A$201=B364)*(Equipamentos!$P$2:$P$201=A364),0),0)),""))</f>
        <v/>
      </c>
    </row>
    <row r="365">
      <c r="A365" s="54" t="n"/>
      <c r="B365" s="55" t="n"/>
      <c r="C365" s="56">
        <f>IF(OR(A365="",B365=""),"",IF(COUNTIF(Equipamentos!$A$2:$A$201,B365)=0,"tag não encontrada",IFERROR(INDEX(Equipamentos!$H$2:$H$201,MATCH(1,INDEX((Equipamentos!$A$2:$A$201=B365)*(Equipamentos!$P$2:$P$201=A365),0),0)),"confira a data")))</f>
        <v/>
      </c>
      <c r="D365">
        <f>IF(B365="","",IFERROR(INDEX(Equipamentos!$C$2:$C$201,MATCH(B365,Equipamentos!$A$2:$A$201,0)),""))</f>
        <v/>
      </c>
      <c r="E365" s="55" t="n"/>
      <c r="F365" s="55" t="n"/>
      <c r="G365">
        <f>IF(B365="","",IFERROR(INDEX(Equipamentos!$N$2:$N$201,MATCH(B365,Equipamentos!$A$2:$A$201,0)),""))</f>
        <v/>
      </c>
      <c r="H365">
        <f>IF(B365="","",IFERROR(INDEX(Equipamentos!$L$2:$L$201,MATCH(B365,Equipamentos!$A$2:$A$201,0)),""))</f>
        <v/>
      </c>
      <c r="I365" s="57">
        <f>IF(OR(A365="",B365=""),"",IFERROR(INDEX(Equipamentos!$J$2:$J$201,MATCH(1,INDEX((Equipamentos!$A$2:$A$201=B365)*(Equipamentos!$P$2:$P$201=A365),0),0)),""))</f>
        <v/>
      </c>
    </row>
    <row r="366">
      <c r="A366" s="54" t="n"/>
      <c r="B366" s="55" t="n"/>
      <c r="C366" s="56">
        <f>IF(OR(A366="",B366=""),"",IF(COUNTIF(Equipamentos!$A$2:$A$201,B366)=0,"tag não encontrada",IFERROR(INDEX(Equipamentos!$H$2:$H$201,MATCH(1,INDEX((Equipamentos!$A$2:$A$201=B366)*(Equipamentos!$P$2:$P$201=A366),0),0)),"confira a data")))</f>
        <v/>
      </c>
      <c r="D366">
        <f>IF(B366="","",IFERROR(INDEX(Equipamentos!$C$2:$C$201,MATCH(B366,Equipamentos!$A$2:$A$201,0)),""))</f>
        <v/>
      </c>
      <c r="E366" s="55" t="n"/>
      <c r="F366" s="55" t="n"/>
      <c r="G366">
        <f>IF(B366="","",IFERROR(INDEX(Equipamentos!$N$2:$N$201,MATCH(B366,Equipamentos!$A$2:$A$201,0)),""))</f>
        <v/>
      </c>
      <c r="H366">
        <f>IF(B366="","",IFERROR(INDEX(Equipamentos!$L$2:$L$201,MATCH(B366,Equipamentos!$A$2:$A$201,0)),""))</f>
        <v/>
      </c>
      <c r="I366" s="57">
        <f>IF(OR(A366="",B366=""),"",IFERROR(INDEX(Equipamentos!$J$2:$J$201,MATCH(1,INDEX((Equipamentos!$A$2:$A$201=B366)*(Equipamentos!$P$2:$P$201=A366),0),0)),""))</f>
        <v/>
      </c>
    </row>
    <row r="367">
      <c r="A367" s="54" t="n"/>
      <c r="B367" s="55" t="n"/>
      <c r="C367" s="56">
        <f>IF(OR(A367="",B367=""),"",IF(COUNTIF(Equipamentos!$A$2:$A$201,B367)=0,"tag não encontrada",IFERROR(INDEX(Equipamentos!$H$2:$H$201,MATCH(1,INDEX((Equipamentos!$A$2:$A$201=B367)*(Equipamentos!$P$2:$P$201=A367),0),0)),"confira a data")))</f>
        <v/>
      </c>
      <c r="D367">
        <f>IF(B367="","",IFERROR(INDEX(Equipamentos!$C$2:$C$201,MATCH(B367,Equipamentos!$A$2:$A$201,0)),""))</f>
        <v/>
      </c>
      <c r="E367" s="55" t="n"/>
      <c r="F367" s="55" t="n"/>
      <c r="G367">
        <f>IF(B367="","",IFERROR(INDEX(Equipamentos!$N$2:$N$201,MATCH(B367,Equipamentos!$A$2:$A$201,0)),""))</f>
        <v/>
      </c>
      <c r="H367">
        <f>IF(B367="","",IFERROR(INDEX(Equipamentos!$L$2:$L$201,MATCH(B367,Equipamentos!$A$2:$A$201,0)),""))</f>
        <v/>
      </c>
      <c r="I367" s="57">
        <f>IF(OR(A367="",B367=""),"",IFERROR(INDEX(Equipamentos!$J$2:$J$201,MATCH(1,INDEX((Equipamentos!$A$2:$A$201=B367)*(Equipamentos!$P$2:$P$201=A367),0),0)),""))</f>
        <v/>
      </c>
    </row>
    <row r="368">
      <c r="A368" s="54" t="n"/>
      <c r="B368" s="55" t="n"/>
      <c r="C368" s="56">
        <f>IF(OR(A368="",B368=""),"",IF(COUNTIF(Equipamentos!$A$2:$A$201,B368)=0,"tag não encontrada",IFERROR(INDEX(Equipamentos!$H$2:$H$201,MATCH(1,INDEX((Equipamentos!$A$2:$A$201=B368)*(Equipamentos!$P$2:$P$201=A368),0),0)),"confira a data")))</f>
        <v/>
      </c>
      <c r="D368">
        <f>IF(B368="","",IFERROR(INDEX(Equipamentos!$C$2:$C$201,MATCH(B368,Equipamentos!$A$2:$A$201,0)),""))</f>
        <v/>
      </c>
      <c r="E368" s="55" t="n"/>
      <c r="F368" s="55" t="n"/>
      <c r="G368">
        <f>IF(B368="","",IFERROR(INDEX(Equipamentos!$N$2:$N$201,MATCH(B368,Equipamentos!$A$2:$A$201,0)),""))</f>
        <v/>
      </c>
      <c r="H368">
        <f>IF(B368="","",IFERROR(INDEX(Equipamentos!$L$2:$L$201,MATCH(B368,Equipamentos!$A$2:$A$201,0)),""))</f>
        <v/>
      </c>
      <c r="I368" s="57">
        <f>IF(OR(A368="",B368=""),"",IFERROR(INDEX(Equipamentos!$J$2:$J$201,MATCH(1,INDEX((Equipamentos!$A$2:$A$201=B368)*(Equipamentos!$P$2:$P$201=A368),0),0)),""))</f>
        <v/>
      </c>
    </row>
    <row r="369">
      <c r="A369" s="54" t="n"/>
      <c r="B369" s="55" t="n"/>
      <c r="C369" s="56">
        <f>IF(OR(A369="",B369=""),"",IF(COUNTIF(Equipamentos!$A$2:$A$201,B369)=0,"tag não encontrada",IFERROR(INDEX(Equipamentos!$H$2:$H$201,MATCH(1,INDEX((Equipamentos!$A$2:$A$201=B369)*(Equipamentos!$P$2:$P$201=A369),0),0)),"confira a data")))</f>
        <v/>
      </c>
      <c r="D369">
        <f>IF(B369="","",IFERROR(INDEX(Equipamentos!$C$2:$C$201,MATCH(B369,Equipamentos!$A$2:$A$201,0)),""))</f>
        <v/>
      </c>
      <c r="E369" s="55" t="n"/>
      <c r="F369" s="55" t="n"/>
      <c r="G369">
        <f>IF(B369="","",IFERROR(INDEX(Equipamentos!$N$2:$N$201,MATCH(B369,Equipamentos!$A$2:$A$201,0)),""))</f>
        <v/>
      </c>
      <c r="H369">
        <f>IF(B369="","",IFERROR(INDEX(Equipamentos!$L$2:$L$201,MATCH(B369,Equipamentos!$A$2:$A$201,0)),""))</f>
        <v/>
      </c>
      <c r="I369" s="57">
        <f>IF(OR(A369="",B369=""),"",IFERROR(INDEX(Equipamentos!$J$2:$J$201,MATCH(1,INDEX((Equipamentos!$A$2:$A$201=B369)*(Equipamentos!$P$2:$P$201=A369),0),0)),""))</f>
        <v/>
      </c>
    </row>
    <row r="370">
      <c r="A370" s="54" t="n"/>
      <c r="B370" s="55" t="n"/>
      <c r="C370" s="56">
        <f>IF(OR(A370="",B370=""),"",IF(COUNTIF(Equipamentos!$A$2:$A$201,B370)=0,"tag não encontrada",IFERROR(INDEX(Equipamentos!$H$2:$H$201,MATCH(1,INDEX((Equipamentos!$A$2:$A$201=B370)*(Equipamentos!$P$2:$P$201=A370),0),0)),"confira a data")))</f>
        <v/>
      </c>
      <c r="D370">
        <f>IF(B370="","",IFERROR(INDEX(Equipamentos!$C$2:$C$201,MATCH(B370,Equipamentos!$A$2:$A$201,0)),""))</f>
        <v/>
      </c>
      <c r="E370" s="55" t="n"/>
      <c r="F370" s="55" t="n"/>
      <c r="G370">
        <f>IF(B370="","",IFERROR(INDEX(Equipamentos!$N$2:$N$201,MATCH(B370,Equipamentos!$A$2:$A$201,0)),""))</f>
        <v/>
      </c>
      <c r="H370">
        <f>IF(B370="","",IFERROR(INDEX(Equipamentos!$L$2:$L$201,MATCH(B370,Equipamentos!$A$2:$A$201,0)),""))</f>
        <v/>
      </c>
      <c r="I370" s="57">
        <f>IF(OR(A370="",B370=""),"",IFERROR(INDEX(Equipamentos!$J$2:$J$201,MATCH(1,INDEX((Equipamentos!$A$2:$A$201=B370)*(Equipamentos!$P$2:$P$201=A370),0),0)),""))</f>
        <v/>
      </c>
    </row>
    <row r="371">
      <c r="A371" s="54" t="n"/>
      <c r="B371" s="55" t="n"/>
      <c r="C371" s="56">
        <f>IF(OR(A371="",B371=""),"",IF(COUNTIF(Equipamentos!$A$2:$A$201,B371)=0,"tag não encontrada",IFERROR(INDEX(Equipamentos!$H$2:$H$201,MATCH(1,INDEX((Equipamentos!$A$2:$A$201=B371)*(Equipamentos!$P$2:$P$201=A371),0),0)),"confira a data")))</f>
        <v/>
      </c>
      <c r="D371">
        <f>IF(B371="","",IFERROR(INDEX(Equipamentos!$C$2:$C$201,MATCH(B371,Equipamentos!$A$2:$A$201,0)),""))</f>
        <v/>
      </c>
      <c r="E371" s="55" t="n"/>
      <c r="F371" s="55" t="n"/>
      <c r="G371">
        <f>IF(B371="","",IFERROR(INDEX(Equipamentos!$N$2:$N$201,MATCH(B371,Equipamentos!$A$2:$A$201,0)),""))</f>
        <v/>
      </c>
      <c r="H371">
        <f>IF(B371="","",IFERROR(INDEX(Equipamentos!$L$2:$L$201,MATCH(B371,Equipamentos!$A$2:$A$201,0)),""))</f>
        <v/>
      </c>
      <c r="I371" s="57">
        <f>IF(OR(A371="",B371=""),"",IFERROR(INDEX(Equipamentos!$J$2:$J$201,MATCH(1,INDEX((Equipamentos!$A$2:$A$201=B371)*(Equipamentos!$P$2:$P$201=A371),0),0)),""))</f>
        <v/>
      </c>
    </row>
    <row r="372">
      <c r="A372" s="54" t="n"/>
      <c r="B372" s="55" t="n"/>
      <c r="C372" s="56">
        <f>IF(OR(A372="",B372=""),"",IF(COUNTIF(Equipamentos!$A$2:$A$201,B372)=0,"tag não encontrada",IFERROR(INDEX(Equipamentos!$H$2:$H$201,MATCH(1,INDEX((Equipamentos!$A$2:$A$201=B372)*(Equipamentos!$P$2:$P$201=A372),0),0)),"confira a data")))</f>
        <v/>
      </c>
      <c r="D372">
        <f>IF(B372="","",IFERROR(INDEX(Equipamentos!$C$2:$C$201,MATCH(B372,Equipamentos!$A$2:$A$201,0)),""))</f>
        <v/>
      </c>
      <c r="E372" s="55" t="n"/>
      <c r="F372" s="55" t="n"/>
      <c r="G372">
        <f>IF(B372="","",IFERROR(INDEX(Equipamentos!$N$2:$N$201,MATCH(B372,Equipamentos!$A$2:$A$201,0)),""))</f>
        <v/>
      </c>
      <c r="H372">
        <f>IF(B372="","",IFERROR(INDEX(Equipamentos!$L$2:$L$201,MATCH(B372,Equipamentos!$A$2:$A$201,0)),""))</f>
        <v/>
      </c>
      <c r="I372" s="57">
        <f>IF(OR(A372="",B372=""),"",IFERROR(INDEX(Equipamentos!$J$2:$J$201,MATCH(1,INDEX((Equipamentos!$A$2:$A$201=B372)*(Equipamentos!$P$2:$P$201=A372),0),0)),""))</f>
        <v/>
      </c>
    </row>
    <row r="373">
      <c r="A373" s="54" t="n"/>
      <c r="B373" s="55" t="n"/>
      <c r="C373" s="56">
        <f>IF(OR(A373="",B373=""),"",IF(COUNTIF(Equipamentos!$A$2:$A$201,B373)=0,"tag não encontrada",IFERROR(INDEX(Equipamentos!$H$2:$H$201,MATCH(1,INDEX((Equipamentos!$A$2:$A$201=B373)*(Equipamentos!$P$2:$P$201=A373),0),0)),"confira a data")))</f>
        <v/>
      </c>
      <c r="D373">
        <f>IF(B373="","",IFERROR(INDEX(Equipamentos!$C$2:$C$201,MATCH(B373,Equipamentos!$A$2:$A$201,0)),""))</f>
        <v/>
      </c>
      <c r="E373" s="55" t="n"/>
      <c r="F373" s="55" t="n"/>
      <c r="G373">
        <f>IF(B373="","",IFERROR(INDEX(Equipamentos!$N$2:$N$201,MATCH(B373,Equipamentos!$A$2:$A$201,0)),""))</f>
        <v/>
      </c>
      <c r="H373">
        <f>IF(B373="","",IFERROR(INDEX(Equipamentos!$L$2:$L$201,MATCH(B373,Equipamentos!$A$2:$A$201,0)),""))</f>
        <v/>
      </c>
      <c r="I373" s="57">
        <f>IF(OR(A373="",B373=""),"",IFERROR(INDEX(Equipamentos!$J$2:$J$201,MATCH(1,INDEX((Equipamentos!$A$2:$A$201=B373)*(Equipamentos!$P$2:$P$201=A373),0),0)),""))</f>
        <v/>
      </c>
    </row>
    <row r="374">
      <c r="A374" s="54" t="n"/>
      <c r="B374" s="55" t="n"/>
      <c r="C374" s="56">
        <f>IF(OR(A374="",B374=""),"",IF(COUNTIF(Equipamentos!$A$2:$A$201,B374)=0,"tag não encontrada",IFERROR(INDEX(Equipamentos!$H$2:$H$201,MATCH(1,INDEX((Equipamentos!$A$2:$A$201=B374)*(Equipamentos!$P$2:$P$201=A374),0),0)),"confira a data")))</f>
        <v/>
      </c>
      <c r="D374">
        <f>IF(B374="","",IFERROR(INDEX(Equipamentos!$C$2:$C$201,MATCH(B374,Equipamentos!$A$2:$A$201,0)),""))</f>
        <v/>
      </c>
      <c r="E374" s="55" t="n"/>
      <c r="F374" s="55" t="n"/>
      <c r="G374">
        <f>IF(B374="","",IFERROR(INDEX(Equipamentos!$N$2:$N$201,MATCH(B374,Equipamentos!$A$2:$A$201,0)),""))</f>
        <v/>
      </c>
      <c r="H374">
        <f>IF(B374="","",IFERROR(INDEX(Equipamentos!$L$2:$L$201,MATCH(B374,Equipamentos!$A$2:$A$201,0)),""))</f>
        <v/>
      </c>
      <c r="I374" s="57">
        <f>IF(OR(A374="",B374=""),"",IFERROR(INDEX(Equipamentos!$J$2:$J$201,MATCH(1,INDEX((Equipamentos!$A$2:$A$201=B374)*(Equipamentos!$P$2:$P$201=A374),0),0)),""))</f>
        <v/>
      </c>
    </row>
    <row r="375">
      <c r="A375" s="54" t="n"/>
      <c r="B375" s="55" t="n"/>
      <c r="C375" s="56">
        <f>IF(OR(A375="",B375=""),"",IF(COUNTIF(Equipamentos!$A$2:$A$201,B375)=0,"tag não encontrada",IFERROR(INDEX(Equipamentos!$H$2:$H$201,MATCH(1,INDEX((Equipamentos!$A$2:$A$201=B375)*(Equipamentos!$P$2:$P$201=A375),0),0)),"confira a data")))</f>
        <v/>
      </c>
      <c r="D375">
        <f>IF(B375="","",IFERROR(INDEX(Equipamentos!$C$2:$C$201,MATCH(B375,Equipamentos!$A$2:$A$201,0)),""))</f>
        <v/>
      </c>
      <c r="E375" s="55" t="n"/>
      <c r="F375" s="55" t="n"/>
      <c r="G375">
        <f>IF(B375="","",IFERROR(INDEX(Equipamentos!$N$2:$N$201,MATCH(B375,Equipamentos!$A$2:$A$201,0)),""))</f>
        <v/>
      </c>
      <c r="H375">
        <f>IF(B375="","",IFERROR(INDEX(Equipamentos!$L$2:$L$201,MATCH(B375,Equipamentos!$A$2:$A$201,0)),""))</f>
        <v/>
      </c>
      <c r="I375" s="57">
        <f>IF(OR(A375="",B375=""),"",IFERROR(INDEX(Equipamentos!$J$2:$J$201,MATCH(1,INDEX((Equipamentos!$A$2:$A$201=B375)*(Equipamentos!$P$2:$P$201=A375),0),0)),""))</f>
        <v/>
      </c>
    </row>
    <row r="376">
      <c r="A376" s="54" t="n"/>
      <c r="B376" s="55" t="n"/>
      <c r="C376" s="56">
        <f>IF(OR(A376="",B376=""),"",IF(COUNTIF(Equipamentos!$A$2:$A$201,B376)=0,"tag não encontrada",IFERROR(INDEX(Equipamentos!$H$2:$H$201,MATCH(1,INDEX((Equipamentos!$A$2:$A$201=B376)*(Equipamentos!$P$2:$P$201=A376),0),0)),"confira a data")))</f>
        <v/>
      </c>
      <c r="D376">
        <f>IF(B376="","",IFERROR(INDEX(Equipamentos!$C$2:$C$201,MATCH(B376,Equipamentos!$A$2:$A$201,0)),""))</f>
        <v/>
      </c>
      <c r="E376" s="55" t="n"/>
      <c r="F376" s="55" t="n"/>
      <c r="G376">
        <f>IF(B376="","",IFERROR(INDEX(Equipamentos!$N$2:$N$201,MATCH(B376,Equipamentos!$A$2:$A$201,0)),""))</f>
        <v/>
      </c>
      <c r="H376">
        <f>IF(B376="","",IFERROR(INDEX(Equipamentos!$L$2:$L$201,MATCH(B376,Equipamentos!$A$2:$A$201,0)),""))</f>
        <v/>
      </c>
      <c r="I376" s="57">
        <f>IF(OR(A376="",B376=""),"",IFERROR(INDEX(Equipamentos!$J$2:$J$201,MATCH(1,INDEX((Equipamentos!$A$2:$A$201=B376)*(Equipamentos!$P$2:$P$201=A376),0),0)),""))</f>
        <v/>
      </c>
    </row>
    <row r="377">
      <c r="A377" s="54" t="n"/>
      <c r="B377" s="55" t="n"/>
      <c r="C377" s="56">
        <f>IF(OR(A377="",B377=""),"",IF(COUNTIF(Equipamentos!$A$2:$A$201,B377)=0,"tag não encontrada",IFERROR(INDEX(Equipamentos!$H$2:$H$201,MATCH(1,INDEX((Equipamentos!$A$2:$A$201=B377)*(Equipamentos!$P$2:$P$201=A377),0),0)),"confira a data")))</f>
        <v/>
      </c>
      <c r="D377">
        <f>IF(B377="","",IFERROR(INDEX(Equipamentos!$C$2:$C$201,MATCH(B377,Equipamentos!$A$2:$A$201,0)),""))</f>
        <v/>
      </c>
      <c r="E377" s="55" t="n"/>
      <c r="F377" s="55" t="n"/>
      <c r="G377">
        <f>IF(B377="","",IFERROR(INDEX(Equipamentos!$N$2:$N$201,MATCH(B377,Equipamentos!$A$2:$A$201,0)),""))</f>
        <v/>
      </c>
      <c r="H377">
        <f>IF(B377="","",IFERROR(INDEX(Equipamentos!$L$2:$L$201,MATCH(B377,Equipamentos!$A$2:$A$201,0)),""))</f>
        <v/>
      </c>
      <c r="I377" s="57">
        <f>IF(OR(A377="",B377=""),"",IFERROR(INDEX(Equipamentos!$J$2:$J$201,MATCH(1,INDEX((Equipamentos!$A$2:$A$201=B377)*(Equipamentos!$P$2:$P$201=A377),0),0)),""))</f>
        <v/>
      </c>
    </row>
    <row r="378">
      <c r="A378" s="54" t="n"/>
      <c r="B378" s="55" t="n"/>
      <c r="C378" s="56">
        <f>IF(OR(A378="",B378=""),"",IF(COUNTIF(Equipamentos!$A$2:$A$201,B378)=0,"tag não encontrada",IFERROR(INDEX(Equipamentos!$H$2:$H$201,MATCH(1,INDEX((Equipamentos!$A$2:$A$201=B378)*(Equipamentos!$P$2:$P$201=A378),0),0)),"confira a data")))</f>
        <v/>
      </c>
      <c r="D378">
        <f>IF(B378="","",IFERROR(INDEX(Equipamentos!$C$2:$C$201,MATCH(B378,Equipamentos!$A$2:$A$201,0)),""))</f>
        <v/>
      </c>
      <c r="E378" s="55" t="n"/>
      <c r="F378" s="55" t="n"/>
      <c r="G378">
        <f>IF(B378="","",IFERROR(INDEX(Equipamentos!$N$2:$N$201,MATCH(B378,Equipamentos!$A$2:$A$201,0)),""))</f>
        <v/>
      </c>
      <c r="H378">
        <f>IF(B378="","",IFERROR(INDEX(Equipamentos!$L$2:$L$201,MATCH(B378,Equipamentos!$A$2:$A$201,0)),""))</f>
        <v/>
      </c>
      <c r="I378" s="57">
        <f>IF(OR(A378="",B378=""),"",IFERROR(INDEX(Equipamentos!$J$2:$J$201,MATCH(1,INDEX((Equipamentos!$A$2:$A$201=B378)*(Equipamentos!$P$2:$P$201=A378),0),0)),""))</f>
        <v/>
      </c>
    </row>
    <row r="379">
      <c r="A379" s="54" t="n"/>
      <c r="B379" s="55" t="n"/>
      <c r="C379" s="56">
        <f>IF(OR(A379="",B379=""),"",IF(COUNTIF(Equipamentos!$A$2:$A$201,B379)=0,"tag não encontrada",IFERROR(INDEX(Equipamentos!$H$2:$H$201,MATCH(1,INDEX((Equipamentos!$A$2:$A$201=B379)*(Equipamentos!$P$2:$P$201=A379),0),0)),"confira a data")))</f>
        <v/>
      </c>
      <c r="D379">
        <f>IF(B379="","",IFERROR(INDEX(Equipamentos!$C$2:$C$201,MATCH(B379,Equipamentos!$A$2:$A$201,0)),""))</f>
        <v/>
      </c>
      <c r="E379" s="55" t="n"/>
      <c r="F379" s="55" t="n"/>
      <c r="G379">
        <f>IF(B379="","",IFERROR(INDEX(Equipamentos!$N$2:$N$201,MATCH(B379,Equipamentos!$A$2:$A$201,0)),""))</f>
        <v/>
      </c>
      <c r="H379">
        <f>IF(B379="","",IFERROR(INDEX(Equipamentos!$L$2:$L$201,MATCH(B379,Equipamentos!$A$2:$A$201,0)),""))</f>
        <v/>
      </c>
      <c r="I379" s="57">
        <f>IF(OR(A379="",B379=""),"",IFERROR(INDEX(Equipamentos!$J$2:$J$201,MATCH(1,INDEX((Equipamentos!$A$2:$A$201=B379)*(Equipamentos!$P$2:$P$201=A379),0),0)),""))</f>
        <v/>
      </c>
    </row>
    <row r="380">
      <c r="A380" s="54" t="n"/>
      <c r="B380" s="55" t="n"/>
      <c r="C380" s="56">
        <f>IF(OR(A380="",B380=""),"",IF(COUNTIF(Equipamentos!$A$2:$A$201,B380)=0,"tag não encontrada",IFERROR(INDEX(Equipamentos!$H$2:$H$201,MATCH(1,INDEX((Equipamentos!$A$2:$A$201=B380)*(Equipamentos!$P$2:$P$201=A380),0),0)),"confira a data")))</f>
        <v/>
      </c>
      <c r="D380">
        <f>IF(B380="","",IFERROR(INDEX(Equipamentos!$C$2:$C$201,MATCH(B380,Equipamentos!$A$2:$A$201,0)),""))</f>
        <v/>
      </c>
      <c r="E380" s="55" t="n"/>
      <c r="F380" s="55" t="n"/>
      <c r="G380">
        <f>IF(B380="","",IFERROR(INDEX(Equipamentos!$N$2:$N$201,MATCH(B380,Equipamentos!$A$2:$A$201,0)),""))</f>
        <v/>
      </c>
      <c r="H380">
        <f>IF(B380="","",IFERROR(INDEX(Equipamentos!$L$2:$L$201,MATCH(B380,Equipamentos!$A$2:$A$201,0)),""))</f>
        <v/>
      </c>
      <c r="I380" s="57">
        <f>IF(OR(A380="",B380=""),"",IFERROR(INDEX(Equipamentos!$J$2:$J$201,MATCH(1,INDEX((Equipamentos!$A$2:$A$201=B380)*(Equipamentos!$P$2:$P$201=A380),0),0)),""))</f>
        <v/>
      </c>
    </row>
    <row r="381">
      <c r="A381" s="54" t="n"/>
      <c r="B381" s="55" t="n"/>
      <c r="C381" s="56">
        <f>IF(OR(A381="",B381=""),"",IF(COUNTIF(Equipamentos!$A$2:$A$201,B381)=0,"tag não encontrada",IFERROR(INDEX(Equipamentos!$H$2:$H$201,MATCH(1,INDEX((Equipamentos!$A$2:$A$201=B381)*(Equipamentos!$P$2:$P$201=A381),0),0)),"confira a data")))</f>
        <v/>
      </c>
      <c r="D381">
        <f>IF(B381="","",IFERROR(INDEX(Equipamentos!$C$2:$C$201,MATCH(B381,Equipamentos!$A$2:$A$201,0)),""))</f>
        <v/>
      </c>
      <c r="E381" s="55" t="n"/>
      <c r="F381" s="55" t="n"/>
      <c r="G381">
        <f>IF(B381="","",IFERROR(INDEX(Equipamentos!$N$2:$N$201,MATCH(B381,Equipamentos!$A$2:$A$201,0)),""))</f>
        <v/>
      </c>
      <c r="H381">
        <f>IF(B381="","",IFERROR(INDEX(Equipamentos!$L$2:$L$201,MATCH(B381,Equipamentos!$A$2:$A$201,0)),""))</f>
        <v/>
      </c>
      <c r="I381" s="57">
        <f>IF(OR(A381="",B381=""),"",IFERROR(INDEX(Equipamentos!$J$2:$J$201,MATCH(1,INDEX((Equipamentos!$A$2:$A$201=B381)*(Equipamentos!$P$2:$P$201=A381),0),0)),""))</f>
        <v/>
      </c>
    </row>
    <row r="382">
      <c r="A382" s="54" t="n"/>
      <c r="B382" s="55" t="n"/>
      <c r="C382" s="56">
        <f>IF(OR(A382="",B382=""),"",IF(COUNTIF(Equipamentos!$A$2:$A$201,B382)=0,"tag não encontrada",IFERROR(INDEX(Equipamentos!$H$2:$H$201,MATCH(1,INDEX((Equipamentos!$A$2:$A$201=B382)*(Equipamentos!$P$2:$P$201=A382),0),0)),"confira a data")))</f>
        <v/>
      </c>
      <c r="D382">
        <f>IF(B382="","",IFERROR(INDEX(Equipamentos!$C$2:$C$201,MATCH(B382,Equipamentos!$A$2:$A$201,0)),""))</f>
        <v/>
      </c>
      <c r="E382" s="55" t="n"/>
      <c r="F382" s="55" t="n"/>
      <c r="G382">
        <f>IF(B382="","",IFERROR(INDEX(Equipamentos!$N$2:$N$201,MATCH(B382,Equipamentos!$A$2:$A$201,0)),""))</f>
        <v/>
      </c>
      <c r="H382">
        <f>IF(B382="","",IFERROR(INDEX(Equipamentos!$L$2:$L$201,MATCH(B382,Equipamentos!$A$2:$A$201,0)),""))</f>
        <v/>
      </c>
      <c r="I382" s="57">
        <f>IF(OR(A382="",B382=""),"",IFERROR(INDEX(Equipamentos!$J$2:$J$201,MATCH(1,INDEX((Equipamentos!$A$2:$A$201=B382)*(Equipamentos!$P$2:$P$201=A382),0),0)),""))</f>
        <v/>
      </c>
    </row>
    <row r="383">
      <c r="A383" s="54" t="n"/>
      <c r="B383" s="55" t="n"/>
      <c r="C383" s="56">
        <f>IF(OR(A383="",B383=""),"",IF(COUNTIF(Equipamentos!$A$2:$A$201,B383)=0,"tag não encontrada",IFERROR(INDEX(Equipamentos!$H$2:$H$201,MATCH(1,INDEX((Equipamentos!$A$2:$A$201=B383)*(Equipamentos!$P$2:$P$201=A383),0),0)),"confira a data")))</f>
        <v/>
      </c>
      <c r="D383">
        <f>IF(B383="","",IFERROR(INDEX(Equipamentos!$C$2:$C$201,MATCH(B383,Equipamentos!$A$2:$A$201,0)),""))</f>
        <v/>
      </c>
      <c r="E383" s="55" t="n"/>
      <c r="F383" s="55" t="n"/>
      <c r="G383">
        <f>IF(B383="","",IFERROR(INDEX(Equipamentos!$N$2:$N$201,MATCH(B383,Equipamentos!$A$2:$A$201,0)),""))</f>
        <v/>
      </c>
      <c r="H383">
        <f>IF(B383="","",IFERROR(INDEX(Equipamentos!$L$2:$L$201,MATCH(B383,Equipamentos!$A$2:$A$201,0)),""))</f>
        <v/>
      </c>
      <c r="I383" s="57">
        <f>IF(OR(A383="",B383=""),"",IFERROR(INDEX(Equipamentos!$J$2:$J$201,MATCH(1,INDEX((Equipamentos!$A$2:$A$201=B383)*(Equipamentos!$P$2:$P$201=A383),0),0)),""))</f>
        <v/>
      </c>
    </row>
    <row r="384">
      <c r="A384" s="54" t="n"/>
      <c r="B384" s="55" t="n"/>
      <c r="C384" s="56">
        <f>IF(OR(A384="",B384=""),"",IF(COUNTIF(Equipamentos!$A$2:$A$201,B384)=0,"tag não encontrada",IFERROR(INDEX(Equipamentos!$H$2:$H$201,MATCH(1,INDEX((Equipamentos!$A$2:$A$201=B384)*(Equipamentos!$P$2:$P$201=A384),0),0)),"confira a data")))</f>
        <v/>
      </c>
      <c r="D384">
        <f>IF(B384="","",IFERROR(INDEX(Equipamentos!$C$2:$C$201,MATCH(B384,Equipamentos!$A$2:$A$201,0)),""))</f>
        <v/>
      </c>
      <c r="E384" s="55" t="n"/>
      <c r="F384" s="55" t="n"/>
      <c r="G384">
        <f>IF(B384="","",IFERROR(INDEX(Equipamentos!$N$2:$N$201,MATCH(B384,Equipamentos!$A$2:$A$201,0)),""))</f>
        <v/>
      </c>
      <c r="H384">
        <f>IF(B384="","",IFERROR(INDEX(Equipamentos!$L$2:$L$201,MATCH(B384,Equipamentos!$A$2:$A$201,0)),""))</f>
        <v/>
      </c>
      <c r="I384" s="57">
        <f>IF(OR(A384="",B384=""),"",IFERROR(INDEX(Equipamentos!$J$2:$J$201,MATCH(1,INDEX((Equipamentos!$A$2:$A$201=B384)*(Equipamentos!$P$2:$P$201=A384),0),0)),""))</f>
        <v/>
      </c>
    </row>
    <row r="385">
      <c r="A385" s="54" t="n"/>
      <c r="B385" s="55" t="n"/>
      <c r="C385" s="56">
        <f>IF(OR(A385="",B385=""),"",IF(COUNTIF(Equipamentos!$A$2:$A$201,B385)=0,"tag não encontrada",IFERROR(INDEX(Equipamentos!$H$2:$H$201,MATCH(1,INDEX((Equipamentos!$A$2:$A$201=B385)*(Equipamentos!$P$2:$P$201=A385),0),0)),"confira a data")))</f>
        <v/>
      </c>
      <c r="D385">
        <f>IF(B385="","",IFERROR(INDEX(Equipamentos!$C$2:$C$201,MATCH(B385,Equipamentos!$A$2:$A$201,0)),""))</f>
        <v/>
      </c>
      <c r="E385" s="55" t="n"/>
      <c r="F385" s="55" t="n"/>
      <c r="G385">
        <f>IF(B385="","",IFERROR(INDEX(Equipamentos!$N$2:$N$201,MATCH(B385,Equipamentos!$A$2:$A$201,0)),""))</f>
        <v/>
      </c>
      <c r="H385">
        <f>IF(B385="","",IFERROR(INDEX(Equipamentos!$L$2:$L$201,MATCH(B385,Equipamentos!$A$2:$A$201,0)),""))</f>
        <v/>
      </c>
      <c r="I385" s="57">
        <f>IF(OR(A385="",B385=""),"",IFERROR(INDEX(Equipamentos!$J$2:$J$201,MATCH(1,INDEX((Equipamentos!$A$2:$A$201=B385)*(Equipamentos!$P$2:$P$201=A385),0),0)),""))</f>
        <v/>
      </c>
    </row>
    <row r="386">
      <c r="A386" s="54" t="n"/>
      <c r="B386" s="55" t="n"/>
      <c r="C386" s="56">
        <f>IF(OR(A386="",B386=""),"",IF(COUNTIF(Equipamentos!$A$2:$A$201,B386)=0,"tag não encontrada",IFERROR(INDEX(Equipamentos!$H$2:$H$201,MATCH(1,INDEX((Equipamentos!$A$2:$A$201=B386)*(Equipamentos!$P$2:$P$201=A386),0),0)),"confira a data")))</f>
        <v/>
      </c>
      <c r="D386">
        <f>IF(B386="","",IFERROR(INDEX(Equipamentos!$C$2:$C$201,MATCH(B386,Equipamentos!$A$2:$A$201,0)),""))</f>
        <v/>
      </c>
      <c r="E386" s="55" t="n"/>
      <c r="F386" s="55" t="n"/>
      <c r="G386">
        <f>IF(B386="","",IFERROR(INDEX(Equipamentos!$N$2:$N$201,MATCH(B386,Equipamentos!$A$2:$A$201,0)),""))</f>
        <v/>
      </c>
      <c r="H386">
        <f>IF(B386="","",IFERROR(INDEX(Equipamentos!$L$2:$L$201,MATCH(B386,Equipamentos!$A$2:$A$201,0)),""))</f>
        <v/>
      </c>
      <c r="I386" s="57">
        <f>IF(OR(A386="",B386=""),"",IFERROR(INDEX(Equipamentos!$J$2:$J$201,MATCH(1,INDEX((Equipamentos!$A$2:$A$201=B386)*(Equipamentos!$P$2:$P$201=A386),0),0)),""))</f>
        <v/>
      </c>
    </row>
    <row r="387">
      <c r="A387" s="54" t="n"/>
      <c r="B387" s="55" t="n"/>
      <c r="C387" s="56">
        <f>IF(OR(A387="",B387=""),"",IF(COUNTIF(Equipamentos!$A$2:$A$201,B387)=0,"tag não encontrada",IFERROR(INDEX(Equipamentos!$H$2:$H$201,MATCH(1,INDEX((Equipamentos!$A$2:$A$201=B387)*(Equipamentos!$P$2:$P$201=A387),0),0)),"confira a data")))</f>
        <v/>
      </c>
      <c r="D387">
        <f>IF(B387="","",IFERROR(INDEX(Equipamentos!$C$2:$C$201,MATCH(B387,Equipamentos!$A$2:$A$201,0)),""))</f>
        <v/>
      </c>
      <c r="E387" s="55" t="n"/>
      <c r="F387" s="55" t="n"/>
      <c r="G387">
        <f>IF(B387="","",IFERROR(INDEX(Equipamentos!$N$2:$N$201,MATCH(B387,Equipamentos!$A$2:$A$201,0)),""))</f>
        <v/>
      </c>
      <c r="H387">
        <f>IF(B387="","",IFERROR(INDEX(Equipamentos!$L$2:$L$201,MATCH(B387,Equipamentos!$A$2:$A$201,0)),""))</f>
        <v/>
      </c>
      <c r="I387" s="57">
        <f>IF(OR(A387="",B387=""),"",IFERROR(INDEX(Equipamentos!$J$2:$J$201,MATCH(1,INDEX((Equipamentos!$A$2:$A$201=B387)*(Equipamentos!$P$2:$P$201=A387),0),0)),""))</f>
        <v/>
      </c>
    </row>
    <row r="388">
      <c r="A388" s="54" t="n"/>
      <c r="B388" s="55" t="n"/>
      <c r="C388" s="56">
        <f>IF(OR(A388="",B388=""),"",IF(COUNTIF(Equipamentos!$A$2:$A$201,B388)=0,"tag não encontrada",IFERROR(INDEX(Equipamentos!$H$2:$H$201,MATCH(1,INDEX((Equipamentos!$A$2:$A$201=B388)*(Equipamentos!$P$2:$P$201=A388),0),0)),"confira a data")))</f>
        <v/>
      </c>
      <c r="D388">
        <f>IF(B388="","",IFERROR(INDEX(Equipamentos!$C$2:$C$201,MATCH(B388,Equipamentos!$A$2:$A$201,0)),""))</f>
        <v/>
      </c>
      <c r="E388" s="55" t="n"/>
      <c r="F388" s="55" t="n"/>
      <c r="G388">
        <f>IF(B388="","",IFERROR(INDEX(Equipamentos!$N$2:$N$201,MATCH(B388,Equipamentos!$A$2:$A$201,0)),""))</f>
        <v/>
      </c>
      <c r="H388">
        <f>IF(B388="","",IFERROR(INDEX(Equipamentos!$L$2:$L$201,MATCH(B388,Equipamentos!$A$2:$A$201,0)),""))</f>
        <v/>
      </c>
      <c r="I388" s="57">
        <f>IF(OR(A388="",B388=""),"",IFERROR(INDEX(Equipamentos!$J$2:$J$201,MATCH(1,INDEX((Equipamentos!$A$2:$A$201=B388)*(Equipamentos!$P$2:$P$201=A388),0),0)),""))</f>
        <v/>
      </c>
    </row>
    <row r="389">
      <c r="A389" s="54" t="n"/>
      <c r="B389" s="55" t="n"/>
      <c r="C389" s="56">
        <f>IF(OR(A389="",B389=""),"",IF(COUNTIF(Equipamentos!$A$2:$A$201,B389)=0,"tag não encontrada",IFERROR(INDEX(Equipamentos!$H$2:$H$201,MATCH(1,INDEX((Equipamentos!$A$2:$A$201=B389)*(Equipamentos!$P$2:$P$201=A389),0),0)),"confira a data")))</f>
        <v/>
      </c>
      <c r="D389">
        <f>IF(B389="","",IFERROR(INDEX(Equipamentos!$C$2:$C$201,MATCH(B389,Equipamentos!$A$2:$A$201,0)),""))</f>
        <v/>
      </c>
      <c r="E389" s="55" t="n"/>
      <c r="F389" s="55" t="n"/>
      <c r="G389">
        <f>IF(B389="","",IFERROR(INDEX(Equipamentos!$N$2:$N$201,MATCH(B389,Equipamentos!$A$2:$A$201,0)),""))</f>
        <v/>
      </c>
      <c r="H389">
        <f>IF(B389="","",IFERROR(INDEX(Equipamentos!$L$2:$L$201,MATCH(B389,Equipamentos!$A$2:$A$201,0)),""))</f>
        <v/>
      </c>
      <c r="I389" s="57">
        <f>IF(OR(A389="",B389=""),"",IFERROR(INDEX(Equipamentos!$J$2:$J$201,MATCH(1,INDEX((Equipamentos!$A$2:$A$201=B389)*(Equipamentos!$P$2:$P$201=A389),0),0)),""))</f>
        <v/>
      </c>
    </row>
    <row r="390">
      <c r="A390" s="54" t="n"/>
      <c r="B390" s="55" t="n"/>
      <c r="C390" s="56">
        <f>IF(OR(A390="",B390=""),"",IF(COUNTIF(Equipamentos!$A$2:$A$201,B390)=0,"tag não encontrada",IFERROR(INDEX(Equipamentos!$H$2:$H$201,MATCH(1,INDEX((Equipamentos!$A$2:$A$201=B390)*(Equipamentos!$P$2:$P$201=A390),0),0)),"confira a data")))</f>
        <v/>
      </c>
      <c r="D390">
        <f>IF(B390="","",IFERROR(INDEX(Equipamentos!$C$2:$C$201,MATCH(B390,Equipamentos!$A$2:$A$201,0)),""))</f>
        <v/>
      </c>
      <c r="E390" s="55" t="n"/>
      <c r="F390" s="55" t="n"/>
      <c r="G390">
        <f>IF(B390="","",IFERROR(INDEX(Equipamentos!$N$2:$N$201,MATCH(B390,Equipamentos!$A$2:$A$201,0)),""))</f>
        <v/>
      </c>
      <c r="H390">
        <f>IF(B390="","",IFERROR(INDEX(Equipamentos!$L$2:$L$201,MATCH(B390,Equipamentos!$A$2:$A$201,0)),""))</f>
        <v/>
      </c>
      <c r="I390" s="57">
        <f>IF(OR(A390="",B390=""),"",IFERROR(INDEX(Equipamentos!$J$2:$J$201,MATCH(1,INDEX((Equipamentos!$A$2:$A$201=B390)*(Equipamentos!$P$2:$P$201=A390),0),0)),""))</f>
        <v/>
      </c>
    </row>
    <row r="391">
      <c r="A391" s="54" t="n"/>
      <c r="B391" s="55" t="n"/>
      <c r="C391" s="56">
        <f>IF(OR(A391="",B391=""),"",IF(COUNTIF(Equipamentos!$A$2:$A$201,B391)=0,"tag não encontrada",IFERROR(INDEX(Equipamentos!$H$2:$H$201,MATCH(1,INDEX((Equipamentos!$A$2:$A$201=B391)*(Equipamentos!$P$2:$P$201=A391),0),0)),"confira a data")))</f>
        <v/>
      </c>
      <c r="D391">
        <f>IF(B391="","",IFERROR(INDEX(Equipamentos!$C$2:$C$201,MATCH(B391,Equipamentos!$A$2:$A$201,0)),""))</f>
        <v/>
      </c>
      <c r="E391" s="55" t="n"/>
      <c r="F391" s="55" t="n"/>
      <c r="G391">
        <f>IF(B391="","",IFERROR(INDEX(Equipamentos!$N$2:$N$201,MATCH(B391,Equipamentos!$A$2:$A$201,0)),""))</f>
        <v/>
      </c>
      <c r="H391">
        <f>IF(B391="","",IFERROR(INDEX(Equipamentos!$L$2:$L$201,MATCH(B391,Equipamentos!$A$2:$A$201,0)),""))</f>
        <v/>
      </c>
      <c r="I391" s="57">
        <f>IF(OR(A391="",B391=""),"",IFERROR(INDEX(Equipamentos!$J$2:$J$201,MATCH(1,INDEX((Equipamentos!$A$2:$A$201=B391)*(Equipamentos!$P$2:$P$201=A391),0),0)),""))</f>
        <v/>
      </c>
    </row>
    <row r="392">
      <c r="A392" s="54" t="n"/>
      <c r="B392" s="55" t="n"/>
      <c r="C392" s="56">
        <f>IF(OR(A392="",B392=""),"",IF(COUNTIF(Equipamentos!$A$2:$A$201,B392)=0,"tag não encontrada",IFERROR(INDEX(Equipamentos!$H$2:$H$201,MATCH(1,INDEX((Equipamentos!$A$2:$A$201=B392)*(Equipamentos!$P$2:$P$201=A392),0),0)),"confira a data")))</f>
        <v/>
      </c>
      <c r="D392">
        <f>IF(B392="","",IFERROR(INDEX(Equipamentos!$C$2:$C$201,MATCH(B392,Equipamentos!$A$2:$A$201,0)),""))</f>
        <v/>
      </c>
      <c r="E392" s="55" t="n"/>
      <c r="F392" s="55" t="n"/>
      <c r="G392">
        <f>IF(B392="","",IFERROR(INDEX(Equipamentos!$N$2:$N$201,MATCH(B392,Equipamentos!$A$2:$A$201,0)),""))</f>
        <v/>
      </c>
      <c r="H392">
        <f>IF(B392="","",IFERROR(INDEX(Equipamentos!$L$2:$L$201,MATCH(B392,Equipamentos!$A$2:$A$201,0)),""))</f>
        <v/>
      </c>
      <c r="I392" s="57">
        <f>IF(OR(A392="",B392=""),"",IFERROR(INDEX(Equipamentos!$J$2:$J$201,MATCH(1,INDEX((Equipamentos!$A$2:$A$201=B392)*(Equipamentos!$P$2:$P$201=A392),0),0)),""))</f>
        <v/>
      </c>
    </row>
    <row r="393">
      <c r="A393" s="54" t="n"/>
      <c r="B393" s="55" t="n"/>
      <c r="C393" s="56">
        <f>IF(OR(A393="",B393=""),"",IF(COUNTIF(Equipamentos!$A$2:$A$201,B393)=0,"tag não encontrada",IFERROR(INDEX(Equipamentos!$H$2:$H$201,MATCH(1,INDEX((Equipamentos!$A$2:$A$201=B393)*(Equipamentos!$P$2:$P$201=A393),0),0)),"confira a data")))</f>
        <v/>
      </c>
      <c r="D393">
        <f>IF(B393="","",IFERROR(INDEX(Equipamentos!$C$2:$C$201,MATCH(B393,Equipamentos!$A$2:$A$201,0)),""))</f>
        <v/>
      </c>
      <c r="E393" s="55" t="n"/>
      <c r="F393" s="55" t="n"/>
      <c r="G393">
        <f>IF(B393="","",IFERROR(INDEX(Equipamentos!$N$2:$N$201,MATCH(B393,Equipamentos!$A$2:$A$201,0)),""))</f>
        <v/>
      </c>
      <c r="H393">
        <f>IF(B393="","",IFERROR(INDEX(Equipamentos!$L$2:$L$201,MATCH(B393,Equipamentos!$A$2:$A$201,0)),""))</f>
        <v/>
      </c>
      <c r="I393" s="57">
        <f>IF(OR(A393="",B393=""),"",IFERROR(INDEX(Equipamentos!$J$2:$J$201,MATCH(1,INDEX((Equipamentos!$A$2:$A$201=B393)*(Equipamentos!$P$2:$P$201=A393),0),0)),""))</f>
        <v/>
      </c>
    </row>
    <row r="394">
      <c r="A394" s="54" t="n"/>
      <c r="B394" s="55" t="n"/>
      <c r="C394" s="56">
        <f>IF(OR(A394="",B394=""),"",IF(COUNTIF(Equipamentos!$A$2:$A$201,B394)=0,"tag não encontrada",IFERROR(INDEX(Equipamentos!$H$2:$H$201,MATCH(1,INDEX((Equipamentos!$A$2:$A$201=B394)*(Equipamentos!$P$2:$P$201=A394),0),0)),"confira a data")))</f>
        <v/>
      </c>
      <c r="D394">
        <f>IF(B394="","",IFERROR(INDEX(Equipamentos!$C$2:$C$201,MATCH(B394,Equipamentos!$A$2:$A$201,0)),""))</f>
        <v/>
      </c>
      <c r="E394" s="55" t="n"/>
      <c r="F394" s="55" t="n"/>
      <c r="G394">
        <f>IF(B394="","",IFERROR(INDEX(Equipamentos!$N$2:$N$201,MATCH(B394,Equipamentos!$A$2:$A$201,0)),""))</f>
        <v/>
      </c>
      <c r="H394">
        <f>IF(B394="","",IFERROR(INDEX(Equipamentos!$L$2:$L$201,MATCH(B394,Equipamentos!$A$2:$A$201,0)),""))</f>
        <v/>
      </c>
      <c r="I394" s="57">
        <f>IF(OR(A394="",B394=""),"",IFERROR(INDEX(Equipamentos!$J$2:$J$201,MATCH(1,INDEX((Equipamentos!$A$2:$A$201=B394)*(Equipamentos!$P$2:$P$201=A394),0),0)),""))</f>
        <v/>
      </c>
    </row>
    <row r="395">
      <c r="A395" s="54" t="n"/>
      <c r="B395" s="55" t="n"/>
      <c r="C395" s="56">
        <f>IF(OR(A395="",B395=""),"",IF(COUNTIF(Equipamentos!$A$2:$A$201,B395)=0,"tag não encontrada",IFERROR(INDEX(Equipamentos!$H$2:$H$201,MATCH(1,INDEX((Equipamentos!$A$2:$A$201=B395)*(Equipamentos!$P$2:$P$201=A395),0),0)),"confira a data")))</f>
        <v/>
      </c>
      <c r="D395">
        <f>IF(B395="","",IFERROR(INDEX(Equipamentos!$C$2:$C$201,MATCH(B395,Equipamentos!$A$2:$A$201,0)),""))</f>
        <v/>
      </c>
      <c r="E395" s="55" t="n"/>
      <c r="F395" s="55" t="n"/>
      <c r="G395">
        <f>IF(B395="","",IFERROR(INDEX(Equipamentos!$N$2:$N$201,MATCH(B395,Equipamentos!$A$2:$A$201,0)),""))</f>
        <v/>
      </c>
      <c r="H395">
        <f>IF(B395="","",IFERROR(INDEX(Equipamentos!$L$2:$L$201,MATCH(B395,Equipamentos!$A$2:$A$201,0)),""))</f>
        <v/>
      </c>
      <c r="I395" s="57">
        <f>IF(OR(A395="",B395=""),"",IFERROR(INDEX(Equipamentos!$J$2:$J$201,MATCH(1,INDEX((Equipamentos!$A$2:$A$201=B395)*(Equipamentos!$P$2:$P$201=A395),0),0)),""))</f>
        <v/>
      </c>
    </row>
    <row r="396">
      <c r="A396" s="54" t="n"/>
      <c r="B396" s="55" t="n"/>
      <c r="C396" s="56">
        <f>IF(OR(A396="",B396=""),"",IF(COUNTIF(Equipamentos!$A$2:$A$201,B396)=0,"tag não encontrada",IFERROR(INDEX(Equipamentos!$H$2:$H$201,MATCH(1,INDEX((Equipamentos!$A$2:$A$201=B396)*(Equipamentos!$P$2:$P$201=A396),0),0)),"confira a data")))</f>
        <v/>
      </c>
      <c r="D396">
        <f>IF(B396="","",IFERROR(INDEX(Equipamentos!$C$2:$C$201,MATCH(B396,Equipamentos!$A$2:$A$201,0)),""))</f>
        <v/>
      </c>
      <c r="E396" s="55" t="n"/>
      <c r="F396" s="55" t="n"/>
      <c r="G396">
        <f>IF(B396="","",IFERROR(INDEX(Equipamentos!$N$2:$N$201,MATCH(B396,Equipamentos!$A$2:$A$201,0)),""))</f>
        <v/>
      </c>
      <c r="H396">
        <f>IF(B396="","",IFERROR(INDEX(Equipamentos!$L$2:$L$201,MATCH(B396,Equipamentos!$A$2:$A$201,0)),""))</f>
        <v/>
      </c>
      <c r="I396" s="57">
        <f>IF(OR(A396="",B396=""),"",IFERROR(INDEX(Equipamentos!$J$2:$J$201,MATCH(1,INDEX((Equipamentos!$A$2:$A$201=B396)*(Equipamentos!$P$2:$P$201=A396),0),0)),""))</f>
        <v/>
      </c>
    </row>
    <row r="397">
      <c r="A397" s="54" t="n"/>
      <c r="B397" s="55" t="n"/>
      <c r="C397" s="56">
        <f>IF(OR(A397="",B397=""),"",IF(COUNTIF(Equipamentos!$A$2:$A$201,B397)=0,"tag não encontrada",IFERROR(INDEX(Equipamentos!$H$2:$H$201,MATCH(1,INDEX((Equipamentos!$A$2:$A$201=B397)*(Equipamentos!$P$2:$P$201=A397),0),0)),"confira a data")))</f>
        <v/>
      </c>
      <c r="D397">
        <f>IF(B397="","",IFERROR(INDEX(Equipamentos!$C$2:$C$201,MATCH(B397,Equipamentos!$A$2:$A$201,0)),""))</f>
        <v/>
      </c>
      <c r="E397" s="55" t="n"/>
      <c r="F397" s="55" t="n"/>
      <c r="G397">
        <f>IF(B397="","",IFERROR(INDEX(Equipamentos!$N$2:$N$201,MATCH(B397,Equipamentos!$A$2:$A$201,0)),""))</f>
        <v/>
      </c>
      <c r="H397">
        <f>IF(B397="","",IFERROR(INDEX(Equipamentos!$L$2:$L$201,MATCH(B397,Equipamentos!$A$2:$A$201,0)),""))</f>
        <v/>
      </c>
      <c r="I397" s="57">
        <f>IF(OR(A397="",B397=""),"",IFERROR(INDEX(Equipamentos!$J$2:$J$201,MATCH(1,INDEX((Equipamentos!$A$2:$A$201=B397)*(Equipamentos!$P$2:$P$201=A397),0),0)),""))</f>
        <v/>
      </c>
    </row>
    <row r="398">
      <c r="A398" s="54" t="n"/>
      <c r="B398" s="55" t="n"/>
      <c r="C398" s="56">
        <f>IF(OR(A398="",B398=""),"",IF(COUNTIF(Equipamentos!$A$2:$A$201,B398)=0,"tag não encontrada",IFERROR(INDEX(Equipamentos!$H$2:$H$201,MATCH(1,INDEX((Equipamentos!$A$2:$A$201=B398)*(Equipamentos!$P$2:$P$201=A398),0),0)),"confira a data")))</f>
        <v/>
      </c>
      <c r="D398">
        <f>IF(B398="","",IFERROR(INDEX(Equipamentos!$C$2:$C$201,MATCH(B398,Equipamentos!$A$2:$A$201,0)),""))</f>
        <v/>
      </c>
      <c r="E398" s="55" t="n"/>
      <c r="F398" s="55" t="n"/>
      <c r="G398">
        <f>IF(B398="","",IFERROR(INDEX(Equipamentos!$N$2:$N$201,MATCH(B398,Equipamentos!$A$2:$A$201,0)),""))</f>
        <v/>
      </c>
      <c r="H398">
        <f>IF(B398="","",IFERROR(INDEX(Equipamentos!$L$2:$L$201,MATCH(B398,Equipamentos!$A$2:$A$201,0)),""))</f>
        <v/>
      </c>
      <c r="I398" s="57">
        <f>IF(OR(A398="",B398=""),"",IFERROR(INDEX(Equipamentos!$J$2:$J$201,MATCH(1,INDEX((Equipamentos!$A$2:$A$201=B398)*(Equipamentos!$P$2:$P$201=A398),0),0)),""))</f>
        <v/>
      </c>
    </row>
    <row r="399">
      <c r="A399" s="54" t="n"/>
      <c r="B399" s="55" t="n"/>
      <c r="C399" s="56">
        <f>IF(OR(A399="",B399=""),"",IF(COUNTIF(Equipamentos!$A$2:$A$201,B399)=0,"tag não encontrada",IFERROR(INDEX(Equipamentos!$H$2:$H$201,MATCH(1,INDEX((Equipamentos!$A$2:$A$201=B399)*(Equipamentos!$P$2:$P$201=A399),0),0)),"confira a data")))</f>
        <v/>
      </c>
      <c r="D399">
        <f>IF(B399="","",IFERROR(INDEX(Equipamentos!$C$2:$C$201,MATCH(B399,Equipamentos!$A$2:$A$201,0)),""))</f>
        <v/>
      </c>
      <c r="E399" s="55" t="n"/>
      <c r="F399" s="55" t="n"/>
      <c r="G399">
        <f>IF(B399="","",IFERROR(INDEX(Equipamentos!$N$2:$N$201,MATCH(B399,Equipamentos!$A$2:$A$201,0)),""))</f>
        <v/>
      </c>
      <c r="H399">
        <f>IF(B399="","",IFERROR(INDEX(Equipamentos!$L$2:$L$201,MATCH(B399,Equipamentos!$A$2:$A$201,0)),""))</f>
        <v/>
      </c>
      <c r="I399" s="57">
        <f>IF(OR(A399="",B399=""),"",IFERROR(INDEX(Equipamentos!$J$2:$J$201,MATCH(1,INDEX((Equipamentos!$A$2:$A$201=B399)*(Equipamentos!$P$2:$P$201=A399),0),0)),""))</f>
        <v/>
      </c>
    </row>
    <row r="400">
      <c r="A400" s="54" t="n"/>
      <c r="B400" s="55" t="n"/>
      <c r="C400" s="56">
        <f>IF(OR(A400="",B400=""),"",IF(COUNTIF(Equipamentos!$A$2:$A$201,B400)=0,"tag não encontrada",IFERROR(INDEX(Equipamentos!$H$2:$H$201,MATCH(1,INDEX((Equipamentos!$A$2:$A$201=B400)*(Equipamentos!$P$2:$P$201=A400),0),0)),"confira a data")))</f>
        <v/>
      </c>
      <c r="D400">
        <f>IF(B400="","",IFERROR(INDEX(Equipamentos!$C$2:$C$201,MATCH(B400,Equipamentos!$A$2:$A$201,0)),""))</f>
        <v/>
      </c>
      <c r="E400" s="55" t="n"/>
      <c r="F400" s="55" t="n"/>
      <c r="G400">
        <f>IF(B400="","",IFERROR(INDEX(Equipamentos!$N$2:$N$201,MATCH(B400,Equipamentos!$A$2:$A$201,0)),""))</f>
        <v/>
      </c>
      <c r="H400">
        <f>IF(B400="","",IFERROR(INDEX(Equipamentos!$L$2:$L$201,MATCH(B400,Equipamentos!$A$2:$A$201,0)),""))</f>
        <v/>
      </c>
      <c r="I400" s="57">
        <f>IF(OR(A400="",B400=""),"",IFERROR(INDEX(Equipamentos!$J$2:$J$201,MATCH(1,INDEX((Equipamentos!$A$2:$A$201=B400)*(Equipamentos!$P$2:$P$201=A400),0),0)),""))</f>
        <v/>
      </c>
    </row>
    <row r="401">
      <c r="A401" s="54" t="n"/>
      <c r="B401" s="55" t="n"/>
      <c r="C401" s="56">
        <f>IF(OR(A401="",B401=""),"",IF(COUNTIF(Equipamentos!$A$2:$A$201,B401)=0,"tag não encontrada",IFERROR(INDEX(Equipamentos!$H$2:$H$201,MATCH(1,INDEX((Equipamentos!$A$2:$A$201=B401)*(Equipamentos!$P$2:$P$201=A401),0),0)),"confira a data")))</f>
        <v/>
      </c>
      <c r="D401">
        <f>IF(B401="","",IFERROR(INDEX(Equipamentos!$C$2:$C$201,MATCH(B401,Equipamentos!$A$2:$A$201,0)),""))</f>
        <v/>
      </c>
      <c r="E401" s="55" t="n"/>
      <c r="F401" s="55" t="n"/>
      <c r="G401">
        <f>IF(B401="","",IFERROR(INDEX(Equipamentos!$N$2:$N$201,MATCH(B401,Equipamentos!$A$2:$A$201,0)),""))</f>
        <v/>
      </c>
      <c r="H401">
        <f>IF(B401="","",IFERROR(INDEX(Equipamentos!$L$2:$L$201,MATCH(B401,Equipamentos!$A$2:$A$201,0)),""))</f>
        <v/>
      </c>
      <c r="I401" s="57">
        <f>IF(OR(A401="",B401=""),"",IFERROR(INDEX(Equipamentos!$J$2:$J$201,MATCH(1,INDEX((Equipamentos!$A$2:$A$201=B401)*(Equipamentos!$P$2:$P$201=A401),0),0)),""))</f>
        <v/>
      </c>
    </row>
    <row r="402">
      <c r="A402" s="54" t="n"/>
      <c r="B402" s="55" t="n"/>
      <c r="C402" s="56">
        <f>IF(OR(A402="",B402=""),"",IF(COUNTIF(Equipamentos!$A$2:$A$201,B402)=0,"tag não encontrada",IFERROR(INDEX(Equipamentos!$H$2:$H$201,MATCH(1,INDEX((Equipamentos!$A$2:$A$201=B402)*(Equipamentos!$P$2:$P$201=A402),0),0)),"confira a data")))</f>
        <v/>
      </c>
      <c r="D402">
        <f>IF(B402="","",IFERROR(INDEX(Equipamentos!$C$2:$C$201,MATCH(B402,Equipamentos!$A$2:$A$201,0)),""))</f>
        <v/>
      </c>
      <c r="E402" s="55" t="n"/>
      <c r="F402" s="55" t="n"/>
      <c r="G402">
        <f>IF(B402="","",IFERROR(INDEX(Equipamentos!$N$2:$N$201,MATCH(B402,Equipamentos!$A$2:$A$201,0)),""))</f>
        <v/>
      </c>
      <c r="H402">
        <f>IF(B402="","",IFERROR(INDEX(Equipamentos!$L$2:$L$201,MATCH(B402,Equipamentos!$A$2:$A$201,0)),""))</f>
        <v/>
      </c>
      <c r="I402" s="57">
        <f>IF(OR(A402="",B402=""),"",IFERROR(INDEX(Equipamentos!$J$2:$J$201,MATCH(1,INDEX((Equipamentos!$A$2:$A$201=B402)*(Equipamentos!$P$2:$P$201=A402),0),0)),""))</f>
        <v/>
      </c>
    </row>
    <row r="403">
      <c r="A403" s="54" t="n"/>
      <c r="B403" s="55" t="n"/>
      <c r="C403" s="56">
        <f>IF(OR(A403="",B403=""),"",IF(COUNTIF(Equipamentos!$A$2:$A$201,B403)=0,"tag não encontrada",IFERROR(INDEX(Equipamentos!$H$2:$H$201,MATCH(1,INDEX((Equipamentos!$A$2:$A$201=B403)*(Equipamentos!$P$2:$P$201=A403),0),0)),"confira a data")))</f>
        <v/>
      </c>
      <c r="D403">
        <f>IF(B403="","",IFERROR(INDEX(Equipamentos!$C$2:$C$201,MATCH(B403,Equipamentos!$A$2:$A$201,0)),""))</f>
        <v/>
      </c>
      <c r="E403" s="55" t="n"/>
      <c r="F403" s="55" t="n"/>
      <c r="G403">
        <f>IF(B403="","",IFERROR(INDEX(Equipamentos!$N$2:$N$201,MATCH(B403,Equipamentos!$A$2:$A$201,0)),""))</f>
        <v/>
      </c>
      <c r="H403">
        <f>IF(B403="","",IFERROR(INDEX(Equipamentos!$L$2:$L$201,MATCH(B403,Equipamentos!$A$2:$A$201,0)),""))</f>
        <v/>
      </c>
      <c r="I403" s="57">
        <f>IF(OR(A403="",B403=""),"",IFERROR(INDEX(Equipamentos!$J$2:$J$201,MATCH(1,INDEX((Equipamentos!$A$2:$A$201=B403)*(Equipamentos!$P$2:$P$201=A403),0),0)),""))</f>
        <v/>
      </c>
    </row>
    <row r="404">
      <c r="A404" s="54" t="n"/>
      <c r="B404" s="55" t="n"/>
      <c r="C404" s="56">
        <f>IF(OR(A404="",B404=""),"",IF(COUNTIF(Equipamentos!$A$2:$A$201,B404)=0,"tag não encontrada",IFERROR(INDEX(Equipamentos!$H$2:$H$201,MATCH(1,INDEX((Equipamentos!$A$2:$A$201=B404)*(Equipamentos!$P$2:$P$201=A404),0),0)),"confira a data")))</f>
        <v/>
      </c>
      <c r="D404">
        <f>IF(B404="","",IFERROR(INDEX(Equipamentos!$C$2:$C$201,MATCH(B404,Equipamentos!$A$2:$A$201,0)),""))</f>
        <v/>
      </c>
      <c r="E404" s="55" t="n"/>
      <c r="F404" s="55" t="n"/>
      <c r="G404">
        <f>IF(B404="","",IFERROR(INDEX(Equipamentos!$N$2:$N$201,MATCH(B404,Equipamentos!$A$2:$A$201,0)),""))</f>
        <v/>
      </c>
      <c r="H404">
        <f>IF(B404="","",IFERROR(INDEX(Equipamentos!$L$2:$L$201,MATCH(B404,Equipamentos!$A$2:$A$201,0)),""))</f>
        <v/>
      </c>
      <c r="I404" s="57">
        <f>IF(OR(A404="",B404=""),"",IFERROR(INDEX(Equipamentos!$J$2:$J$201,MATCH(1,INDEX((Equipamentos!$A$2:$A$201=B404)*(Equipamentos!$P$2:$P$201=A404),0),0)),""))</f>
        <v/>
      </c>
    </row>
    <row r="405">
      <c r="A405" s="54" t="n"/>
      <c r="B405" s="55" t="n"/>
      <c r="C405" s="56">
        <f>IF(OR(A405="",B405=""),"",IF(COUNTIF(Equipamentos!$A$2:$A$201,B405)=0,"tag não encontrada",IFERROR(INDEX(Equipamentos!$H$2:$H$201,MATCH(1,INDEX((Equipamentos!$A$2:$A$201=B405)*(Equipamentos!$P$2:$P$201=A405),0),0)),"confira a data")))</f>
        <v/>
      </c>
      <c r="D405">
        <f>IF(B405="","",IFERROR(INDEX(Equipamentos!$C$2:$C$201,MATCH(B405,Equipamentos!$A$2:$A$201,0)),""))</f>
        <v/>
      </c>
      <c r="E405" s="55" t="n"/>
      <c r="F405" s="55" t="n"/>
      <c r="G405">
        <f>IF(B405="","",IFERROR(INDEX(Equipamentos!$N$2:$N$201,MATCH(B405,Equipamentos!$A$2:$A$201,0)),""))</f>
        <v/>
      </c>
      <c r="H405">
        <f>IF(B405="","",IFERROR(INDEX(Equipamentos!$L$2:$L$201,MATCH(B405,Equipamentos!$A$2:$A$201,0)),""))</f>
        <v/>
      </c>
      <c r="I405" s="57">
        <f>IF(OR(A405="",B405=""),"",IFERROR(INDEX(Equipamentos!$J$2:$J$201,MATCH(1,INDEX((Equipamentos!$A$2:$A$201=B405)*(Equipamentos!$P$2:$P$201=A405),0),0)),""))</f>
        <v/>
      </c>
    </row>
    <row r="406">
      <c r="A406" s="54" t="n"/>
      <c r="B406" s="55" t="n"/>
      <c r="C406" s="56">
        <f>IF(OR(A406="",B406=""),"",IF(COUNTIF(Equipamentos!$A$2:$A$201,B406)=0,"tag não encontrada",IFERROR(INDEX(Equipamentos!$H$2:$H$201,MATCH(1,INDEX((Equipamentos!$A$2:$A$201=B406)*(Equipamentos!$P$2:$P$201=A406),0),0)),"confira a data")))</f>
        <v/>
      </c>
      <c r="D406">
        <f>IF(B406="","",IFERROR(INDEX(Equipamentos!$C$2:$C$201,MATCH(B406,Equipamentos!$A$2:$A$201,0)),""))</f>
        <v/>
      </c>
      <c r="E406" s="55" t="n"/>
      <c r="F406" s="55" t="n"/>
      <c r="G406">
        <f>IF(B406="","",IFERROR(INDEX(Equipamentos!$N$2:$N$201,MATCH(B406,Equipamentos!$A$2:$A$201,0)),""))</f>
        <v/>
      </c>
      <c r="H406">
        <f>IF(B406="","",IFERROR(INDEX(Equipamentos!$L$2:$L$201,MATCH(B406,Equipamentos!$A$2:$A$201,0)),""))</f>
        <v/>
      </c>
      <c r="I406" s="57">
        <f>IF(OR(A406="",B406=""),"",IFERROR(INDEX(Equipamentos!$J$2:$J$201,MATCH(1,INDEX((Equipamentos!$A$2:$A$201=B406)*(Equipamentos!$P$2:$P$201=A406),0),0)),""))</f>
        <v/>
      </c>
    </row>
    <row r="407">
      <c r="A407" s="54" t="n"/>
      <c r="B407" s="55" t="n"/>
      <c r="C407" s="56">
        <f>IF(OR(A407="",B407=""),"",IF(COUNTIF(Equipamentos!$A$2:$A$201,B407)=0,"tag não encontrada",IFERROR(INDEX(Equipamentos!$H$2:$H$201,MATCH(1,INDEX((Equipamentos!$A$2:$A$201=B407)*(Equipamentos!$P$2:$P$201=A407),0),0)),"confira a data")))</f>
        <v/>
      </c>
      <c r="D407">
        <f>IF(B407="","",IFERROR(INDEX(Equipamentos!$C$2:$C$201,MATCH(B407,Equipamentos!$A$2:$A$201,0)),""))</f>
        <v/>
      </c>
      <c r="E407" s="55" t="n"/>
      <c r="F407" s="55" t="n"/>
      <c r="G407">
        <f>IF(B407="","",IFERROR(INDEX(Equipamentos!$N$2:$N$201,MATCH(B407,Equipamentos!$A$2:$A$201,0)),""))</f>
        <v/>
      </c>
      <c r="H407">
        <f>IF(B407="","",IFERROR(INDEX(Equipamentos!$L$2:$L$201,MATCH(B407,Equipamentos!$A$2:$A$201,0)),""))</f>
        <v/>
      </c>
      <c r="I407" s="57">
        <f>IF(OR(A407="",B407=""),"",IFERROR(INDEX(Equipamentos!$J$2:$J$201,MATCH(1,INDEX((Equipamentos!$A$2:$A$201=B407)*(Equipamentos!$P$2:$P$201=A407),0),0)),""))</f>
        <v/>
      </c>
    </row>
    <row r="408">
      <c r="A408" s="54" t="n"/>
      <c r="B408" s="55" t="n"/>
      <c r="C408" s="56">
        <f>IF(OR(A408="",B408=""),"",IF(COUNTIF(Equipamentos!$A$2:$A$201,B408)=0,"tag não encontrada",IFERROR(INDEX(Equipamentos!$H$2:$H$201,MATCH(1,INDEX((Equipamentos!$A$2:$A$201=B408)*(Equipamentos!$P$2:$P$201=A408),0),0)),"confira a data")))</f>
        <v/>
      </c>
      <c r="D408">
        <f>IF(B408="","",IFERROR(INDEX(Equipamentos!$C$2:$C$201,MATCH(B408,Equipamentos!$A$2:$A$201,0)),""))</f>
        <v/>
      </c>
      <c r="E408" s="55" t="n"/>
      <c r="F408" s="55" t="n"/>
      <c r="G408">
        <f>IF(B408="","",IFERROR(INDEX(Equipamentos!$N$2:$N$201,MATCH(B408,Equipamentos!$A$2:$A$201,0)),""))</f>
        <v/>
      </c>
      <c r="H408">
        <f>IF(B408="","",IFERROR(INDEX(Equipamentos!$L$2:$L$201,MATCH(B408,Equipamentos!$A$2:$A$201,0)),""))</f>
        <v/>
      </c>
      <c r="I408" s="57">
        <f>IF(OR(A408="",B408=""),"",IFERROR(INDEX(Equipamentos!$J$2:$J$201,MATCH(1,INDEX((Equipamentos!$A$2:$A$201=B408)*(Equipamentos!$P$2:$P$201=A408),0),0)),""))</f>
        <v/>
      </c>
    </row>
    <row r="409">
      <c r="A409" s="54" t="n"/>
      <c r="B409" s="55" t="n"/>
      <c r="C409" s="56">
        <f>IF(OR(A409="",B409=""),"",IF(COUNTIF(Equipamentos!$A$2:$A$201,B409)=0,"tag não encontrada",IFERROR(INDEX(Equipamentos!$H$2:$H$201,MATCH(1,INDEX((Equipamentos!$A$2:$A$201=B409)*(Equipamentos!$P$2:$P$201=A409),0),0)),"confira a data")))</f>
        <v/>
      </c>
      <c r="D409">
        <f>IF(B409="","",IFERROR(INDEX(Equipamentos!$C$2:$C$201,MATCH(B409,Equipamentos!$A$2:$A$201,0)),""))</f>
        <v/>
      </c>
      <c r="E409" s="55" t="n"/>
      <c r="F409" s="55" t="n"/>
      <c r="G409">
        <f>IF(B409="","",IFERROR(INDEX(Equipamentos!$N$2:$N$201,MATCH(B409,Equipamentos!$A$2:$A$201,0)),""))</f>
        <v/>
      </c>
      <c r="H409">
        <f>IF(B409="","",IFERROR(INDEX(Equipamentos!$L$2:$L$201,MATCH(B409,Equipamentos!$A$2:$A$201,0)),""))</f>
        <v/>
      </c>
      <c r="I409" s="57">
        <f>IF(OR(A409="",B409=""),"",IFERROR(INDEX(Equipamentos!$J$2:$J$201,MATCH(1,INDEX((Equipamentos!$A$2:$A$201=B409)*(Equipamentos!$P$2:$P$201=A409),0),0)),""))</f>
        <v/>
      </c>
    </row>
    <row r="410">
      <c r="A410" s="54" t="n"/>
      <c r="B410" s="55" t="n"/>
      <c r="C410" s="56">
        <f>IF(OR(A410="",B410=""),"",IF(COUNTIF(Equipamentos!$A$2:$A$201,B410)=0,"tag não encontrada",IFERROR(INDEX(Equipamentos!$H$2:$H$201,MATCH(1,INDEX((Equipamentos!$A$2:$A$201=B410)*(Equipamentos!$P$2:$P$201=A410),0),0)),"confira a data")))</f>
        <v/>
      </c>
      <c r="D410">
        <f>IF(B410="","",IFERROR(INDEX(Equipamentos!$C$2:$C$201,MATCH(B410,Equipamentos!$A$2:$A$201,0)),""))</f>
        <v/>
      </c>
      <c r="E410" s="55" t="n"/>
      <c r="F410" s="55" t="n"/>
      <c r="G410">
        <f>IF(B410="","",IFERROR(INDEX(Equipamentos!$N$2:$N$201,MATCH(B410,Equipamentos!$A$2:$A$201,0)),""))</f>
        <v/>
      </c>
      <c r="H410">
        <f>IF(B410="","",IFERROR(INDEX(Equipamentos!$L$2:$L$201,MATCH(B410,Equipamentos!$A$2:$A$201,0)),""))</f>
        <v/>
      </c>
      <c r="I410" s="57">
        <f>IF(OR(A410="",B410=""),"",IFERROR(INDEX(Equipamentos!$J$2:$J$201,MATCH(1,INDEX((Equipamentos!$A$2:$A$201=B410)*(Equipamentos!$P$2:$P$201=A410),0),0)),""))</f>
        <v/>
      </c>
    </row>
    <row r="411">
      <c r="A411" s="54" t="n"/>
      <c r="B411" s="55" t="n"/>
      <c r="C411" s="56">
        <f>IF(OR(A411="",B411=""),"",IF(COUNTIF(Equipamentos!$A$2:$A$201,B411)=0,"tag não encontrada",IFERROR(INDEX(Equipamentos!$H$2:$H$201,MATCH(1,INDEX((Equipamentos!$A$2:$A$201=B411)*(Equipamentos!$P$2:$P$201=A411),0),0)),"confira a data")))</f>
        <v/>
      </c>
      <c r="D411">
        <f>IF(B411="","",IFERROR(INDEX(Equipamentos!$C$2:$C$201,MATCH(B411,Equipamentos!$A$2:$A$201,0)),""))</f>
        <v/>
      </c>
      <c r="E411" s="55" t="n"/>
      <c r="F411" s="55" t="n"/>
      <c r="G411">
        <f>IF(B411="","",IFERROR(INDEX(Equipamentos!$N$2:$N$201,MATCH(B411,Equipamentos!$A$2:$A$201,0)),""))</f>
        <v/>
      </c>
      <c r="H411">
        <f>IF(B411="","",IFERROR(INDEX(Equipamentos!$L$2:$L$201,MATCH(B411,Equipamentos!$A$2:$A$201,0)),""))</f>
        <v/>
      </c>
      <c r="I411" s="57">
        <f>IF(OR(A411="",B411=""),"",IFERROR(INDEX(Equipamentos!$J$2:$J$201,MATCH(1,INDEX((Equipamentos!$A$2:$A$201=B411)*(Equipamentos!$P$2:$P$201=A411),0),0)),""))</f>
        <v/>
      </c>
    </row>
    <row r="412">
      <c r="A412" s="54" t="n"/>
      <c r="B412" s="55" t="n"/>
      <c r="C412" s="56">
        <f>IF(OR(A412="",B412=""),"",IF(COUNTIF(Equipamentos!$A$2:$A$201,B412)=0,"tag não encontrada",IFERROR(INDEX(Equipamentos!$H$2:$H$201,MATCH(1,INDEX((Equipamentos!$A$2:$A$201=B412)*(Equipamentos!$P$2:$P$201=A412),0),0)),"confira a data")))</f>
        <v/>
      </c>
      <c r="D412">
        <f>IF(B412="","",IFERROR(INDEX(Equipamentos!$C$2:$C$201,MATCH(B412,Equipamentos!$A$2:$A$201,0)),""))</f>
        <v/>
      </c>
      <c r="E412" s="55" t="n"/>
      <c r="F412" s="55" t="n"/>
      <c r="G412">
        <f>IF(B412="","",IFERROR(INDEX(Equipamentos!$N$2:$N$201,MATCH(B412,Equipamentos!$A$2:$A$201,0)),""))</f>
        <v/>
      </c>
      <c r="H412">
        <f>IF(B412="","",IFERROR(INDEX(Equipamentos!$L$2:$L$201,MATCH(B412,Equipamentos!$A$2:$A$201,0)),""))</f>
        <v/>
      </c>
      <c r="I412" s="57">
        <f>IF(OR(A412="",B412=""),"",IFERROR(INDEX(Equipamentos!$J$2:$J$201,MATCH(1,INDEX((Equipamentos!$A$2:$A$201=B412)*(Equipamentos!$P$2:$P$201=A412),0),0)),""))</f>
        <v/>
      </c>
    </row>
    <row r="413">
      <c r="A413" s="54" t="n"/>
      <c r="B413" s="55" t="n"/>
      <c r="C413" s="56">
        <f>IF(OR(A413="",B413=""),"",IF(COUNTIF(Equipamentos!$A$2:$A$201,B413)=0,"tag não encontrada",IFERROR(INDEX(Equipamentos!$H$2:$H$201,MATCH(1,INDEX((Equipamentos!$A$2:$A$201=B413)*(Equipamentos!$P$2:$P$201=A413),0),0)),"confira a data")))</f>
        <v/>
      </c>
      <c r="D413">
        <f>IF(B413="","",IFERROR(INDEX(Equipamentos!$C$2:$C$201,MATCH(B413,Equipamentos!$A$2:$A$201,0)),""))</f>
        <v/>
      </c>
      <c r="E413" s="55" t="n"/>
      <c r="F413" s="55" t="n"/>
      <c r="G413">
        <f>IF(B413="","",IFERROR(INDEX(Equipamentos!$N$2:$N$201,MATCH(B413,Equipamentos!$A$2:$A$201,0)),""))</f>
        <v/>
      </c>
      <c r="H413">
        <f>IF(B413="","",IFERROR(INDEX(Equipamentos!$L$2:$L$201,MATCH(B413,Equipamentos!$A$2:$A$201,0)),""))</f>
        <v/>
      </c>
      <c r="I413" s="57">
        <f>IF(OR(A413="",B413=""),"",IFERROR(INDEX(Equipamentos!$J$2:$J$201,MATCH(1,INDEX((Equipamentos!$A$2:$A$201=B413)*(Equipamentos!$P$2:$P$201=A413),0),0)),""))</f>
        <v/>
      </c>
    </row>
    <row r="414">
      <c r="A414" s="54" t="n"/>
      <c r="B414" s="55" t="n"/>
      <c r="C414" s="56">
        <f>IF(OR(A414="",B414=""),"",IF(COUNTIF(Equipamentos!$A$2:$A$201,B414)=0,"tag não encontrada",IFERROR(INDEX(Equipamentos!$H$2:$H$201,MATCH(1,INDEX((Equipamentos!$A$2:$A$201=B414)*(Equipamentos!$P$2:$P$201=A414),0),0)),"confira a data")))</f>
        <v/>
      </c>
      <c r="D414">
        <f>IF(B414="","",IFERROR(INDEX(Equipamentos!$C$2:$C$201,MATCH(B414,Equipamentos!$A$2:$A$201,0)),""))</f>
        <v/>
      </c>
      <c r="E414" s="55" t="n"/>
      <c r="F414" s="55" t="n"/>
      <c r="G414">
        <f>IF(B414="","",IFERROR(INDEX(Equipamentos!$N$2:$N$201,MATCH(B414,Equipamentos!$A$2:$A$201,0)),""))</f>
        <v/>
      </c>
      <c r="H414">
        <f>IF(B414="","",IFERROR(INDEX(Equipamentos!$L$2:$L$201,MATCH(B414,Equipamentos!$A$2:$A$201,0)),""))</f>
        <v/>
      </c>
      <c r="I414" s="57">
        <f>IF(OR(A414="",B414=""),"",IFERROR(INDEX(Equipamentos!$J$2:$J$201,MATCH(1,INDEX((Equipamentos!$A$2:$A$201=B414)*(Equipamentos!$P$2:$P$201=A414),0),0)),""))</f>
        <v/>
      </c>
    </row>
    <row r="415">
      <c r="A415" s="54" t="n"/>
      <c r="B415" s="55" t="n"/>
      <c r="C415" s="56">
        <f>IF(OR(A415="",B415=""),"",IF(COUNTIF(Equipamentos!$A$2:$A$201,B415)=0,"tag não encontrada",IFERROR(INDEX(Equipamentos!$H$2:$H$201,MATCH(1,INDEX((Equipamentos!$A$2:$A$201=B415)*(Equipamentos!$P$2:$P$201=A415),0),0)),"confira a data")))</f>
        <v/>
      </c>
      <c r="D415">
        <f>IF(B415="","",IFERROR(INDEX(Equipamentos!$C$2:$C$201,MATCH(B415,Equipamentos!$A$2:$A$201,0)),""))</f>
        <v/>
      </c>
      <c r="E415" s="55" t="n"/>
      <c r="F415" s="55" t="n"/>
      <c r="G415">
        <f>IF(B415="","",IFERROR(INDEX(Equipamentos!$N$2:$N$201,MATCH(B415,Equipamentos!$A$2:$A$201,0)),""))</f>
        <v/>
      </c>
      <c r="H415">
        <f>IF(B415="","",IFERROR(INDEX(Equipamentos!$L$2:$L$201,MATCH(B415,Equipamentos!$A$2:$A$201,0)),""))</f>
        <v/>
      </c>
      <c r="I415" s="57">
        <f>IF(OR(A415="",B415=""),"",IFERROR(INDEX(Equipamentos!$J$2:$J$201,MATCH(1,INDEX((Equipamentos!$A$2:$A$201=B415)*(Equipamentos!$P$2:$P$201=A415),0),0)),""))</f>
        <v/>
      </c>
    </row>
    <row r="416">
      <c r="A416" s="54" t="n"/>
      <c r="B416" s="55" t="n"/>
      <c r="C416" s="56">
        <f>IF(OR(A416="",B416=""),"",IF(COUNTIF(Equipamentos!$A$2:$A$201,B416)=0,"tag não encontrada",IFERROR(INDEX(Equipamentos!$H$2:$H$201,MATCH(1,INDEX((Equipamentos!$A$2:$A$201=B416)*(Equipamentos!$P$2:$P$201=A416),0),0)),"confira a data")))</f>
        <v/>
      </c>
      <c r="D416">
        <f>IF(B416="","",IFERROR(INDEX(Equipamentos!$C$2:$C$201,MATCH(B416,Equipamentos!$A$2:$A$201,0)),""))</f>
        <v/>
      </c>
      <c r="E416" s="55" t="n"/>
      <c r="F416" s="55" t="n"/>
      <c r="G416">
        <f>IF(B416="","",IFERROR(INDEX(Equipamentos!$N$2:$N$201,MATCH(B416,Equipamentos!$A$2:$A$201,0)),""))</f>
        <v/>
      </c>
      <c r="H416">
        <f>IF(B416="","",IFERROR(INDEX(Equipamentos!$L$2:$L$201,MATCH(B416,Equipamentos!$A$2:$A$201,0)),""))</f>
        <v/>
      </c>
      <c r="I416" s="57">
        <f>IF(OR(A416="",B416=""),"",IFERROR(INDEX(Equipamentos!$J$2:$J$201,MATCH(1,INDEX((Equipamentos!$A$2:$A$201=B416)*(Equipamentos!$P$2:$P$201=A416),0),0)),""))</f>
        <v/>
      </c>
    </row>
    <row r="417">
      <c r="A417" s="54" t="n"/>
      <c r="B417" s="55" t="n"/>
      <c r="C417" s="56">
        <f>IF(OR(A417="",B417=""),"",IF(COUNTIF(Equipamentos!$A$2:$A$201,B417)=0,"tag não encontrada",IFERROR(INDEX(Equipamentos!$H$2:$H$201,MATCH(1,INDEX((Equipamentos!$A$2:$A$201=B417)*(Equipamentos!$P$2:$P$201=A417),0),0)),"confira a data")))</f>
        <v/>
      </c>
      <c r="D417">
        <f>IF(B417="","",IFERROR(INDEX(Equipamentos!$C$2:$C$201,MATCH(B417,Equipamentos!$A$2:$A$201,0)),""))</f>
        <v/>
      </c>
      <c r="E417" s="55" t="n"/>
      <c r="F417" s="55" t="n"/>
      <c r="G417">
        <f>IF(B417="","",IFERROR(INDEX(Equipamentos!$N$2:$N$201,MATCH(B417,Equipamentos!$A$2:$A$201,0)),""))</f>
        <v/>
      </c>
      <c r="H417">
        <f>IF(B417="","",IFERROR(INDEX(Equipamentos!$L$2:$L$201,MATCH(B417,Equipamentos!$A$2:$A$201,0)),""))</f>
        <v/>
      </c>
      <c r="I417" s="57">
        <f>IF(OR(A417="",B417=""),"",IFERROR(INDEX(Equipamentos!$J$2:$J$201,MATCH(1,INDEX((Equipamentos!$A$2:$A$201=B417)*(Equipamentos!$P$2:$P$201=A417),0),0)),""))</f>
        <v/>
      </c>
    </row>
    <row r="418">
      <c r="A418" s="54" t="n"/>
      <c r="B418" s="55" t="n"/>
      <c r="C418" s="56">
        <f>IF(OR(A418="",B418=""),"",IF(COUNTIF(Equipamentos!$A$2:$A$201,B418)=0,"tag não encontrada",IFERROR(INDEX(Equipamentos!$H$2:$H$201,MATCH(1,INDEX((Equipamentos!$A$2:$A$201=B418)*(Equipamentos!$P$2:$P$201=A418),0),0)),"confira a data")))</f>
        <v/>
      </c>
      <c r="D418">
        <f>IF(B418="","",IFERROR(INDEX(Equipamentos!$C$2:$C$201,MATCH(B418,Equipamentos!$A$2:$A$201,0)),""))</f>
        <v/>
      </c>
      <c r="E418" s="55" t="n"/>
      <c r="F418" s="55" t="n"/>
      <c r="G418">
        <f>IF(B418="","",IFERROR(INDEX(Equipamentos!$N$2:$N$201,MATCH(B418,Equipamentos!$A$2:$A$201,0)),""))</f>
        <v/>
      </c>
      <c r="H418">
        <f>IF(B418="","",IFERROR(INDEX(Equipamentos!$L$2:$L$201,MATCH(B418,Equipamentos!$A$2:$A$201,0)),""))</f>
        <v/>
      </c>
      <c r="I418" s="57">
        <f>IF(OR(A418="",B418=""),"",IFERROR(INDEX(Equipamentos!$J$2:$J$201,MATCH(1,INDEX((Equipamentos!$A$2:$A$201=B418)*(Equipamentos!$P$2:$P$201=A418),0),0)),""))</f>
        <v/>
      </c>
    </row>
    <row r="419">
      <c r="A419" s="54" t="n"/>
      <c r="B419" s="55" t="n"/>
      <c r="C419" s="56">
        <f>IF(OR(A419="",B419=""),"",IF(COUNTIF(Equipamentos!$A$2:$A$201,B419)=0,"tag não encontrada",IFERROR(INDEX(Equipamentos!$H$2:$H$201,MATCH(1,INDEX((Equipamentos!$A$2:$A$201=B419)*(Equipamentos!$P$2:$P$201=A419),0),0)),"confira a data")))</f>
        <v/>
      </c>
      <c r="D419">
        <f>IF(B419="","",IFERROR(INDEX(Equipamentos!$C$2:$C$201,MATCH(B419,Equipamentos!$A$2:$A$201,0)),""))</f>
        <v/>
      </c>
      <c r="E419" s="55" t="n"/>
      <c r="F419" s="55" t="n"/>
      <c r="G419">
        <f>IF(B419="","",IFERROR(INDEX(Equipamentos!$N$2:$N$201,MATCH(B419,Equipamentos!$A$2:$A$201,0)),""))</f>
        <v/>
      </c>
      <c r="H419">
        <f>IF(B419="","",IFERROR(INDEX(Equipamentos!$L$2:$L$201,MATCH(B419,Equipamentos!$A$2:$A$201,0)),""))</f>
        <v/>
      </c>
      <c r="I419" s="57">
        <f>IF(OR(A419="",B419=""),"",IFERROR(INDEX(Equipamentos!$J$2:$J$201,MATCH(1,INDEX((Equipamentos!$A$2:$A$201=B419)*(Equipamentos!$P$2:$P$201=A419),0),0)),""))</f>
        <v/>
      </c>
    </row>
    <row r="420">
      <c r="A420" s="54" t="n"/>
      <c r="B420" s="55" t="n"/>
      <c r="C420" s="56">
        <f>IF(OR(A420="",B420=""),"",IF(COUNTIF(Equipamentos!$A$2:$A$201,B420)=0,"tag não encontrada",IFERROR(INDEX(Equipamentos!$H$2:$H$201,MATCH(1,INDEX((Equipamentos!$A$2:$A$201=B420)*(Equipamentos!$P$2:$P$201=A420),0),0)),"confira a data")))</f>
        <v/>
      </c>
      <c r="D420">
        <f>IF(B420="","",IFERROR(INDEX(Equipamentos!$C$2:$C$201,MATCH(B420,Equipamentos!$A$2:$A$201,0)),""))</f>
        <v/>
      </c>
      <c r="E420" s="55" t="n"/>
      <c r="F420" s="55" t="n"/>
      <c r="G420">
        <f>IF(B420="","",IFERROR(INDEX(Equipamentos!$N$2:$N$201,MATCH(B420,Equipamentos!$A$2:$A$201,0)),""))</f>
        <v/>
      </c>
      <c r="H420">
        <f>IF(B420="","",IFERROR(INDEX(Equipamentos!$L$2:$L$201,MATCH(B420,Equipamentos!$A$2:$A$201,0)),""))</f>
        <v/>
      </c>
      <c r="I420" s="57">
        <f>IF(OR(A420="",B420=""),"",IFERROR(INDEX(Equipamentos!$J$2:$J$201,MATCH(1,INDEX((Equipamentos!$A$2:$A$201=B420)*(Equipamentos!$P$2:$P$201=A420),0),0)),""))</f>
        <v/>
      </c>
    </row>
    <row r="421">
      <c r="A421" s="54" t="n"/>
      <c r="B421" s="55" t="n"/>
      <c r="C421" s="56">
        <f>IF(OR(A421="",B421=""),"",IF(COUNTIF(Equipamentos!$A$2:$A$201,B421)=0,"tag não encontrada",IFERROR(INDEX(Equipamentos!$H$2:$H$201,MATCH(1,INDEX((Equipamentos!$A$2:$A$201=B421)*(Equipamentos!$P$2:$P$201=A421),0),0)),"confira a data")))</f>
        <v/>
      </c>
      <c r="D421">
        <f>IF(B421="","",IFERROR(INDEX(Equipamentos!$C$2:$C$201,MATCH(B421,Equipamentos!$A$2:$A$201,0)),""))</f>
        <v/>
      </c>
      <c r="E421" s="55" t="n"/>
      <c r="F421" s="55" t="n"/>
      <c r="G421">
        <f>IF(B421="","",IFERROR(INDEX(Equipamentos!$N$2:$N$201,MATCH(B421,Equipamentos!$A$2:$A$201,0)),""))</f>
        <v/>
      </c>
      <c r="H421">
        <f>IF(B421="","",IFERROR(INDEX(Equipamentos!$L$2:$L$201,MATCH(B421,Equipamentos!$A$2:$A$201,0)),""))</f>
        <v/>
      </c>
      <c r="I421" s="57">
        <f>IF(OR(A421="",B421=""),"",IFERROR(INDEX(Equipamentos!$J$2:$J$201,MATCH(1,INDEX((Equipamentos!$A$2:$A$201=B421)*(Equipamentos!$P$2:$P$201=A421),0),0)),""))</f>
        <v/>
      </c>
    </row>
    <row r="422">
      <c r="A422" s="54" t="n"/>
      <c r="B422" s="55" t="n"/>
      <c r="C422" s="56">
        <f>IF(OR(A422="",B422=""),"",IF(COUNTIF(Equipamentos!$A$2:$A$201,B422)=0,"tag não encontrada",IFERROR(INDEX(Equipamentos!$H$2:$H$201,MATCH(1,INDEX((Equipamentos!$A$2:$A$201=B422)*(Equipamentos!$P$2:$P$201=A422),0),0)),"confira a data")))</f>
        <v/>
      </c>
      <c r="D422">
        <f>IF(B422="","",IFERROR(INDEX(Equipamentos!$C$2:$C$201,MATCH(B422,Equipamentos!$A$2:$A$201,0)),""))</f>
        <v/>
      </c>
      <c r="E422" s="55" t="n"/>
      <c r="F422" s="55" t="n"/>
      <c r="G422">
        <f>IF(B422="","",IFERROR(INDEX(Equipamentos!$N$2:$N$201,MATCH(B422,Equipamentos!$A$2:$A$201,0)),""))</f>
        <v/>
      </c>
      <c r="H422">
        <f>IF(B422="","",IFERROR(INDEX(Equipamentos!$L$2:$L$201,MATCH(B422,Equipamentos!$A$2:$A$201,0)),""))</f>
        <v/>
      </c>
      <c r="I422" s="57">
        <f>IF(OR(A422="",B422=""),"",IFERROR(INDEX(Equipamentos!$J$2:$J$201,MATCH(1,INDEX((Equipamentos!$A$2:$A$201=B422)*(Equipamentos!$P$2:$P$201=A422),0),0)),""))</f>
        <v/>
      </c>
    </row>
    <row r="423">
      <c r="A423" s="54" t="n"/>
      <c r="B423" s="55" t="n"/>
      <c r="C423" s="56">
        <f>IF(OR(A423="",B423=""),"",IF(COUNTIF(Equipamentos!$A$2:$A$201,B423)=0,"tag não encontrada",IFERROR(INDEX(Equipamentos!$H$2:$H$201,MATCH(1,INDEX((Equipamentos!$A$2:$A$201=B423)*(Equipamentos!$P$2:$P$201=A423),0),0)),"confira a data")))</f>
        <v/>
      </c>
      <c r="D423">
        <f>IF(B423="","",IFERROR(INDEX(Equipamentos!$C$2:$C$201,MATCH(B423,Equipamentos!$A$2:$A$201,0)),""))</f>
        <v/>
      </c>
      <c r="E423" s="55" t="n"/>
      <c r="F423" s="55" t="n"/>
      <c r="G423">
        <f>IF(B423="","",IFERROR(INDEX(Equipamentos!$N$2:$N$201,MATCH(B423,Equipamentos!$A$2:$A$201,0)),""))</f>
        <v/>
      </c>
      <c r="H423">
        <f>IF(B423="","",IFERROR(INDEX(Equipamentos!$L$2:$L$201,MATCH(B423,Equipamentos!$A$2:$A$201,0)),""))</f>
        <v/>
      </c>
      <c r="I423" s="57">
        <f>IF(OR(A423="",B423=""),"",IFERROR(INDEX(Equipamentos!$J$2:$J$201,MATCH(1,INDEX((Equipamentos!$A$2:$A$201=B423)*(Equipamentos!$P$2:$P$201=A423),0),0)),""))</f>
        <v/>
      </c>
    </row>
    <row r="424">
      <c r="A424" s="54" t="n"/>
      <c r="B424" s="55" t="n"/>
      <c r="C424" s="56">
        <f>IF(OR(A424="",B424=""),"",IF(COUNTIF(Equipamentos!$A$2:$A$201,B424)=0,"tag não encontrada",IFERROR(INDEX(Equipamentos!$H$2:$H$201,MATCH(1,INDEX((Equipamentos!$A$2:$A$201=B424)*(Equipamentos!$P$2:$P$201=A424),0),0)),"confira a data")))</f>
        <v/>
      </c>
      <c r="D424">
        <f>IF(B424="","",IFERROR(INDEX(Equipamentos!$C$2:$C$201,MATCH(B424,Equipamentos!$A$2:$A$201,0)),""))</f>
        <v/>
      </c>
      <c r="E424" s="55" t="n"/>
      <c r="F424" s="55" t="n"/>
      <c r="G424">
        <f>IF(B424="","",IFERROR(INDEX(Equipamentos!$N$2:$N$201,MATCH(B424,Equipamentos!$A$2:$A$201,0)),""))</f>
        <v/>
      </c>
      <c r="H424">
        <f>IF(B424="","",IFERROR(INDEX(Equipamentos!$L$2:$L$201,MATCH(B424,Equipamentos!$A$2:$A$201,0)),""))</f>
        <v/>
      </c>
      <c r="I424" s="57">
        <f>IF(OR(A424="",B424=""),"",IFERROR(INDEX(Equipamentos!$J$2:$J$201,MATCH(1,INDEX((Equipamentos!$A$2:$A$201=B424)*(Equipamentos!$P$2:$P$201=A424),0),0)),""))</f>
        <v/>
      </c>
    </row>
    <row r="425">
      <c r="A425" s="54" t="n"/>
      <c r="B425" s="55" t="n"/>
      <c r="C425" s="56">
        <f>IF(OR(A425="",B425=""),"",IF(COUNTIF(Equipamentos!$A$2:$A$201,B425)=0,"tag não encontrada",IFERROR(INDEX(Equipamentos!$H$2:$H$201,MATCH(1,INDEX((Equipamentos!$A$2:$A$201=B425)*(Equipamentos!$P$2:$P$201=A425),0),0)),"confira a data")))</f>
        <v/>
      </c>
      <c r="D425">
        <f>IF(B425="","",IFERROR(INDEX(Equipamentos!$C$2:$C$201,MATCH(B425,Equipamentos!$A$2:$A$201,0)),""))</f>
        <v/>
      </c>
      <c r="E425" s="55" t="n"/>
      <c r="F425" s="55" t="n"/>
      <c r="G425">
        <f>IF(B425="","",IFERROR(INDEX(Equipamentos!$N$2:$N$201,MATCH(B425,Equipamentos!$A$2:$A$201,0)),""))</f>
        <v/>
      </c>
      <c r="H425">
        <f>IF(B425="","",IFERROR(INDEX(Equipamentos!$L$2:$L$201,MATCH(B425,Equipamentos!$A$2:$A$201,0)),""))</f>
        <v/>
      </c>
      <c r="I425" s="57">
        <f>IF(OR(A425="",B425=""),"",IFERROR(INDEX(Equipamentos!$J$2:$J$201,MATCH(1,INDEX((Equipamentos!$A$2:$A$201=B425)*(Equipamentos!$P$2:$P$201=A425),0),0)),""))</f>
        <v/>
      </c>
    </row>
    <row r="426">
      <c r="A426" s="54" t="n"/>
      <c r="B426" s="55" t="n"/>
      <c r="C426" s="56">
        <f>IF(OR(A426="",B426=""),"",IF(COUNTIF(Equipamentos!$A$2:$A$201,B426)=0,"tag não encontrada",IFERROR(INDEX(Equipamentos!$H$2:$H$201,MATCH(1,INDEX((Equipamentos!$A$2:$A$201=B426)*(Equipamentos!$P$2:$P$201=A426),0),0)),"confira a data")))</f>
        <v/>
      </c>
      <c r="D426">
        <f>IF(B426="","",IFERROR(INDEX(Equipamentos!$C$2:$C$201,MATCH(B426,Equipamentos!$A$2:$A$201,0)),""))</f>
        <v/>
      </c>
      <c r="E426" s="55" t="n"/>
      <c r="F426" s="55" t="n"/>
      <c r="G426">
        <f>IF(B426="","",IFERROR(INDEX(Equipamentos!$N$2:$N$201,MATCH(B426,Equipamentos!$A$2:$A$201,0)),""))</f>
        <v/>
      </c>
      <c r="H426">
        <f>IF(B426="","",IFERROR(INDEX(Equipamentos!$L$2:$L$201,MATCH(B426,Equipamentos!$A$2:$A$201,0)),""))</f>
        <v/>
      </c>
      <c r="I426" s="57">
        <f>IF(OR(A426="",B426=""),"",IFERROR(INDEX(Equipamentos!$J$2:$J$201,MATCH(1,INDEX((Equipamentos!$A$2:$A$201=B426)*(Equipamentos!$P$2:$P$201=A426),0),0)),""))</f>
        <v/>
      </c>
    </row>
    <row r="427">
      <c r="A427" s="54" t="n"/>
      <c r="B427" s="55" t="n"/>
      <c r="C427" s="56">
        <f>IF(OR(A427="",B427=""),"",IF(COUNTIF(Equipamentos!$A$2:$A$201,B427)=0,"tag não encontrada",IFERROR(INDEX(Equipamentos!$H$2:$H$201,MATCH(1,INDEX((Equipamentos!$A$2:$A$201=B427)*(Equipamentos!$P$2:$P$201=A427),0),0)),"confira a data")))</f>
        <v/>
      </c>
      <c r="D427">
        <f>IF(B427="","",IFERROR(INDEX(Equipamentos!$C$2:$C$201,MATCH(B427,Equipamentos!$A$2:$A$201,0)),""))</f>
        <v/>
      </c>
      <c r="E427" s="55" t="n"/>
      <c r="F427" s="55" t="n"/>
      <c r="G427">
        <f>IF(B427="","",IFERROR(INDEX(Equipamentos!$N$2:$N$201,MATCH(B427,Equipamentos!$A$2:$A$201,0)),""))</f>
        <v/>
      </c>
      <c r="H427">
        <f>IF(B427="","",IFERROR(INDEX(Equipamentos!$L$2:$L$201,MATCH(B427,Equipamentos!$A$2:$A$201,0)),""))</f>
        <v/>
      </c>
      <c r="I427" s="57">
        <f>IF(OR(A427="",B427=""),"",IFERROR(INDEX(Equipamentos!$J$2:$J$201,MATCH(1,INDEX((Equipamentos!$A$2:$A$201=B427)*(Equipamentos!$P$2:$P$201=A427),0),0)),""))</f>
        <v/>
      </c>
    </row>
    <row r="428">
      <c r="A428" s="54" t="n"/>
      <c r="B428" s="55" t="n"/>
      <c r="C428" s="56">
        <f>IF(OR(A428="",B428=""),"",IF(COUNTIF(Equipamentos!$A$2:$A$201,B428)=0,"tag não encontrada",IFERROR(INDEX(Equipamentos!$H$2:$H$201,MATCH(1,INDEX((Equipamentos!$A$2:$A$201=B428)*(Equipamentos!$P$2:$P$201=A428),0),0)),"confira a data")))</f>
        <v/>
      </c>
      <c r="D428">
        <f>IF(B428="","",IFERROR(INDEX(Equipamentos!$C$2:$C$201,MATCH(B428,Equipamentos!$A$2:$A$201,0)),""))</f>
        <v/>
      </c>
      <c r="E428" s="55" t="n"/>
      <c r="F428" s="55" t="n"/>
      <c r="G428">
        <f>IF(B428="","",IFERROR(INDEX(Equipamentos!$N$2:$N$201,MATCH(B428,Equipamentos!$A$2:$A$201,0)),""))</f>
        <v/>
      </c>
      <c r="H428">
        <f>IF(B428="","",IFERROR(INDEX(Equipamentos!$L$2:$L$201,MATCH(B428,Equipamentos!$A$2:$A$201,0)),""))</f>
        <v/>
      </c>
      <c r="I428" s="57">
        <f>IF(OR(A428="",B428=""),"",IFERROR(INDEX(Equipamentos!$J$2:$J$201,MATCH(1,INDEX((Equipamentos!$A$2:$A$201=B428)*(Equipamentos!$P$2:$P$201=A428),0),0)),""))</f>
        <v/>
      </c>
    </row>
    <row r="429">
      <c r="A429" s="54" t="n"/>
      <c r="B429" s="55" t="n"/>
      <c r="C429" s="56">
        <f>IF(OR(A429="",B429=""),"",IF(COUNTIF(Equipamentos!$A$2:$A$201,B429)=0,"tag não encontrada",IFERROR(INDEX(Equipamentos!$H$2:$H$201,MATCH(1,INDEX((Equipamentos!$A$2:$A$201=B429)*(Equipamentos!$P$2:$P$201=A429),0),0)),"confira a data")))</f>
        <v/>
      </c>
      <c r="D429">
        <f>IF(B429="","",IFERROR(INDEX(Equipamentos!$C$2:$C$201,MATCH(B429,Equipamentos!$A$2:$A$201,0)),""))</f>
        <v/>
      </c>
      <c r="E429" s="55" t="n"/>
      <c r="F429" s="55" t="n"/>
      <c r="G429">
        <f>IF(B429="","",IFERROR(INDEX(Equipamentos!$N$2:$N$201,MATCH(B429,Equipamentos!$A$2:$A$201,0)),""))</f>
        <v/>
      </c>
      <c r="H429">
        <f>IF(B429="","",IFERROR(INDEX(Equipamentos!$L$2:$L$201,MATCH(B429,Equipamentos!$A$2:$A$201,0)),""))</f>
        <v/>
      </c>
      <c r="I429" s="57">
        <f>IF(OR(A429="",B429=""),"",IFERROR(INDEX(Equipamentos!$J$2:$J$201,MATCH(1,INDEX((Equipamentos!$A$2:$A$201=B429)*(Equipamentos!$P$2:$P$201=A429),0),0)),""))</f>
        <v/>
      </c>
    </row>
    <row r="430">
      <c r="A430" s="54" t="n"/>
      <c r="B430" s="55" t="n"/>
      <c r="C430" s="56">
        <f>IF(OR(A430="",B430=""),"",IF(COUNTIF(Equipamentos!$A$2:$A$201,B430)=0,"tag não encontrada",IFERROR(INDEX(Equipamentos!$H$2:$H$201,MATCH(1,INDEX((Equipamentos!$A$2:$A$201=B430)*(Equipamentos!$P$2:$P$201=A430),0),0)),"confira a data")))</f>
        <v/>
      </c>
      <c r="D430">
        <f>IF(B430="","",IFERROR(INDEX(Equipamentos!$C$2:$C$201,MATCH(B430,Equipamentos!$A$2:$A$201,0)),""))</f>
        <v/>
      </c>
      <c r="E430" s="55" t="n"/>
      <c r="F430" s="55" t="n"/>
      <c r="G430">
        <f>IF(B430="","",IFERROR(INDEX(Equipamentos!$N$2:$N$201,MATCH(B430,Equipamentos!$A$2:$A$201,0)),""))</f>
        <v/>
      </c>
      <c r="H430">
        <f>IF(B430="","",IFERROR(INDEX(Equipamentos!$L$2:$L$201,MATCH(B430,Equipamentos!$A$2:$A$201,0)),""))</f>
        <v/>
      </c>
      <c r="I430" s="57">
        <f>IF(OR(A430="",B430=""),"",IFERROR(INDEX(Equipamentos!$J$2:$J$201,MATCH(1,INDEX((Equipamentos!$A$2:$A$201=B430)*(Equipamentos!$P$2:$P$201=A430),0),0)),""))</f>
        <v/>
      </c>
    </row>
    <row r="431">
      <c r="A431" s="54" t="n"/>
      <c r="B431" s="55" t="n"/>
      <c r="C431" s="56">
        <f>IF(OR(A431="",B431=""),"",IF(COUNTIF(Equipamentos!$A$2:$A$201,B431)=0,"tag não encontrada",IFERROR(INDEX(Equipamentos!$H$2:$H$201,MATCH(1,INDEX((Equipamentos!$A$2:$A$201=B431)*(Equipamentos!$P$2:$P$201=A431),0),0)),"confira a data")))</f>
        <v/>
      </c>
      <c r="D431">
        <f>IF(B431="","",IFERROR(INDEX(Equipamentos!$C$2:$C$201,MATCH(B431,Equipamentos!$A$2:$A$201,0)),""))</f>
        <v/>
      </c>
      <c r="E431" s="55" t="n"/>
      <c r="F431" s="55" t="n"/>
      <c r="G431">
        <f>IF(B431="","",IFERROR(INDEX(Equipamentos!$N$2:$N$201,MATCH(B431,Equipamentos!$A$2:$A$201,0)),""))</f>
        <v/>
      </c>
      <c r="H431">
        <f>IF(B431="","",IFERROR(INDEX(Equipamentos!$L$2:$L$201,MATCH(B431,Equipamentos!$A$2:$A$201,0)),""))</f>
        <v/>
      </c>
      <c r="I431" s="57">
        <f>IF(OR(A431="",B431=""),"",IFERROR(INDEX(Equipamentos!$J$2:$J$201,MATCH(1,INDEX((Equipamentos!$A$2:$A$201=B431)*(Equipamentos!$P$2:$P$201=A431),0),0)),""))</f>
        <v/>
      </c>
    </row>
    <row r="432">
      <c r="A432" s="54" t="n"/>
      <c r="B432" s="55" t="n"/>
      <c r="C432" s="56">
        <f>IF(OR(A432="",B432=""),"",IF(COUNTIF(Equipamentos!$A$2:$A$201,B432)=0,"tag não encontrada",IFERROR(INDEX(Equipamentos!$H$2:$H$201,MATCH(1,INDEX((Equipamentos!$A$2:$A$201=B432)*(Equipamentos!$P$2:$P$201=A432),0),0)),"confira a data")))</f>
        <v/>
      </c>
      <c r="D432">
        <f>IF(B432="","",IFERROR(INDEX(Equipamentos!$C$2:$C$201,MATCH(B432,Equipamentos!$A$2:$A$201,0)),""))</f>
        <v/>
      </c>
      <c r="E432" s="55" t="n"/>
      <c r="F432" s="55" t="n"/>
      <c r="G432">
        <f>IF(B432="","",IFERROR(INDEX(Equipamentos!$N$2:$N$201,MATCH(B432,Equipamentos!$A$2:$A$201,0)),""))</f>
        <v/>
      </c>
      <c r="H432">
        <f>IF(B432="","",IFERROR(INDEX(Equipamentos!$L$2:$L$201,MATCH(B432,Equipamentos!$A$2:$A$201,0)),""))</f>
        <v/>
      </c>
      <c r="I432" s="57">
        <f>IF(OR(A432="",B432=""),"",IFERROR(INDEX(Equipamentos!$J$2:$J$201,MATCH(1,INDEX((Equipamentos!$A$2:$A$201=B432)*(Equipamentos!$P$2:$P$201=A432),0),0)),""))</f>
        <v/>
      </c>
    </row>
    <row r="433">
      <c r="A433" s="54" t="n"/>
      <c r="B433" s="55" t="n"/>
      <c r="C433" s="56">
        <f>IF(OR(A433="",B433=""),"",IF(COUNTIF(Equipamentos!$A$2:$A$201,B433)=0,"tag não encontrada",IFERROR(INDEX(Equipamentos!$H$2:$H$201,MATCH(1,INDEX((Equipamentos!$A$2:$A$201=B433)*(Equipamentos!$P$2:$P$201=A433),0),0)),"confira a data")))</f>
        <v/>
      </c>
      <c r="D433">
        <f>IF(B433="","",IFERROR(INDEX(Equipamentos!$C$2:$C$201,MATCH(B433,Equipamentos!$A$2:$A$201,0)),""))</f>
        <v/>
      </c>
      <c r="E433" s="55" t="n"/>
      <c r="F433" s="55" t="n"/>
      <c r="G433">
        <f>IF(B433="","",IFERROR(INDEX(Equipamentos!$N$2:$N$201,MATCH(B433,Equipamentos!$A$2:$A$201,0)),""))</f>
        <v/>
      </c>
      <c r="H433">
        <f>IF(B433="","",IFERROR(INDEX(Equipamentos!$L$2:$L$201,MATCH(B433,Equipamentos!$A$2:$A$201,0)),""))</f>
        <v/>
      </c>
      <c r="I433" s="57">
        <f>IF(OR(A433="",B433=""),"",IFERROR(INDEX(Equipamentos!$J$2:$J$201,MATCH(1,INDEX((Equipamentos!$A$2:$A$201=B433)*(Equipamentos!$P$2:$P$201=A433),0),0)),""))</f>
        <v/>
      </c>
    </row>
    <row r="434">
      <c r="A434" s="54" t="n"/>
      <c r="B434" s="55" t="n"/>
      <c r="C434" s="56">
        <f>IF(OR(A434="",B434=""),"",IF(COUNTIF(Equipamentos!$A$2:$A$201,B434)=0,"tag não encontrada",IFERROR(INDEX(Equipamentos!$H$2:$H$201,MATCH(1,INDEX((Equipamentos!$A$2:$A$201=B434)*(Equipamentos!$P$2:$P$201=A434),0),0)),"confira a data")))</f>
        <v/>
      </c>
      <c r="D434">
        <f>IF(B434="","",IFERROR(INDEX(Equipamentos!$C$2:$C$201,MATCH(B434,Equipamentos!$A$2:$A$201,0)),""))</f>
        <v/>
      </c>
      <c r="E434" s="55" t="n"/>
      <c r="F434" s="55" t="n"/>
      <c r="G434">
        <f>IF(B434="","",IFERROR(INDEX(Equipamentos!$N$2:$N$201,MATCH(B434,Equipamentos!$A$2:$A$201,0)),""))</f>
        <v/>
      </c>
      <c r="H434">
        <f>IF(B434="","",IFERROR(INDEX(Equipamentos!$L$2:$L$201,MATCH(B434,Equipamentos!$A$2:$A$201,0)),""))</f>
        <v/>
      </c>
      <c r="I434" s="57">
        <f>IF(OR(A434="",B434=""),"",IFERROR(INDEX(Equipamentos!$J$2:$J$201,MATCH(1,INDEX((Equipamentos!$A$2:$A$201=B434)*(Equipamentos!$P$2:$P$201=A434),0),0)),""))</f>
        <v/>
      </c>
    </row>
    <row r="435">
      <c r="A435" s="54" t="n"/>
      <c r="B435" s="55" t="n"/>
      <c r="C435" s="56">
        <f>IF(OR(A435="",B435=""),"",IF(COUNTIF(Equipamentos!$A$2:$A$201,B435)=0,"tag não encontrada",IFERROR(INDEX(Equipamentos!$H$2:$H$201,MATCH(1,INDEX((Equipamentos!$A$2:$A$201=B435)*(Equipamentos!$P$2:$P$201=A435),0),0)),"confira a data")))</f>
        <v/>
      </c>
      <c r="D435">
        <f>IF(B435="","",IFERROR(INDEX(Equipamentos!$C$2:$C$201,MATCH(B435,Equipamentos!$A$2:$A$201,0)),""))</f>
        <v/>
      </c>
      <c r="E435" s="55" t="n"/>
      <c r="F435" s="55" t="n"/>
      <c r="G435">
        <f>IF(B435="","",IFERROR(INDEX(Equipamentos!$N$2:$N$201,MATCH(B435,Equipamentos!$A$2:$A$201,0)),""))</f>
        <v/>
      </c>
      <c r="H435">
        <f>IF(B435="","",IFERROR(INDEX(Equipamentos!$L$2:$L$201,MATCH(B435,Equipamentos!$A$2:$A$201,0)),""))</f>
        <v/>
      </c>
      <c r="I435" s="57">
        <f>IF(OR(A435="",B435=""),"",IFERROR(INDEX(Equipamentos!$J$2:$J$201,MATCH(1,INDEX((Equipamentos!$A$2:$A$201=B435)*(Equipamentos!$P$2:$P$201=A435),0),0)),""))</f>
        <v/>
      </c>
    </row>
    <row r="436">
      <c r="A436" s="54" t="n"/>
      <c r="B436" s="55" t="n"/>
      <c r="C436" s="56">
        <f>IF(OR(A436="",B436=""),"",IF(COUNTIF(Equipamentos!$A$2:$A$201,B436)=0,"tag não encontrada",IFERROR(INDEX(Equipamentos!$H$2:$H$201,MATCH(1,INDEX((Equipamentos!$A$2:$A$201=B436)*(Equipamentos!$P$2:$P$201=A436),0),0)),"confira a data")))</f>
        <v/>
      </c>
      <c r="D436">
        <f>IF(B436="","",IFERROR(INDEX(Equipamentos!$C$2:$C$201,MATCH(B436,Equipamentos!$A$2:$A$201,0)),""))</f>
        <v/>
      </c>
      <c r="E436" s="55" t="n"/>
      <c r="F436" s="55" t="n"/>
      <c r="G436">
        <f>IF(B436="","",IFERROR(INDEX(Equipamentos!$N$2:$N$201,MATCH(B436,Equipamentos!$A$2:$A$201,0)),""))</f>
        <v/>
      </c>
      <c r="H436">
        <f>IF(B436="","",IFERROR(INDEX(Equipamentos!$L$2:$L$201,MATCH(B436,Equipamentos!$A$2:$A$201,0)),""))</f>
        <v/>
      </c>
      <c r="I436" s="57">
        <f>IF(OR(A436="",B436=""),"",IFERROR(INDEX(Equipamentos!$J$2:$J$201,MATCH(1,INDEX((Equipamentos!$A$2:$A$201=B436)*(Equipamentos!$P$2:$P$201=A436),0),0)),""))</f>
        <v/>
      </c>
    </row>
    <row r="437">
      <c r="A437" s="54" t="n"/>
      <c r="B437" s="55" t="n"/>
      <c r="C437" s="56">
        <f>IF(OR(A437="",B437=""),"",IF(COUNTIF(Equipamentos!$A$2:$A$201,B437)=0,"tag não encontrada",IFERROR(INDEX(Equipamentos!$H$2:$H$201,MATCH(1,INDEX((Equipamentos!$A$2:$A$201=B437)*(Equipamentos!$P$2:$P$201=A437),0),0)),"confira a data")))</f>
        <v/>
      </c>
      <c r="D437">
        <f>IF(B437="","",IFERROR(INDEX(Equipamentos!$C$2:$C$201,MATCH(B437,Equipamentos!$A$2:$A$201,0)),""))</f>
        <v/>
      </c>
      <c r="E437" s="55" t="n"/>
      <c r="F437" s="55" t="n"/>
      <c r="G437">
        <f>IF(B437="","",IFERROR(INDEX(Equipamentos!$N$2:$N$201,MATCH(B437,Equipamentos!$A$2:$A$201,0)),""))</f>
        <v/>
      </c>
      <c r="H437">
        <f>IF(B437="","",IFERROR(INDEX(Equipamentos!$L$2:$L$201,MATCH(B437,Equipamentos!$A$2:$A$201,0)),""))</f>
        <v/>
      </c>
      <c r="I437" s="57">
        <f>IF(OR(A437="",B437=""),"",IFERROR(INDEX(Equipamentos!$J$2:$J$201,MATCH(1,INDEX((Equipamentos!$A$2:$A$201=B437)*(Equipamentos!$P$2:$P$201=A437),0),0)),""))</f>
        <v/>
      </c>
    </row>
    <row r="438">
      <c r="A438" s="54" t="n"/>
      <c r="B438" s="55" t="n"/>
      <c r="C438" s="56">
        <f>IF(OR(A438="",B438=""),"",IF(COUNTIF(Equipamentos!$A$2:$A$201,B438)=0,"tag não encontrada",IFERROR(INDEX(Equipamentos!$H$2:$H$201,MATCH(1,INDEX((Equipamentos!$A$2:$A$201=B438)*(Equipamentos!$P$2:$P$201=A438),0),0)),"confira a data")))</f>
        <v/>
      </c>
      <c r="D438">
        <f>IF(B438="","",IFERROR(INDEX(Equipamentos!$C$2:$C$201,MATCH(B438,Equipamentos!$A$2:$A$201,0)),""))</f>
        <v/>
      </c>
      <c r="E438" s="55" t="n"/>
      <c r="F438" s="55" t="n"/>
      <c r="G438">
        <f>IF(B438="","",IFERROR(INDEX(Equipamentos!$N$2:$N$201,MATCH(B438,Equipamentos!$A$2:$A$201,0)),""))</f>
        <v/>
      </c>
      <c r="H438">
        <f>IF(B438="","",IFERROR(INDEX(Equipamentos!$L$2:$L$201,MATCH(B438,Equipamentos!$A$2:$A$201,0)),""))</f>
        <v/>
      </c>
      <c r="I438" s="57">
        <f>IF(OR(A438="",B438=""),"",IFERROR(INDEX(Equipamentos!$J$2:$J$201,MATCH(1,INDEX((Equipamentos!$A$2:$A$201=B438)*(Equipamentos!$P$2:$P$201=A438),0),0)),""))</f>
        <v/>
      </c>
    </row>
    <row r="439">
      <c r="A439" s="54" t="n"/>
      <c r="B439" s="55" t="n"/>
      <c r="C439" s="56">
        <f>IF(OR(A439="",B439=""),"",IF(COUNTIF(Equipamentos!$A$2:$A$201,B439)=0,"tag não encontrada",IFERROR(INDEX(Equipamentos!$H$2:$H$201,MATCH(1,INDEX((Equipamentos!$A$2:$A$201=B439)*(Equipamentos!$P$2:$P$201=A439),0),0)),"confira a data")))</f>
        <v/>
      </c>
      <c r="D439">
        <f>IF(B439="","",IFERROR(INDEX(Equipamentos!$C$2:$C$201,MATCH(B439,Equipamentos!$A$2:$A$201,0)),""))</f>
        <v/>
      </c>
      <c r="E439" s="55" t="n"/>
      <c r="F439" s="55" t="n"/>
      <c r="G439">
        <f>IF(B439="","",IFERROR(INDEX(Equipamentos!$N$2:$N$201,MATCH(B439,Equipamentos!$A$2:$A$201,0)),""))</f>
        <v/>
      </c>
      <c r="H439">
        <f>IF(B439="","",IFERROR(INDEX(Equipamentos!$L$2:$L$201,MATCH(B439,Equipamentos!$A$2:$A$201,0)),""))</f>
        <v/>
      </c>
      <c r="I439" s="57">
        <f>IF(OR(A439="",B439=""),"",IFERROR(INDEX(Equipamentos!$J$2:$J$201,MATCH(1,INDEX((Equipamentos!$A$2:$A$201=B439)*(Equipamentos!$P$2:$P$201=A439),0),0)),""))</f>
        <v/>
      </c>
    </row>
    <row r="440">
      <c r="A440" s="54" t="n"/>
      <c r="B440" s="55" t="n"/>
      <c r="C440" s="56">
        <f>IF(OR(A440="",B440=""),"",IF(COUNTIF(Equipamentos!$A$2:$A$201,B440)=0,"tag não encontrada",IFERROR(INDEX(Equipamentos!$H$2:$H$201,MATCH(1,INDEX((Equipamentos!$A$2:$A$201=B440)*(Equipamentos!$P$2:$P$201=A440),0),0)),"confira a data")))</f>
        <v/>
      </c>
      <c r="D440">
        <f>IF(B440="","",IFERROR(INDEX(Equipamentos!$C$2:$C$201,MATCH(B440,Equipamentos!$A$2:$A$201,0)),""))</f>
        <v/>
      </c>
      <c r="E440" s="55" t="n"/>
      <c r="F440" s="55" t="n"/>
      <c r="G440">
        <f>IF(B440="","",IFERROR(INDEX(Equipamentos!$N$2:$N$201,MATCH(B440,Equipamentos!$A$2:$A$201,0)),""))</f>
        <v/>
      </c>
      <c r="H440">
        <f>IF(B440="","",IFERROR(INDEX(Equipamentos!$L$2:$L$201,MATCH(B440,Equipamentos!$A$2:$A$201,0)),""))</f>
        <v/>
      </c>
      <c r="I440" s="57">
        <f>IF(OR(A440="",B440=""),"",IFERROR(INDEX(Equipamentos!$J$2:$J$201,MATCH(1,INDEX((Equipamentos!$A$2:$A$201=B440)*(Equipamentos!$P$2:$P$201=A440),0),0)),""))</f>
        <v/>
      </c>
    </row>
    <row r="441">
      <c r="A441" s="54" t="n"/>
      <c r="B441" s="55" t="n"/>
      <c r="C441" s="56">
        <f>IF(OR(A441="",B441=""),"",IF(COUNTIF(Equipamentos!$A$2:$A$201,B441)=0,"tag não encontrada",IFERROR(INDEX(Equipamentos!$H$2:$H$201,MATCH(1,INDEX((Equipamentos!$A$2:$A$201=B441)*(Equipamentos!$P$2:$P$201=A441),0),0)),"confira a data")))</f>
        <v/>
      </c>
      <c r="D441">
        <f>IF(B441="","",IFERROR(INDEX(Equipamentos!$C$2:$C$201,MATCH(B441,Equipamentos!$A$2:$A$201,0)),""))</f>
        <v/>
      </c>
      <c r="E441" s="55" t="n"/>
      <c r="F441" s="55" t="n"/>
      <c r="G441">
        <f>IF(B441="","",IFERROR(INDEX(Equipamentos!$N$2:$N$201,MATCH(B441,Equipamentos!$A$2:$A$201,0)),""))</f>
        <v/>
      </c>
      <c r="H441">
        <f>IF(B441="","",IFERROR(INDEX(Equipamentos!$L$2:$L$201,MATCH(B441,Equipamentos!$A$2:$A$201,0)),""))</f>
        <v/>
      </c>
      <c r="I441" s="57">
        <f>IF(OR(A441="",B441=""),"",IFERROR(INDEX(Equipamentos!$J$2:$J$201,MATCH(1,INDEX((Equipamentos!$A$2:$A$201=B441)*(Equipamentos!$P$2:$P$201=A441),0),0)),""))</f>
        <v/>
      </c>
    </row>
    <row r="442">
      <c r="A442" s="54" t="n"/>
      <c r="B442" s="55" t="n"/>
      <c r="C442" s="56">
        <f>IF(OR(A442="",B442=""),"",IF(COUNTIF(Equipamentos!$A$2:$A$201,B442)=0,"tag não encontrada",IFERROR(INDEX(Equipamentos!$H$2:$H$201,MATCH(1,INDEX((Equipamentos!$A$2:$A$201=B442)*(Equipamentos!$P$2:$P$201=A442),0),0)),"confira a data")))</f>
        <v/>
      </c>
      <c r="D442">
        <f>IF(B442="","",IFERROR(INDEX(Equipamentos!$C$2:$C$201,MATCH(B442,Equipamentos!$A$2:$A$201,0)),""))</f>
        <v/>
      </c>
      <c r="E442" s="55" t="n"/>
      <c r="F442" s="55" t="n"/>
      <c r="G442">
        <f>IF(B442="","",IFERROR(INDEX(Equipamentos!$N$2:$N$201,MATCH(B442,Equipamentos!$A$2:$A$201,0)),""))</f>
        <v/>
      </c>
      <c r="H442">
        <f>IF(B442="","",IFERROR(INDEX(Equipamentos!$L$2:$L$201,MATCH(B442,Equipamentos!$A$2:$A$201,0)),""))</f>
        <v/>
      </c>
      <c r="I442" s="57">
        <f>IF(OR(A442="",B442=""),"",IFERROR(INDEX(Equipamentos!$J$2:$J$201,MATCH(1,INDEX((Equipamentos!$A$2:$A$201=B442)*(Equipamentos!$P$2:$P$201=A442),0),0)),""))</f>
        <v/>
      </c>
    </row>
    <row r="443">
      <c r="A443" s="54" t="n"/>
      <c r="B443" s="55" t="n"/>
      <c r="C443" s="56">
        <f>IF(OR(A443="",B443=""),"",IF(COUNTIF(Equipamentos!$A$2:$A$201,B443)=0,"tag não encontrada",IFERROR(INDEX(Equipamentos!$H$2:$H$201,MATCH(1,INDEX((Equipamentos!$A$2:$A$201=B443)*(Equipamentos!$P$2:$P$201=A443),0),0)),"confira a data")))</f>
        <v/>
      </c>
      <c r="D443">
        <f>IF(B443="","",IFERROR(INDEX(Equipamentos!$C$2:$C$201,MATCH(B443,Equipamentos!$A$2:$A$201,0)),""))</f>
        <v/>
      </c>
      <c r="E443" s="55" t="n"/>
      <c r="F443" s="55" t="n"/>
      <c r="G443">
        <f>IF(B443="","",IFERROR(INDEX(Equipamentos!$N$2:$N$201,MATCH(B443,Equipamentos!$A$2:$A$201,0)),""))</f>
        <v/>
      </c>
      <c r="H443">
        <f>IF(B443="","",IFERROR(INDEX(Equipamentos!$L$2:$L$201,MATCH(B443,Equipamentos!$A$2:$A$201,0)),""))</f>
        <v/>
      </c>
      <c r="I443" s="57">
        <f>IF(OR(A443="",B443=""),"",IFERROR(INDEX(Equipamentos!$J$2:$J$201,MATCH(1,INDEX((Equipamentos!$A$2:$A$201=B443)*(Equipamentos!$P$2:$P$201=A443),0),0)),""))</f>
        <v/>
      </c>
    </row>
    <row r="444">
      <c r="A444" s="54" t="n"/>
      <c r="B444" s="55" t="n"/>
      <c r="C444" s="56">
        <f>IF(OR(A444="",B444=""),"",IF(COUNTIF(Equipamentos!$A$2:$A$201,B444)=0,"tag não encontrada",IFERROR(INDEX(Equipamentos!$H$2:$H$201,MATCH(1,INDEX((Equipamentos!$A$2:$A$201=B444)*(Equipamentos!$P$2:$P$201=A444),0),0)),"confira a data")))</f>
        <v/>
      </c>
      <c r="D444">
        <f>IF(B444="","",IFERROR(INDEX(Equipamentos!$C$2:$C$201,MATCH(B444,Equipamentos!$A$2:$A$201,0)),""))</f>
        <v/>
      </c>
      <c r="E444" s="55" t="n"/>
      <c r="F444" s="55" t="n"/>
      <c r="G444">
        <f>IF(B444="","",IFERROR(INDEX(Equipamentos!$N$2:$N$201,MATCH(B444,Equipamentos!$A$2:$A$201,0)),""))</f>
        <v/>
      </c>
      <c r="H444">
        <f>IF(B444="","",IFERROR(INDEX(Equipamentos!$L$2:$L$201,MATCH(B444,Equipamentos!$A$2:$A$201,0)),""))</f>
        <v/>
      </c>
      <c r="I444" s="57">
        <f>IF(OR(A444="",B444=""),"",IFERROR(INDEX(Equipamentos!$J$2:$J$201,MATCH(1,INDEX((Equipamentos!$A$2:$A$201=B444)*(Equipamentos!$P$2:$P$201=A444),0),0)),""))</f>
        <v/>
      </c>
    </row>
    <row r="445">
      <c r="A445" s="54" t="n"/>
      <c r="B445" s="55" t="n"/>
      <c r="C445" s="56">
        <f>IF(OR(A445="",B445=""),"",IF(COUNTIF(Equipamentos!$A$2:$A$201,B445)=0,"tag não encontrada",IFERROR(INDEX(Equipamentos!$H$2:$H$201,MATCH(1,INDEX((Equipamentos!$A$2:$A$201=B445)*(Equipamentos!$P$2:$P$201=A445),0),0)),"confira a data")))</f>
        <v/>
      </c>
      <c r="D445">
        <f>IF(B445="","",IFERROR(INDEX(Equipamentos!$C$2:$C$201,MATCH(B445,Equipamentos!$A$2:$A$201,0)),""))</f>
        <v/>
      </c>
      <c r="E445" s="55" t="n"/>
      <c r="F445" s="55" t="n"/>
      <c r="G445">
        <f>IF(B445="","",IFERROR(INDEX(Equipamentos!$N$2:$N$201,MATCH(B445,Equipamentos!$A$2:$A$201,0)),""))</f>
        <v/>
      </c>
      <c r="H445">
        <f>IF(B445="","",IFERROR(INDEX(Equipamentos!$L$2:$L$201,MATCH(B445,Equipamentos!$A$2:$A$201,0)),""))</f>
        <v/>
      </c>
      <c r="I445" s="57">
        <f>IF(OR(A445="",B445=""),"",IFERROR(INDEX(Equipamentos!$J$2:$J$201,MATCH(1,INDEX((Equipamentos!$A$2:$A$201=B445)*(Equipamentos!$P$2:$P$201=A445),0),0)),""))</f>
        <v/>
      </c>
    </row>
    <row r="446">
      <c r="A446" s="54" t="n"/>
      <c r="B446" s="55" t="n"/>
      <c r="C446" s="56">
        <f>IF(OR(A446="",B446=""),"",IF(COUNTIF(Equipamentos!$A$2:$A$201,B446)=0,"tag não encontrada",IFERROR(INDEX(Equipamentos!$H$2:$H$201,MATCH(1,INDEX((Equipamentos!$A$2:$A$201=B446)*(Equipamentos!$P$2:$P$201=A446),0),0)),"confira a data")))</f>
        <v/>
      </c>
      <c r="D446">
        <f>IF(B446="","",IFERROR(INDEX(Equipamentos!$C$2:$C$201,MATCH(B446,Equipamentos!$A$2:$A$201,0)),""))</f>
        <v/>
      </c>
      <c r="E446" s="55" t="n"/>
      <c r="F446" s="55" t="n"/>
      <c r="G446">
        <f>IF(B446="","",IFERROR(INDEX(Equipamentos!$N$2:$N$201,MATCH(B446,Equipamentos!$A$2:$A$201,0)),""))</f>
        <v/>
      </c>
      <c r="H446">
        <f>IF(B446="","",IFERROR(INDEX(Equipamentos!$L$2:$L$201,MATCH(B446,Equipamentos!$A$2:$A$201,0)),""))</f>
        <v/>
      </c>
      <c r="I446" s="57">
        <f>IF(OR(A446="",B446=""),"",IFERROR(INDEX(Equipamentos!$J$2:$J$201,MATCH(1,INDEX((Equipamentos!$A$2:$A$201=B446)*(Equipamentos!$P$2:$P$201=A446),0),0)),""))</f>
        <v/>
      </c>
    </row>
    <row r="447">
      <c r="A447" s="54" t="n"/>
      <c r="B447" s="55" t="n"/>
      <c r="C447" s="56">
        <f>IF(OR(A447="",B447=""),"",IF(COUNTIF(Equipamentos!$A$2:$A$201,B447)=0,"tag não encontrada",IFERROR(INDEX(Equipamentos!$H$2:$H$201,MATCH(1,INDEX((Equipamentos!$A$2:$A$201=B447)*(Equipamentos!$P$2:$P$201=A447),0),0)),"confira a data")))</f>
        <v/>
      </c>
      <c r="D447">
        <f>IF(B447="","",IFERROR(INDEX(Equipamentos!$C$2:$C$201,MATCH(B447,Equipamentos!$A$2:$A$201,0)),""))</f>
        <v/>
      </c>
      <c r="E447" s="55" t="n"/>
      <c r="F447" s="55" t="n"/>
      <c r="G447">
        <f>IF(B447="","",IFERROR(INDEX(Equipamentos!$N$2:$N$201,MATCH(B447,Equipamentos!$A$2:$A$201,0)),""))</f>
        <v/>
      </c>
      <c r="H447">
        <f>IF(B447="","",IFERROR(INDEX(Equipamentos!$L$2:$L$201,MATCH(B447,Equipamentos!$A$2:$A$201,0)),""))</f>
        <v/>
      </c>
      <c r="I447" s="57">
        <f>IF(OR(A447="",B447=""),"",IFERROR(INDEX(Equipamentos!$J$2:$J$201,MATCH(1,INDEX((Equipamentos!$A$2:$A$201=B447)*(Equipamentos!$P$2:$P$201=A447),0),0)),""))</f>
        <v/>
      </c>
    </row>
    <row r="448">
      <c r="A448" s="54" t="n"/>
      <c r="B448" s="55" t="n"/>
      <c r="C448" s="56">
        <f>IF(OR(A448="",B448=""),"",IF(COUNTIF(Equipamentos!$A$2:$A$201,B448)=0,"tag não encontrada",IFERROR(INDEX(Equipamentos!$H$2:$H$201,MATCH(1,INDEX((Equipamentos!$A$2:$A$201=B448)*(Equipamentos!$P$2:$P$201=A448),0),0)),"confira a data")))</f>
        <v/>
      </c>
      <c r="D448">
        <f>IF(B448="","",IFERROR(INDEX(Equipamentos!$C$2:$C$201,MATCH(B448,Equipamentos!$A$2:$A$201,0)),""))</f>
        <v/>
      </c>
      <c r="E448" s="55" t="n"/>
      <c r="F448" s="55" t="n"/>
      <c r="G448">
        <f>IF(B448="","",IFERROR(INDEX(Equipamentos!$N$2:$N$201,MATCH(B448,Equipamentos!$A$2:$A$201,0)),""))</f>
        <v/>
      </c>
      <c r="H448">
        <f>IF(B448="","",IFERROR(INDEX(Equipamentos!$L$2:$L$201,MATCH(B448,Equipamentos!$A$2:$A$201,0)),""))</f>
        <v/>
      </c>
      <c r="I448" s="57">
        <f>IF(OR(A448="",B448=""),"",IFERROR(INDEX(Equipamentos!$J$2:$J$201,MATCH(1,INDEX((Equipamentos!$A$2:$A$201=B448)*(Equipamentos!$P$2:$P$201=A448),0),0)),""))</f>
        <v/>
      </c>
    </row>
    <row r="449">
      <c r="A449" s="54" t="n"/>
      <c r="B449" s="55" t="n"/>
      <c r="C449" s="56">
        <f>IF(OR(A449="",B449=""),"",IF(COUNTIF(Equipamentos!$A$2:$A$201,B449)=0,"tag não encontrada",IFERROR(INDEX(Equipamentos!$H$2:$H$201,MATCH(1,INDEX((Equipamentos!$A$2:$A$201=B449)*(Equipamentos!$P$2:$P$201=A449),0),0)),"confira a data")))</f>
        <v/>
      </c>
      <c r="D449">
        <f>IF(B449="","",IFERROR(INDEX(Equipamentos!$C$2:$C$201,MATCH(B449,Equipamentos!$A$2:$A$201,0)),""))</f>
        <v/>
      </c>
      <c r="E449" s="55" t="n"/>
      <c r="F449" s="55" t="n"/>
      <c r="G449">
        <f>IF(B449="","",IFERROR(INDEX(Equipamentos!$N$2:$N$201,MATCH(B449,Equipamentos!$A$2:$A$201,0)),""))</f>
        <v/>
      </c>
      <c r="H449">
        <f>IF(B449="","",IFERROR(INDEX(Equipamentos!$L$2:$L$201,MATCH(B449,Equipamentos!$A$2:$A$201,0)),""))</f>
        <v/>
      </c>
      <c r="I449" s="57">
        <f>IF(OR(A449="",B449=""),"",IFERROR(INDEX(Equipamentos!$J$2:$J$201,MATCH(1,INDEX((Equipamentos!$A$2:$A$201=B449)*(Equipamentos!$P$2:$P$201=A449),0),0)),""))</f>
        <v/>
      </c>
    </row>
    <row r="450">
      <c r="A450" s="54" t="n"/>
      <c r="B450" s="55" t="n"/>
      <c r="C450" s="56">
        <f>IF(OR(A450="",B450=""),"",IF(COUNTIF(Equipamentos!$A$2:$A$201,B450)=0,"tag não encontrada",IFERROR(INDEX(Equipamentos!$H$2:$H$201,MATCH(1,INDEX((Equipamentos!$A$2:$A$201=B450)*(Equipamentos!$P$2:$P$201=A450),0),0)),"confira a data")))</f>
        <v/>
      </c>
      <c r="D450">
        <f>IF(B450="","",IFERROR(INDEX(Equipamentos!$C$2:$C$201,MATCH(B450,Equipamentos!$A$2:$A$201,0)),""))</f>
        <v/>
      </c>
      <c r="E450" s="55" t="n"/>
      <c r="F450" s="55" t="n"/>
      <c r="G450">
        <f>IF(B450="","",IFERROR(INDEX(Equipamentos!$N$2:$N$201,MATCH(B450,Equipamentos!$A$2:$A$201,0)),""))</f>
        <v/>
      </c>
      <c r="H450">
        <f>IF(B450="","",IFERROR(INDEX(Equipamentos!$L$2:$L$201,MATCH(B450,Equipamentos!$A$2:$A$201,0)),""))</f>
        <v/>
      </c>
      <c r="I450" s="57">
        <f>IF(OR(A450="",B450=""),"",IFERROR(INDEX(Equipamentos!$J$2:$J$201,MATCH(1,INDEX((Equipamentos!$A$2:$A$201=B450)*(Equipamentos!$P$2:$P$201=A450),0),0)),""))</f>
        <v/>
      </c>
    </row>
    <row r="451">
      <c r="A451" s="54" t="n"/>
      <c r="B451" s="55" t="n"/>
      <c r="C451" s="56">
        <f>IF(OR(A451="",B451=""),"",IF(COUNTIF(Equipamentos!$A$2:$A$201,B451)=0,"tag não encontrada",IFERROR(INDEX(Equipamentos!$H$2:$H$201,MATCH(1,INDEX((Equipamentos!$A$2:$A$201=B451)*(Equipamentos!$P$2:$P$201=A451),0),0)),"confira a data")))</f>
        <v/>
      </c>
      <c r="D451">
        <f>IF(B451="","",IFERROR(INDEX(Equipamentos!$C$2:$C$201,MATCH(B451,Equipamentos!$A$2:$A$201,0)),""))</f>
        <v/>
      </c>
      <c r="E451" s="55" t="n"/>
      <c r="F451" s="55" t="n"/>
      <c r="G451">
        <f>IF(B451="","",IFERROR(INDEX(Equipamentos!$N$2:$N$201,MATCH(B451,Equipamentos!$A$2:$A$201,0)),""))</f>
        <v/>
      </c>
      <c r="H451">
        <f>IF(B451="","",IFERROR(INDEX(Equipamentos!$L$2:$L$201,MATCH(B451,Equipamentos!$A$2:$A$201,0)),""))</f>
        <v/>
      </c>
      <c r="I451" s="57">
        <f>IF(OR(A451="",B451=""),"",IFERROR(INDEX(Equipamentos!$J$2:$J$201,MATCH(1,INDEX((Equipamentos!$A$2:$A$201=B451)*(Equipamentos!$P$2:$P$201=A451),0),0)),""))</f>
        <v/>
      </c>
    </row>
    <row r="452">
      <c r="A452" s="54" t="n"/>
      <c r="B452" s="55" t="n"/>
      <c r="C452" s="56">
        <f>IF(OR(A452="",B452=""),"",IF(COUNTIF(Equipamentos!$A$2:$A$201,B452)=0,"tag não encontrada",IFERROR(INDEX(Equipamentos!$H$2:$H$201,MATCH(1,INDEX((Equipamentos!$A$2:$A$201=B452)*(Equipamentos!$P$2:$P$201=A452),0),0)),"confira a data")))</f>
        <v/>
      </c>
      <c r="D452">
        <f>IF(B452="","",IFERROR(INDEX(Equipamentos!$C$2:$C$201,MATCH(B452,Equipamentos!$A$2:$A$201,0)),""))</f>
        <v/>
      </c>
      <c r="E452" s="55" t="n"/>
      <c r="F452" s="55" t="n"/>
      <c r="G452">
        <f>IF(B452="","",IFERROR(INDEX(Equipamentos!$N$2:$N$201,MATCH(B452,Equipamentos!$A$2:$A$201,0)),""))</f>
        <v/>
      </c>
      <c r="H452">
        <f>IF(B452="","",IFERROR(INDEX(Equipamentos!$L$2:$L$201,MATCH(B452,Equipamentos!$A$2:$A$201,0)),""))</f>
        <v/>
      </c>
      <c r="I452" s="57">
        <f>IF(OR(A452="",B452=""),"",IFERROR(INDEX(Equipamentos!$J$2:$J$201,MATCH(1,INDEX((Equipamentos!$A$2:$A$201=B452)*(Equipamentos!$P$2:$P$201=A452),0),0)),""))</f>
        <v/>
      </c>
    </row>
    <row r="453">
      <c r="A453" s="54" t="n"/>
      <c r="B453" s="55" t="n"/>
      <c r="C453" s="56">
        <f>IF(OR(A453="",B453=""),"",IF(COUNTIF(Equipamentos!$A$2:$A$201,B453)=0,"tag não encontrada",IFERROR(INDEX(Equipamentos!$H$2:$H$201,MATCH(1,INDEX((Equipamentos!$A$2:$A$201=B453)*(Equipamentos!$P$2:$P$201=A453),0),0)),"confira a data")))</f>
        <v/>
      </c>
      <c r="D453">
        <f>IF(B453="","",IFERROR(INDEX(Equipamentos!$C$2:$C$201,MATCH(B453,Equipamentos!$A$2:$A$201,0)),""))</f>
        <v/>
      </c>
      <c r="E453" s="55" t="n"/>
      <c r="F453" s="55" t="n"/>
      <c r="G453">
        <f>IF(B453="","",IFERROR(INDEX(Equipamentos!$N$2:$N$201,MATCH(B453,Equipamentos!$A$2:$A$201,0)),""))</f>
        <v/>
      </c>
      <c r="H453">
        <f>IF(B453="","",IFERROR(INDEX(Equipamentos!$L$2:$L$201,MATCH(B453,Equipamentos!$A$2:$A$201,0)),""))</f>
        <v/>
      </c>
      <c r="I453" s="57">
        <f>IF(OR(A453="",B453=""),"",IFERROR(INDEX(Equipamentos!$J$2:$J$201,MATCH(1,INDEX((Equipamentos!$A$2:$A$201=B453)*(Equipamentos!$P$2:$P$201=A453),0),0)),""))</f>
        <v/>
      </c>
    </row>
    <row r="454">
      <c r="A454" s="54" t="n"/>
      <c r="B454" s="55" t="n"/>
      <c r="C454" s="56">
        <f>IF(OR(A454="",B454=""),"",IF(COUNTIF(Equipamentos!$A$2:$A$201,B454)=0,"tag não encontrada",IFERROR(INDEX(Equipamentos!$H$2:$H$201,MATCH(1,INDEX((Equipamentos!$A$2:$A$201=B454)*(Equipamentos!$P$2:$P$201=A454),0),0)),"confira a data")))</f>
        <v/>
      </c>
      <c r="D454">
        <f>IF(B454="","",IFERROR(INDEX(Equipamentos!$C$2:$C$201,MATCH(B454,Equipamentos!$A$2:$A$201,0)),""))</f>
        <v/>
      </c>
      <c r="E454" s="55" t="n"/>
      <c r="F454" s="55" t="n"/>
      <c r="G454">
        <f>IF(B454="","",IFERROR(INDEX(Equipamentos!$N$2:$N$201,MATCH(B454,Equipamentos!$A$2:$A$201,0)),""))</f>
        <v/>
      </c>
      <c r="H454">
        <f>IF(B454="","",IFERROR(INDEX(Equipamentos!$L$2:$L$201,MATCH(B454,Equipamentos!$A$2:$A$201,0)),""))</f>
        <v/>
      </c>
      <c r="I454" s="57">
        <f>IF(OR(A454="",B454=""),"",IFERROR(INDEX(Equipamentos!$J$2:$J$201,MATCH(1,INDEX((Equipamentos!$A$2:$A$201=B454)*(Equipamentos!$P$2:$P$201=A454),0),0)),""))</f>
        <v/>
      </c>
    </row>
    <row r="455">
      <c r="A455" s="54" t="n"/>
      <c r="B455" s="55" t="n"/>
      <c r="C455" s="56">
        <f>IF(OR(A455="",B455=""),"",IF(COUNTIF(Equipamentos!$A$2:$A$201,B455)=0,"tag não encontrada",IFERROR(INDEX(Equipamentos!$H$2:$H$201,MATCH(1,INDEX((Equipamentos!$A$2:$A$201=B455)*(Equipamentos!$P$2:$P$201=A455),0),0)),"confira a data")))</f>
        <v/>
      </c>
      <c r="D455">
        <f>IF(B455="","",IFERROR(INDEX(Equipamentos!$C$2:$C$201,MATCH(B455,Equipamentos!$A$2:$A$201,0)),""))</f>
        <v/>
      </c>
      <c r="E455" s="55" t="n"/>
      <c r="F455" s="55" t="n"/>
      <c r="G455">
        <f>IF(B455="","",IFERROR(INDEX(Equipamentos!$N$2:$N$201,MATCH(B455,Equipamentos!$A$2:$A$201,0)),""))</f>
        <v/>
      </c>
      <c r="H455">
        <f>IF(B455="","",IFERROR(INDEX(Equipamentos!$L$2:$L$201,MATCH(B455,Equipamentos!$A$2:$A$201,0)),""))</f>
        <v/>
      </c>
      <c r="I455" s="57">
        <f>IF(OR(A455="",B455=""),"",IFERROR(INDEX(Equipamentos!$J$2:$J$201,MATCH(1,INDEX((Equipamentos!$A$2:$A$201=B455)*(Equipamentos!$P$2:$P$201=A455),0),0)),""))</f>
        <v/>
      </c>
    </row>
    <row r="456">
      <c r="A456" s="54" t="n"/>
      <c r="B456" s="55" t="n"/>
      <c r="C456" s="56">
        <f>IF(OR(A456="",B456=""),"",IF(COUNTIF(Equipamentos!$A$2:$A$201,B456)=0,"tag não encontrada",IFERROR(INDEX(Equipamentos!$H$2:$H$201,MATCH(1,INDEX((Equipamentos!$A$2:$A$201=B456)*(Equipamentos!$P$2:$P$201=A456),0),0)),"confira a data")))</f>
        <v/>
      </c>
      <c r="D456">
        <f>IF(B456="","",IFERROR(INDEX(Equipamentos!$C$2:$C$201,MATCH(B456,Equipamentos!$A$2:$A$201,0)),""))</f>
        <v/>
      </c>
      <c r="E456" s="55" t="n"/>
      <c r="F456" s="55" t="n"/>
      <c r="G456">
        <f>IF(B456="","",IFERROR(INDEX(Equipamentos!$N$2:$N$201,MATCH(B456,Equipamentos!$A$2:$A$201,0)),""))</f>
        <v/>
      </c>
      <c r="H456">
        <f>IF(B456="","",IFERROR(INDEX(Equipamentos!$L$2:$L$201,MATCH(B456,Equipamentos!$A$2:$A$201,0)),""))</f>
        <v/>
      </c>
      <c r="I456" s="57">
        <f>IF(OR(A456="",B456=""),"",IFERROR(INDEX(Equipamentos!$J$2:$J$201,MATCH(1,INDEX((Equipamentos!$A$2:$A$201=B456)*(Equipamentos!$P$2:$P$201=A456),0),0)),""))</f>
        <v/>
      </c>
    </row>
    <row r="457">
      <c r="A457" s="54" t="n"/>
      <c r="B457" s="55" t="n"/>
      <c r="C457" s="56">
        <f>IF(OR(A457="",B457=""),"",IF(COUNTIF(Equipamentos!$A$2:$A$201,B457)=0,"tag não encontrada",IFERROR(INDEX(Equipamentos!$H$2:$H$201,MATCH(1,INDEX((Equipamentos!$A$2:$A$201=B457)*(Equipamentos!$P$2:$P$201=A457),0),0)),"confira a data")))</f>
        <v/>
      </c>
      <c r="D457">
        <f>IF(B457="","",IFERROR(INDEX(Equipamentos!$C$2:$C$201,MATCH(B457,Equipamentos!$A$2:$A$201,0)),""))</f>
        <v/>
      </c>
      <c r="E457" s="55" t="n"/>
      <c r="F457" s="55" t="n"/>
      <c r="G457">
        <f>IF(B457="","",IFERROR(INDEX(Equipamentos!$N$2:$N$201,MATCH(B457,Equipamentos!$A$2:$A$201,0)),""))</f>
        <v/>
      </c>
      <c r="H457">
        <f>IF(B457="","",IFERROR(INDEX(Equipamentos!$L$2:$L$201,MATCH(B457,Equipamentos!$A$2:$A$201,0)),""))</f>
        <v/>
      </c>
      <c r="I457" s="57">
        <f>IF(OR(A457="",B457=""),"",IFERROR(INDEX(Equipamentos!$J$2:$J$201,MATCH(1,INDEX((Equipamentos!$A$2:$A$201=B457)*(Equipamentos!$P$2:$P$201=A457),0),0)),""))</f>
        <v/>
      </c>
    </row>
    <row r="458">
      <c r="A458" s="54" t="n"/>
      <c r="B458" s="55" t="n"/>
      <c r="C458" s="56">
        <f>IF(OR(A458="",B458=""),"",IF(COUNTIF(Equipamentos!$A$2:$A$201,B458)=0,"tag não encontrada",IFERROR(INDEX(Equipamentos!$H$2:$H$201,MATCH(1,INDEX((Equipamentos!$A$2:$A$201=B458)*(Equipamentos!$P$2:$P$201=A458),0),0)),"confira a data")))</f>
        <v/>
      </c>
      <c r="D458">
        <f>IF(B458="","",IFERROR(INDEX(Equipamentos!$C$2:$C$201,MATCH(B458,Equipamentos!$A$2:$A$201,0)),""))</f>
        <v/>
      </c>
      <c r="E458" s="55" t="n"/>
      <c r="F458" s="55" t="n"/>
      <c r="G458">
        <f>IF(B458="","",IFERROR(INDEX(Equipamentos!$N$2:$N$201,MATCH(B458,Equipamentos!$A$2:$A$201,0)),""))</f>
        <v/>
      </c>
      <c r="H458">
        <f>IF(B458="","",IFERROR(INDEX(Equipamentos!$L$2:$L$201,MATCH(B458,Equipamentos!$A$2:$A$201,0)),""))</f>
        <v/>
      </c>
      <c r="I458" s="57">
        <f>IF(OR(A458="",B458=""),"",IFERROR(INDEX(Equipamentos!$J$2:$J$201,MATCH(1,INDEX((Equipamentos!$A$2:$A$201=B458)*(Equipamentos!$P$2:$P$201=A458),0),0)),""))</f>
        <v/>
      </c>
    </row>
    <row r="459">
      <c r="A459" s="54" t="n"/>
      <c r="B459" s="55" t="n"/>
      <c r="C459" s="56">
        <f>IF(OR(A459="",B459=""),"",IF(COUNTIF(Equipamentos!$A$2:$A$201,B459)=0,"tag não encontrada",IFERROR(INDEX(Equipamentos!$H$2:$H$201,MATCH(1,INDEX((Equipamentos!$A$2:$A$201=B459)*(Equipamentos!$P$2:$P$201=A459),0),0)),"confira a data")))</f>
        <v/>
      </c>
      <c r="D459">
        <f>IF(B459="","",IFERROR(INDEX(Equipamentos!$C$2:$C$201,MATCH(B459,Equipamentos!$A$2:$A$201,0)),""))</f>
        <v/>
      </c>
      <c r="E459" s="55" t="n"/>
      <c r="F459" s="55" t="n"/>
      <c r="G459">
        <f>IF(B459="","",IFERROR(INDEX(Equipamentos!$N$2:$N$201,MATCH(B459,Equipamentos!$A$2:$A$201,0)),""))</f>
        <v/>
      </c>
      <c r="H459">
        <f>IF(B459="","",IFERROR(INDEX(Equipamentos!$L$2:$L$201,MATCH(B459,Equipamentos!$A$2:$A$201,0)),""))</f>
        <v/>
      </c>
      <c r="I459" s="57">
        <f>IF(OR(A459="",B459=""),"",IFERROR(INDEX(Equipamentos!$J$2:$J$201,MATCH(1,INDEX((Equipamentos!$A$2:$A$201=B459)*(Equipamentos!$P$2:$P$201=A459),0),0)),""))</f>
        <v/>
      </c>
    </row>
    <row r="460">
      <c r="A460" s="54" t="n"/>
      <c r="B460" s="55" t="n"/>
      <c r="C460" s="56">
        <f>IF(OR(A460="",B460=""),"",IF(COUNTIF(Equipamentos!$A$2:$A$201,B460)=0,"tag não encontrada",IFERROR(INDEX(Equipamentos!$H$2:$H$201,MATCH(1,INDEX((Equipamentos!$A$2:$A$201=B460)*(Equipamentos!$P$2:$P$201=A460),0),0)),"confira a data")))</f>
        <v/>
      </c>
      <c r="D460">
        <f>IF(B460="","",IFERROR(INDEX(Equipamentos!$C$2:$C$201,MATCH(B460,Equipamentos!$A$2:$A$201,0)),""))</f>
        <v/>
      </c>
      <c r="E460" s="55" t="n"/>
      <c r="F460" s="55" t="n"/>
      <c r="G460">
        <f>IF(B460="","",IFERROR(INDEX(Equipamentos!$N$2:$N$201,MATCH(B460,Equipamentos!$A$2:$A$201,0)),""))</f>
        <v/>
      </c>
      <c r="H460">
        <f>IF(B460="","",IFERROR(INDEX(Equipamentos!$L$2:$L$201,MATCH(B460,Equipamentos!$A$2:$A$201,0)),""))</f>
        <v/>
      </c>
      <c r="I460" s="57">
        <f>IF(OR(A460="",B460=""),"",IFERROR(INDEX(Equipamentos!$J$2:$J$201,MATCH(1,INDEX((Equipamentos!$A$2:$A$201=B460)*(Equipamentos!$P$2:$P$201=A460),0),0)),""))</f>
        <v/>
      </c>
    </row>
    <row r="461">
      <c r="A461" s="54" t="n"/>
      <c r="B461" s="55" t="n"/>
      <c r="C461" s="56">
        <f>IF(OR(A461="",B461=""),"",IF(COUNTIF(Equipamentos!$A$2:$A$201,B461)=0,"tag não encontrada",IFERROR(INDEX(Equipamentos!$H$2:$H$201,MATCH(1,INDEX((Equipamentos!$A$2:$A$201=B461)*(Equipamentos!$P$2:$P$201=A461),0),0)),"confira a data")))</f>
        <v/>
      </c>
      <c r="D461">
        <f>IF(B461="","",IFERROR(INDEX(Equipamentos!$C$2:$C$201,MATCH(B461,Equipamentos!$A$2:$A$201,0)),""))</f>
        <v/>
      </c>
      <c r="E461" s="55" t="n"/>
      <c r="F461" s="55" t="n"/>
      <c r="G461">
        <f>IF(B461="","",IFERROR(INDEX(Equipamentos!$N$2:$N$201,MATCH(B461,Equipamentos!$A$2:$A$201,0)),""))</f>
        <v/>
      </c>
      <c r="H461">
        <f>IF(B461="","",IFERROR(INDEX(Equipamentos!$L$2:$L$201,MATCH(B461,Equipamentos!$A$2:$A$201,0)),""))</f>
        <v/>
      </c>
      <c r="I461" s="57">
        <f>IF(OR(A461="",B461=""),"",IFERROR(INDEX(Equipamentos!$J$2:$J$201,MATCH(1,INDEX((Equipamentos!$A$2:$A$201=B461)*(Equipamentos!$P$2:$P$201=A461),0),0)),""))</f>
        <v/>
      </c>
    </row>
    <row r="462">
      <c r="A462" s="54" t="n"/>
      <c r="B462" s="55" t="n"/>
      <c r="C462" s="56">
        <f>IF(OR(A462="",B462=""),"",IF(COUNTIF(Equipamentos!$A$2:$A$201,B462)=0,"tag não encontrada",IFERROR(INDEX(Equipamentos!$H$2:$H$201,MATCH(1,INDEX((Equipamentos!$A$2:$A$201=B462)*(Equipamentos!$P$2:$P$201=A462),0),0)),"confira a data")))</f>
        <v/>
      </c>
      <c r="D462">
        <f>IF(B462="","",IFERROR(INDEX(Equipamentos!$C$2:$C$201,MATCH(B462,Equipamentos!$A$2:$A$201,0)),""))</f>
        <v/>
      </c>
      <c r="E462" s="55" t="n"/>
      <c r="F462" s="55" t="n"/>
      <c r="G462">
        <f>IF(B462="","",IFERROR(INDEX(Equipamentos!$N$2:$N$201,MATCH(B462,Equipamentos!$A$2:$A$201,0)),""))</f>
        <v/>
      </c>
      <c r="H462">
        <f>IF(B462="","",IFERROR(INDEX(Equipamentos!$L$2:$L$201,MATCH(B462,Equipamentos!$A$2:$A$201,0)),""))</f>
        <v/>
      </c>
      <c r="I462" s="57">
        <f>IF(OR(A462="",B462=""),"",IFERROR(INDEX(Equipamentos!$J$2:$J$201,MATCH(1,INDEX((Equipamentos!$A$2:$A$201=B462)*(Equipamentos!$P$2:$P$201=A462),0),0)),""))</f>
        <v/>
      </c>
    </row>
    <row r="463">
      <c r="A463" s="54" t="n"/>
      <c r="B463" s="55" t="n"/>
      <c r="C463" s="56">
        <f>IF(OR(A463="",B463=""),"",IF(COUNTIF(Equipamentos!$A$2:$A$201,B463)=0,"tag não encontrada",IFERROR(INDEX(Equipamentos!$H$2:$H$201,MATCH(1,INDEX((Equipamentos!$A$2:$A$201=B463)*(Equipamentos!$P$2:$P$201=A463),0),0)),"confira a data")))</f>
        <v/>
      </c>
      <c r="D463">
        <f>IF(B463="","",IFERROR(INDEX(Equipamentos!$C$2:$C$201,MATCH(B463,Equipamentos!$A$2:$A$201,0)),""))</f>
        <v/>
      </c>
      <c r="E463" s="55" t="n"/>
      <c r="F463" s="55" t="n"/>
      <c r="G463">
        <f>IF(B463="","",IFERROR(INDEX(Equipamentos!$N$2:$N$201,MATCH(B463,Equipamentos!$A$2:$A$201,0)),""))</f>
        <v/>
      </c>
      <c r="H463">
        <f>IF(B463="","",IFERROR(INDEX(Equipamentos!$L$2:$L$201,MATCH(B463,Equipamentos!$A$2:$A$201,0)),""))</f>
        <v/>
      </c>
      <c r="I463" s="57">
        <f>IF(OR(A463="",B463=""),"",IFERROR(INDEX(Equipamentos!$J$2:$J$201,MATCH(1,INDEX((Equipamentos!$A$2:$A$201=B463)*(Equipamentos!$P$2:$P$201=A463),0),0)),""))</f>
        <v/>
      </c>
    </row>
    <row r="464">
      <c r="A464" s="54" t="n"/>
      <c r="B464" s="55" t="n"/>
      <c r="C464" s="56">
        <f>IF(OR(A464="",B464=""),"",IF(COUNTIF(Equipamentos!$A$2:$A$201,B464)=0,"tag não encontrada",IFERROR(INDEX(Equipamentos!$H$2:$H$201,MATCH(1,INDEX((Equipamentos!$A$2:$A$201=B464)*(Equipamentos!$P$2:$P$201=A464),0),0)),"confira a data")))</f>
        <v/>
      </c>
      <c r="D464">
        <f>IF(B464="","",IFERROR(INDEX(Equipamentos!$C$2:$C$201,MATCH(B464,Equipamentos!$A$2:$A$201,0)),""))</f>
        <v/>
      </c>
      <c r="E464" s="55" t="n"/>
      <c r="F464" s="55" t="n"/>
      <c r="G464">
        <f>IF(B464="","",IFERROR(INDEX(Equipamentos!$N$2:$N$201,MATCH(B464,Equipamentos!$A$2:$A$201,0)),""))</f>
        <v/>
      </c>
      <c r="H464">
        <f>IF(B464="","",IFERROR(INDEX(Equipamentos!$L$2:$L$201,MATCH(B464,Equipamentos!$A$2:$A$201,0)),""))</f>
        <v/>
      </c>
      <c r="I464" s="57">
        <f>IF(OR(A464="",B464=""),"",IFERROR(INDEX(Equipamentos!$J$2:$J$201,MATCH(1,INDEX((Equipamentos!$A$2:$A$201=B464)*(Equipamentos!$P$2:$P$201=A464),0),0)),""))</f>
        <v/>
      </c>
    </row>
    <row r="465">
      <c r="A465" s="54" t="n"/>
      <c r="B465" s="55" t="n"/>
      <c r="C465" s="56">
        <f>IF(OR(A465="",B465=""),"",IF(COUNTIF(Equipamentos!$A$2:$A$201,B465)=0,"tag não encontrada",IFERROR(INDEX(Equipamentos!$H$2:$H$201,MATCH(1,INDEX((Equipamentos!$A$2:$A$201=B465)*(Equipamentos!$P$2:$P$201=A465),0),0)),"confira a data")))</f>
        <v/>
      </c>
      <c r="D465">
        <f>IF(B465="","",IFERROR(INDEX(Equipamentos!$C$2:$C$201,MATCH(B465,Equipamentos!$A$2:$A$201,0)),""))</f>
        <v/>
      </c>
      <c r="E465" s="55" t="n"/>
      <c r="F465" s="55" t="n"/>
      <c r="G465">
        <f>IF(B465="","",IFERROR(INDEX(Equipamentos!$N$2:$N$201,MATCH(B465,Equipamentos!$A$2:$A$201,0)),""))</f>
        <v/>
      </c>
      <c r="H465">
        <f>IF(B465="","",IFERROR(INDEX(Equipamentos!$L$2:$L$201,MATCH(B465,Equipamentos!$A$2:$A$201,0)),""))</f>
        <v/>
      </c>
      <c r="I465" s="57">
        <f>IF(OR(A465="",B465=""),"",IFERROR(INDEX(Equipamentos!$J$2:$J$201,MATCH(1,INDEX((Equipamentos!$A$2:$A$201=B465)*(Equipamentos!$P$2:$P$201=A465),0),0)),""))</f>
        <v/>
      </c>
    </row>
    <row r="466">
      <c r="A466" s="54" t="n"/>
      <c r="B466" s="55" t="n"/>
      <c r="C466" s="56">
        <f>IF(OR(A466="",B466=""),"",IF(COUNTIF(Equipamentos!$A$2:$A$201,B466)=0,"tag não encontrada",IFERROR(INDEX(Equipamentos!$H$2:$H$201,MATCH(1,INDEX((Equipamentos!$A$2:$A$201=B466)*(Equipamentos!$P$2:$P$201=A466),0),0)),"confira a data")))</f>
        <v/>
      </c>
      <c r="D466">
        <f>IF(B466="","",IFERROR(INDEX(Equipamentos!$C$2:$C$201,MATCH(B466,Equipamentos!$A$2:$A$201,0)),""))</f>
        <v/>
      </c>
      <c r="E466" s="55" t="n"/>
      <c r="F466" s="55" t="n"/>
      <c r="G466">
        <f>IF(B466="","",IFERROR(INDEX(Equipamentos!$N$2:$N$201,MATCH(B466,Equipamentos!$A$2:$A$201,0)),""))</f>
        <v/>
      </c>
      <c r="H466">
        <f>IF(B466="","",IFERROR(INDEX(Equipamentos!$L$2:$L$201,MATCH(B466,Equipamentos!$A$2:$A$201,0)),""))</f>
        <v/>
      </c>
      <c r="I466" s="57">
        <f>IF(OR(A466="",B466=""),"",IFERROR(INDEX(Equipamentos!$J$2:$J$201,MATCH(1,INDEX((Equipamentos!$A$2:$A$201=B466)*(Equipamentos!$P$2:$P$201=A466),0),0)),""))</f>
        <v/>
      </c>
    </row>
    <row r="467">
      <c r="A467" s="54" t="n"/>
      <c r="B467" s="55" t="n"/>
      <c r="C467" s="56">
        <f>IF(OR(A467="",B467=""),"",IF(COUNTIF(Equipamentos!$A$2:$A$201,B467)=0,"tag não encontrada",IFERROR(INDEX(Equipamentos!$H$2:$H$201,MATCH(1,INDEX((Equipamentos!$A$2:$A$201=B467)*(Equipamentos!$P$2:$P$201=A467),0),0)),"confira a data")))</f>
        <v/>
      </c>
      <c r="D467">
        <f>IF(B467="","",IFERROR(INDEX(Equipamentos!$C$2:$C$201,MATCH(B467,Equipamentos!$A$2:$A$201,0)),""))</f>
        <v/>
      </c>
      <c r="E467" s="55" t="n"/>
      <c r="F467" s="55" t="n"/>
      <c r="G467">
        <f>IF(B467="","",IFERROR(INDEX(Equipamentos!$N$2:$N$201,MATCH(B467,Equipamentos!$A$2:$A$201,0)),""))</f>
        <v/>
      </c>
      <c r="H467">
        <f>IF(B467="","",IFERROR(INDEX(Equipamentos!$L$2:$L$201,MATCH(B467,Equipamentos!$A$2:$A$201,0)),""))</f>
        <v/>
      </c>
      <c r="I467" s="57">
        <f>IF(OR(A467="",B467=""),"",IFERROR(INDEX(Equipamentos!$J$2:$J$201,MATCH(1,INDEX((Equipamentos!$A$2:$A$201=B467)*(Equipamentos!$P$2:$P$201=A467),0),0)),""))</f>
        <v/>
      </c>
    </row>
    <row r="468">
      <c r="A468" s="54" t="n"/>
      <c r="B468" s="55" t="n"/>
      <c r="C468" s="56">
        <f>IF(OR(A468="",B468=""),"",IF(COUNTIF(Equipamentos!$A$2:$A$201,B468)=0,"tag não encontrada",IFERROR(INDEX(Equipamentos!$H$2:$H$201,MATCH(1,INDEX((Equipamentos!$A$2:$A$201=B468)*(Equipamentos!$P$2:$P$201=A468),0),0)),"confira a data")))</f>
        <v/>
      </c>
      <c r="D468">
        <f>IF(B468="","",IFERROR(INDEX(Equipamentos!$C$2:$C$201,MATCH(B468,Equipamentos!$A$2:$A$201,0)),""))</f>
        <v/>
      </c>
      <c r="E468" s="55" t="n"/>
      <c r="F468" s="55" t="n"/>
      <c r="G468">
        <f>IF(B468="","",IFERROR(INDEX(Equipamentos!$N$2:$N$201,MATCH(B468,Equipamentos!$A$2:$A$201,0)),""))</f>
        <v/>
      </c>
      <c r="H468">
        <f>IF(B468="","",IFERROR(INDEX(Equipamentos!$L$2:$L$201,MATCH(B468,Equipamentos!$A$2:$A$201,0)),""))</f>
        <v/>
      </c>
      <c r="I468" s="57">
        <f>IF(OR(A468="",B468=""),"",IFERROR(INDEX(Equipamentos!$J$2:$J$201,MATCH(1,INDEX((Equipamentos!$A$2:$A$201=B468)*(Equipamentos!$P$2:$P$201=A468),0),0)),""))</f>
        <v/>
      </c>
    </row>
    <row r="469">
      <c r="A469" s="54" t="n"/>
      <c r="B469" s="55" t="n"/>
      <c r="C469" s="56">
        <f>IF(OR(A469="",B469=""),"",IF(COUNTIF(Equipamentos!$A$2:$A$201,B469)=0,"tag não encontrada",IFERROR(INDEX(Equipamentos!$H$2:$H$201,MATCH(1,INDEX((Equipamentos!$A$2:$A$201=B469)*(Equipamentos!$P$2:$P$201=A469),0),0)),"confira a data")))</f>
        <v/>
      </c>
      <c r="D469">
        <f>IF(B469="","",IFERROR(INDEX(Equipamentos!$C$2:$C$201,MATCH(B469,Equipamentos!$A$2:$A$201,0)),""))</f>
        <v/>
      </c>
      <c r="E469" s="55" t="n"/>
      <c r="F469" s="55" t="n"/>
      <c r="G469">
        <f>IF(B469="","",IFERROR(INDEX(Equipamentos!$N$2:$N$201,MATCH(B469,Equipamentos!$A$2:$A$201,0)),""))</f>
        <v/>
      </c>
      <c r="H469">
        <f>IF(B469="","",IFERROR(INDEX(Equipamentos!$L$2:$L$201,MATCH(B469,Equipamentos!$A$2:$A$201,0)),""))</f>
        <v/>
      </c>
      <c r="I469" s="57">
        <f>IF(OR(A469="",B469=""),"",IFERROR(INDEX(Equipamentos!$J$2:$J$201,MATCH(1,INDEX((Equipamentos!$A$2:$A$201=B469)*(Equipamentos!$P$2:$P$201=A469),0),0)),""))</f>
        <v/>
      </c>
    </row>
    <row r="470">
      <c r="A470" s="54" t="n"/>
      <c r="B470" s="55" t="n"/>
      <c r="C470" s="56">
        <f>IF(OR(A470="",B470=""),"",IF(COUNTIF(Equipamentos!$A$2:$A$201,B470)=0,"tag não encontrada",IFERROR(INDEX(Equipamentos!$H$2:$H$201,MATCH(1,INDEX((Equipamentos!$A$2:$A$201=B470)*(Equipamentos!$P$2:$P$201=A470),0),0)),"confira a data")))</f>
        <v/>
      </c>
      <c r="D470">
        <f>IF(B470="","",IFERROR(INDEX(Equipamentos!$C$2:$C$201,MATCH(B470,Equipamentos!$A$2:$A$201,0)),""))</f>
        <v/>
      </c>
      <c r="E470" s="55" t="n"/>
      <c r="F470" s="55" t="n"/>
      <c r="G470">
        <f>IF(B470="","",IFERROR(INDEX(Equipamentos!$N$2:$N$201,MATCH(B470,Equipamentos!$A$2:$A$201,0)),""))</f>
        <v/>
      </c>
      <c r="H470">
        <f>IF(B470="","",IFERROR(INDEX(Equipamentos!$L$2:$L$201,MATCH(B470,Equipamentos!$A$2:$A$201,0)),""))</f>
        <v/>
      </c>
      <c r="I470" s="57">
        <f>IF(OR(A470="",B470=""),"",IFERROR(INDEX(Equipamentos!$J$2:$J$201,MATCH(1,INDEX((Equipamentos!$A$2:$A$201=B470)*(Equipamentos!$P$2:$P$201=A470),0),0)),""))</f>
        <v/>
      </c>
    </row>
    <row r="471">
      <c r="A471" s="54" t="n"/>
      <c r="B471" s="55" t="n"/>
      <c r="C471" s="56">
        <f>IF(OR(A471="",B471=""),"",IF(COUNTIF(Equipamentos!$A$2:$A$201,B471)=0,"tag não encontrada",IFERROR(INDEX(Equipamentos!$H$2:$H$201,MATCH(1,INDEX((Equipamentos!$A$2:$A$201=B471)*(Equipamentos!$P$2:$P$201=A471),0),0)),"confira a data")))</f>
        <v/>
      </c>
      <c r="D471">
        <f>IF(B471="","",IFERROR(INDEX(Equipamentos!$C$2:$C$201,MATCH(B471,Equipamentos!$A$2:$A$201,0)),""))</f>
        <v/>
      </c>
      <c r="E471" s="55" t="n"/>
      <c r="F471" s="55" t="n"/>
      <c r="G471">
        <f>IF(B471="","",IFERROR(INDEX(Equipamentos!$N$2:$N$201,MATCH(B471,Equipamentos!$A$2:$A$201,0)),""))</f>
        <v/>
      </c>
      <c r="H471">
        <f>IF(B471="","",IFERROR(INDEX(Equipamentos!$L$2:$L$201,MATCH(B471,Equipamentos!$A$2:$A$201,0)),""))</f>
        <v/>
      </c>
      <c r="I471" s="57">
        <f>IF(OR(A471="",B471=""),"",IFERROR(INDEX(Equipamentos!$J$2:$J$201,MATCH(1,INDEX((Equipamentos!$A$2:$A$201=B471)*(Equipamentos!$P$2:$P$201=A471),0),0)),""))</f>
        <v/>
      </c>
    </row>
    <row r="472">
      <c r="A472" s="54" t="n"/>
      <c r="B472" s="55" t="n"/>
      <c r="C472" s="56">
        <f>IF(OR(A472="",B472=""),"",IF(COUNTIF(Equipamentos!$A$2:$A$201,B472)=0,"tag não encontrada",IFERROR(INDEX(Equipamentos!$H$2:$H$201,MATCH(1,INDEX((Equipamentos!$A$2:$A$201=B472)*(Equipamentos!$P$2:$P$201=A472),0),0)),"confira a data")))</f>
        <v/>
      </c>
      <c r="D472">
        <f>IF(B472="","",IFERROR(INDEX(Equipamentos!$C$2:$C$201,MATCH(B472,Equipamentos!$A$2:$A$201,0)),""))</f>
        <v/>
      </c>
      <c r="E472" s="55" t="n"/>
      <c r="F472" s="55" t="n"/>
      <c r="G472">
        <f>IF(B472="","",IFERROR(INDEX(Equipamentos!$N$2:$N$201,MATCH(B472,Equipamentos!$A$2:$A$201,0)),""))</f>
        <v/>
      </c>
      <c r="H472">
        <f>IF(B472="","",IFERROR(INDEX(Equipamentos!$L$2:$L$201,MATCH(B472,Equipamentos!$A$2:$A$201,0)),""))</f>
        <v/>
      </c>
      <c r="I472" s="57">
        <f>IF(OR(A472="",B472=""),"",IFERROR(INDEX(Equipamentos!$J$2:$J$201,MATCH(1,INDEX((Equipamentos!$A$2:$A$201=B472)*(Equipamentos!$P$2:$P$201=A472),0),0)),""))</f>
        <v/>
      </c>
    </row>
    <row r="473">
      <c r="A473" s="54" t="n"/>
      <c r="B473" s="55" t="n"/>
      <c r="C473" s="56">
        <f>IF(OR(A473="",B473=""),"",IF(COUNTIF(Equipamentos!$A$2:$A$201,B473)=0,"tag não encontrada",IFERROR(INDEX(Equipamentos!$H$2:$H$201,MATCH(1,INDEX((Equipamentos!$A$2:$A$201=B473)*(Equipamentos!$P$2:$P$201=A473),0),0)),"confira a data")))</f>
        <v/>
      </c>
      <c r="D473">
        <f>IF(B473="","",IFERROR(INDEX(Equipamentos!$C$2:$C$201,MATCH(B473,Equipamentos!$A$2:$A$201,0)),""))</f>
        <v/>
      </c>
      <c r="E473" s="55" t="n"/>
      <c r="F473" s="55" t="n"/>
      <c r="G473">
        <f>IF(B473="","",IFERROR(INDEX(Equipamentos!$N$2:$N$201,MATCH(B473,Equipamentos!$A$2:$A$201,0)),""))</f>
        <v/>
      </c>
      <c r="H473">
        <f>IF(B473="","",IFERROR(INDEX(Equipamentos!$L$2:$L$201,MATCH(B473,Equipamentos!$A$2:$A$201,0)),""))</f>
        <v/>
      </c>
      <c r="I473" s="57">
        <f>IF(OR(A473="",B473=""),"",IFERROR(INDEX(Equipamentos!$J$2:$J$201,MATCH(1,INDEX((Equipamentos!$A$2:$A$201=B473)*(Equipamentos!$P$2:$P$201=A473),0),0)),""))</f>
        <v/>
      </c>
    </row>
    <row r="474">
      <c r="A474" s="54" t="n"/>
      <c r="B474" s="55" t="n"/>
      <c r="C474" s="56">
        <f>IF(OR(A474="",B474=""),"",IF(COUNTIF(Equipamentos!$A$2:$A$201,B474)=0,"tag não encontrada",IFERROR(INDEX(Equipamentos!$H$2:$H$201,MATCH(1,INDEX((Equipamentos!$A$2:$A$201=B474)*(Equipamentos!$P$2:$P$201=A474),0),0)),"confira a data")))</f>
        <v/>
      </c>
      <c r="D474">
        <f>IF(B474="","",IFERROR(INDEX(Equipamentos!$C$2:$C$201,MATCH(B474,Equipamentos!$A$2:$A$201,0)),""))</f>
        <v/>
      </c>
      <c r="E474" s="55" t="n"/>
      <c r="F474" s="55" t="n"/>
      <c r="G474">
        <f>IF(B474="","",IFERROR(INDEX(Equipamentos!$N$2:$N$201,MATCH(B474,Equipamentos!$A$2:$A$201,0)),""))</f>
        <v/>
      </c>
      <c r="H474">
        <f>IF(B474="","",IFERROR(INDEX(Equipamentos!$L$2:$L$201,MATCH(B474,Equipamentos!$A$2:$A$201,0)),""))</f>
        <v/>
      </c>
      <c r="I474" s="57">
        <f>IF(OR(A474="",B474=""),"",IFERROR(INDEX(Equipamentos!$J$2:$J$201,MATCH(1,INDEX((Equipamentos!$A$2:$A$201=B474)*(Equipamentos!$P$2:$P$201=A474),0),0)),""))</f>
        <v/>
      </c>
    </row>
    <row r="475">
      <c r="A475" s="54" t="n"/>
      <c r="B475" s="55" t="n"/>
      <c r="C475" s="56">
        <f>IF(OR(A475="",B475=""),"",IF(COUNTIF(Equipamentos!$A$2:$A$201,B475)=0,"tag não encontrada",IFERROR(INDEX(Equipamentos!$H$2:$H$201,MATCH(1,INDEX((Equipamentos!$A$2:$A$201=B475)*(Equipamentos!$P$2:$P$201=A475),0),0)),"confira a data")))</f>
        <v/>
      </c>
      <c r="D475">
        <f>IF(B475="","",IFERROR(INDEX(Equipamentos!$C$2:$C$201,MATCH(B475,Equipamentos!$A$2:$A$201,0)),""))</f>
        <v/>
      </c>
      <c r="E475" s="55" t="n"/>
      <c r="F475" s="55" t="n"/>
      <c r="G475">
        <f>IF(B475="","",IFERROR(INDEX(Equipamentos!$N$2:$N$201,MATCH(B475,Equipamentos!$A$2:$A$201,0)),""))</f>
        <v/>
      </c>
      <c r="H475">
        <f>IF(B475="","",IFERROR(INDEX(Equipamentos!$L$2:$L$201,MATCH(B475,Equipamentos!$A$2:$A$201,0)),""))</f>
        <v/>
      </c>
      <c r="I475" s="57">
        <f>IF(OR(A475="",B475=""),"",IFERROR(INDEX(Equipamentos!$J$2:$J$201,MATCH(1,INDEX((Equipamentos!$A$2:$A$201=B475)*(Equipamentos!$P$2:$P$201=A475),0),0)),""))</f>
        <v/>
      </c>
    </row>
    <row r="476">
      <c r="A476" s="54" t="n"/>
      <c r="B476" s="55" t="n"/>
      <c r="C476" s="56">
        <f>IF(OR(A476="",B476=""),"",IF(COUNTIF(Equipamentos!$A$2:$A$201,B476)=0,"tag não encontrada",IFERROR(INDEX(Equipamentos!$H$2:$H$201,MATCH(1,INDEX((Equipamentos!$A$2:$A$201=B476)*(Equipamentos!$P$2:$P$201=A476),0),0)),"confira a data")))</f>
        <v/>
      </c>
      <c r="D476">
        <f>IF(B476="","",IFERROR(INDEX(Equipamentos!$C$2:$C$201,MATCH(B476,Equipamentos!$A$2:$A$201,0)),""))</f>
        <v/>
      </c>
      <c r="E476" s="55" t="n"/>
      <c r="F476" s="55" t="n"/>
      <c r="G476">
        <f>IF(B476="","",IFERROR(INDEX(Equipamentos!$N$2:$N$201,MATCH(B476,Equipamentos!$A$2:$A$201,0)),""))</f>
        <v/>
      </c>
      <c r="H476">
        <f>IF(B476="","",IFERROR(INDEX(Equipamentos!$L$2:$L$201,MATCH(B476,Equipamentos!$A$2:$A$201,0)),""))</f>
        <v/>
      </c>
      <c r="I476" s="57">
        <f>IF(OR(A476="",B476=""),"",IFERROR(INDEX(Equipamentos!$J$2:$J$201,MATCH(1,INDEX((Equipamentos!$A$2:$A$201=B476)*(Equipamentos!$P$2:$P$201=A476),0),0)),""))</f>
        <v/>
      </c>
    </row>
    <row r="477">
      <c r="A477" s="54" t="n"/>
      <c r="B477" s="55" t="n"/>
      <c r="C477" s="56">
        <f>IF(OR(A477="",B477=""),"",IF(COUNTIF(Equipamentos!$A$2:$A$201,B477)=0,"tag não encontrada",IFERROR(INDEX(Equipamentos!$H$2:$H$201,MATCH(1,INDEX((Equipamentos!$A$2:$A$201=B477)*(Equipamentos!$P$2:$P$201=A477),0),0)),"confira a data")))</f>
        <v/>
      </c>
      <c r="D477">
        <f>IF(B477="","",IFERROR(INDEX(Equipamentos!$C$2:$C$201,MATCH(B477,Equipamentos!$A$2:$A$201,0)),""))</f>
        <v/>
      </c>
      <c r="E477" s="55" t="n"/>
      <c r="F477" s="55" t="n"/>
      <c r="G477">
        <f>IF(B477="","",IFERROR(INDEX(Equipamentos!$N$2:$N$201,MATCH(B477,Equipamentos!$A$2:$A$201,0)),""))</f>
        <v/>
      </c>
      <c r="H477">
        <f>IF(B477="","",IFERROR(INDEX(Equipamentos!$L$2:$L$201,MATCH(B477,Equipamentos!$A$2:$A$201,0)),""))</f>
        <v/>
      </c>
      <c r="I477" s="57">
        <f>IF(OR(A477="",B477=""),"",IFERROR(INDEX(Equipamentos!$J$2:$J$201,MATCH(1,INDEX((Equipamentos!$A$2:$A$201=B477)*(Equipamentos!$P$2:$P$201=A477),0),0)),""))</f>
        <v/>
      </c>
    </row>
    <row r="478">
      <c r="A478" s="54" t="n"/>
      <c r="B478" s="55" t="n"/>
      <c r="C478" s="56">
        <f>IF(OR(A478="",B478=""),"",IF(COUNTIF(Equipamentos!$A$2:$A$201,B478)=0,"tag não encontrada",IFERROR(INDEX(Equipamentos!$H$2:$H$201,MATCH(1,INDEX((Equipamentos!$A$2:$A$201=B478)*(Equipamentos!$P$2:$P$201=A478),0),0)),"confira a data")))</f>
        <v/>
      </c>
      <c r="D478">
        <f>IF(B478="","",IFERROR(INDEX(Equipamentos!$C$2:$C$201,MATCH(B478,Equipamentos!$A$2:$A$201,0)),""))</f>
        <v/>
      </c>
      <c r="E478" s="55" t="n"/>
      <c r="F478" s="55" t="n"/>
      <c r="G478">
        <f>IF(B478="","",IFERROR(INDEX(Equipamentos!$N$2:$N$201,MATCH(B478,Equipamentos!$A$2:$A$201,0)),""))</f>
        <v/>
      </c>
      <c r="H478">
        <f>IF(B478="","",IFERROR(INDEX(Equipamentos!$L$2:$L$201,MATCH(B478,Equipamentos!$A$2:$A$201,0)),""))</f>
        <v/>
      </c>
      <c r="I478" s="57">
        <f>IF(OR(A478="",B478=""),"",IFERROR(INDEX(Equipamentos!$J$2:$J$201,MATCH(1,INDEX((Equipamentos!$A$2:$A$201=B478)*(Equipamentos!$P$2:$P$201=A478),0),0)),""))</f>
        <v/>
      </c>
    </row>
    <row r="479">
      <c r="A479" s="54" t="n"/>
      <c r="B479" s="55" t="n"/>
      <c r="C479" s="56">
        <f>IF(OR(A479="",B479=""),"",IF(COUNTIF(Equipamentos!$A$2:$A$201,B479)=0,"tag não encontrada",IFERROR(INDEX(Equipamentos!$H$2:$H$201,MATCH(1,INDEX((Equipamentos!$A$2:$A$201=B479)*(Equipamentos!$P$2:$P$201=A479),0),0)),"confira a data")))</f>
        <v/>
      </c>
      <c r="D479">
        <f>IF(B479="","",IFERROR(INDEX(Equipamentos!$C$2:$C$201,MATCH(B479,Equipamentos!$A$2:$A$201,0)),""))</f>
        <v/>
      </c>
      <c r="E479" s="55" t="n"/>
      <c r="F479" s="55" t="n"/>
      <c r="G479">
        <f>IF(B479="","",IFERROR(INDEX(Equipamentos!$N$2:$N$201,MATCH(B479,Equipamentos!$A$2:$A$201,0)),""))</f>
        <v/>
      </c>
      <c r="H479">
        <f>IF(B479="","",IFERROR(INDEX(Equipamentos!$L$2:$L$201,MATCH(B479,Equipamentos!$A$2:$A$201,0)),""))</f>
        <v/>
      </c>
      <c r="I479" s="57">
        <f>IF(OR(A479="",B479=""),"",IFERROR(INDEX(Equipamentos!$J$2:$J$201,MATCH(1,INDEX((Equipamentos!$A$2:$A$201=B479)*(Equipamentos!$P$2:$P$201=A479),0),0)),""))</f>
        <v/>
      </c>
    </row>
    <row r="480">
      <c r="A480" s="54" t="n"/>
      <c r="B480" s="55" t="n"/>
      <c r="C480" s="56">
        <f>IF(OR(A480="",B480=""),"",IF(COUNTIF(Equipamentos!$A$2:$A$201,B480)=0,"tag não encontrada",IFERROR(INDEX(Equipamentos!$H$2:$H$201,MATCH(1,INDEX((Equipamentos!$A$2:$A$201=B480)*(Equipamentos!$P$2:$P$201=A480),0),0)),"confira a data")))</f>
        <v/>
      </c>
      <c r="D480">
        <f>IF(B480="","",IFERROR(INDEX(Equipamentos!$C$2:$C$201,MATCH(B480,Equipamentos!$A$2:$A$201,0)),""))</f>
        <v/>
      </c>
      <c r="E480" s="55" t="n"/>
      <c r="F480" s="55" t="n"/>
      <c r="G480">
        <f>IF(B480="","",IFERROR(INDEX(Equipamentos!$N$2:$N$201,MATCH(B480,Equipamentos!$A$2:$A$201,0)),""))</f>
        <v/>
      </c>
      <c r="H480">
        <f>IF(B480="","",IFERROR(INDEX(Equipamentos!$L$2:$L$201,MATCH(B480,Equipamentos!$A$2:$A$201,0)),""))</f>
        <v/>
      </c>
      <c r="I480" s="57">
        <f>IF(OR(A480="",B480=""),"",IFERROR(INDEX(Equipamentos!$J$2:$J$201,MATCH(1,INDEX((Equipamentos!$A$2:$A$201=B480)*(Equipamentos!$P$2:$P$201=A480),0),0)),""))</f>
        <v/>
      </c>
    </row>
    <row r="481">
      <c r="A481" s="54" t="n"/>
      <c r="B481" s="55" t="n"/>
      <c r="C481" s="56">
        <f>IF(OR(A481="",B481=""),"",IF(COUNTIF(Equipamentos!$A$2:$A$201,B481)=0,"tag não encontrada",IFERROR(INDEX(Equipamentos!$H$2:$H$201,MATCH(1,INDEX((Equipamentos!$A$2:$A$201=B481)*(Equipamentos!$P$2:$P$201=A481),0),0)),"confira a data")))</f>
        <v/>
      </c>
      <c r="D481">
        <f>IF(B481="","",IFERROR(INDEX(Equipamentos!$C$2:$C$201,MATCH(B481,Equipamentos!$A$2:$A$201,0)),""))</f>
        <v/>
      </c>
      <c r="E481" s="55" t="n"/>
      <c r="F481" s="55" t="n"/>
      <c r="G481">
        <f>IF(B481="","",IFERROR(INDEX(Equipamentos!$N$2:$N$201,MATCH(B481,Equipamentos!$A$2:$A$201,0)),""))</f>
        <v/>
      </c>
      <c r="H481">
        <f>IF(B481="","",IFERROR(INDEX(Equipamentos!$L$2:$L$201,MATCH(B481,Equipamentos!$A$2:$A$201,0)),""))</f>
        <v/>
      </c>
      <c r="I481" s="57">
        <f>IF(OR(A481="",B481=""),"",IFERROR(INDEX(Equipamentos!$J$2:$J$201,MATCH(1,INDEX((Equipamentos!$A$2:$A$201=B481)*(Equipamentos!$P$2:$P$201=A481),0),0)),""))</f>
        <v/>
      </c>
    </row>
    <row r="482">
      <c r="A482" s="54" t="n"/>
      <c r="B482" s="55" t="n"/>
      <c r="C482" s="56">
        <f>IF(OR(A482="",B482=""),"",IF(COUNTIF(Equipamentos!$A$2:$A$201,B482)=0,"tag não encontrada",IFERROR(INDEX(Equipamentos!$H$2:$H$201,MATCH(1,INDEX((Equipamentos!$A$2:$A$201=B482)*(Equipamentos!$P$2:$P$201=A482),0),0)),"confira a data")))</f>
        <v/>
      </c>
      <c r="D482">
        <f>IF(B482="","",IFERROR(INDEX(Equipamentos!$C$2:$C$201,MATCH(B482,Equipamentos!$A$2:$A$201,0)),""))</f>
        <v/>
      </c>
      <c r="E482" s="55" t="n"/>
      <c r="F482" s="55" t="n"/>
      <c r="G482">
        <f>IF(B482="","",IFERROR(INDEX(Equipamentos!$N$2:$N$201,MATCH(B482,Equipamentos!$A$2:$A$201,0)),""))</f>
        <v/>
      </c>
      <c r="H482">
        <f>IF(B482="","",IFERROR(INDEX(Equipamentos!$L$2:$L$201,MATCH(B482,Equipamentos!$A$2:$A$201,0)),""))</f>
        <v/>
      </c>
      <c r="I482" s="57">
        <f>IF(OR(A482="",B482=""),"",IFERROR(INDEX(Equipamentos!$J$2:$J$201,MATCH(1,INDEX((Equipamentos!$A$2:$A$201=B482)*(Equipamentos!$P$2:$P$201=A482),0),0)),""))</f>
        <v/>
      </c>
    </row>
    <row r="483">
      <c r="A483" s="54" t="n"/>
      <c r="B483" s="55" t="n"/>
      <c r="C483" s="56">
        <f>IF(OR(A483="",B483=""),"",IF(COUNTIF(Equipamentos!$A$2:$A$201,B483)=0,"tag não encontrada",IFERROR(INDEX(Equipamentos!$H$2:$H$201,MATCH(1,INDEX((Equipamentos!$A$2:$A$201=B483)*(Equipamentos!$P$2:$P$201=A483),0),0)),"confira a data")))</f>
        <v/>
      </c>
      <c r="D483">
        <f>IF(B483="","",IFERROR(INDEX(Equipamentos!$C$2:$C$201,MATCH(B483,Equipamentos!$A$2:$A$201,0)),""))</f>
        <v/>
      </c>
      <c r="E483" s="55" t="n"/>
      <c r="F483" s="55" t="n"/>
      <c r="G483">
        <f>IF(B483="","",IFERROR(INDEX(Equipamentos!$N$2:$N$201,MATCH(B483,Equipamentos!$A$2:$A$201,0)),""))</f>
        <v/>
      </c>
      <c r="H483">
        <f>IF(B483="","",IFERROR(INDEX(Equipamentos!$L$2:$L$201,MATCH(B483,Equipamentos!$A$2:$A$201,0)),""))</f>
        <v/>
      </c>
      <c r="I483" s="57">
        <f>IF(OR(A483="",B483=""),"",IFERROR(INDEX(Equipamentos!$J$2:$J$201,MATCH(1,INDEX((Equipamentos!$A$2:$A$201=B483)*(Equipamentos!$P$2:$P$201=A483),0),0)),""))</f>
        <v/>
      </c>
    </row>
    <row r="484">
      <c r="A484" s="54" t="n"/>
      <c r="B484" s="55" t="n"/>
      <c r="C484" s="56">
        <f>IF(OR(A484="",B484=""),"",IF(COUNTIF(Equipamentos!$A$2:$A$201,B484)=0,"tag não encontrada",IFERROR(INDEX(Equipamentos!$H$2:$H$201,MATCH(1,INDEX((Equipamentos!$A$2:$A$201=B484)*(Equipamentos!$P$2:$P$201=A484),0),0)),"confira a data")))</f>
        <v/>
      </c>
      <c r="D484">
        <f>IF(B484="","",IFERROR(INDEX(Equipamentos!$C$2:$C$201,MATCH(B484,Equipamentos!$A$2:$A$201,0)),""))</f>
        <v/>
      </c>
      <c r="E484" s="55" t="n"/>
      <c r="F484" s="55" t="n"/>
      <c r="G484">
        <f>IF(B484="","",IFERROR(INDEX(Equipamentos!$N$2:$N$201,MATCH(B484,Equipamentos!$A$2:$A$201,0)),""))</f>
        <v/>
      </c>
      <c r="H484">
        <f>IF(B484="","",IFERROR(INDEX(Equipamentos!$L$2:$L$201,MATCH(B484,Equipamentos!$A$2:$A$201,0)),""))</f>
        <v/>
      </c>
      <c r="I484" s="57">
        <f>IF(OR(A484="",B484=""),"",IFERROR(INDEX(Equipamentos!$J$2:$J$201,MATCH(1,INDEX((Equipamentos!$A$2:$A$201=B484)*(Equipamentos!$P$2:$P$201=A484),0),0)),""))</f>
        <v/>
      </c>
    </row>
    <row r="485">
      <c r="A485" s="54" t="n"/>
      <c r="B485" s="55" t="n"/>
      <c r="C485" s="56">
        <f>IF(OR(A485="",B485=""),"",IF(COUNTIF(Equipamentos!$A$2:$A$201,B485)=0,"tag não encontrada",IFERROR(INDEX(Equipamentos!$H$2:$H$201,MATCH(1,INDEX((Equipamentos!$A$2:$A$201=B485)*(Equipamentos!$P$2:$P$201=A485),0),0)),"confira a data")))</f>
        <v/>
      </c>
      <c r="D485">
        <f>IF(B485="","",IFERROR(INDEX(Equipamentos!$C$2:$C$201,MATCH(B485,Equipamentos!$A$2:$A$201,0)),""))</f>
        <v/>
      </c>
      <c r="E485" s="55" t="n"/>
      <c r="F485" s="55" t="n"/>
      <c r="G485">
        <f>IF(B485="","",IFERROR(INDEX(Equipamentos!$N$2:$N$201,MATCH(B485,Equipamentos!$A$2:$A$201,0)),""))</f>
        <v/>
      </c>
      <c r="H485">
        <f>IF(B485="","",IFERROR(INDEX(Equipamentos!$L$2:$L$201,MATCH(B485,Equipamentos!$A$2:$A$201,0)),""))</f>
        <v/>
      </c>
      <c r="I485" s="57">
        <f>IF(OR(A485="",B485=""),"",IFERROR(INDEX(Equipamentos!$J$2:$J$201,MATCH(1,INDEX((Equipamentos!$A$2:$A$201=B485)*(Equipamentos!$P$2:$P$201=A485),0),0)),""))</f>
        <v/>
      </c>
    </row>
    <row r="486">
      <c r="A486" s="54" t="n"/>
      <c r="B486" s="55" t="n"/>
      <c r="C486" s="56">
        <f>IF(OR(A486="",B486=""),"",IF(COUNTIF(Equipamentos!$A$2:$A$201,B486)=0,"tag não encontrada",IFERROR(INDEX(Equipamentos!$H$2:$H$201,MATCH(1,INDEX((Equipamentos!$A$2:$A$201=B486)*(Equipamentos!$P$2:$P$201=A486),0),0)),"confira a data")))</f>
        <v/>
      </c>
      <c r="D486">
        <f>IF(B486="","",IFERROR(INDEX(Equipamentos!$C$2:$C$201,MATCH(B486,Equipamentos!$A$2:$A$201,0)),""))</f>
        <v/>
      </c>
      <c r="E486" s="55" t="n"/>
      <c r="F486" s="55" t="n"/>
      <c r="G486">
        <f>IF(B486="","",IFERROR(INDEX(Equipamentos!$N$2:$N$201,MATCH(B486,Equipamentos!$A$2:$A$201,0)),""))</f>
        <v/>
      </c>
      <c r="H486">
        <f>IF(B486="","",IFERROR(INDEX(Equipamentos!$L$2:$L$201,MATCH(B486,Equipamentos!$A$2:$A$201,0)),""))</f>
        <v/>
      </c>
      <c r="I486" s="57">
        <f>IF(OR(A486="",B486=""),"",IFERROR(INDEX(Equipamentos!$J$2:$J$201,MATCH(1,INDEX((Equipamentos!$A$2:$A$201=B486)*(Equipamentos!$P$2:$P$201=A486),0),0)),""))</f>
        <v/>
      </c>
    </row>
    <row r="487">
      <c r="A487" s="54" t="n"/>
      <c r="B487" s="55" t="n"/>
      <c r="C487" s="56">
        <f>IF(OR(A487="",B487=""),"",IF(COUNTIF(Equipamentos!$A$2:$A$201,B487)=0,"tag não encontrada",IFERROR(INDEX(Equipamentos!$H$2:$H$201,MATCH(1,INDEX((Equipamentos!$A$2:$A$201=B487)*(Equipamentos!$P$2:$P$201=A487),0),0)),"confira a data")))</f>
        <v/>
      </c>
      <c r="D487">
        <f>IF(B487="","",IFERROR(INDEX(Equipamentos!$C$2:$C$201,MATCH(B487,Equipamentos!$A$2:$A$201,0)),""))</f>
        <v/>
      </c>
      <c r="E487" s="55" t="n"/>
      <c r="F487" s="55" t="n"/>
      <c r="G487">
        <f>IF(B487="","",IFERROR(INDEX(Equipamentos!$N$2:$N$201,MATCH(B487,Equipamentos!$A$2:$A$201,0)),""))</f>
        <v/>
      </c>
      <c r="H487">
        <f>IF(B487="","",IFERROR(INDEX(Equipamentos!$L$2:$L$201,MATCH(B487,Equipamentos!$A$2:$A$201,0)),""))</f>
        <v/>
      </c>
      <c r="I487" s="57">
        <f>IF(OR(A487="",B487=""),"",IFERROR(INDEX(Equipamentos!$J$2:$J$201,MATCH(1,INDEX((Equipamentos!$A$2:$A$201=B487)*(Equipamentos!$P$2:$P$201=A487),0),0)),""))</f>
        <v/>
      </c>
    </row>
    <row r="488">
      <c r="A488" s="54" t="n"/>
      <c r="B488" s="55" t="n"/>
      <c r="C488" s="56">
        <f>IF(OR(A488="",B488=""),"",IF(COUNTIF(Equipamentos!$A$2:$A$201,B488)=0,"tag não encontrada",IFERROR(INDEX(Equipamentos!$H$2:$H$201,MATCH(1,INDEX((Equipamentos!$A$2:$A$201=B488)*(Equipamentos!$P$2:$P$201=A488),0),0)),"confira a data")))</f>
        <v/>
      </c>
      <c r="D488">
        <f>IF(B488="","",IFERROR(INDEX(Equipamentos!$C$2:$C$201,MATCH(B488,Equipamentos!$A$2:$A$201,0)),""))</f>
        <v/>
      </c>
      <c r="E488" s="55" t="n"/>
      <c r="F488" s="55" t="n"/>
      <c r="G488">
        <f>IF(B488="","",IFERROR(INDEX(Equipamentos!$N$2:$N$201,MATCH(B488,Equipamentos!$A$2:$A$201,0)),""))</f>
        <v/>
      </c>
      <c r="H488">
        <f>IF(B488="","",IFERROR(INDEX(Equipamentos!$L$2:$L$201,MATCH(B488,Equipamentos!$A$2:$A$201,0)),""))</f>
        <v/>
      </c>
      <c r="I488" s="57">
        <f>IF(OR(A488="",B488=""),"",IFERROR(INDEX(Equipamentos!$J$2:$J$201,MATCH(1,INDEX((Equipamentos!$A$2:$A$201=B488)*(Equipamentos!$P$2:$P$201=A488),0),0)),""))</f>
        <v/>
      </c>
    </row>
    <row r="489">
      <c r="A489" s="54" t="n"/>
      <c r="B489" s="55" t="n"/>
      <c r="C489" s="56">
        <f>IF(OR(A489="",B489=""),"",IF(COUNTIF(Equipamentos!$A$2:$A$201,B489)=0,"tag não encontrada",IFERROR(INDEX(Equipamentos!$H$2:$H$201,MATCH(1,INDEX((Equipamentos!$A$2:$A$201=B489)*(Equipamentos!$P$2:$P$201=A489),0),0)),"confira a data")))</f>
        <v/>
      </c>
      <c r="D489">
        <f>IF(B489="","",IFERROR(INDEX(Equipamentos!$C$2:$C$201,MATCH(B489,Equipamentos!$A$2:$A$201,0)),""))</f>
        <v/>
      </c>
      <c r="E489" s="55" t="n"/>
      <c r="F489" s="55" t="n"/>
      <c r="G489">
        <f>IF(B489="","",IFERROR(INDEX(Equipamentos!$N$2:$N$201,MATCH(B489,Equipamentos!$A$2:$A$201,0)),""))</f>
        <v/>
      </c>
      <c r="H489">
        <f>IF(B489="","",IFERROR(INDEX(Equipamentos!$L$2:$L$201,MATCH(B489,Equipamentos!$A$2:$A$201,0)),""))</f>
        <v/>
      </c>
      <c r="I489" s="57">
        <f>IF(OR(A489="",B489=""),"",IFERROR(INDEX(Equipamentos!$J$2:$J$201,MATCH(1,INDEX((Equipamentos!$A$2:$A$201=B489)*(Equipamentos!$P$2:$P$201=A489),0),0)),""))</f>
        <v/>
      </c>
    </row>
    <row r="490">
      <c r="A490" s="54" t="n"/>
      <c r="B490" s="55" t="n"/>
      <c r="C490" s="56">
        <f>IF(OR(A490="",B490=""),"",IF(COUNTIF(Equipamentos!$A$2:$A$201,B490)=0,"tag não encontrada",IFERROR(INDEX(Equipamentos!$H$2:$H$201,MATCH(1,INDEX((Equipamentos!$A$2:$A$201=B490)*(Equipamentos!$P$2:$P$201=A490),0),0)),"confira a data")))</f>
        <v/>
      </c>
      <c r="D490">
        <f>IF(B490="","",IFERROR(INDEX(Equipamentos!$C$2:$C$201,MATCH(B490,Equipamentos!$A$2:$A$201,0)),""))</f>
        <v/>
      </c>
      <c r="E490" s="55" t="n"/>
      <c r="F490" s="55" t="n"/>
      <c r="G490">
        <f>IF(B490="","",IFERROR(INDEX(Equipamentos!$N$2:$N$201,MATCH(B490,Equipamentos!$A$2:$A$201,0)),""))</f>
        <v/>
      </c>
      <c r="H490">
        <f>IF(B490="","",IFERROR(INDEX(Equipamentos!$L$2:$L$201,MATCH(B490,Equipamentos!$A$2:$A$201,0)),""))</f>
        <v/>
      </c>
      <c r="I490" s="57">
        <f>IF(OR(A490="",B490=""),"",IFERROR(INDEX(Equipamentos!$J$2:$J$201,MATCH(1,INDEX((Equipamentos!$A$2:$A$201=B490)*(Equipamentos!$P$2:$P$201=A490),0),0)),""))</f>
        <v/>
      </c>
    </row>
    <row r="491">
      <c r="A491" s="54" t="n"/>
      <c r="B491" s="55" t="n"/>
      <c r="C491" s="56">
        <f>IF(OR(A491="",B491=""),"",IF(COUNTIF(Equipamentos!$A$2:$A$201,B491)=0,"tag não encontrada",IFERROR(INDEX(Equipamentos!$H$2:$H$201,MATCH(1,INDEX((Equipamentos!$A$2:$A$201=B491)*(Equipamentos!$P$2:$P$201=A491),0),0)),"confira a data")))</f>
        <v/>
      </c>
      <c r="D491">
        <f>IF(B491="","",IFERROR(INDEX(Equipamentos!$C$2:$C$201,MATCH(B491,Equipamentos!$A$2:$A$201,0)),""))</f>
        <v/>
      </c>
      <c r="E491" s="55" t="n"/>
      <c r="F491" s="55" t="n"/>
      <c r="G491">
        <f>IF(B491="","",IFERROR(INDEX(Equipamentos!$N$2:$N$201,MATCH(B491,Equipamentos!$A$2:$A$201,0)),""))</f>
        <v/>
      </c>
      <c r="H491">
        <f>IF(B491="","",IFERROR(INDEX(Equipamentos!$L$2:$L$201,MATCH(B491,Equipamentos!$A$2:$A$201,0)),""))</f>
        <v/>
      </c>
      <c r="I491" s="57">
        <f>IF(OR(A491="",B491=""),"",IFERROR(INDEX(Equipamentos!$J$2:$J$201,MATCH(1,INDEX((Equipamentos!$A$2:$A$201=B491)*(Equipamentos!$P$2:$P$201=A491),0),0)),""))</f>
        <v/>
      </c>
    </row>
    <row r="492">
      <c r="A492" s="54" t="n"/>
      <c r="B492" s="55" t="n"/>
      <c r="C492" s="56">
        <f>IF(OR(A492="",B492=""),"",IF(COUNTIF(Equipamentos!$A$2:$A$201,B492)=0,"tag não encontrada",IFERROR(INDEX(Equipamentos!$H$2:$H$201,MATCH(1,INDEX((Equipamentos!$A$2:$A$201=B492)*(Equipamentos!$P$2:$P$201=A492),0),0)),"confira a data")))</f>
        <v/>
      </c>
      <c r="D492">
        <f>IF(B492="","",IFERROR(INDEX(Equipamentos!$C$2:$C$201,MATCH(B492,Equipamentos!$A$2:$A$201,0)),""))</f>
        <v/>
      </c>
      <c r="E492" s="55" t="n"/>
      <c r="F492" s="55" t="n"/>
      <c r="G492">
        <f>IF(B492="","",IFERROR(INDEX(Equipamentos!$N$2:$N$201,MATCH(B492,Equipamentos!$A$2:$A$201,0)),""))</f>
        <v/>
      </c>
      <c r="H492">
        <f>IF(B492="","",IFERROR(INDEX(Equipamentos!$L$2:$L$201,MATCH(B492,Equipamentos!$A$2:$A$201,0)),""))</f>
        <v/>
      </c>
      <c r="I492" s="57">
        <f>IF(OR(A492="",B492=""),"",IFERROR(INDEX(Equipamentos!$J$2:$J$201,MATCH(1,INDEX((Equipamentos!$A$2:$A$201=B492)*(Equipamentos!$P$2:$P$201=A492),0),0)),""))</f>
        <v/>
      </c>
    </row>
    <row r="493">
      <c r="A493" s="54" t="n"/>
      <c r="B493" s="55" t="n"/>
      <c r="C493" s="56">
        <f>IF(OR(A493="",B493=""),"",IF(COUNTIF(Equipamentos!$A$2:$A$201,B493)=0,"tag não encontrada",IFERROR(INDEX(Equipamentos!$H$2:$H$201,MATCH(1,INDEX((Equipamentos!$A$2:$A$201=B493)*(Equipamentos!$P$2:$P$201=A493),0),0)),"confira a data")))</f>
        <v/>
      </c>
      <c r="D493">
        <f>IF(B493="","",IFERROR(INDEX(Equipamentos!$C$2:$C$201,MATCH(B493,Equipamentos!$A$2:$A$201,0)),""))</f>
        <v/>
      </c>
      <c r="E493" s="55" t="n"/>
      <c r="F493" s="55" t="n"/>
      <c r="G493">
        <f>IF(B493="","",IFERROR(INDEX(Equipamentos!$N$2:$N$201,MATCH(B493,Equipamentos!$A$2:$A$201,0)),""))</f>
        <v/>
      </c>
      <c r="H493">
        <f>IF(B493="","",IFERROR(INDEX(Equipamentos!$L$2:$L$201,MATCH(B493,Equipamentos!$A$2:$A$201,0)),""))</f>
        <v/>
      </c>
      <c r="I493" s="57">
        <f>IF(OR(A493="",B493=""),"",IFERROR(INDEX(Equipamentos!$J$2:$J$201,MATCH(1,INDEX((Equipamentos!$A$2:$A$201=B493)*(Equipamentos!$P$2:$P$201=A493),0),0)),""))</f>
        <v/>
      </c>
    </row>
    <row r="494">
      <c r="A494" s="54" t="n"/>
      <c r="B494" s="55" t="n"/>
      <c r="C494" s="56">
        <f>IF(OR(A494="",B494=""),"",IF(COUNTIF(Equipamentos!$A$2:$A$201,B494)=0,"tag não encontrada",IFERROR(INDEX(Equipamentos!$H$2:$H$201,MATCH(1,INDEX((Equipamentos!$A$2:$A$201=B494)*(Equipamentos!$P$2:$P$201=A494),0),0)),"confira a data")))</f>
        <v/>
      </c>
      <c r="D494">
        <f>IF(B494="","",IFERROR(INDEX(Equipamentos!$C$2:$C$201,MATCH(B494,Equipamentos!$A$2:$A$201,0)),""))</f>
        <v/>
      </c>
      <c r="E494" s="55" t="n"/>
      <c r="F494" s="55" t="n"/>
      <c r="G494">
        <f>IF(B494="","",IFERROR(INDEX(Equipamentos!$N$2:$N$201,MATCH(B494,Equipamentos!$A$2:$A$201,0)),""))</f>
        <v/>
      </c>
      <c r="H494">
        <f>IF(B494="","",IFERROR(INDEX(Equipamentos!$L$2:$L$201,MATCH(B494,Equipamentos!$A$2:$A$201,0)),""))</f>
        <v/>
      </c>
      <c r="I494" s="57">
        <f>IF(OR(A494="",B494=""),"",IFERROR(INDEX(Equipamentos!$J$2:$J$201,MATCH(1,INDEX((Equipamentos!$A$2:$A$201=B494)*(Equipamentos!$P$2:$P$201=A494),0),0)),""))</f>
        <v/>
      </c>
    </row>
    <row r="495">
      <c r="A495" s="54" t="n"/>
      <c r="B495" s="55" t="n"/>
      <c r="C495" s="56">
        <f>IF(OR(A495="",B495=""),"",IF(COUNTIF(Equipamentos!$A$2:$A$201,B495)=0,"tag não encontrada",IFERROR(INDEX(Equipamentos!$H$2:$H$201,MATCH(1,INDEX((Equipamentos!$A$2:$A$201=B495)*(Equipamentos!$P$2:$P$201=A495),0),0)),"confira a data")))</f>
        <v/>
      </c>
      <c r="D495">
        <f>IF(B495="","",IFERROR(INDEX(Equipamentos!$C$2:$C$201,MATCH(B495,Equipamentos!$A$2:$A$201,0)),""))</f>
        <v/>
      </c>
      <c r="E495" s="55" t="n"/>
      <c r="F495" s="55" t="n"/>
      <c r="G495">
        <f>IF(B495="","",IFERROR(INDEX(Equipamentos!$N$2:$N$201,MATCH(B495,Equipamentos!$A$2:$A$201,0)),""))</f>
        <v/>
      </c>
      <c r="H495">
        <f>IF(B495="","",IFERROR(INDEX(Equipamentos!$L$2:$L$201,MATCH(B495,Equipamentos!$A$2:$A$201,0)),""))</f>
        <v/>
      </c>
      <c r="I495" s="57">
        <f>IF(OR(A495="",B495=""),"",IFERROR(INDEX(Equipamentos!$J$2:$J$201,MATCH(1,INDEX((Equipamentos!$A$2:$A$201=B495)*(Equipamentos!$P$2:$P$201=A495),0),0)),""))</f>
        <v/>
      </c>
    </row>
    <row r="496">
      <c r="A496" s="54" t="n"/>
      <c r="B496" s="55" t="n"/>
      <c r="C496" s="56">
        <f>IF(OR(A496="",B496=""),"",IF(COUNTIF(Equipamentos!$A$2:$A$201,B496)=0,"tag não encontrada",IFERROR(INDEX(Equipamentos!$H$2:$H$201,MATCH(1,INDEX((Equipamentos!$A$2:$A$201=B496)*(Equipamentos!$P$2:$P$201=A496),0),0)),"confira a data")))</f>
        <v/>
      </c>
      <c r="D496">
        <f>IF(B496="","",IFERROR(INDEX(Equipamentos!$C$2:$C$201,MATCH(B496,Equipamentos!$A$2:$A$201,0)),""))</f>
        <v/>
      </c>
      <c r="E496" s="55" t="n"/>
      <c r="F496" s="55" t="n"/>
      <c r="G496">
        <f>IF(B496="","",IFERROR(INDEX(Equipamentos!$N$2:$N$201,MATCH(B496,Equipamentos!$A$2:$A$201,0)),""))</f>
        <v/>
      </c>
      <c r="H496">
        <f>IF(B496="","",IFERROR(INDEX(Equipamentos!$L$2:$L$201,MATCH(B496,Equipamentos!$A$2:$A$201,0)),""))</f>
        <v/>
      </c>
      <c r="I496" s="57">
        <f>IF(OR(A496="",B496=""),"",IFERROR(INDEX(Equipamentos!$J$2:$J$201,MATCH(1,INDEX((Equipamentos!$A$2:$A$201=B496)*(Equipamentos!$P$2:$P$201=A496),0),0)),""))</f>
        <v/>
      </c>
    </row>
    <row r="497">
      <c r="A497" s="54" t="n"/>
      <c r="B497" s="55" t="n"/>
      <c r="C497" s="56">
        <f>IF(OR(A497="",B497=""),"",IF(COUNTIF(Equipamentos!$A$2:$A$201,B497)=0,"tag não encontrada",IFERROR(INDEX(Equipamentos!$H$2:$H$201,MATCH(1,INDEX((Equipamentos!$A$2:$A$201=B497)*(Equipamentos!$P$2:$P$201=A497),0),0)),"confira a data")))</f>
        <v/>
      </c>
      <c r="D497">
        <f>IF(B497="","",IFERROR(INDEX(Equipamentos!$C$2:$C$201,MATCH(B497,Equipamentos!$A$2:$A$201,0)),""))</f>
        <v/>
      </c>
      <c r="E497" s="55" t="n"/>
      <c r="F497" s="55" t="n"/>
      <c r="G497">
        <f>IF(B497="","",IFERROR(INDEX(Equipamentos!$N$2:$N$201,MATCH(B497,Equipamentos!$A$2:$A$201,0)),""))</f>
        <v/>
      </c>
      <c r="H497">
        <f>IF(B497="","",IFERROR(INDEX(Equipamentos!$L$2:$L$201,MATCH(B497,Equipamentos!$A$2:$A$201,0)),""))</f>
        <v/>
      </c>
      <c r="I497" s="57">
        <f>IF(OR(A497="",B497=""),"",IFERROR(INDEX(Equipamentos!$J$2:$J$201,MATCH(1,INDEX((Equipamentos!$A$2:$A$201=B497)*(Equipamentos!$P$2:$P$201=A497),0),0)),""))</f>
        <v/>
      </c>
    </row>
    <row r="498">
      <c r="A498" s="54" t="n"/>
      <c r="B498" s="55" t="n"/>
      <c r="C498" s="56">
        <f>IF(OR(A498="",B498=""),"",IF(COUNTIF(Equipamentos!$A$2:$A$201,B498)=0,"tag não encontrada",IFERROR(INDEX(Equipamentos!$H$2:$H$201,MATCH(1,INDEX((Equipamentos!$A$2:$A$201=B498)*(Equipamentos!$P$2:$P$201=A498),0),0)),"confira a data")))</f>
        <v/>
      </c>
      <c r="D498">
        <f>IF(B498="","",IFERROR(INDEX(Equipamentos!$C$2:$C$201,MATCH(B498,Equipamentos!$A$2:$A$201,0)),""))</f>
        <v/>
      </c>
      <c r="E498" s="55" t="n"/>
      <c r="F498" s="55" t="n"/>
      <c r="G498">
        <f>IF(B498="","",IFERROR(INDEX(Equipamentos!$N$2:$N$201,MATCH(B498,Equipamentos!$A$2:$A$201,0)),""))</f>
        <v/>
      </c>
      <c r="H498">
        <f>IF(B498="","",IFERROR(INDEX(Equipamentos!$L$2:$L$201,MATCH(B498,Equipamentos!$A$2:$A$201,0)),""))</f>
        <v/>
      </c>
      <c r="I498" s="57">
        <f>IF(OR(A498="",B498=""),"",IFERROR(INDEX(Equipamentos!$J$2:$J$201,MATCH(1,INDEX((Equipamentos!$A$2:$A$201=B498)*(Equipamentos!$P$2:$P$201=A498),0),0)),""))</f>
        <v/>
      </c>
    </row>
    <row r="499">
      <c r="A499" s="54" t="n"/>
      <c r="B499" s="55" t="n"/>
      <c r="C499" s="56">
        <f>IF(OR(A499="",B499=""),"",IF(COUNTIF(Equipamentos!$A$2:$A$201,B499)=0,"tag não encontrada",IFERROR(INDEX(Equipamentos!$H$2:$H$201,MATCH(1,INDEX((Equipamentos!$A$2:$A$201=B499)*(Equipamentos!$P$2:$P$201=A499),0),0)),"confira a data")))</f>
        <v/>
      </c>
      <c r="D499">
        <f>IF(B499="","",IFERROR(INDEX(Equipamentos!$C$2:$C$201,MATCH(B499,Equipamentos!$A$2:$A$201,0)),""))</f>
        <v/>
      </c>
      <c r="E499" s="55" t="n"/>
      <c r="F499" s="55" t="n"/>
      <c r="G499">
        <f>IF(B499="","",IFERROR(INDEX(Equipamentos!$N$2:$N$201,MATCH(B499,Equipamentos!$A$2:$A$201,0)),""))</f>
        <v/>
      </c>
      <c r="H499">
        <f>IF(B499="","",IFERROR(INDEX(Equipamentos!$L$2:$L$201,MATCH(B499,Equipamentos!$A$2:$A$201,0)),""))</f>
        <v/>
      </c>
      <c r="I499" s="57">
        <f>IF(OR(A499="",B499=""),"",IFERROR(INDEX(Equipamentos!$J$2:$J$201,MATCH(1,INDEX((Equipamentos!$A$2:$A$201=B499)*(Equipamentos!$P$2:$P$201=A499),0),0)),""))</f>
        <v/>
      </c>
    </row>
    <row r="500">
      <c r="A500" s="54" t="n"/>
      <c r="B500" s="55" t="n"/>
      <c r="C500" s="56">
        <f>IF(OR(A500="",B500=""),"",IF(COUNTIF(Equipamentos!$A$2:$A$201,B500)=0,"tag não encontrada",IFERROR(INDEX(Equipamentos!$H$2:$H$201,MATCH(1,INDEX((Equipamentos!$A$2:$A$201=B500)*(Equipamentos!$P$2:$P$201=A500),0),0)),"confira a data")))</f>
        <v/>
      </c>
      <c r="D500">
        <f>IF(B500="","",IFERROR(INDEX(Equipamentos!$C$2:$C$201,MATCH(B500,Equipamentos!$A$2:$A$201,0)),""))</f>
        <v/>
      </c>
      <c r="E500" s="55" t="n"/>
      <c r="F500" s="55" t="n"/>
      <c r="G500">
        <f>IF(B500="","",IFERROR(INDEX(Equipamentos!$N$2:$N$201,MATCH(B500,Equipamentos!$A$2:$A$201,0)),""))</f>
        <v/>
      </c>
      <c r="H500">
        <f>IF(B500="","",IFERROR(INDEX(Equipamentos!$L$2:$L$201,MATCH(B500,Equipamentos!$A$2:$A$201,0)),""))</f>
        <v/>
      </c>
      <c r="I500" s="57">
        <f>IF(OR(A500="",B500=""),"",IFERROR(INDEX(Equipamentos!$J$2:$J$201,MATCH(1,INDEX((Equipamentos!$A$2:$A$201=B500)*(Equipamentos!$P$2:$P$201=A500),0),0)),""))</f>
        <v/>
      </c>
    </row>
    <row r="501">
      <c r="A501" s="54" t="n"/>
      <c r="B501" s="55" t="n"/>
      <c r="C501" s="56">
        <f>IF(OR(A501="",B501=""),"",IF(COUNTIF(Equipamentos!$A$2:$A$201,B501)=0,"tag não encontrada",IFERROR(INDEX(Equipamentos!$H$2:$H$201,MATCH(1,INDEX((Equipamentos!$A$2:$A$201=B501)*(Equipamentos!$P$2:$P$201=A501),0),0)),"confira a data")))</f>
        <v/>
      </c>
      <c r="D501">
        <f>IF(B501="","",IFERROR(INDEX(Equipamentos!$C$2:$C$201,MATCH(B501,Equipamentos!$A$2:$A$201,0)),""))</f>
        <v/>
      </c>
      <c r="E501" s="55" t="n"/>
      <c r="F501" s="55" t="n"/>
      <c r="G501">
        <f>IF(B501="","",IFERROR(INDEX(Equipamentos!$N$2:$N$201,MATCH(B501,Equipamentos!$A$2:$A$201,0)),""))</f>
        <v/>
      </c>
      <c r="H501">
        <f>IF(B501="","",IFERROR(INDEX(Equipamentos!$L$2:$L$201,MATCH(B501,Equipamentos!$A$2:$A$201,0)),""))</f>
        <v/>
      </c>
      <c r="I501" s="57">
        <f>IF(OR(A501="",B501=""),"",IFERROR(INDEX(Equipamentos!$J$2:$J$201,MATCH(1,INDEX((Equipamentos!$A$2:$A$201=B501)*(Equipamentos!$P$2:$P$201=A501),0),0)),""))</f>
        <v/>
      </c>
    </row>
    <row r="502">
      <c r="A502" s="54" t="n"/>
      <c r="B502" s="55" t="n"/>
      <c r="C502" s="56">
        <f>IF(OR(A502="",B502=""),"",IF(COUNTIF(Equipamentos!$A$2:$A$201,B502)=0,"tag não encontrada",IFERROR(INDEX(Equipamentos!$H$2:$H$201,MATCH(1,INDEX((Equipamentos!$A$2:$A$201=B502)*(Equipamentos!$P$2:$P$201=A502),0),0)),"confira a data")))</f>
        <v/>
      </c>
      <c r="D502">
        <f>IF(B502="","",IFERROR(INDEX(Equipamentos!$C$2:$C$201,MATCH(B502,Equipamentos!$A$2:$A$201,0)),""))</f>
        <v/>
      </c>
      <c r="E502" s="55" t="n"/>
      <c r="F502" s="55" t="n"/>
      <c r="G502">
        <f>IF(B502="","",IFERROR(INDEX(Equipamentos!$N$2:$N$201,MATCH(B502,Equipamentos!$A$2:$A$201,0)),""))</f>
        <v/>
      </c>
      <c r="H502">
        <f>IF(B502="","",IFERROR(INDEX(Equipamentos!$L$2:$L$201,MATCH(B502,Equipamentos!$A$2:$A$201,0)),""))</f>
        <v/>
      </c>
      <c r="I502" s="57">
        <f>IF(OR(A502="",B502=""),"",IFERROR(INDEX(Equipamentos!$J$2:$J$201,MATCH(1,INDEX((Equipamentos!$A$2:$A$201=B502)*(Equipamentos!$P$2:$P$201=A502),0),0)),""))</f>
        <v/>
      </c>
    </row>
    <row r="503">
      <c r="A503" s="54" t="n"/>
      <c r="B503" s="55" t="n"/>
      <c r="C503" s="56">
        <f>IF(OR(A503="",B503=""),"",IF(COUNTIF(Equipamentos!$A$2:$A$201,B503)=0,"tag não encontrada",IFERROR(INDEX(Equipamentos!$H$2:$H$201,MATCH(1,INDEX((Equipamentos!$A$2:$A$201=B503)*(Equipamentos!$P$2:$P$201=A503),0),0)),"confira a data")))</f>
        <v/>
      </c>
      <c r="D503">
        <f>IF(B503="","",IFERROR(INDEX(Equipamentos!$C$2:$C$201,MATCH(B503,Equipamentos!$A$2:$A$201,0)),""))</f>
        <v/>
      </c>
      <c r="E503" s="55" t="n"/>
      <c r="F503" s="55" t="n"/>
      <c r="G503">
        <f>IF(B503="","",IFERROR(INDEX(Equipamentos!$N$2:$N$201,MATCH(B503,Equipamentos!$A$2:$A$201,0)),""))</f>
        <v/>
      </c>
      <c r="H503">
        <f>IF(B503="","",IFERROR(INDEX(Equipamentos!$L$2:$L$201,MATCH(B503,Equipamentos!$A$2:$A$201,0)),""))</f>
        <v/>
      </c>
      <c r="I503" s="57">
        <f>IF(OR(A503="",B503=""),"",IFERROR(INDEX(Equipamentos!$J$2:$J$201,MATCH(1,INDEX((Equipamentos!$A$2:$A$201=B503)*(Equipamentos!$P$2:$P$201=A503),0),0)),""))</f>
        <v/>
      </c>
    </row>
    <row r="504">
      <c r="A504" s="54" t="n"/>
      <c r="B504" s="55" t="n"/>
      <c r="C504" s="56">
        <f>IF(OR(A504="",B504=""),"",IF(COUNTIF(Equipamentos!$A$2:$A$201,B504)=0,"tag não encontrada",IFERROR(INDEX(Equipamentos!$H$2:$H$201,MATCH(1,INDEX((Equipamentos!$A$2:$A$201=B504)*(Equipamentos!$P$2:$P$201=A504),0),0)),"confira a data")))</f>
        <v/>
      </c>
      <c r="D504">
        <f>IF(B504="","",IFERROR(INDEX(Equipamentos!$C$2:$C$201,MATCH(B504,Equipamentos!$A$2:$A$201,0)),""))</f>
        <v/>
      </c>
      <c r="E504" s="55" t="n"/>
      <c r="F504" s="55" t="n"/>
      <c r="G504">
        <f>IF(B504="","",IFERROR(INDEX(Equipamentos!$N$2:$N$201,MATCH(B504,Equipamentos!$A$2:$A$201,0)),""))</f>
        <v/>
      </c>
      <c r="H504">
        <f>IF(B504="","",IFERROR(INDEX(Equipamentos!$L$2:$L$201,MATCH(B504,Equipamentos!$A$2:$A$201,0)),""))</f>
        <v/>
      </c>
      <c r="I504" s="57">
        <f>IF(OR(A504="",B504=""),"",IFERROR(INDEX(Equipamentos!$J$2:$J$201,MATCH(1,INDEX((Equipamentos!$A$2:$A$201=B504)*(Equipamentos!$P$2:$P$201=A504),0),0)),""))</f>
        <v/>
      </c>
    </row>
    <row r="505">
      <c r="A505" s="54" t="n"/>
      <c r="B505" s="55" t="n"/>
      <c r="C505" s="56">
        <f>IF(OR(A505="",B505=""),"",IF(COUNTIF(Equipamentos!$A$2:$A$201,B505)=0,"tag não encontrada",IFERROR(INDEX(Equipamentos!$H$2:$H$201,MATCH(1,INDEX((Equipamentos!$A$2:$A$201=B505)*(Equipamentos!$P$2:$P$201=A505),0),0)),"confira a data")))</f>
        <v/>
      </c>
      <c r="D505">
        <f>IF(B505="","",IFERROR(INDEX(Equipamentos!$C$2:$C$201,MATCH(B505,Equipamentos!$A$2:$A$201,0)),""))</f>
        <v/>
      </c>
      <c r="E505" s="55" t="n"/>
      <c r="F505" s="55" t="n"/>
      <c r="G505">
        <f>IF(B505="","",IFERROR(INDEX(Equipamentos!$N$2:$N$201,MATCH(B505,Equipamentos!$A$2:$A$201,0)),""))</f>
        <v/>
      </c>
      <c r="H505">
        <f>IF(B505="","",IFERROR(INDEX(Equipamentos!$L$2:$L$201,MATCH(B505,Equipamentos!$A$2:$A$201,0)),""))</f>
        <v/>
      </c>
      <c r="I505" s="57">
        <f>IF(OR(A505="",B505=""),"",IFERROR(INDEX(Equipamentos!$J$2:$J$201,MATCH(1,INDEX((Equipamentos!$A$2:$A$201=B505)*(Equipamentos!$P$2:$P$201=A505),0),0)),""))</f>
        <v/>
      </c>
    </row>
    <row r="506">
      <c r="A506" s="54" t="n"/>
      <c r="B506" s="55" t="n"/>
      <c r="C506" s="56">
        <f>IF(OR(A506="",B506=""),"",IF(COUNTIF(Equipamentos!$A$2:$A$201,B506)=0,"tag não encontrada",IFERROR(INDEX(Equipamentos!$H$2:$H$201,MATCH(1,INDEX((Equipamentos!$A$2:$A$201=B506)*(Equipamentos!$P$2:$P$201=A506),0),0)),"confira a data")))</f>
        <v/>
      </c>
      <c r="D506">
        <f>IF(B506="","",IFERROR(INDEX(Equipamentos!$C$2:$C$201,MATCH(B506,Equipamentos!$A$2:$A$201,0)),""))</f>
        <v/>
      </c>
      <c r="E506" s="55" t="n"/>
      <c r="F506" s="55" t="n"/>
      <c r="G506">
        <f>IF(B506="","",IFERROR(INDEX(Equipamentos!$N$2:$N$201,MATCH(B506,Equipamentos!$A$2:$A$201,0)),""))</f>
        <v/>
      </c>
      <c r="H506">
        <f>IF(B506="","",IFERROR(INDEX(Equipamentos!$L$2:$L$201,MATCH(B506,Equipamentos!$A$2:$A$201,0)),""))</f>
        <v/>
      </c>
      <c r="I506" s="57">
        <f>IF(OR(A506="",B506=""),"",IFERROR(INDEX(Equipamentos!$J$2:$J$201,MATCH(1,INDEX((Equipamentos!$A$2:$A$201=B506)*(Equipamentos!$P$2:$P$201=A506),0),0)),""))</f>
        <v/>
      </c>
    </row>
    <row r="507">
      <c r="A507" s="54" t="n"/>
      <c r="B507" s="55" t="n"/>
      <c r="C507" s="56">
        <f>IF(OR(A507="",B507=""),"",IF(COUNTIF(Equipamentos!$A$2:$A$201,B507)=0,"tag não encontrada",IFERROR(INDEX(Equipamentos!$H$2:$H$201,MATCH(1,INDEX((Equipamentos!$A$2:$A$201=B507)*(Equipamentos!$P$2:$P$201=A507),0),0)),"confira a data")))</f>
        <v/>
      </c>
      <c r="D507">
        <f>IF(B507="","",IFERROR(INDEX(Equipamentos!$C$2:$C$201,MATCH(B507,Equipamentos!$A$2:$A$201,0)),""))</f>
        <v/>
      </c>
      <c r="E507" s="55" t="n"/>
      <c r="F507" s="55" t="n"/>
      <c r="G507">
        <f>IF(B507="","",IFERROR(INDEX(Equipamentos!$N$2:$N$201,MATCH(B507,Equipamentos!$A$2:$A$201,0)),""))</f>
        <v/>
      </c>
      <c r="H507">
        <f>IF(B507="","",IFERROR(INDEX(Equipamentos!$L$2:$L$201,MATCH(B507,Equipamentos!$A$2:$A$201,0)),""))</f>
        <v/>
      </c>
      <c r="I507" s="57">
        <f>IF(OR(A507="",B507=""),"",IFERROR(INDEX(Equipamentos!$J$2:$J$201,MATCH(1,INDEX((Equipamentos!$A$2:$A$201=B507)*(Equipamentos!$P$2:$P$201=A507),0),0)),""))</f>
        <v/>
      </c>
    </row>
    <row r="508">
      <c r="A508" s="54" t="n"/>
      <c r="B508" s="55" t="n"/>
      <c r="C508" s="56">
        <f>IF(OR(A508="",B508=""),"",IF(COUNTIF(Equipamentos!$A$2:$A$201,B508)=0,"tag não encontrada",IFERROR(INDEX(Equipamentos!$H$2:$H$201,MATCH(1,INDEX((Equipamentos!$A$2:$A$201=B508)*(Equipamentos!$P$2:$P$201=A508),0),0)),"confira a data")))</f>
        <v/>
      </c>
      <c r="D508">
        <f>IF(B508="","",IFERROR(INDEX(Equipamentos!$C$2:$C$201,MATCH(B508,Equipamentos!$A$2:$A$201,0)),""))</f>
        <v/>
      </c>
      <c r="E508" s="55" t="n"/>
      <c r="F508" s="55" t="n"/>
      <c r="G508">
        <f>IF(B508="","",IFERROR(INDEX(Equipamentos!$N$2:$N$201,MATCH(B508,Equipamentos!$A$2:$A$201,0)),""))</f>
        <v/>
      </c>
      <c r="H508">
        <f>IF(B508="","",IFERROR(INDEX(Equipamentos!$L$2:$L$201,MATCH(B508,Equipamentos!$A$2:$A$201,0)),""))</f>
        <v/>
      </c>
      <c r="I508" s="57">
        <f>IF(OR(A508="",B508=""),"",IFERROR(INDEX(Equipamentos!$J$2:$J$201,MATCH(1,INDEX((Equipamentos!$A$2:$A$201=B508)*(Equipamentos!$P$2:$P$201=A508),0),0)),""))</f>
        <v/>
      </c>
    </row>
    <row r="509">
      <c r="A509" s="54" t="n"/>
      <c r="B509" s="55" t="n"/>
      <c r="C509" s="56">
        <f>IF(OR(A509="",B509=""),"",IF(COUNTIF(Equipamentos!$A$2:$A$201,B509)=0,"tag não encontrada",IFERROR(INDEX(Equipamentos!$H$2:$H$201,MATCH(1,INDEX((Equipamentos!$A$2:$A$201=B509)*(Equipamentos!$P$2:$P$201=A509),0),0)),"confira a data")))</f>
        <v/>
      </c>
      <c r="D509">
        <f>IF(B509="","",IFERROR(INDEX(Equipamentos!$C$2:$C$201,MATCH(B509,Equipamentos!$A$2:$A$201,0)),""))</f>
        <v/>
      </c>
      <c r="E509" s="55" t="n"/>
      <c r="F509" s="55" t="n"/>
      <c r="G509">
        <f>IF(B509="","",IFERROR(INDEX(Equipamentos!$N$2:$N$201,MATCH(B509,Equipamentos!$A$2:$A$201,0)),""))</f>
        <v/>
      </c>
      <c r="H509">
        <f>IF(B509="","",IFERROR(INDEX(Equipamentos!$L$2:$L$201,MATCH(B509,Equipamentos!$A$2:$A$201,0)),""))</f>
        <v/>
      </c>
      <c r="I509" s="57">
        <f>IF(OR(A509="",B509=""),"",IFERROR(INDEX(Equipamentos!$J$2:$J$201,MATCH(1,INDEX((Equipamentos!$A$2:$A$201=B509)*(Equipamentos!$P$2:$P$201=A509),0),0)),""))</f>
        <v/>
      </c>
    </row>
    <row r="510">
      <c r="A510" s="54" t="n"/>
      <c r="B510" s="55" t="n"/>
      <c r="C510" s="56">
        <f>IF(OR(A510="",B510=""),"",IF(COUNTIF(Equipamentos!$A$2:$A$201,B510)=0,"tag não encontrada",IFERROR(INDEX(Equipamentos!$H$2:$H$201,MATCH(1,INDEX((Equipamentos!$A$2:$A$201=B510)*(Equipamentos!$P$2:$P$201=A510),0),0)),"confira a data")))</f>
        <v/>
      </c>
      <c r="D510">
        <f>IF(B510="","",IFERROR(INDEX(Equipamentos!$C$2:$C$201,MATCH(B510,Equipamentos!$A$2:$A$201,0)),""))</f>
        <v/>
      </c>
      <c r="E510" s="55" t="n"/>
      <c r="F510" s="55" t="n"/>
      <c r="G510">
        <f>IF(B510="","",IFERROR(INDEX(Equipamentos!$N$2:$N$201,MATCH(B510,Equipamentos!$A$2:$A$201,0)),""))</f>
        <v/>
      </c>
      <c r="H510">
        <f>IF(B510="","",IFERROR(INDEX(Equipamentos!$L$2:$L$201,MATCH(B510,Equipamentos!$A$2:$A$201,0)),""))</f>
        <v/>
      </c>
      <c r="I510" s="57">
        <f>IF(OR(A510="",B510=""),"",IFERROR(INDEX(Equipamentos!$J$2:$J$201,MATCH(1,INDEX((Equipamentos!$A$2:$A$201=B510)*(Equipamentos!$P$2:$P$201=A510),0),0)),""))</f>
        <v/>
      </c>
    </row>
    <row r="511">
      <c r="A511" s="54" t="n"/>
      <c r="B511" s="55" t="n"/>
      <c r="C511" s="56">
        <f>IF(OR(A511="",B511=""),"",IF(COUNTIF(Equipamentos!$A$2:$A$201,B511)=0,"tag não encontrada",IFERROR(INDEX(Equipamentos!$H$2:$H$201,MATCH(1,INDEX((Equipamentos!$A$2:$A$201=B511)*(Equipamentos!$P$2:$P$201=A511),0),0)),"confira a data")))</f>
        <v/>
      </c>
      <c r="D511">
        <f>IF(B511="","",IFERROR(INDEX(Equipamentos!$C$2:$C$201,MATCH(B511,Equipamentos!$A$2:$A$201,0)),""))</f>
        <v/>
      </c>
      <c r="E511" s="55" t="n"/>
      <c r="F511" s="55" t="n"/>
      <c r="G511">
        <f>IF(B511="","",IFERROR(INDEX(Equipamentos!$N$2:$N$201,MATCH(B511,Equipamentos!$A$2:$A$201,0)),""))</f>
        <v/>
      </c>
      <c r="H511">
        <f>IF(B511="","",IFERROR(INDEX(Equipamentos!$L$2:$L$201,MATCH(B511,Equipamentos!$A$2:$A$201,0)),""))</f>
        <v/>
      </c>
      <c r="I511" s="57">
        <f>IF(OR(A511="",B511=""),"",IFERROR(INDEX(Equipamentos!$J$2:$J$201,MATCH(1,INDEX((Equipamentos!$A$2:$A$201=B511)*(Equipamentos!$P$2:$P$201=A511),0),0)),""))</f>
        <v/>
      </c>
    </row>
    <row r="512">
      <c r="A512" s="54" t="n"/>
      <c r="B512" s="55" t="n"/>
      <c r="C512" s="56">
        <f>IF(OR(A512="",B512=""),"",IF(COUNTIF(Equipamentos!$A$2:$A$201,B512)=0,"tag não encontrada",IFERROR(INDEX(Equipamentos!$H$2:$H$201,MATCH(1,INDEX((Equipamentos!$A$2:$A$201=B512)*(Equipamentos!$P$2:$P$201=A512),0),0)),"confira a data")))</f>
        <v/>
      </c>
      <c r="D512">
        <f>IF(B512="","",IFERROR(INDEX(Equipamentos!$C$2:$C$201,MATCH(B512,Equipamentos!$A$2:$A$201,0)),""))</f>
        <v/>
      </c>
      <c r="E512" s="55" t="n"/>
      <c r="F512" s="55" t="n"/>
      <c r="G512">
        <f>IF(B512="","",IFERROR(INDEX(Equipamentos!$N$2:$N$201,MATCH(B512,Equipamentos!$A$2:$A$201,0)),""))</f>
        <v/>
      </c>
      <c r="H512">
        <f>IF(B512="","",IFERROR(INDEX(Equipamentos!$L$2:$L$201,MATCH(B512,Equipamentos!$A$2:$A$201,0)),""))</f>
        <v/>
      </c>
      <c r="I512" s="57">
        <f>IF(OR(A512="",B512=""),"",IFERROR(INDEX(Equipamentos!$J$2:$J$201,MATCH(1,INDEX((Equipamentos!$A$2:$A$201=B512)*(Equipamentos!$P$2:$P$201=A512),0),0)),""))</f>
        <v/>
      </c>
    </row>
    <row r="513">
      <c r="A513" s="54" t="n"/>
      <c r="B513" s="55" t="n"/>
      <c r="C513" s="56">
        <f>IF(OR(A513="",B513=""),"",IF(COUNTIF(Equipamentos!$A$2:$A$201,B513)=0,"tag não encontrada",IFERROR(INDEX(Equipamentos!$H$2:$H$201,MATCH(1,INDEX((Equipamentos!$A$2:$A$201=B513)*(Equipamentos!$P$2:$P$201=A513),0),0)),"confira a data")))</f>
        <v/>
      </c>
      <c r="D513">
        <f>IF(B513="","",IFERROR(INDEX(Equipamentos!$C$2:$C$201,MATCH(B513,Equipamentos!$A$2:$A$201,0)),""))</f>
        <v/>
      </c>
      <c r="E513" s="55" t="n"/>
      <c r="F513" s="55" t="n"/>
      <c r="G513">
        <f>IF(B513="","",IFERROR(INDEX(Equipamentos!$N$2:$N$201,MATCH(B513,Equipamentos!$A$2:$A$201,0)),""))</f>
        <v/>
      </c>
      <c r="H513">
        <f>IF(B513="","",IFERROR(INDEX(Equipamentos!$L$2:$L$201,MATCH(B513,Equipamentos!$A$2:$A$201,0)),""))</f>
        <v/>
      </c>
      <c r="I513" s="57">
        <f>IF(OR(A513="",B513=""),"",IFERROR(INDEX(Equipamentos!$J$2:$J$201,MATCH(1,INDEX((Equipamentos!$A$2:$A$201=B513)*(Equipamentos!$P$2:$P$201=A513),0),0)),""))</f>
        <v/>
      </c>
    </row>
    <row r="514">
      <c r="A514" s="54" t="n"/>
      <c r="B514" s="55" t="n"/>
      <c r="C514" s="56">
        <f>IF(OR(A514="",B514=""),"",IF(COUNTIF(Equipamentos!$A$2:$A$201,B514)=0,"tag não encontrada",IFERROR(INDEX(Equipamentos!$H$2:$H$201,MATCH(1,INDEX((Equipamentos!$A$2:$A$201=B514)*(Equipamentos!$P$2:$P$201=A514),0),0)),"confira a data")))</f>
        <v/>
      </c>
      <c r="D514">
        <f>IF(B514="","",IFERROR(INDEX(Equipamentos!$C$2:$C$201,MATCH(B514,Equipamentos!$A$2:$A$201,0)),""))</f>
        <v/>
      </c>
      <c r="E514" s="55" t="n"/>
      <c r="F514" s="55" t="n"/>
      <c r="G514">
        <f>IF(B514="","",IFERROR(INDEX(Equipamentos!$N$2:$N$201,MATCH(B514,Equipamentos!$A$2:$A$201,0)),""))</f>
        <v/>
      </c>
      <c r="H514">
        <f>IF(B514="","",IFERROR(INDEX(Equipamentos!$L$2:$L$201,MATCH(B514,Equipamentos!$A$2:$A$201,0)),""))</f>
        <v/>
      </c>
      <c r="I514" s="57">
        <f>IF(OR(A514="",B514=""),"",IFERROR(INDEX(Equipamentos!$J$2:$J$201,MATCH(1,INDEX((Equipamentos!$A$2:$A$201=B514)*(Equipamentos!$P$2:$P$201=A514),0),0)),""))</f>
        <v/>
      </c>
    </row>
    <row r="515">
      <c r="A515" s="54" t="n"/>
      <c r="B515" s="55" t="n"/>
      <c r="C515" s="56">
        <f>IF(OR(A515="",B515=""),"",IF(COUNTIF(Equipamentos!$A$2:$A$201,B515)=0,"tag não encontrada",IFERROR(INDEX(Equipamentos!$H$2:$H$201,MATCH(1,INDEX((Equipamentos!$A$2:$A$201=B515)*(Equipamentos!$P$2:$P$201=A515),0),0)),"confira a data")))</f>
        <v/>
      </c>
      <c r="D515">
        <f>IF(B515="","",IFERROR(INDEX(Equipamentos!$C$2:$C$201,MATCH(B515,Equipamentos!$A$2:$A$201,0)),""))</f>
        <v/>
      </c>
      <c r="E515" s="55" t="n"/>
      <c r="F515" s="55" t="n"/>
      <c r="G515">
        <f>IF(B515="","",IFERROR(INDEX(Equipamentos!$N$2:$N$201,MATCH(B515,Equipamentos!$A$2:$A$201,0)),""))</f>
        <v/>
      </c>
      <c r="H515">
        <f>IF(B515="","",IFERROR(INDEX(Equipamentos!$L$2:$L$201,MATCH(B515,Equipamentos!$A$2:$A$201,0)),""))</f>
        <v/>
      </c>
      <c r="I515" s="57">
        <f>IF(OR(A515="",B515=""),"",IFERROR(INDEX(Equipamentos!$J$2:$J$201,MATCH(1,INDEX((Equipamentos!$A$2:$A$201=B515)*(Equipamentos!$P$2:$P$201=A515),0),0)),""))</f>
        <v/>
      </c>
    </row>
    <row r="516">
      <c r="A516" s="54" t="n"/>
      <c r="B516" s="55" t="n"/>
      <c r="C516" s="56">
        <f>IF(OR(A516="",B516=""),"",IF(COUNTIF(Equipamentos!$A$2:$A$201,B516)=0,"tag não encontrada",IFERROR(INDEX(Equipamentos!$H$2:$H$201,MATCH(1,INDEX((Equipamentos!$A$2:$A$201=B516)*(Equipamentos!$P$2:$P$201=A516),0),0)),"confira a data")))</f>
        <v/>
      </c>
      <c r="D516">
        <f>IF(B516="","",IFERROR(INDEX(Equipamentos!$C$2:$C$201,MATCH(B516,Equipamentos!$A$2:$A$201,0)),""))</f>
        <v/>
      </c>
      <c r="E516" s="55" t="n"/>
      <c r="F516" s="55" t="n"/>
      <c r="G516">
        <f>IF(B516="","",IFERROR(INDEX(Equipamentos!$N$2:$N$201,MATCH(B516,Equipamentos!$A$2:$A$201,0)),""))</f>
        <v/>
      </c>
      <c r="H516">
        <f>IF(B516="","",IFERROR(INDEX(Equipamentos!$L$2:$L$201,MATCH(B516,Equipamentos!$A$2:$A$201,0)),""))</f>
        <v/>
      </c>
      <c r="I516" s="57">
        <f>IF(OR(A516="",B516=""),"",IFERROR(INDEX(Equipamentos!$J$2:$J$201,MATCH(1,INDEX((Equipamentos!$A$2:$A$201=B516)*(Equipamentos!$P$2:$P$201=A516),0),0)),""))</f>
        <v/>
      </c>
    </row>
    <row r="517">
      <c r="A517" s="54" t="n"/>
      <c r="B517" s="55" t="n"/>
      <c r="C517" s="56">
        <f>IF(OR(A517="",B517=""),"",IF(COUNTIF(Equipamentos!$A$2:$A$201,B517)=0,"tag não encontrada",IFERROR(INDEX(Equipamentos!$H$2:$H$201,MATCH(1,INDEX((Equipamentos!$A$2:$A$201=B517)*(Equipamentos!$P$2:$P$201=A517),0),0)),"confira a data")))</f>
        <v/>
      </c>
      <c r="D517">
        <f>IF(B517="","",IFERROR(INDEX(Equipamentos!$C$2:$C$201,MATCH(B517,Equipamentos!$A$2:$A$201,0)),""))</f>
        <v/>
      </c>
      <c r="E517" s="55" t="n"/>
      <c r="F517" s="55" t="n"/>
      <c r="G517">
        <f>IF(B517="","",IFERROR(INDEX(Equipamentos!$N$2:$N$201,MATCH(B517,Equipamentos!$A$2:$A$201,0)),""))</f>
        <v/>
      </c>
      <c r="H517">
        <f>IF(B517="","",IFERROR(INDEX(Equipamentos!$L$2:$L$201,MATCH(B517,Equipamentos!$A$2:$A$201,0)),""))</f>
        <v/>
      </c>
      <c r="I517" s="57">
        <f>IF(OR(A517="",B517=""),"",IFERROR(INDEX(Equipamentos!$J$2:$J$201,MATCH(1,INDEX((Equipamentos!$A$2:$A$201=B517)*(Equipamentos!$P$2:$P$201=A517),0),0)),""))</f>
        <v/>
      </c>
    </row>
    <row r="518">
      <c r="A518" s="54" t="n"/>
      <c r="B518" s="55" t="n"/>
      <c r="C518" s="56">
        <f>IF(OR(A518="",B518=""),"",IF(COUNTIF(Equipamentos!$A$2:$A$201,B518)=0,"tag não encontrada",IFERROR(INDEX(Equipamentos!$H$2:$H$201,MATCH(1,INDEX((Equipamentos!$A$2:$A$201=B518)*(Equipamentos!$P$2:$P$201=A518),0),0)),"confira a data")))</f>
        <v/>
      </c>
      <c r="D518">
        <f>IF(B518="","",IFERROR(INDEX(Equipamentos!$C$2:$C$201,MATCH(B518,Equipamentos!$A$2:$A$201,0)),""))</f>
        <v/>
      </c>
      <c r="E518" s="55" t="n"/>
      <c r="F518" s="55" t="n"/>
      <c r="G518">
        <f>IF(B518="","",IFERROR(INDEX(Equipamentos!$N$2:$N$201,MATCH(B518,Equipamentos!$A$2:$A$201,0)),""))</f>
        <v/>
      </c>
      <c r="H518">
        <f>IF(B518="","",IFERROR(INDEX(Equipamentos!$L$2:$L$201,MATCH(B518,Equipamentos!$A$2:$A$201,0)),""))</f>
        <v/>
      </c>
      <c r="I518" s="57">
        <f>IF(OR(A518="",B518=""),"",IFERROR(INDEX(Equipamentos!$J$2:$J$201,MATCH(1,INDEX((Equipamentos!$A$2:$A$201=B518)*(Equipamentos!$P$2:$P$201=A518),0),0)),""))</f>
        <v/>
      </c>
    </row>
    <row r="519">
      <c r="A519" s="54" t="n"/>
      <c r="B519" s="55" t="n"/>
      <c r="C519" s="56">
        <f>IF(OR(A519="",B519=""),"",IF(COUNTIF(Equipamentos!$A$2:$A$201,B519)=0,"tag não encontrada",IFERROR(INDEX(Equipamentos!$H$2:$H$201,MATCH(1,INDEX((Equipamentos!$A$2:$A$201=B519)*(Equipamentos!$P$2:$P$201=A519),0),0)),"confira a data")))</f>
        <v/>
      </c>
      <c r="D519">
        <f>IF(B519="","",IFERROR(INDEX(Equipamentos!$C$2:$C$201,MATCH(B519,Equipamentos!$A$2:$A$201,0)),""))</f>
        <v/>
      </c>
      <c r="E519" s="55" t="n"/>
      <c r="F519" s="55" t="n"/>
      <c r="G519">
        <f>IF(B519="","",IFERROR(INDEX(Equipamentos!$N$2:$N$201,MATCH(B519,Equipamentos!$A$2:$A$201,0)),""))</f>
        <v/>
      </c>
      <c r="H519">
        <f>IF(B519="","",IFERROR(INDEX(Equipamentos!$L$2:$L$201,MATCH(B519,Equipamentos!$A$2:$A$201,0)),""))</f>
        <v/>
      </c>
      <c r="I519" s="57">
        <f>IF(OR(A519="",B519=""),"",IFERROR(INDEX(Equipamentos!$J$2:$J$201,MATCH(1,INDEX((Equipamentos!$A$2:$A$201=B519)*(Equipamentos!$P$2:$P$201=A519),0),0)),""))</f>
        <v/>
      </c>
    </row>
    <row r="520">
      <c r="A520" s="54" t="n"/>
      <c r="B520" s="55" t="n"/>
      <c r="C520" s="56">
        <f>IF(OR(A520="",B520=""),"",IF(COUNTIF(Equipamentos!$A$2:$A$201,B520)=0,"tag não encontrada",IFERROR(INDEX(Equipamentos!$H$2:$H$201,MATCH(1,INDEX((Equipamentos!$A$2:$A$201=B520)*(Equipamentos!$P$2:$P$201=A520),0),0)),"confira a data")))</f>
        <v/>
      </c>
      <c r="D520">
        <f>IF(B520="","",IFERROR(INDEX(Equipamentos!$C$2:$C$201,MATCH(B520,Equipamentos!$A$2:$A$201,0)),""))</f>
        <v/>
      </c>
      <c r="E520" s="55" t="n"/>
      <c r="F520" s="55" t="n"/>
      <c r="G520">
        <f>IF(B520="","",IFERROR(INDEX(Equipamentos!$N$2:$N$201,MATCH(B520,Equipamentos!$A$2:$A$201,0)),""))</f>
        <v/>
      </c>
      <c r="H520">
        <f>IF(B520="","",IFERROR(INDEX(Equipamentos!$L$2:$L$201,MATCH(B520,Equipamentos!$A$2:$A$201,0)),""))</f>
        <v/>
      </c>
      <c r="I520" s="57">
        <f>IF(OR(A520="",B520=""),"",IFERROR(INDEX(Equipamentos!$J$2:$J$201,MATCH(1,INDEX((Equipamentos!$A$2:$A$201=B520)*(Equipamentos!$P$2:$P$201=A520),0),0)),""))</f>
        <v/>
      </c>
    </row>
    <row r="521">
      <c r="A521" s="54" t="n"/>
      <c r="B521" s="55" t="n"/>
      <c r="C521" s="56">
        <f>IF(OR(A521="",B521=""),"",IF(COUNTIF(Equipamentos!$A$2:$A$201,B521)=0,"tag não encontrada",IFERROR(INDEX(Equipamentos!$H$2:$H$201,MATCH(1,INDEX((Equipamentos!$A$2:$A$201=B521)*(Equipamentos!$P$2:$P$201=A521),0),0)),"confira a data")))</f>
        <v/>
      </c>
      <c r="D521">
        <f>IF(B521="","",IFERROR(INDEX(Equipamentos!$C$2:$C$201,MATCH(B521,Equipamentos!$A$2:$A$201,0)),""))</f>
        <v/>
      </c>
      <c r="E521" s="55" t="n"/>
      <c r="F521" s="55" t="n"/>
      <c r="G521">
        <f>IF(B521="","",IFERROR(INDEX(Equipamentos!$N$2:$N$201,MATCH(B521,Equipamentos!$A$2:$A$201,0)),""))</f>
        <v/>
      </c>
      <c r="H521">
        <f>IF(B521="","",IFERROR(INDEX(Equipamentos!$L$2:$L$201,MATCH(B521,Equipamentos!$A$2:$A$201,0)),""))</f>
        <v/>
      </c>
      <c r="I521" s="57">
        <f>IF(OR(A521="",B521=""),"",IFERROR(INDEX(Equipamentos!$J$2:$J$201,MATCH(1,INDEX((Equipamentos!$A$2:$A$201=B521)*(Equipamentos!$P$2:$P$201=A521),0),0)),""))</f>
        <v/>
      </c>
    </row>
    <row r="522">
      <c r="A522" s="54" t="n"/>
      <c r="B522" s="55" t="n"/>
      <c r="C522" s="56">
        <f>IF(OR(A522="",B522=""),"",IF(COUNTIF(Equipamentos!$A$2:$A$201,B522)=0,"tag não encontrada",IFERROR(INDEX(Equipamentos!$H$2:$H$201,MATCH(1,INDEX((Equipamentos!$A$2:$A$201=B522)*(Equipamentos!$P$2:$P$201=A522),0),0)),"confira a data")))</f>
        <v/>
      </c>
      <c r="D522">
        <f>IF(B522="","",IFERROR(INDEX(Equipamentos!$C$2:$C$201,MATCH(B522,Equipamentos!$A$2:$A$201,0)),""))</f>
        <v/>
      </c>
      <c r="E522" s="55" t="n"/>
      <c r="F522" s="55" t="n"/>
      <c r="G522">
        <f>IF(B522="","",IFERROR(INDEX(Equipamentos!$N$2:$N$201,MATCH(B522,Equipamentos!$A$2:$A$201,0)),""))</f>
        <v/>
      </c>
      <c r="H522">
        <f>IF(B522="","",IFERROR(INDEX(Equipamentos!$L$2:$L$201,MATCH(B522,Equipamentos!$A$2:$A$201,0)),""))</f>
        <v/>
      </c>
      <c r="I522" s="57">
        <f>IF(OR(A522="",B522=""),"",IFERROR(INDEX(Equipamentos!$J$2:$J$201,MATCH(1,INDEX((Equipamentos!$A$2:$A$201=B522)*(Equipamentos!$P$2:$P$201=A522),0),0)),""))</f>
        <v/>
      </c>
    </row>
    <row r="523">
      <c r="A523" s="54" t="n"/>
      <c r="B523" s="55" t="n"/>
      <c r="C523" s="56">
        <f>IF(OR(A523="",B523=""),"",IF(COUNTIF(Equipamentos!$A$2:$A$201,B523)=0,"tag não encontrada",IFERROR(INDEX(Equipamentos!$H$2:$H$201,MATCH(1,INDEX((Equipamentos!$A$2:$A$201=B523)*(Equipamentos!$P$2:$P$201=A523),0),0)),"confira a data")))</f>
        <v/>
      </c>
      <c r="D523">
        <f>IF(B523="","",IFERROR(INDEX(Equipamentos!$C$2:$C$201,MATCH(B523,Equipamentos!$A$2:$A$201,0)),""))</f>
        <v/>
      </c>
      <c r="E523" s="55" t="n"/>
      <c r="F523" s="55" t="n"/>
      <c r="G523">
        <f>IF(B523="","",IFERROR(INDEX(Equipamentos!$N$2:$N$201,MATCH(B523,Equipamentos!$A$2:$A$201,0)),""))</f>
        <v/>
      </c>
      <c r="H523">
        <f>IF(B523="","",IFERROR(INDEX(Equipamentos!$L$2:$L$201,MATCH(B523,Equipamentos!$A$2:$A$201,0)),""))</f>
        <v/>
      </c>
      <c r="I523" s="57">
        <f>IF(OR(A523="",B523=""),"",IFERROR(INDEX(Equipamentos!$J$2:$J$201,MATCH(1,INDEX((Equipamentos!$A$2:$A$201=B523)*(Equipamentos!$P$2:$P$201=A523),0),0)),""))</f>
        <v/>
      </c>
    </row>
    <row r="524">
      <c r="A524" s="54" t="n"/>
      <c r="B524" s="55" t="n"/>
      <c r="C524" s="56">
        <f>IF(OR(A524="",B524=""),"",IF(COUNTIF(Equipamentos!$A$2:$A$201,B524)=0,"tag não encontrada",IFERROR(INDEX(Equipamentos!$H$2:$H$201,MATCH(1,INDEX((Equipamentos!$A$2:$A$201=B524)*(Equipamentos!$P$2:$P$201=A524),0),0)),"confira a data")))</f>
        <v/>
      </c>
      <c r="D524">
        <f>IF(B524="","",IFERROR(INDEX(Equipamentos!$C$2:$C$201,MATCH(B524,Equipamentos!$A$2:$A$201,0)),""))</f>
        <v/>
      </c>
      <c r="E524" s="55" t="n"/>
      <c r="F524" s="55" t="n"/>
      <c r="G524">
        <f>IF(B524="","",IFERROR(INDEX(Equipamentos!$N$2:$N$201,MATCH(B524,Equipamentos!$A$2:$A$201,0)),""))</f>
        <v/>
      </c>
      <c r="H524">
        <f>IF(B524="","",IFERROR(INDEX(Equipamentos!$L$2:$L$201,MATCH(B524,Equipamentos!$A$2:$A$201,0)),""))</f>
        <v/>
      </c>
      <c r="I524" s="57">
        <f>IF(OR(A524="",B524=""),"",IFERROR(INDEX(Equipamentos!$J$2:$J$201,MATCH(1,INDEX((Equipamentos!$A$2:$A$201=B524)*(Equipamentos!$P$2:$P$201=A524),0),0)),""))</f>
        <v/>
      </c>
    </row>
    <row r="525">
      <c r="A525" s="54" t="n"/>
      <c r="B525" s="55" t="n"/>
      <c r="C525" s="56">
        <f>IF(OR(A525="",B525=""),"",IF(COUNTIF(Equipamentos!$A$2:$A$201,B525)=0,"tag não encontrada",IFERROR(INDEX(Equipamentos!$H$2:$H$201,MATCH(1,INDEX((Equipamentos!$A$2:$A$201=B525)*(Equipamentos!$P$2:$P$201=A525),0),0)),"confira a data")))</f>
        <v/>
      </c>
      <c r="D525">
        <f>IF(B525="","",IFERROR(INDEX(Equipamentos!$C$2:$C$201,MATCH(B525,Equipamentos!$A$2:$A$201,0)),""))</f>
        <v/>
      </c>
      <c r="E525" s="55" t="n"/>
      <c r="F525" s="55" t="n"/>
      <c r="G525">
        <f>IF(B525="","",IFERROR(INDEX(Equipamentos!$N$2:$N$201,MATCH(B525,Equipamentos!$A$2:$A$201,0)),""))</f>
        <v/>
      </c>
      <c r="H525">
        <f>IF(B525="","",IFERROR(INDEX(Equipamentos!$L$2:$L$201,MATCH(B525,Equipamentos!$A$2:$A$201,0)),""))</f>
        <v/>
      </c>
      <c r="I525" s="57">
        <f>IF(OR(A525="",B525=""),"",IFERROR(INDEX(Equipamentos!$J$2:$J$201,MATCH(1,INDEX((Equipamentos!$A$2:$A$201=B525)*(Equipamentos!$P$2:$P$201=A525),0),0)),""))</f>
        <v/>
      </c>
    </row>
    <row r="526">
      <c r="A526" s="54" t="n"/>
      <c r="B526" s="55" t="n"/>
      <c r="C526" s="56">
        <f>IF(OR(A526="",B526=""),"",IF(COUNTIF(Equipamentos!$A$2:$A$201,B526)=0,"tag não encontrada",IFERROR(INDEX(Equipamentos!$H$2:$H$201,MATCH(1,INDEX((Equipamentos!$A$2:$A$201=B526)*(Equipamentos!$P$2:$P$201=A526),0),0)),"confira a data")))</f>
        <v/>
      </c>
      <c r="D526">
        <f>IF(B526="","",IFERROR(INDEX(Equipamentos!$C$2:$C$201,MATCH(B526,Equipamentos!$A$2:$A$201,0)),""))</f>
        <v/>
      </c>
      <c r="E526" s="55" t="n"/>
      <c r="F526" s="55" t="n"/>
      <c r="G526">
        <f>IF(B526="","",IFERROR(INDEX(Equipamentos!$N$2:$N$201,MATCH(B526,Equipamentos!$A$2:$A$201,0)),""))</f>
        <v/>
      </c>
      <c r="H526">
        <f>IF(B526="","",IFERROR(INDEX(Equipamentos!$L$2:$L$201,MATCH(B526,Equipamentos!$A$2:$A$201,0)),""))</f>
        <v/>
      </c>
      <c r="I526" s="57">
        <f>IF(OR(A526="",B526=""),"",IFERROR(INDEX(Equipamentos!$J$2:$J$201,MATCH(1,INDEX((Equipamentos!$A$2:$A$201=B526)*(Equipamentos!$P$2:$P$201=A526),0),0)),""))</f>
        <v/>
      </c>
    </row>
    <row r="527">
      <c r="A527" s="54" t="n"/>
      <c r="B527" s="55" t="n"/>
      <c r="C527" s="56">
        <f>IF(OR(A527="",B527=""),"",IF(COUNTIF(Equipamentos!$A$2:$A$201,B527)=0,"tag não encontrada",IFERROR(INDEX(Equipamentos!$H$2:$H$201,MATCH(1,INDEX((Equipamentos!$A$2:$A$201=B527)*(Equipamentos!$P$2:$P$201=A527),0),0)),"confira a data")))</f>
        <v/>
      </c>
      <c r="D527">
        <f>IF(B527="","",IFERROR(INDEX(Equipamentos!$C$2:$C$201,MATCH(B527,Equipamentos!$A$2:$A$201,0)),""))</f>
        <v/>
      </c>
      <c r="E527" s="55" t="n"/>
      <c r="F527" s="55" t="n"/>
      <c r="G527">
        <f>IF(B527="","",IFERROR(INDEX(Equipamentos!$N$2:$N$201,MATCH(B527,Equipamentos!$A$2:$A$201,0)),""))</f>
        <v/>
      </c>
      <c r="H527">
        <f>IF(B527="","",IFERROR(INDEX(Equipamentos!$L$2:$L$201,MATCH(B527,Equipamentos!$A$2:$A$201,0)),""))</f>
        <v/>
      </c>
      <c r="I527" s="57">
        <f>IF(OR(A527="",B527=""),"",IFERROR(INDEX(Equipamentos!$J$2:$J$201,MATCH(1,INDEX((Equipamentos!$A$2:$A$201=B527)*(Equipamentos!$P$2:$P$201=A527),0),0)),""))</f>
        <v/>
      </c>
    </row>
    <row r="528">
      <c r="A528" s="54" t="n"/>
      <c r="B528" s="55" t="n"/>
      <c r="C528" s="56">
        <f>IF(OR(A528="",B528=""),"",IF(COUNTIF(Equipamentos!$A$2:$A$201,B528)=0,"tag não encontrada",IFERROR(INDEX(Equipamentos!$H$2:$H$201,MATCH(1,INDEX((Equipamentos!$A$2:$A$201=B528)*(Equipamentos!$P$2:$P$201=A528),0),0)),"confira a data")))</f>
        <v/>
      </c>
      <c r="D528">
        <f>IF(B528="","",IFERROR(INDEX(Equipamentos!$C$2:$C$201,MATCH(B528,Equipamentos!$A$2:$A$201,0)),""))</f>
        <v/>
      </c>
      <c r="E528" s="55" t="n"/>
      <c r="F528" s="55" t="n"/>
      <c r="G528">
        <f>IF(B528="","",IFERROR(INDEX(Equipamentos!$N$2:$N$201,MATCH(B528,Equipamentos!$A$2:$A$201,0)),""))</f>
        <v/>
      </c>
      <c r="H528">
        <f>IF(B528="","",IFERROR(INDEX(Equipamentos!$L$2:$L$201,MATCH(B528,Equipamentos!$A$2:$A$201,0)),""))</f>
        <v/>
      </c>
      <c r="I528" s="57">
        <f>IF(OR(A528="",B528=""),"",IFERROR(INDEX(Equipamentos!$J$2:$J$201,MATCH(1,INDEX((Equipamentos!$A$2:$A$201=B528)*(Equipamentos!$P$2:$P$201=A528),0),0)),""))</f>
        <v/>
      </c>
    </row>
    <row r="529">
      <c r="A529" s="54" t="n"/>
      <c r="B529" s="55" t="n"/>
      <c r="C529" s="56">
        <f>IF(OR(A529="",B529=""),"",IF(COUNTIF(Equipamentos!$A$2:$A$201,B529)=0,"tag não encontrada",IFERROR(INDEX(Equipamentos!$H$2:$H$201,MATCH(1,INDEX((Equipamentos!$A$2:$A$201=B529)*(Equipamentos!$P$2:$P$201=A529),0),0)),"confira a data")))</f>
        <v/>
      </c>
      <c r="D529">
        <f>IF(B529="","",IFERROR(INDEX(Equipamentos!$C$2:$C$201,MATCH(B529,Equipamentos!$A$2:$A$201,0)),""))</f>
        <v/>
      </c>
      <c r="E529" s="55" t="n"/>
      <c r="F529" s="55" t="n"/>
      <c r="G529">
        <f>IF(B529="","",IFERROR(INDEX(Equipamentos!$N$2:$N$201,MATCH(B529,Equipamentos!$A$2:$A$201,0)),""))</f>
        <v/>
      </c>
      <c r="H529">
        <f>IF(B529="","",IFERROR(INDEX(Equipamentos!$L$2:$L$201,MATCH(B529,Equipamentos!$A$2:$A$201,0)),""))</f>
        <v/>
      </c>
      <c r="I529" s="57">
        <f>IF(OR(A529="",B529=""),"",IFERROR(INDEX(Equipamentos!$J$2:$J$201,MATCH(1,INDEX((Equipamentos!$A$2:$A$201=B529)*(Equipamentos!$P$2:$P$201=A529),0),0)),""))</f>
        <v/>
      </c>
    </row>
    <row r="530">
      <c r="A530" s="54" t="n"/>
      <c r="B530" s="55" t="n"/>
      <c r="C530" s="56">
        <f>IF(OR(A530="",B530=""),"",IF(COUNTIF(Equipamentos!$A$2:$A$201,B530)=0,"tag não encontrada",IFERROR(INDEX(Equipamentos!$H$2:$H$201,MATCH(1,INDEX((Equipamentos!$A$2:$A$201=B530)*(Equipamentos!$P$2:$P$201=A530),0),0)),"confira a data")))</f>
        <v/>
      </c>
      <c r="D530">
        <f>IF(B530="","",IFERROR(INDEX(Equipamentos!$C$2:$C$201,MATCH(B530,Equipamentos!$A$2:$A$201,0)),""))</f>
        <v/>
      </c>
      <c r="E530" s="55" t="n"/>
      <c r="F530" s="55" t="n"/>
      <c r="G530">
        <f>IF(B530="","",IFERROR(INDEX(Equipamentos!$N$2:$N$201,MATCH(B530,Equipamentos!$A$2:$A$201,0)),""))</f>
        <v/>
      </c>
      <c r="H530">
        <f>IF(B530="","",IFERROR(INDEX(Equipamentos!$L$2:$L$201,MATCH(B530,Equipamentos!$A$2:$A$201,0)),""))</f>
        <v/>
      </c>
      <c r="I530" s="57">
        <f>IF(OR(A530="",B530=""),"",IFERROR(INDEX(Equipamentos!$J$2:$J$201,MATCH(1,INDEX((Equipamentos!$A$2:$A$201=B530)*(Equipamentos!$P$2:$P$201=A530),0),0)),""))</f>
        <v/>
      </c>
    </row>
    <row r="531">
      <c r="A531" s="54" t="n"/>
      <c r="B531" s="55" t="n"/>
      <c r="C531" s="56">
        <f>IF(OR(A531="",B531=""),"",IF(COUNTIF(Equipamentos!$A$2:$A$201,B531)=0,"tag não encontrada",IFERROR(INDEX(Equipamentos!$H$2:$H$201,MATCH(1,INDEX((Equipamentos!$A$2:$A$201=B531)*(Equipamentos!$P$2:$P$201=A531),0),0)),"confira a data")))</f>
        <v/>
      </c>
      <c r="D531">
        <f>IF(B531="","",IFERROR(INDEX(Equipamentos!$C$2:$C$201,MATCH(B531,Equipamentos!$A$2:$A$201,0)),""))</f>
        <v/>
      </c>
      <c r="E531" s="55" t="n"/>
      <c r="F531" s="55" t="n"/>
      <c r="G531">
        <f>IF(B531="","",IFERROR(INDEX(Equipamentos!$N$2:$N$201,MATCH(B531,Equipamentos!$A$2:$A$201,0)),""))</f>
        <v/>
      </c>
      <c r="H531">
        <f>IF(B531="","",IFERROR(INDEX(Equipamentos!$L$2:$L$201,MATCH(B531,Equipamentos!$A$2:$A$201,0)),""))</f>
        <v/>
      </c>
      <c r="I531" s="57">
        <f>IF(OR(A531="",B531=""),"",IFERROR(INDEX(Equipamentos!$J$2:$J$201,MATCH(1,INDEX((Equipamentos!$A$2:$A$201=B531)*(Equipamentos!$P$2:$P$201=A531),0),0)),""))</f>
        <v/>
      </c>
    </row>
    <row r="532">
      <c r="A532" s="54" t="n"/>
      <c r="B532" s="55" t="n"/>
      <c r="C532" s="56">
        <f>IF(OR(A532="",B532=""),"",IF(COUNTIF(Equipamentos!$A$2:$A$201,B532)=0,"tag não encontrada",IFERROR(INDEX(Equipamentos!$H$2:$H$201,MATCH(1,INDEX((Equipamentos!$A$2:$A$201=B532)*(Equipamentos!$P$2:$P$201=A532),0),0)),"confira a data")))</f>
        <v/>
      </c>
      <c r="D532">
        <f>IF(B532="","",IFERROR(INDEX(Equipamentos!$C$2:$C$201,MATCH(B532,Equipamentos!$A$2:$A$201,0)),""))</f>
        <v/>
      </c>
      <c r="E532" s="55" t="n"/>
      <c r="F532" s="55" t="n"/>
      <c r="G532">
        <f>IF(B532="","",IFERROR(INDEX(Equipamentos!$N$2:$N$201,MATCH(B532,Equipamentos!$A$2:$A$201,0)),""))</f>
        <v/>
      </c>
      <c r="H532">
        <f>IF(B532="","",IFERROR(INDEX(Equipamentos!$L$2:$L$201,MATCH(B532,Equipamentos!$A$2:$A$201,0)),""))</f>
        <v/>
      </c>
      <c r="I532" s="57">
        <f>IF(OR(A532="",B532=""),"",IFERROR(INDEX(Equipamentos!$J$2:$J$201,MATCH(1,INDEX((Equipamentos!$A$2:$A$201=B532)*(Equipamentos!$P$2:$P$201=A532),0),0)),""))</f>
        <v/>
      </c>
    </row>
    <row r="533">
      <c r="A533" s="54" t="n"/>
      <c r="B533" s="55" t="n"/>
      <c r="C533" s="56">
        <f>IF(OR(A533="",B533=""),"",IF(COUNTIF(Equipamentos!$A$2:$A$201,B533)=0,"tag não encontrada",IFERROR(INDEX(Equipamentos!$H$2:$H$201,MATCH(1,INDEX((Equipamentos!$A$2:$A$201=B533)*(Equipamentos!$P$2:$P$201=A533),0),0)),"confira a data")))</f>
        <v/>
      </c>
      <c r="D533">
        <f>IF(B533="","",IFERROR(INDEX(Equipamentos!$C$2:$C$201,MATCH(B533,Equipamentos!$A$2:$A$201,0)),""))</f>
        <v/>
      </c>
      <c r="E533" s="55" t="n"/>
      <c r="F533" s="55" t="n"/>
      <c r="G533">
        <f>IF(B533="","",IFERROR(INDEX(Equipamentos!$N$2:$N$201,MATCH(B533,Equipamentos!$A$2:$A$201,0)),""))</f>
        <v/>
      </c>
      <c r="H533">
        <f>IF(B533="","",IFERROR(INDEX(Equipamentos!$L$2:$L$201,MATCH(B533,Equipamentos!$A$2:$A$201,0)),""))</f>
        <v/>
      </c>
      <c r="I533" s="57">
        <f>IF(OR(A533="",B533=""),"",IFERROR(INDEX(Equipamentos!$J$2:$J$201,MATCH(1,INDEX((Equipamentos!$A$2:$A$201=B533)*(Equipamentos!$P$2:$P$201=A533),0),0)),""))</f>
        <v/>
      </c>
    </row>
    <row r="534">
      <c r="A534" s="54" t="n"/>
      <c r="B534" s="55" t="n"/>
      <c r="C534" s="56">
        <f>IF(OR(A534="",B534=""),"",IF(COUNTIF(Equipamentos!$A$2:$A$201,B534)=0,"tag não encontrada",IFERROR(INDEX(Equipamentos!$H$2:$H$201,MATCH(1,INDEX((Equipamentos!$A$2:$A$201=B534)*(Equipamentos!$P$2:$P$201=A534),0),0)),"confira a data")))</f>
        <v/>
      </c>
      <c r="D534">
        <f>IF(B534="","",IFERROR(INDEX(Equipamentos!$C$2:$C$201,MATCH(B534,Equipamentos!$A$2:$A$201,0)),""))</f>
        <v/>
      </c>
      <c r="E534" s="55" t="n"/>
      <c r="F534" s="55" t="n"/>
      <c r="G534">
        <f>IF(B534="","",IFERROR(INDEX(Equipamentos!$N$2:$N$201,MATCH(B534,Equipamentos!$A$2:$A$201,0)),""))</f>
        <v/>
      </c>
      <c r="H534">
        <f>IF(B534="","",IFERROR(INDEX(Equipamentos!$L$2:$L$201,MATCH(B534,Equipamentos!$A$2:$A$201,0)),""))</f>
        <v/>
      </c>
      <c r="I534" s="57">
        <f>IF(OR(A534="",B534=""),"",IFERROR(INDEX(Equipamentos!$J$2:$J$201,MATCH(1,INDEX((Equipamentos!$A$2:$A$201=B534)*(Equipamentos!$P$2:$P$201=A534),0),0)),""))</f>
        <v/>
      </c>
    </row>
    <row r="535">
      <c r="A535" s="54" t="n"/>
      <c r="B535" s="55" t="n"/>
      <c r="C535" s="56">
        <f>IF(OR(A535="",B535=""),"",IF(COUNTIF(Equipamentos!$A$2:$A$201,B535)=0,"tag não encontrada",IFERROR(INDEX(Equipamentos!$H$2:$H$201,MATCH(1,INDEX((Equipamentos!$A$2:$A$201=B535)*(Equipamentos!$P$2:$P$201=A535),0),0)),"confira a data")))</f>
        <v/>
      </c>
      <c r="D535">
        <f>IF(B535="","",IFERROR(INDEX(Equipamentos!$C$2:$C$201,MATCH(B535,Equipamentos!$A$2:$A$201,0)),""))</f>
        <v/>
      </c>
      <c r="E535" s="55" t="n"/>
      <c r="F535" s="55" t="n"/>
      <c r="G535">
        <f>IF(B535="","",IFERROR(INDEX(Equipamentos!$N$2:$N$201,MATCH(B535,Equipamentos!$A$2:$A$201,0)),""))</f>
        <v/>
      </c>
      <c r="H535">
        <f>IF(B535="","",IFERROR(INDEX(Equipamentos!$L$2:$L$201,MATCH(B535,Equipamentos!$A$2:$A$201,0)),""))</f>
        <v/>
      </c>
      <c r="I535" s="57">
        <f>IF(OR(A535="",B535=""),"",IFERROR(INDEX(Equipamentos!$J$2:$J$201,MATCH(1,INDEX((Equipamentos!$A$2:$A$201=B535)*(Equipamentos!$P$2:$P$201=A535),0),0)),""))</f>
        <v/>
      </c>
    </row>
    <row r="536">
      <c r="A536" s="54" t="n"/>
      <c r="B536" s="55" t="n"/>
      <c r="C536" s="56">
        <f>IF(OR(A536="",B536=""),"",IF(COUNTIF(Equipamentos!$A$2:$A$201,B536)=0,"tag não encontrada",IFERROR(INDEX(Equipamentos!$H$2:$H$201,MATCH(1,INDEX((Equipamentos!$A$2:$A$201=B536)*(Equipamentos!$P$2:$P$201=A536),0),0)),"confira a data")))</f>
        <v/>
      </c>
      <c r="D536">
        <f>IF(B536="","",IFERROR(INDEX(Equipamentos!$C$2:$C$201,MATCH(B536,Equipamentos!$A$2:$A$201,0)),""))</f>
        <v/>
      </c>
      <c r="E536" s="55" t="n"/>
      <c r="F536" s="55" t="n"/>
      <c r="G536">
        <f>IF(B536="","",IFERROR(INDEX(Equipamentos!$N$2:$N$201,MATCH(B536,Equipamentos!$A$2:$A$201,0)),""))</f>
        <v/>
      </c>
      <c r="H536">
        <f>IF(B536="","",IFERROR(INDEX(Equipamentos!$L$2:$L$201,MATCH(B536,Equipamentos!$A$2:$A$201,0)),""))</f>
        <v/>
      </c>
      <c r="I536" s="57">
        <f>IF(OR(A536="",B536=""),"",IFERROR(INDEX(Equipamentos!$J$2:$J$201,MATCH(1,INDEX((Equipamentos!$A$2:$A$201=B536)*(Equipamentos!$P$2:$P$201=A536),0),0)),""))</f>
        <v/>
      </c>
    </row>
    <row r="537">
      <c r="A537" s="54" t="n"/>
      <c r="B537" s="55" t="n"/>
      <c r="C537" s="56">
        <f>IF(OR(A537="",B537=""),"",IF(COUNTIF(Equipamentos!$A$2:$A$201,B537)=0,"tag não encontrada",IFERROR(INDEX(Equipamentos!$H$2:$H$201,MATCH(1,INDEX((Equipamentos!$A$2:$A$201=B537)*(Equipamentos!$P$2:$P$201=A537),0),0)),"confira a data")))</f>
        <v/>
      </c>
      <c r="D537">
        <f>IF(B537="","",IFERROR(INDEX(Equipamentos!$C$2:$C$201,MATCH(B537,Equipamentos!$A$2:$A$201,0)),""))</f>
        <v/>
      </c>
      <c r="E537" s="55" t="n"/>
      <c r="F537" s="55" t="n"/>
      <c r="G537">
        <f>IF(B537="","",IFERROR(INDEX(Equipamentos!$N$2:$N$201,MATCH(B537,Equipamentos!$A$2:$A$201,0)),""))</f>
        <v/>
      </c>
      <c r="H537">
        <f>IF(B537="","",IFERROR(INDEX(Equipamentos!$L$2:$L$201,MATCH(B537,Equipamentos!$A$2:$A$201,0)),""))</f>
        <v/>
      </c>
      <c r="I537" s="57">
        <f>IF(OR(A537="",B537=""),"",IFERROR(INDEX(Equipamentos!$J$2:$J$201,MATCH(1,INDEX((Equipamentos!$A$2:$A$201=B537)*(Equipamentos!$P$2:$P$201=A537),0),0)),""))</f>
        <v/>
      </c>
    </row>
    <row r="538">
      <c r="A538" s="54" t="n"/>
      <c r="B538" s="55" t="n"/>
      <c r="C538" s="56">
        <f>IF(OR(A538="",B538=""),"",IF(COUNTIF(Equipamentos!$A$2:$A$201,B538)=0,"tag não encontrada",IFERROR(INDEX(Equipamentos!$H$2:$H$201,MATCH(1,INDEX((Equipamentos!$A$2:$A$201=B538)*(Equipamentos!$P$2:$P$201=A538),0),0)),"confira a data")))</f>
        <v/>
      </c>
      <c r="D538">
        <f>IF(B538="","",IFERROR(INDEX(Equipamentos!$C$2:$C$201,MATCH(B538,Equipamentos!$A$2:$A$201,0)),""))</f>
        <v/>
      </c>
      <c r="E538" s="55" t="n"/>
      <c r="F538" s="55" t="n"/>
      <c r="G538">
        <f>IF(B538="","",IFERROR(INDEX(Equipamentos!$N$2:$N$201,MATCH(B538,Equipamentos!$A$2:$A$201,0)),""))</f>
        <v/>
      </c>
      <c r="H538">
        <f>IF(B538="","",IFERROR(INDEX(Equipamentos!$L$2:$L$201,MATCH(B538,Equipamentos!$A$2:$A$201,0)),""))</f>
        <v/>
      </c>
      <c r="I538" s="57">
        <f>IF(OR(A538="",B538=""),"",IFERROR(INDEX(Equipamentos!$J$2:$J$201,MATCH(1,INDEX((Equipamentos!$A$2:$A$201=B538)*(Equipamentos!$P$2:$P$201=A538),0),0)),""))</f>
        <v/>
      </c>
    </row>
    <row r="539">
      <c r="A539" s="54" t="n"/>
      <c r="B539" s="55" t="n"/>
      <c r="C539" s="56">
        <f>IF(OR(A539="",B539=""),"",IF(COUNTIF(Equipamentos!$A$2:$A$201,B539)=0,"tag não encontrada",IFERROR(INDEX(Equipamentos!$H$2:$H$201,MATCH(1,INDEX((Equipamentos!$A$2:$A$201=B539)*(Equipamentos!$P$2:$P$201=A539),0),0)),"confira a data")))</f>
        <v/>
      </c>
      <c r="D539">
        <f>IF(B539="","",IFERROR(INDEX(Equipamentos!$C$2:$C$201,MATCH(B539,Equipamentos!$A$2:$A$201,0)),""))</f>
        <v/>
      </c>
      <c r="E539" s="55" t="n"/>
      <c r="F539" s="55" t="n"/>
      <c r="G539">
        <f>IF(B539="","",IFERROR(INDEX(Equipamentos!$N$2:$N$201,MATCH(B539,Equipamentos!$A$2:$A$201,0)),""))</f>
        <v/>
      </c>
      <c r="H539">
        <f>IF(B539="","",IFERROR(INDEX(Equipamentos!$L$2:$L$201,MATCH(B539,Equipamentos!$A$2:$A$201,0)),""))</f>
        <v/>
      </c>
      <c r="I539" s="57">
        <f>IF(OR(A539="",B539=""),"",IFERROR(INDEX(Equipamentos!$J$2:$J$201,MATCH(1,INDEX((Equipamentos!$A$2:$A$201=B539)*(Equipamentos!$P$2:$P$201=A539),0),0)),""))</f>
        <v/>
      </c>
    </row>
    <row r="540">
      <c r="A540" s="54" t="n"/>
      <c r="B540" s="55" t="n"/>
      <c r="C540" s="56">
        <f>IF(OR(A540="",B540=""),"",IF(COUNTIF(Equipamentos!$A$2:$A$201,B540)=0,"tag não encontrada",IFERROR(INDEX(Equipamentos!$H$2:$H$201,MATCH(1,INDEX((Equipamentos!$A$2:$A$201=B540)*(Equipamentos!$P$2:$P$201=A540),0),0)),"confira a data")))</f>
        <v/>
      </c>
      <c r="D540">
        <f>IF(B540="","",IFERROR(INDEX(Equipamentos!$C$2:$C$201,MATCH(B540,Equipamentos!$A$2:$A$201,0)),""))</f>
        <v/>
      </c>
      <c r="E540" s="55" t="n"/>
      <c r="F540" s="55" t="n"/>
      <c r="G540">
        <f>IF(B540="","",IFERROR(INDEX(Equipamentos!$N$2:$N$201,MATCH(B540,Equipamentos!$A$2:$A$201,0)),""))</f>
        <v/>
      </c>
      <c r="H540">
        <f>IF(B540="","",IFERROR(INDEX(Equipamentos!$L$2:$L$201,MATCH(B540,Equipamentos!$A$2:$A$201,0)),""))</f>
        <v/>
      </c>
      <c r="I540" s="57">
        <f>IF(OR(A540="",B540=""),"",IFERROR(INDEX(Equipamentos!$J$2:$J$201,MATCH(1,INDEX((Equipamentos!$A$2:$A$201=B540)*(Equipamentos!$P$2:$P$201=A540),0),0)),""))</f>
        <v/>
      </c>
    </row>
    <row r="541">
      <c r="A541" s="54" t="n"/>
      <c r="B541" s="55" t="n"/>
      <c r="C541" s="56">
        <f>IF(OR(A541="",B541=""),"",IF(COUNTIF(Equipamentos!$A$2:$A$201,B541)=0,"tag não encontrada",IFERROR(INDEX(Equipamentos!$H$2:$H$201,MATCH(1,INDEX((Equipamentos!$A$2:$A$201=B541)*(Equipamentos!$P$2:$P$201=A541),0),0)),"confira a data")))</f>
        <v/>
      </c>
      <c r="D541">
        <f>IF(B541="","",IFERROR(INDEX(Equipamentos!$C$2:$C$201,MATCH(B541,Equipamentos!$A$2:$A$201,0)),""))</f>
        <v/>
      </c>
      <c r="E541" s="55" t="n"/>
      <c r="F541" s="55" t="n"/>
      <c r="G541">
        <f>IF(B541="","",IFERROR(INDEX(Equipamentos!$N$2:$N$201,MATCH(B541,Equipamentos!$A$2:$A$201,0)),""))</f>
        <v/>
      </c>
      <c r="H541">
        <f>IF(B541="","",IFERROR(INDEX(Equipamentos!$L$2:$L$201,MATCH(B541,Equipamentos!$A$2:$A$201,0)),""))</f>
        <v/>
      </c>
      <c r="I541" s="57">
        <f>IF(OR(A541="",B541=""),"",IFERROR(INDEX(Equipamentos!$J$2:$J$201,MATCH(1,INDEX((Equipamentos!$A$2:$A$201=B541)*(Equipamentos!$P$2:$P$201=A541),0),0)),""))</f>
        <v/>
      </c>
    </row>
    <row r="542">
      <c r="A542" s="54" t="n"/>
      <c r="B542" s="55" t="n"/>
      <c r="C542" s="56">
        <f>IF(OR(A542="",B542=""),"",IF(COUNTIF(Equipamentos!$A$2:$A$201,B542)=0,"tag não encontrada",IFERROR(INDEX(Equipamentos!$H$2:$H$201,MATCH(1,INDEX((Equipamentos!$A$2:$A$201=B542)*(Equipamentos!$P$2:$P$201=A542),0),0)),"confira a data")))</f>
        <v/>
      </c>
      <c r="D542">
        <f>IF(B542="","",IFERROR(INDEX(Equipamentos!$C$2:$C$201,MATCH(B542,Equipamentos!$A$2:$A$201,0)),""))</f>
        <v/>
      </c>
      <c r="E542" s="55" t="n"/>
      <c r="F542" s="55" t="n"/>
      <c r="G542">
        <f>IF(B542="","",IFERROR(INDEX(Equipamentos!$N$2:$N$201,MATCH(B542,Equipamentos!$A$2:$A$201,0)),""))</f>
        <v/>
      </c>
      <c r="H542">
        <f>IF(B542="","",IFERROR(INDEX(Equipamentos!$L$2:$L$201,MATCH(B542,Equipamentos!$A$2:$A$201,0)),""))</f>
        <v/>
      </c>
      <c r="I542" s="57">
        <f>IF(OR(A542="",B542=""),"",IFERROR(INDEX(Equipamentos!$J$2:$J$201,MATCH(1,INDEX((Equipamentos!$A$2:$A$201=B542)*(Equipamentos!$P$2:$P$201=A542),0),0)),""))</f>
        <v/>
      </c>
    </row>
    <row r="543">
      <c r="A543" s="54" t="n"/>
      <c r="B543" s="55" t="n"/>
      <c r="C543" s="56">
        <f>IF(OR(A543="",B543=""),"",IF(COUNTIF(Equipamentos!$A$2:$A$201,B543)=0,"tag não encontrada",IFERROR(INDEX(Equipamentos!$H$2:$H$201,MATCH(1,INDEX((Equipamentos!$A$2:$A$201=B543)*(Equipamentos!$P$2:$P$201=A543),0),0)),"confira a data")))</f>
        <v/>
      </c>
      <c r="D543">
        <f>IF(B543="","",IFERROR(INDEX(Equipamentos!$C$2:$C$201,MATCH(B543,Equipamentos!$A$2:$A$201,0)),""))</f>
        <v/>
      </c>
      <c r="E543" s="55" t="n"/>
      <c r="F543" s="55" t="n"/>
      <c r="G543">
        <f>IF(B543="","",IFERROR(INDEX(Equipamentos!$N$2:$N$201,MATCH(B543,Equipamentos!$A$2:$A$201,0)),""))</f>
        <v/>
      </c>
      <c r="H543">
        <f>IF(B543="","",IFERROR(INDEX(Equipamentos!$L$2:$L$201,MATCH(B543,Equipamentos!$A$2:$A$201,0)),""))</f>
        <v/>
      </c>
      <c r="I543" s="57">
        <f>IF(OR(A543="",B543=""),"",IFERROR(INDEX(Equipamentos!$J$2:$J$201,MATCH(1,INDEX((Equipamentos!$A$2:$A$201=B543)*(Equipamentos!$P$2:$P$201=A543),0),0)),""))</f>
        <v/>
      </c>
    </row>
    <row r="544">
      <c r="A544" s="54" t="n"/>
      <c r="B544" s="55" t="n"/>
      <c r="C544" s="56">
        <f>IF(OR(A544="",B544=""),"",IF(COUNTIF(Equipamentos!$A$2:$A$201,B544)=0,"tag não encontrada",IFERROR(INDEX(Equipamentos!$H$2:$H$201,MATCH(1,INDEX((Equipamentos!$A$2:$A$201=B544)*(Equipamentos!$P$2:$P$201=A544),0),0)),"confira a data")))</f>
        <v/>
      </c>
      <c r="D544">
        <f>IF(B544="","",IFERROR(INDEX(Equipamentos!$C$2:$C$201,MATCH(B544,Equipamentos!$A$2:$A$201,0)),""))</f>
        <v/>
      </c>
      <c r="E544" s="55" t="n"/>
      <c r="F544" s="55" t="n"/>
      <c r="G544">
        <f>IF(B544="","",IFERROR(INDEX(Equipamentos!$N$2:$N$201,MATCH(B544,Equipamentos!$A$2:$A$201,0)),""))</f>
        <v/>
      </c>
      <c r="H544">
        <f>IF(B544="","",IFERROR(INDEX(Equipamentos!$L$2:$L$201,MATCH(B544,Equipamentos!$A$2:$A$201,0)),""))</f>
        <v/>
      </c>
      <c r="I544" s="57">
        <f>IF(OR(A544="",B544=""),"",IFERROR(INDEX(Equipamentos!$J$2:$J$201,MATCH(1,INDEX((Equipamentos!$A$2:$A$201=B544)*(Equipamentos!$P$2:$P$201=A544),0),0)),""))</f>
        <v/>
      </c>
    </row>
    <row r="545">
      <c r="A545" s="54" t="n"/>
      <c r="B545" s="55" t="n"/>
      <c r="C545" s="56">
        <f>IF(OR(A545="",B545=""),"",IF(COUNTIF(Equipamentos!$A$2:$A$201,B545)=0,"tag não encontrada",IFERROR(INDEX(Equipamentos!$H$2:$H$201,MATCH(1,INDEX((Equipamentos!$A$2:$A$201=B545)*(Equipamentos!$P$2:$P$201=A545),0),0)),"confira a data")))</f>
        <v/>
      </c>
      <c r="D545">
        <f>IF(B545="","",IFERROR(INDEX(Equipamentos!$C$2:$C$201,MATCH(B545,Equipamentos!$A$2:$A$201,0)),""))</f>
        <v/>
      </c>
      <c r="E545" s="55" t="n"/>
      <c r="F545" s="55" t="n"/>
      <c r="G545">
        <f>IF(B545="","",IFERROR(INDEX(Equipamentos!$N$2:$N$201,MATCH(B545,Equipamentos!$A$2:$A$201,0)),""))</f>
        <v/>
      </c>
      <c r="H545">
        <f>IF(B545="","",IFERROR(INDEX(Equipamentos!$L$2:$L$201,MATCH(B545,Equipamentos!$A$2:$A$201,0)),""))</f>
        <v/>
      </c>
      <c r="I545" s="57">
        <f>IF(OR(A545="",B545=""),"",IFERROR(INDEX(Equipamentos!$J$2:$J$201,MATCH(1,INDEX((Equipamentos!$A$2:$A$201=B545)*(Equipamentos!$P$2:$P$201=A545),0),0)),""))</f>
        <v/>
      </c>
    </row>
    <row r="546">
      <c r="A546" s="54" t="n"/>
      <c r="B546" s="55" t="n"/>
      <c r="C546" s="56">
        <f>IF(OR(A546="",B546=""),"",IF(COUNTIF(Equipamentos!$A$2:$A$201,B546)=0,"tag não encontrada",IFERROR(INDEX(Equipamentos!$H$2:$H$201,MATCH(1,INDEX((Equipamentos!$A$2:$A$201=B546)*(Equipamentos!$P$2:$P$201=A546),0),0)),"confira a data")))</f>
        <v/>
      </c>
      <c r="D546">
        <f>IF(B546="","",IFERROR(INDEX(Equipamentos!$C$2:$C$201,MATCH(B546,Equipamentos!$A$2:$A$201,0)),""))</f>
        <v/>
      </c>
      <c r="E546" s="55" t="n"/>
      <c r="F546" s="55" t="n"/>
      <c r="G546">
        <f>IF(B546="","",IFERROR(INDEX(Equipamentos!$N$2:$N$201,MATCH(B546,Equipamentos!$A$2:$A$201,0)),""))</f>
        <v/>
      </c>
      <c r="H546">
        <f>IF(B546="","",IFERROR(INDEX(Equipamentos!$L$2:$L$201,MATCH(B546,Equipamentos!$A$2:$A$201,0)),""))</f>
        <v/>
      </c>
      <c r="I546" s="57">
        <f>IF(OR(A546="",B546=""),"",IFERROR(INDEX(Equipamentos!$J$2:$J$201,MATCH(1,INDEX((Equipamentos!$A$2:$A$201=B546)*(Equipamentos!$P$2:$P$201=A546),0),0)),""))</f>
        <v/>
      </c>
    </row>
    <row r="547">
      <c r="A547" s="54" t="n"/>
      <c r="B547" s="55" t="n"/>
      <c r="C547" s="56">
        <f>IF(OR(A547="",B547=""),"",IF(COUNTIF(Equipamentos!$A$2:$A$201,B547)=0,"tag não encontrada",IFERROR(INDEX(Equipamentos!$H$2:$H$201,MATCH(1,INDEX((Equipamentos!$A$2:$A$201=B547)*(Equipamentos!$P$2:$P$201=A547),0),0)),"confira a data")))</f>
        <v/>
      </c>
      <c r="D547">
        <f>IF(B547="","",IFERROR(INDEX(Equipamentos!$C$2:$C$201,MATCH(B547,Equipamentos!$A$2:$A$201,0)),""))</f>
        <v/>
      </c>
      <c r="E547" s="55" t="n"/>
      <c r="F547" s="55" t="n"/>
      <c r="G547">
        <f>IF(B547="","",IFERROR(INDEX(Equipamentos!$N$2:$N$201,MATCH(B547,Equipamentos!$A$2:$A$201,0)),""))</f>
        <v/>
      </c>
      <c r="H547">
        <f>IF(B547="","",IFERROR(INDEX(Equipamentos!$L$2:$L$201,MATCH(B547,Equipamentos!$A$2:$A$201,0)),""))</f>
        <v/>
      </c>
      <c r="I547" s="57">
        <f>IF(OR(A547="",B547=""),"",IFERROR(INDEX(Equipamentos!$J$2:$J$201,MATCH(1,INDEX((Equipamentos!$A$2:$A$201=B547)*(Equipamentos!$P$2:$P$201=A547),0),0)),""))</f>
        <v/>
      </c>
    </row>
    <row r="548">
      <c r="A548" s="54" t="n"/>
      <c r="B548" s="55" t="n"/>
      <c r="C548" s="56">
        <f>IF(OR(A548="",B548=""),"",IF(COUNTIF(Equipamentos!$A$2:$A$201,B548)=0,"tag não encontrada",IFERROR(INDEX(Equipamentos!$H$2:$H$201,MATCH(1,INDEX((Equipamentos!$A$2:$A$201=B548)*(Equipamentos!$P$2:$P$201=A548),0),0)),"confira a data")))</f>
        <v/>
      </c>
      <c r="D548">
        <f>IF(B548="","",IFERROR(INDEX(Equipamentos!$C$2:$C$201,MATCH(B548,Equipamentos!$A$2:$A$201,0)),""))</f>
        <v/>
      </c>
      <c r="E548" s="55" t="n"/>
      <c r="F548" s="55" t="n"/>
      <c r="G548">
        <f>IF(B548="","",IFERROR(INDEX(Equipamentos!$N$2:$N$201,MATCH(B548,Equipamentos!$A$2:$A$201,0)),""))</f>
        <v/>
      </c>
      <c r="H548">
        <f>IF(B548="","",IFERROR(INDEX(Equipamentos!$L$2:$L$201,MATCH(B548,Equipamentos!$A$2:$A$201,0)),""))</f>
        <v/>
      </c>
      <c r="I548" s="57">
        <f>IF(OR(A548="",B548=""),"",IFERROR(INDEX(Equipamentos!$J$2:$J$201,MATCH(1,INDEX((Equipamentos!$A$2:$A$201=B548)*(Equipamentos!$P$2:$P$201=A548),0),0)),""))</f>
        <v/>
      </c>
    </row>
    <row r="549">
      <c r="A549" s="54" t="n"/>
      <c r="B549" s="55" t="n"/>
      <c r="C549" s="56">
        <f>IF(OR(A549="",B549=""),"",IF(COUNTIF(Equipamentos!$A$2:$A$201,B549)=0,"tag não encontrada",IFERROR(INDEX(Equipamentos!$H$2:$H$201,MATCH(1,INDEX((Equipamentos!$A$2:$A$201=B549)*(Equipamentos!$P$2:$P$201=A549),0),0)),"confira a data")))</f>
        <v/>
      </c>
      <c r="D549">
        <f>IF(B549="","",IFERROR(INDEX(Equipamentos!$C$2:$C$201,MATCH(B549,Equipamentos!$A$2:$A$201,0)),""))</f>
        <v/>
      </c>
      <c r="E549" s="55" t="n"/>
      <c r="F549" s="55" t="n"/>
      <c r="G549">
        <f>IF(B549="","",IFERROR(INDEX(Equipamentos!$N$2:$N$201,MATCH(B549,Equipamentos!$A$2:$A$201,0)),""))</f>
        <v/>
      </c>
      <c r="H549">
        <f>IF(B549="","",IFERROR(INDEX(Equipamentos!$L$2:$L$201,MATCH(B549,Equipamentos!$A$2:$A$201,0)),""))</f>
        <v/>
      </c>
      <c r="I549" s="57">
        <f>IF(OR(A549="",B549=""),"",IFERROR(INDEX(Equipamentos!$J$2:$J$201,MATCH(1,INDEX((Equipamentos!$A$2:$A$201=B549)*(Equipamentos!$P$2:$P$201=A549),0),0)),""))</f>
        <v/>
      </c>
    </row>
    <row r="550">
      <c r="A550" s="54" t="n"/>
      <c r="B550" s="55" t="n"/>
      <c r="C550" s="56">
        <f>IF(OR(A550="",B550=""),"",IF(COUNTIF(Equipamentos!$A$2:$A$201,B550)=0,"tag não encontrada",IFERROR(INDEX(Equipamentos!$H$2:$H$201,MATCH(1,INDEX((Equipamentos!$A$2:$A$201=B550)*(Equipamentos!$P$2:$P$201=A550),0),0)),"confira a data")))</f>
        <v/>
      </c>
      <c r="D550">
        <f>IF(B550="","",IFERROR(INDEX(Equipamentos!$C$2:$C$201,MATCH(B550,Equipamentos!$A$2:$A$201,0)),""))</f>
        <v/>
      </c>
      <c r="E550" s="55" t="n"/>
      <c r="F550" s="55" t="n"/>
      <c r="G550">
        <f>IF(B550="","",IFERROR(INDEX(Equipamentos!$N$2:$N$201,MATCH(B550,Equipamentos!$A$2:$A$201,0)),""))</f>
        <v/>
      </c>
      <c r="H550">
        <f>IF(B550="","",IFERROR(INDEX(Equipamentos!$L$2:$L$201,MATCH(B550,Equipamentos!$A$2:$A$201,0)),""))</f>
        <v/>
      </c>
      <c r="I550" s="57">
        <f>IF(OR(A550="",B550=""),"",IFERROR(INDEX(Equipamentos!$J$2:$J$201,MATCH(1,INDEX((Equipamentos!$A$2:$A$201=B550)*(Equipamentos!$P$2:$P$201=A550),0),0)),""))</f>
        <v/>
      </c>
    </row>
    <row r="551">
      <c r="A551" s="54" t="n"/>
      <c r="B551" s="55" t="n"/>
      <c r="C551" s="56">
        <f>IF(OR(A551="",B551=""),"",IF(COUNTIF(Equipamentos!$A$2:$A$201,B551)=0,"tag não encontrada",IFERROR(INDEX(Equipamentos!$H$2:$H$201,MATCH(1,INDEX((Equipamentos!$A$2:$A$201=B551)*(Equipamentos!$P$2:$P$201=A551),0),0)),"confira a data")))</f>
        <v/>
      </c>
      <c r="D551">
        <f>IF(B551="","",IFERROR(INDEX(Equipamentos!$C$2:$C$201,MATCH(B551,Equipamentos!$A$2:$A$201,0)),""))</f>
        <v/>
      </c>
      <c r="E551" s="55" t="n"/>
      <c r="F551" s="55" t="n"/>
      <c r="G551">
        <f>IF(B551="","",IFERROR(INDEX(Equipamentos!$N$2:$N$201,MATCH(B551,Equipamentos!$A$2:$A$201,0)),""))</f>
        <v/>
      </c>
      <c r="H551">
        <f>IF(B551="","",IFERROR(INDEX(Equipamentos!$L$2:$L$201,MATCH(B551,Equipamentos!$A$2:$A$201,0)),""))</f>
        <v/>
      </c>
      <c r="I551" s="57">
        <f>IF(OR(A551="",B551=""),"",IFERROR(INDEX(Equipamentos!$J$2:$J$201,MATCH(1,INDEX((Equipamentos!$A$2:$A$201=B551)*(Equipamentos!$P$2:$P$201=A551),0),0)),""))</f>
        <v/>
      </c>
    </row>
    <row r="552">
      <c r="A552" s="54" t="n"/>
      <c r="B552" s="55" t="n"/>
      <c r="C552" s="56">
        <f>IF(OR(A552="",B552=""),"",IF(COUNTIF(Equipamentos!$A$2:$A$201,B552)=0,"tag não encontrada",IFERROR(INDEX(Equipamentos!$H$2:$H$201,MATCH(1,INDEX((Equipamentos!$A$2:$A$201=B552)*(Equipamentos!$P$2:$P$201=A552),0),0)),"confira a data")))</f>
        <v/>
      </c>
      <c r="D552">
        <f>IF(B552="","",IFERROR(INDEX(Equipamentos!$C$2:$C$201,MATCH(B552,Equipamentos!$A$2:$A$201,0)),""))</f>
        <v/>
      </c>
      <c r="E552" s="55" t="n"/>
      <c r="F552" s="55" t="n"/>
      <c r="G552">
        <f>IF(B552="","",IFERROR(INDEX(Equipamentos!$N$2:$N$201,MATCH(B552,Equipamentos!$A$2:$A$201,0)),""))</f>
        <v/>
      </c>
      <c r="H552">
        <f>IF(B552="","",IFERROR(INDEX(Equipamentos!$L$2:$L$201,MATCH(B552,Equipamentos!$A$2:$A$201,0)),""))</f>
        <v/>
      </c>
      <c r="I552" s="57">
        <f>IF(OR(A552="",B552=""),"",IFERROR(INDEX(Equipamentos!$J$2:$J$201,MATCH(1,INDEX((Equipamentos!$A$2:$A$201=B552)*(Equipamentos!$P$2:$P$201=A552),0),0)),""))</f>
        <v/>
      </c>
    </row>
    <row r="553">
      <c r="A553" s="54" t="n"/>
      <c r="B553" s="55" t="n"/>
      <c r="C553" s="56">
        <f>IF(OR(A553="",B553=""),"",IF(COUNTIF(Equipamentos!$A$2:$A$201,B553)=0,"tag não encontrada",IFERROR(INDEX(Equipamentos!$H$2:$H$201,MATCH(1,INDEX((Equipamentos!$A$2:$A$201=B553)*(Equipamentos!$P$2:$P$201=A553),0),0)),"confira a data")))</f>
        <v/>
      </c>
      <c r="D553">
        <f>IF(B553="","",IFERROR(INDEX(Equipamentos!$C$2:$C$201,MATCH(B553,Equipamentos!$A$2:$A$201,0)),""))</f>
        <v/>
      </c>
      <c r="E553" s="55" t="n"/>
      <c r="F553" s="55" t="n"/>
      <c r="G553">
        <f>IF(B553="","",IFERROR(INDEX(Equipamentos!$N$2:$N$201,MATCH(B553,Equipamentos!$A$2:$A$201,0)),""))</f>
        <v/>
      </c>
      <c r="H553">
        <f>IF(B553="","",IFERROR(INDEX(Equipamentos!$L$2:$L$201,MATCH(B553,Equipamentos!$A$2:$A$201,0)),""))</f>
        <v/>
      </c>
      <c r="I553" s="57">
        <f>IF(OR(A553="",B553=""),"",IFERROR(INDEX(Equipamentos!$J$2:$J$201,MATCH(1,INDEX((Equipamentos!$A$2:$A$201=B553)*(Equipamentos!$P$2:$P$201=A553),0),0)),""))</f>
        <v/>
      </c>
    </row>
    <row r="554">
      <c r="A554" s="54" t="n"/>
      <c r="B554" s="55" t="n"/>
      <c r="C554" s="56">
        <f>IF(OR(A554="",B554=""),"",IF(COUNTIF(Equipamentos!$A$2:$A$201,B554)=0,"tag não encontrada",IFERROR(INDEX(Equipamentos!$H$2:$H$201,MATCH(1,INDEX((Equipamentos!$A$2:$A$201=B554)*(Equipamentos!$P$2:$P$201=A554),0),0)),"confira a data")))</f>
        <v/>
      </c>
      <c r="D554">
        <f>IF(B554="","",IFERROR(INDEX(Equipamentos!$C$2:$C$201,MATCH(B554,Equipamentos!$A$2:$A$201,0)),""))</f>
        <v/>
      </c>
      <c r="E554" s="55" t="n"/>
      <c r="F554" s="55" t="n"/>
      <c r="G554">
        <f>IF(B554="","",IFERROR(INDEX(Equipamentos!$N$2:$N$201,MATCH(B554,Equipamentos!$A$2:$A$201,0)),""))</f>
        <v/>
      </c>
      <c r="H554">
        <f>IF(B554="","",IFERROR(INDEX(Equipamentos!$L$2:$L$201,MATCH(B554,Equipamentos!$A$2:$A$201,0)),""))</f>
        <v/>
      </c>
      <c r="I554" s="57">
        <f>IF(OR(A554="",B554=""),"",IFERROR(INDEX(Equipamentos!$J$2:$J$201,MATCH(1,INDEX((Equipamentos!$A$2:$A$201=B554)*(Equipamentos!$P$2:$P$201=A554),0),0)),""))</f>
        <v/>
      </c>
    </row>
    <row r="555">
      <c r="A555" s="54" t="n"/>
      <c r="B555" s="55" t="n"/>
      <c r="C555" s="56">
        <f>IF(OR(A555="",B555=""),"",IF(COUNTIF(Equipamentos!$A$2:$A$201,B555)=0,"tag não encontrada",IFERROR(INDEX(Equipamentos!$H$2:$H$201,MATCH(1,INDEX((Equipamentos!$A$2:$A$201=B555)*(Equipamentos!$P$2:$P$201=A555),0),0)),"confira a data")))</f>
        <v/>
      </c>
      <c r="D555">
        <f>IF(B555="","",IFERROR(INDEX(Equipamentos!$C$2:$C$201,MATCH(B555,Equipamentos!$A$2:$A$201,0)),""))</f>
        <v/>
      </c>
      <c r="E555" s="55" t="n"/>
      <c r="F555" s="55" t="n"/>
      <c r="G555">
        <f>IF(B555="","",IFERROR(INDEX(Equipamentos!$N$2:$N$201,MATCH(B555,Equipamentos!$A$2:$A$201,0)),""))</f>
        <v/>
      </c>
      <c r="H555">
        <f>IF(B555="","",IFERROR(INDEX(Equipamentos!$L$2:$L$201,MATCH(B555,Equipamentos!$A$2:$A$201,0)),""))</f>
        <v/>
      </c>
      <c r="I555" s="57">
        <f>IF(OR(A555="",B555=""),"",IFERROR(INDEX(Equipamentos!$J$2:$J$201,MATCH(1,INDEX((Equipamentos!$A$2:$A$201=B555)*(Equipamentos!$P$2:$P$201=A555),0),0)),""))</f>
        <v/>
      </c>
    </row>
    <row r="556">
      <c r="A556" s="54" t="n"/>
      <c r="B556" s="55" t="n"/>
      <c r="C556" s="56">
        <f>IF(OR(A556="",B556=""),"",IF(COUNTIF(Equipamentos!$A$2:$A$201,B556)=0,"tag não encontrada",IFERROR(INDEX(Equipamentos!$H$2:$H$201,MATCH(1,INDEX((Equipamentos!$A$2:$A$201=B556)*(Equipamentos!$P$2:$P$201=A556),0),0)),"confira a data")))</f>
        <v/>
      </c>
      <c r="D556">
        <f>IF(B556="","",IFERROR(INDEX(Equipamentos!$C$2:$C$201,MATCH(B556,Equipamentos!$A$2:$A$201,0)),""))</f>
        <v/>
      </c>
      <c r="E556" s="55" t="n"/>
      <c r="F556" s="55" t="n"/>
      <c r="G556">
        <f>IF(B556="","",IFERROR(INDEX(Equipamentos!$N$2:$N$201,MATCH(B556,Equipamentos!$A$2:$A$201,0)),""))</f>
        <v/>
      </c>
      <c r="H556">
        <f>IF(B556="","",IFERROR(INDEX(Equipamentos!$L$2:$L$201,MATCH(B556,Equipamentos!$A$2:$A$201,0)),""))</f>
        <v/>
      </c>
      <c r="I556" s="57">
        <f>IF(OR(A556="",B556=""),"",IFERROR(INDEX(Equipamentos!$J$2:$J$201,MATCH(1,INDEX((Equipamentos!$A$2:$A$201=B556)*(Equipamentos!$P$2:$P$201=A556),0),0)),""))</f>
        <v/>
      </c>
    </row>
    <row r="557">
      <c r="A557" s="54" t="n"/>
      <c r="B557" s="55" t="n"/>
      <c r="C557" s="56">
        <f>IF(OR(A557="",B557=""),"",IF(COUNTIF(Equipamentos!$A$2:$A$201,B557)=0,"tag não encontrada",IFERROR(INDEX(Equipamentos!$H$2:$H$201,MATCH(1,INDEX((Equipamentos!$A$2:$A$201=B557)*(Equipamentos!$P$2:$P$201=A557),0),0)),"confira a data")))</f>
        <v/>
      </c>
      <c r="D557">
        <f>IF(B557="","",IFERROR(INDEX(Equipamentos!$C$2:$C$201,MATCH(B557,Equipamentos!$A$2:$A$201,0)),""))</f>
        <v/>
      </c>
      <c r="E557" s="55" t="n"/>
      <c r="F557" s="55" t="n"/>
      <c r="G557">
        <f>IF(B557="","",IFERROR(INDEX(Equipamentos!$N$2:$N$201,MATCH(B557,Equipamentos!$A$2:$A$201,0)),""))</f>
        <v/>
      </c>
      <c r="H557">
        <f>IF(B557="","",IFERROR(INDEX(Equipamentos!$L$2:$L$201,MATCH(B557,Equipamentos!$A$2:$A$201,0)),""))</f>
        <v/>
      </c>
      <c r="I557" s="57">
        <f>IF(OR(A557="",B557=""),"",IFERROR(INDEX(Equipamentos!$J$2:$J$201,MATCH(1,INDEX((Equipamentos!$A$2:$A$201=B557)*(Equipamentos!$P$2:$P$201=A557),0),0)),""))</f>
        <v/>
      </c>
    </row>
    <row r="558">
      <c r="A558" s="54" t="n"/>
      <c r="B558" s="55" t="n"/>
      <c r="C558" s="56">
        <f>IF(OR(A558="",B558=""),"",IF(COUNTIF(Equipamentos!$A$2:$A$201,B558)=0,"tag não encontrada",IFERROR(INDEX(Equipamentos!$H$2:$H$201,MATCH(1,INDEX((Equipamentos!$A$2:$A$201=B558)*(Equipamentos!$P$2:$P$201=A558),0),0)),"confira a data")))</f>
        <v/>
      </c>
      <c r="D558">
        <f>IF(B558="","",IFERROR(INDEX(Equipamentos!$C$2:$C$201,MATCH(B558,Equipamentos!$A$2:$A$201,0)),""))</f>
        <v/>
      </c>
      <c r="E558" s="55" t="n"/>
      <c r="F558" s="55" t="n"/>
      <c r="G558">
        <f>IF(B558="","",IFERROR(INDEX(Equipamentos!$N$2:$N$201,MATCH(B558,Equipamentos!$A$2:$A$201,0)),""))</f>
        <v/>
      </c>
      <c r="H558">
        <f>IF(B558="","",IFERROR(INDEX(Equipamentos!$L$2:$L$201,MATCH(B558,Equipamentos!$A$2:$A$201,0)),""))</f>
        <v/>
      </c>
      <c r="I558" s="57">
        <f>IF(OR(A558="",B558=""),"",IFERROR(INDEX(Equipamentos!$J$2:$J$201,MATCH(1,INDEX((Equipamentos!$A$2:$A$201=B558)*(Equipamentos!$P$2:$P$201=A558),0),0)),""))</f>
        <v/>
      </c>
    </row>
    <row r="559">
      <c r="A559" s="54" t="n"/>
      <c r="B559" s="55" t="n"/>
      <c r="C559" s="56">
        <f>IF(OR(A559="",B559=""),"",IF(COUNTIF(Equipamentos!$A$2:$A$201,B559)=0,"tag não encontrada",IFERROR(INDEX(Equipamentos!$H$2:$H$201,MATCH(1,INDEX((Equipamentos!$A$2:$A$201=B559)*(Equipamentos!$P$2:$P$201=A559),0),0)),"confira a data")))</f>
        <v/>
      </c>
      <c r="D559">
        <f>IF(B559="","",IFERROR(INDEX(Equipamentos!$C$2:$C$201,MATCH(B559,Equipamentos!$A$2:$A$201,0)),""))</f>
        <v/>
      </c>
      <c r="E559" s="55" t="n"/>
      <c r="F559" s="55" t="n"/>
      <c r="G559">
        <f>IF(B559="","",IFERROR(INDEX(Equipamentos!$N$2:$N$201,MATCH(B559,Equipamentos!$A$2:$A$201,0)),""))</f>
        <v/>
      </c>
      <c r="H559">
        <f>IF(B559="","",IFERROR(INDEX(Equipamentos!$L$2:$L$201,MATCH(B559,Equipamentos!$A$2:$A$201,0)),""))</f>
        <v/>
      </c>
      <c r="I559" s="57">
        <f>IF(OR(A559="",B559=""),"",IFERROR(INDEX(Equipamentos!$J$2:$J$201,MATCH(1,INDEX((Equipamentos!$A$2:$A$201=B559)*(Equipamentos!$P$2:$P$201=A559),0),0)),""))</f>
        <v/>
      </c>
    </row>
    <row r="560">
      <c r="A560" s="54" t="n"/>
      <c r="B560" s="55" t="n"/>
      <c r="C560" s="56">
        <f>IF(OR(A560="",B560=""),"",IF(COUNTIF(Equipamentos!$A$2:$A$201,B560)=0,"tag não encontrada",IFERROR(INDEX(Equipamentos!$H$2:$H$201,MATCH(1,INDEX((Equipamentos!$A$2:$A$201=B560)*(Equipamentos!$P$2:$P$201=A560),0),0)),"confira a data")))</f>
        <v/>
      </c>
      <c r="D560">
        <f>IF(B560="","",IFERROR(INDEX(Equipamentos!$C$2:$C$201,MATCH(B560,Equipamentos!$A$2:$A$201,0)),""))</f>
        <v/>
      </c>
      <c r="E560" s="55" t="n"/>
      <c r="F560" s="55" t="n"/>
      <c r="G560">
        <f>IF(B560="","",IFERROR(INDEX(Equipamentos!$N$2:$N$201,MATCH(B560,Equipamentos!$A$2:$A$201,0)),""))</f>
        <v/>
      </c>
      <c r="H560">
        <f>IF(B560="","",IFERROR(INDEX(Equipamentos!$L$2:$L$201,MATCH(B560,Equipamentos!$A$2:$A$201,0)),""))</f>
        <v/>
      </c>
      <c r="I560" s="57">
        <f>IF(OR(A560="",B560=""),"",IFERROR(INDEX(Equipamentos!$J$2:$J$201,MATCH(1,INDEX((Equipamentos!$A$2:$A$201=B560)*(Equipamentos!$P$2:$P$201=A560),0),0)),""))</f>
        <v/>
      </c>
    </row>
    <row r="561">
      <c r="A561" s="54" t="n"/>
      <c r="B561" s="55" t="n"/>
      <c r="C561" s="56">
        <f>IF(OR(A561="",B561=""),"",IF(COUNTIF(Equipamentos!$A$2:$A$201,B561)=0,"tag não encontrada",IFERROR(INDEX(Equipamentos!$H$2:$H$201,MATCH(1,INDEX((Equipamentos!$A$2:$A$201=B561)*(Equipamentos!$P$2:$P$201=A561),0),0)),"confira a data")))</f>
        <v/>
      </c>
      <c r="D561">
        <f>IF(B561="","",IFERROR(INDEX(Equipamentos!$C$2:$C$201,MATCH(B561,Equipamentos!$A$2:$A$201,0)),""))</f>
        <v/>
      </c>
      <c r="E561" s="55" t="n"/>
      <c r="F561" s="55" t="n"/>
      <c r="G561">
        <f>IF(B561="","",IFERROR(INDEX(Equipamentos!$N$2:$N$201,MATCH(B561,Equipamentos!$A$2:$A$201,0)),""))</f>
        <v/>
      </c>
      <c r="H561">
        <f>IF(B561="","",IFERROR(INDEX(Equipamentos!$L$2:$L$201,MATCH(B561,Equipamentos!$A$2:$A$201,0)),""))</f>
        <v/>
      </c>
      <c r="I561" s="57">
        <f>IF(OR(A561="",B561=""),"",IFERROR(INDEX(Equipamentos!$J$2:$J$201,MATCH(1,INDEX((Equipamentos!$A$2:$A$201=B561)*(Equipamentos!$P$2:$P$201=A561),0),0)),""))</f>
        <v/>
      </c>
    </row>
    <row r="562">
      <c r="A562" s="54" t="n"/>
      <c r="B562" s="55" t="n"/>
      <c r="C562" s="56">
        <f>IF(OR(A562="",B562=""),"",IF(COUNTIF(Equipamentos!$A$2:$A$201,B562)=0,"tag não encontrada",IFERROR(INDEX(Equipamentos!$H$2:$H$201,MATCH(1,INDEX((Equipamentos!$A$2:$A$201=B562)*(Equipamentos!$P$2:$P$201=A562),0),0)),"confira a data")))</f>
        <v/>
      </c>
      <c r="D562">
        <f>IF(B562="","",IFERROR(INDEX(Equipamentos!$C$2:$C$201,MATCH(B562,Equipamentos!$A$2:$A$201,0)),""))</f>
        <v/>
      </c>
      <c r="E562" s="55" t="n"/>
      <c r="F562" s="55" t="n"/>
      <c r="G562">
        <f>IF(B562="","",IFERROR(INDEX(Equipamentos!$N$2:$N$201,MATCH(B562,Equipamentos!$A$2:$A$201,0)),""))</f>
        <v/>
      </c>
      <c r="H562">
        <f>IF(B562="","",IFERROR(INDEX(Equipamentos!$L$2:$L$201,MATCH(B562,Equipamentos!$A$2:$A$201,0)),""))</f>
        <v/>
      </c>
      <c r="I562" s="57">
        <f>IF(OR(A562="",B562=""),"",IFERROR(INDEX(Equipamentos!$J$2:$J$201,MATCH(1,INDEX((Equipamentos!$A$2:$A$201=B562)*(Equipamentos!$P$2:$P$201=A562),0),0)),""))</f>
        <v/>
      </c>
    </row>
    <row r="563">
      <c r="A563" s="54" t="n"/>
      <c r="B563" s="55" t="n"/>
      <c r="C563" s="56">
        <f>IF(OR(A563="",B563=""),"",IF(COUNTIF(Equipamentos!$A$2:$A$201,B563)=0,"tag não encontrada",IFERROR(INDEX(Equipamentos!$H$2:$H$201,MATCH(1,INDEX((Equipamentos!$A$2:$A$201=B563)*(Equipamentos!$P$2:$P$201=A563),0),0)),"confira a data")))</f>
        <v/>
      </c>
      <c r="D563">
        <f>IF(B563="","",IFERROR(INDEX(Equipamentos!$C$2:$C$201,MATCH(B563,Equipamentos!$A$2:$A$201,0)),""))</f>
        <v/>
      </c>
      <c r="E563" s="55" t="n"/>
      <c r="F563" s="55" t="n"/>
      <c r="G563">
        <f>IF(B563="","",IFERROR(INDEX(Equipamentos!$N$2:$N$201,MATCH(B563,Equipamentos!$A$2:$A$201,0)),""))</f>
        <v/>
      </c>
      <c r="H563">
        <f>IF(B563="","",IFERROR(INDEX(Equipamentos!$L$2:$L$201,MATCH(B563,Equipamentos!$A$2:$A$201,0)),""))</f>
        <v/>
      </c>
      <c r="I563" s="57">
        <f>IF(OR(A563="",B563=""),"",IFERROR(INDEX(Equipamentos!$J$2:$J$201,MATCH(1,INDEX((Equipamentos!$A$2:$A$201=B563)*(Equipamentos!$P$2:$P$201=A563),0),0)),""))</f>
        <v/>
      </c>
    </row>
    <row r="564">
      <c r="A564" s="54" t="n"/>
      <c r="B564" s="55" t="n"/>
      <c r="C564" s="56">
        <f>IF(OR(A564="",B564=""),"",IF(COUNTIF(Equipamentos!$A$2:$A$201,B564)=0,"tag não encontrada",IFERROR(INDEX(Equipamentos!$H$2:$H$201,MATCH(1,INDEX((Equipamentos!$A$2:$A$201=B564)*(Equipamentos!$P$2:$P$201=A564),0),0)),"confira a data")))</f>
        <v/>
      </c>
      <c r="D564">
        <f>IF(B564="","",IFERROR(INDEX(Equipamentos!$C$2:$C$201,MATCH(B564,Equipamentos!$A$2:$A$201,0)),""))</f>
        <v/>
      </c>
      <c r="E564" s="55" t="n"/>
      <c r="F564" s="55" t="n"/>
      <c r="G564">
        <f>IF(B564="","",IFERROR(INDEX(Equipamentos!$N$2:$N$201,MATCH(B564,Equipamentos!$A$2:$A$201,0)),""))</f>
        <v/>
      </c>
      <c r="H564">
        <f>IF(B564="","",IFERROR(INDEX(Equipamentos!$L$2:$L$201,MATCH(B564,Equipamentos!$A$2:$A$201,0)),""))</f>
        <v/>
      </c>
      <c r="I564" s="57">
        <f>IF(OR(A564="",B564=""),"",IFERROR(INDEX(Equipamentos!$J$2:$J$201,MATCH(1,INDEX((Equipamentos!$A$2:$A$201=B564)*(Equipamentos!$P$2:$P$201=A564),0),0)),""))</f>
        <v/>
      </c>
    </row>
    <row r="565">
      <c r="A565" s="54" t="n"/>
      <c r="B565" s="55" t="n"/>
      <c r="C565" s="56">
        <f>IF(OR(A565="",B565=""),"",IF(COUNTIF(Equipamentos!$A$2:$A$201,B565)=0,"tag não encontrada",IFERROR(INDEX(Equipamentos!$H$2:$H$201,MATCH(1,INDEX((Equipamentos!$A$2:$A$201=B565)*(Equipamentos!$P$2:$P$201=A565),0),0)),"confira a data")))</f>
        <v/>
      </c>
      <c r="D565">
        <f>IF(B565="","",IFERROR(INDEX(Equipamentos!$C$2:$C$201,MATCH(B565,Equipamentos!$A$2:$A$201,0)),""))</f>
        <v/>
      </c>
      <c r="E565" s="55" t="n"/>
      <c r="F565" s="55" t="n"/>
      <c r="G565">
        <f>IF(B565="","",IFERROR(INDEX(Equipamentos!$N$2:$N$201,MATCH(B565,Equipamentos!$A$2:$A$201,0)),""))</f>
        <v/>
      </c>
      <c r="H565">
        <f>IF(B565="","",IFERROR(INDEX(Equipamentos!$L$2:$L$201,MATCH(B565,Equipamentos!$A$2:$A$201,0)),""))</f>
        <v/>
      </c>
      <c r="I565" s="57">
        <f>IF(OR(A565="",B565=""),"",IFERROR(INDEX(Equipamentos!$J$2:$J$201,MATCH(1,INDEX((Equipamentos!$A$2:$A$201=B565)*(Equipamentos!$P$2:$P$201=A565),0),0)),""))</f>
        <v/>
      </c>
    </row>
    <row r="566">
      <c r="A566" s="54" t="n"/>
      <c r="B566" s="55" t="n"/>
      <c r="C566" s="56">
        <f>IF(OR(A566="",B566=""),"",IF(COUNTIF(Equipamentos!$A$2:$A$201,B566)=0,"tag não encontrada",IFERROR(INDEX(Equipamentos!$H$2:$H$201,MATCH(1,INDEX((Equipamentos!$A$2:$A$201=B566)*(Equipamentos!$P$2:$P$201=A566),0),0)),"confira a data")))</f>
        <v/>
      </c>
      <c r="D566">
        <f>IF(B566="","",IFERROR(INDEX(Equipamentos!$C$2:$C$201,MATCH(B566,Equipamentos!$A$2:$A$201,0)),""))</f>
        <v/>
      </c>
      <c r="E566" s="55" t="n"/>
      <c r="F566" s="55" t="n"/>
      <c r="G566">
        <f>IF(B566="","",IFERROR(INDEX(Equipamentos!$N$2:$N$201,MATCH(B566,Equipamentos!$A$2:$A$201,0)),""))</f>
        <v/>
      </c>
      <c r="H566">
        <f>IF(B566="","",IFERROR(INDEX(Equipamentos!$L$2:$L$201,MATCH(B566,Equipamentos!$A$2:$A$201,0)),""))</f>
        <v/>
      </c>
      <c r="I566" s="57">
        <f>IF(OR(A566="",B566=""),"",IFERROR(INDEX(Equipamentos!$J$2:$J$201,MATCH(1,INDEX((Equipamentos!$A$2:$A$201=B566)*(Equipamentos!$P$2:$P$201=A566),0),0)),""))</f>
        <v/>
      </c>
    </row>
    <row r="567">
      <c r="A567" s="54" t="n"/>
      <c r="B567" s="55" t="n"/>
      <c r="C567" s="56">
        <f>IF(OR(A567="",B567=""),"",IF(COUNTIF(Equipamentos!$A$2:$A$201,B567)=0,"tag não encontrada",IFERROR(INDEX(Equipamentos!$H$2:$H$201,MATCH(1,INDEX((Equipamentos!$A$2:$A$201=B567)*(Equipamentos!$P$2:$P$201=A567),0),0)),"confira a data")))</f>
        <v/>
      </c>
      <c r="D567">
        <f>IF(B567="","",IFERROR(INDEX(Equipamentos!$C$2:$C$201,MATCH(B567,Equipamentos!$A$2:$A$201,0)),""))</f>
        <v/>
      </c>
      <c r="E567" s="55" t="n"/>
      <c r="F567" s="55" t="n"/>
      <c r="G567">
        <f>IF(B567="","",IFERROR(INDEX(Equipamentos!$N$2:$N$201,MATCH(B567,Equipamentos!$A$2:$A$201,0)),""))</f>
        <v/>
      </c>
      <c r="H567">
        <f>IF(B567="","",IFERROR(INDEX(Equipamentos!$L$2:$L$201,MATCH(B567,Equipamentos!$A$2:$A$201,0)),""))</f>
        <v/>
      </c>
      <c r="I567" s="57">
        <f>IF(OR(A567="",B567=""),"",IFERROR(INDEX(Equipamentos!$J$2:$J$201,MATCH(1,INDEX((Equipamentos!$A$2:$A$201=B567)*(Equipamentos!$P$2:$P$201=A567),0),0)),""))</f>
        <v/>
      </c>
    </row>
    <row r="568">
      <c r="A568" s="54" t="n"/>
      <c r="B568" s="55" t="n"/>
      <c r="C568" s="56">
        <f>IF(OR(A568="",B568=""),"",IF(COUNTIF(Equipamentos!$A$2:$A$201,B568)=0,"tag não encontrada",IFERROR(INDEX(Equipamentos!$H$2:$H$201,MATCH(1,INDEX((Equipamentos!$A$2:$A$201=B568)*(Equipamentos!$P$2:$P$201=A568),0),0)),"confira a data")))</f>
        <v/>
      </c>
      <c r="D568">
        <f>IF(B568="","",IFERROR(INDEX(Equipamentos!$C$2:$C$201,MATCH(B568,Equipamentos!$A$2:$A$201,0)),""))</f>
        <v/>
      </c>
      <c r="E568" s="55" t="n"/>
      <c r="F568" s="55" t="n"/>
      <c r="G568">
        <f>IF(B568="","",IFERROR(INDEX(Equipamentos!$N$2:$N$201,MATCH(B568,Equipamentos!$A$2:$A$201,0)),""))</f>
        <v/>
      </c>
      <c r="H568">
        <f>IF(B568="","",IFERROR(INDEX(Equipamentos!$L$2:$L$201,MATCH(B568,Equipamentos!$A$2:$A$201,0)),""))</f>
        <v/>
      </c>
      <c r="I568" s="57">
        <f>IF(OR(A568="",B568=""),"",IFERROR(INDEX(Equipamentos!$J$2:$J$201,MATCH(1,INDEX((Equipamentos!$A$2:$A$201=B568)*(Equipamentos!$P$2:$P$201=A568),0),0)),""))</f>
        <v/>
      </c>
    </row>
    <row r="569">
      <c r="A569" s="54" t="n"/>
      <c r="B569" s="55" t="n"/>
      <c r="C569" s="56">
        <f>IF(OR(A569="",B569=""),"",IF(COUNTIF(Equipamentos!$A$2:$A$201,B569)=0,"tag não encontrada",IFERROR(INDEX(Equipamentos!$H$2:$H$201,MATCH(1,INDEX((Equipamentos!$A$2:$A$201=B569)*(Equipamentos!$P$2:$P$201=A569),0),0)),"confira a data")))</f>
        <v/>
      </c>
      <c r="D569">
        <f>IF(B569="","",IFERROR(INDEX(Equipamentos!$C$2:$C$201,MATCH(B569,Equipamentos!$A$2:$A$201,0)),""))</f>
        <v/>
      </c>
      <c r="E569" s="55" t="n"/>
      <c r="F569" s="55" t="n"/>
      <c r="G569">
        <f>IF(B569="","",IFERROR(INDEX(Equipamentos!$N$2:$N$201,MATCH(B569,Equipamentos!$A$2:$A$201,0)),""))</f>
        <v/>
      </c>
      <c r="H569">
        <f>IF(B569="","",IFERROR(INDEX(Equipamentos!$L$2:$L$201,MATCH(B569,Equipamentos!$A$2:$A$201,0)),""))</f>
        <v/>
      </c>
      <c r="I569" s="57">
        <f>IF(OR(A569="",B569=""),"",IFERROR(INDEX(Equipamentos!$J$2:$J$201,MATCH(1,INDEX((Equipamentos!$A$2:$A$201=B569)*(Equipamentos!$P$2:$P$201=A569),0),0)),""))</f>
        <v/>
      </c>
    </row>
    <row r="570">
      <c r="A570" s="54" t="n"/>
      <c r="B570" s="55" t="n"/>
      <c r="C570" s="56">
        <f>IF(OR(A570="",B570=""),"",IF(COUNTIF(Equipamentos!$A$2:$A$201,B570)=0,"tag não encontrada",IFERROR(INDEX(Equipamentos!$H$2:$H$201,MATCH(1,INDEX((Equipamentos!$A$2:$A$201=B570)*(Equipamentos!$P$2:$P$201=A570),0),0)),"confira a data")))</f>
        <v/>
      </c>
      <c r="D570">
        <f>IF(B570="","",IFERROR(INDEX(Equipamentos!$C$2:$C$201,MATCH(B570,Equipamentos!$A$2:$A$201,0)),""))</f>
        <v/>
      </c>
      <c r="E570" s="55" t="n"/>
      <c r="F570" s="55" t="n"/>
      <c r="G570">
        <f>IF(B570="","",IFERROR(INDEX(Equipamentos!$N$2:$N$201,MATCH(B570,Equipamentos!$A$2:$A$201,0)),""))</f>
        <v/>
      </c>
      <c r="H570">
        <f>IF(B570="","",IFERROR(INDEX(Equipamentos!$L$2:$L$201,MATCH(B570,Equipamentos!$A$2:$A$201,0)),""))</f>
        <v/>
      </c>
      <c r="I570" s="57">
        <f>IF(OR(A570="",B570=""),"",IFERROR(INDEX(Equipamentos!$J$2:$J$201,MATCH(1,INDEX((Equipamentos!$A$2:$A$201=B570)*(Equipamentos!$P$2:$P$201=A570),0),0)),""))</f>
        <v/>
      </c>
    </row>
    <row r="571">
      <c r="A571" s="54" t="n"/>
      <c r="B571" s="55" t="n"/>
      <c r="C571" s="56">
        <f>IF(OR(A571="",B571=""),"",IF(COUNTIF(Equipamentos!$A$2:$A$201,B571)=0,"tag não encontrada",IFERROR(INDEX(Equipamentos!$H$2:$H$201,MATCH(1,INDEX((Equipamentos!$A$2:$A$201=B571)*(Equipamentos!$P$2:$P$201=A571),0),0)),"confira a data")))</f>
        <v/>
      </c>
      <c r="D571">
        <f>IF(B571="","",IFERROR(INDEX(Equipamentos!$C$2:$C$201,MATCH(B571,Equipamentos!$A$2:$A$201,0)),""))</f>
        <v/>
      </c>
      <c r="E571" s="55" t="n"/>
      <c r="F571" s="55" t="n"/>
      <c r="G571">
        <f>IF(B571="","",IFERROR(INDEX(Equipamentos!$N$2:$N$201,MATCH(B571,Equipamentos!$A$2:$A$201,0)),""))</f>
        <v/>
      </c>
      <c r="H571">
        <f>IF(B571="","",IFERROR(INDEX(Equipamentos!$L$2:$L$201,MATCH(B571,Equipamentos!$A$2:$A$201,0)),""))</f>
        <v/>
      </c>
      <c r="I571" s="57">
        <f>IF(OR(A571="",B571=""),"",IFERROR(INDEX(Equipamentos!$J$2:$J$201,MATCH(1,INDEX((Equipamentos!$A$2:$A$201=B571)*(Equipamentos!$P$2:$P$201=A571),0),0)),""))</f>
        <v/>
      </c>
    </row>
    <row r="572">
      <c r="A572" s="54" t="n"/>
      <c r="B572" s="55" t="n"/>
      <c r="C572" s="56">
        <f>IF(OR(A572="",B572=""),"",IF(COUNTIF(Equipamentos!$A$2:$A$201,B572)=0,"tag não encontrada",IFERROR(INDEX(Equipamentos!$H$2:$H$201,MATCH(1,INDEX((Equipamentos!$A$2:$A$201=B572)*(Equipamentos!$P$2:$P$201=A572),0),0)),"confira a data")))</f>
        <v/>
      </c>
      <c r="D572">
        <f>IF(B572="","",IFERROR(INDEX(Equipamentos!$C$2:$C$201,MATCH(B572,Equipamentos!$A$2:$A$201,0)),""))</f>
        <v/>
      </c>
      <c r="E572" s="55" t="n"/>
      <c r="F572" s="55" t="n"/>
      <c r="G572">
        <f>IF(B572="","",IFERROR(INDEX(Equipamentos!$N$2:$N$201,MATCH(B572,Equipamentos!$A$2:$A$201,0)),""))</f>
        <v/>
      </c>
      <c r="H572">
        <f>IF(B572="","",IFERROR(INDEX(Equipamentos!$L$2:$L$201,MATCH(B572,Equipamentos!$A$2:$A$201,0)),""))</f>
        <v/>
      </c>
      <c r="I572" s="57">
        <f>IF(OR(A572="",B572=""),"",IFERROR(INDEX(Equipamentos!$J$2:$J$201,MATCH(1,INDEX((Equipamentos!$A$2:$A$201=B572)*(Equipamentos!$P$2:$P$201=A572),0),0)),""))</f>
        <v/>
      </c>
    </row>
    <row r="573">
      <c r="A573" s="54" t="n"/>
      <c r="B573" s="55" t="n"/>
      <c r="C573" s="56">
        <f>IF(OR(A573="",B573=""),"",IF(COUNTIF(Equipamentos!$A$2:$A$201,B573)=0,"tag não encontrada",IFERROR(INDEX(Equipamentos!$H$2:$H$201,MATCH(1,INDEX((Equipamentos!$A$2:$A$201=B573)*(Equipamentos!$P$2:$P$201=A573),0),0)),"confira a data")))</f>
        <v/>
      </c>
      <c r="D573">
        <f>IF(B573="","",IFERROR(INDEX(Equipamentos!$C$2:$C$201,MATCH(B573,Equipamentos!$A$2:$A$201,0)),""))</f>
        <v/>
      </c>
      <c r="E573" s="55" t="n"/>
      <c r="F573" s="55" t="n"/>
      <c r="G573">
        <f>IF(B573="","",IFERROR(INDEX(Equipamentos!$N$2:$N$201,MATCH(B573,Equipamentos!$A$2:$A$201,0)),""))</f>
        <v/>
      </c>
      <c r="H573">
        <f>IF(B573="","",IFERROR(INDEX(Equipamentos!$L$2:$L$201,MATCH(B573,Equipamentos!$A$2:$A$201,0)),""))</f>
        <v/>
      </c>
      <c r="I573" s="57">
        <f>IF(OR(A573="",B573=""),"",IFERROR(INDEX(Equipamentos!$J$2:$J$201,MATCH(1,INDEX((Equipamentos!$A$2:$A$201=B573)*(Equipamentos!$P$2:$P$201=A573),0),0)),""))</f>
        <v/>
      </c>
    </row>
    <row r="574">
      <c r="A574" s="54" t="n"/>
      <c r="B574" s="55" t="n"/>
      <c r="C574" s="56">
        <f>IF(OR(A574="",B574=""),"",IF(COUNTIF(Equipamentos!$A$2:$A$201,B574)=0,"tag não encontrada",IFERROR(INDEX(Equipamentos!$H$2:$H$201,MATCH(1,INDEX((Equipamentos!$A$2:$A$201=B574)*(Equipamentos!$P$2:$P$201=A574),0),0)),"confira a data")))</f>
        <v/>
      </c>
      <c r="D574">
        <f>IF(B574="","",IFERROR(INDEX(Equipamentos!$C$2:$C$201,MATCH(B574,Equipamentos!$A$2:$A$201,0)),""))</f>
        <v/>
      </c>
      <c r="E574" s="55" t="n"/>
      <c r="F574" s="55" t="n"/>
      <c r="G574">
        <f>IF(B574="","",IFERROR(INDEX(Equipamentos!$N$2:$N$201,MATCH(B574,Equipamentos!$A$2:$A$201,0)),""))</f>
        <v/>
      </c>
      <c r="H574">
        <f>IF(B574="","",IFERROR(INDEX(Equipamentos!$L$2:$L$201,MATCH(B574,Equipamentos!$A$2:$A$201,0)),""))</f>
        <v/>
      </c>
      <c r="I574" s="57">
        <f>IF(OR(A574="",B574=""),"",IFERROR(INDEX(Equipamentos!$J$2:$J$201,MATCH(1,INDEX((Equipamentos!$A$2:$A$201=B574)*(Equipamentos!$P$2:$P$201=A574),0),0)),""))</f>
        <v/>
      </c>
    </row>
    <row r="575">
      <c r="A575" s="54" t="n"/>
      <c r="B575" s="55" t="n"/>
      <c r="C575" s="56">
        <f>IF(OR(A575="",B575=""),"",IF(COUNTIF(Equipamentos!$A$2:$A$201,B575)=0,"tag não encontrada",IFERROR(INDEX(Equipamentos!$H$2:$H$201,MATCH(1,INDEX((Equipamentos!$A$2:$A$201=B575)*(Equipamentos!$P$2:$P$201=A575),0),0)),"confira a data")))</f>
        <v/>
      </c>
      <c r="D575">
        <f>IF(B575="","",IFERROR(INDEX(Equipamentos!$C$2:$C$201,MATCH(B575,Equipamentos!$A$2:$A$201,0)),""))</f>
        <v/>
      </c>
      <c r="E575" s="55" t="n"/>
      <c r="F575" s="55" t="n"/>
      <c r="G575">
        <f>IF(B575="","",IFERROR(INDEX(Equipamentos!$N$2:$N$201,MATCH(B575,Equipamentos!$A$2:$A$201,0)),""))</f>
        <v/>
      </c>
      <c r="H575">
        <f>IF(B575="","",IFERROR(INDEX(Equipamentos!$L$2:$L$201,MATCH(B575,Equipamentos!$A$2:$A$201,0)),""))</f>
        <v/>
      </c>
      <c r="I575" s="57">
        <f>IF(OR(A575="",B575=""),"",IFERROR(INDEX(Equipamentos!$J$2:$J$201,MATCH(1,INDEX((Equipamentos!$A$2:$A$201=B575)*(Equipamentos!$P$2:$P$201=A575),0),0)),""))</f>
        <v/>
      </c>
    </row>
    <row r="576">
      <c r="A576" s="54" t="n"/>
      <c r="B576" s="55" t="n"/>
      <c r="C576" s="56">
        <f>IF(OR(A576="",B576=""),"",IF(COUNTIF(Equipamentos!$A$2:$A$201,B576)=0,"tag não encontrada",IFERROR(INDEX(Equipamentos!$H$2:$H$201,MATCH(1,INDEX((Equipamentos!$A$2:$A$201=B576)*(Equipamentos!$P$2:$P$201=A576),0),0)),"confira a data")))</f>
        <v/>
      </c>
      <c r="D576">
        <f>IF(B576="","",IFERROR(INDEX(Equipamentos!$C$2:$C$201,MATCH(B576,Equipamentos!$A$2:$A$201,0)),""))</f>
        <v/>
      </c>
      <c r="E576" s="55" t="n"/>
      <c r="F576" s="55" t="n"/>
      <c r="G576">
        <f>IF(B576="","",IFERROR(INDEX(Equipamentos!$N$2:$N$201,MATCH(B576,Equipamentos!$A$2:$A$201,0)),""))</f>
        <v/>
      </c>
      <c r="H576">
        <f>IF(B576="","",IFERROR(INDEX(Equipamentos!$L$2:$L$201,MATCH(B576,Equipamentos!$A$2:$A$201,0)),""))</f>
        <v/>
      </c>
      <c r="I576" s="57">
        <f>IF(OR(A576="",B576=""),"",IFERROR(INDEX(Equipamentos!$J$2:$J$201,MATCH(1,INDEX((Equipamentos!$A$2:$A$201=B576)*(Equipamentos!$P$2:$P$201=A576),0),0)),""))</f>
        <v/>
      </c>
    </row>
    <row r="577">
      <c r="A577" s="54" t="n"/>
      <c r="B577" s="55" t="n"/>
      <c r="C577" s="56">
        <f>IF(OR(A577="",B577=""),"",IF(COUNTIF(Equipamentos!$A$2:$A$201,B577)=0,"tag não encontrada",IFERROR(INDEX(Equipamentos!$H$2:$H$201,MATCH(1,INDEX((Equipamentos!$A$2:$A$201=B577)*(Equipamentos!$P$2:$P$201=A577),0),0)),"confira a data")))</f>
        <v/>
      </c>
      <c r="D577">
        <f>IF(B577="","",IFERROR(INDEX(Equipamentos!$C$2:$C$201,MATCH(B577,Equipamentos!$A$2:$A$201,0)),""))</f>
        <v/>
      </c>
      <c r="E577" s="55" t="n"/>
      <c r="F577" s="55" t="n"/>
      <c r="G577">
        <f>IF(B577="","",IFERROR(INDEX(Equipamentos!$N$2:$N$201,MATCH(B577,Equipamentos!$A$2:$A$201,0)),""))</f>
        <v/>
      </c>
      <c r="H577">
        <f>IF(B577="","",IFERROR(INDEX(Equipamentos!$L$2:$L$201,MATCH(B577,Equipamentos!$A$2:$A$201,0)),""))</f>
        <v/>
      </c>
      <c r="I577" s="57">
        <f>IF(OR(A577="",B577=""),"",IFERROR(INDEX(Equipamentos!$J$2:$J$201,MATCH(1,INDEX((Equipamentos!$A$2:$A$201=B577)*(Equipamentos!$P$2:$P$201=A577),0),0)),""))</f>
        <v/>
      </c>
    </row>
    <row r="578">
      <c r="A578" s="54" t="n"/>
      <c r="B578" s="55" t="n"/>
      <c r="C578" s="56">
        <f>IF(OR(A578="",B578=""),"",IF(COUNTIF(Equipamentos!$A$2:$A$201,B578)=0,"tag não encontrada",IFERROR(INDEX(Equipamentos!$H$2:$H$201,MATCH(1,INDEX((Equipamentos!$A$2:$A$201=B578)*(Equipamentos!$P$2:$P$201=A578),0),0)),"confira a data")))</f>
        <v/>
      </c>
      <c r="D578">
        <f>IF(B578="","",IFERROR(INDEX(Equipamentos!$C$2:$C$201,MATCH(B578,Equipamentos!$A$2:$A$201,0)),""))</f>
        <v/>
      </c>
      <c r="E578" s="55" t="n"/>
      <c r="F578" s="55" t="n"/>
      <c r="G578">
        <f>IF(B578="","",IFERROR(INDEX(Equipamentos!$N$2:$N$201,MATCH(B578,Equipamentos!$A$2:$A$201,0)),""))</f>
        <v/>
      </c>
      <c r="H578">
        <f>IF(B578="","",IFERROR(INDEX(Equipamentos!$L$2:$L$201,MATCH(B578,Equipamentos!$A$2:$A$201,0)),""))</f>
        <v/>
      </c>
      <c r="I578" s="57">
        <f>IF(OR(A578="",B578=""),"",IFERROR(INDEX(Equipamentos!$J$2:$J$201,MATCH(1,INDEX((Equipamentos!$A$2:$A$201=B578)*(Equipamentos!$P$2:$P$201=A578),0),0)),""))</f>
        <v/>
      </c>
    </row>
    <row r="579">
      <c r="A579" s="54" t="n"/>
      <c r="B579" s="55" t="n"/>
      <c r="C579" s="56">
        <f>IF(OR(A579="",B579=""),"",IF(COUNTIF(Equipamentos!$A$2:$A$201,B579)=0,"tag não encontrada",IFERROR(INDEX(Equipamentos!$H$2:$H$201,MATCH(1,INDEX((Equipamentos!$A$2:$A$201=B579)*(Equipamentos!$P$2:$P$201=A579),0),0)),"confira a data")))</f>
        <v/>
      </c>
      <c r="D579">
        <f>IF(B579="","",IFERROR(INDEX(Equipamentos!$C$2:$C$201,MATCH(B579,Equipamentos!$A$2:$A$201,0)),""))</f>
        <v/>
      </c>
      <c r="E579" s="55" t="n"/>
      <c r="F579" s="55" t="n"/>
      <c r="G579">
        <f>IF(B579="","",IFERROR(INDEX(Equipamentos!$N$2:$N$201,MATCH(B579,Equipamentos!$A$2:$A$201,0)),""))</f>
        <v/>
      </c>
      <c r="H579">
        <f>IF(B579="","",IFERROR(INDEX(Equipamentos!$L$2:$L$201,MATCH(B579,Equipamentos!$A$2:$A$201,0)),""))</f>
        <v/>
      </c>
      <c r="I579" s="57">
        <f>IF(OR(A579="",B579=""),"",IFERROR(INDEX(Equipamentos!$J$2:$J$201,MATCH(1,INDEX((Equipamentos!$A$2:$A$201=B579)*(Equipamentos!$P$2:$P$201=A579),0),0)),""))</f>
        <v/>
      </c>
    </row>
    <row r="580">
      <c r="A580" s="54" t="n"/>
      <c r="B580" s="55" t="n"/>
      <c r="C580" s="56">
        <f>IF(OR(A580="",B580=""),"",IF(COUNTIF(Equipamentos!$A$2:$A$201,B580)=0,"tag não encontrada",IFERROR(INDEX(Equipamentos!$H$2:$H$201,MATCH(1,INDEX((Equipamentos!$A$2:$A$201=B580)*(Equipamentos!$P$2:$P$201=A580),0),0)),"confira a data")))</f>
        <v/>
      </c>
      <c r="D580">
        <f>IF(B580="","",IFERROR(INDEX(Equipamentos!$C$2:$C$201,MATCH(B580,Equipamentos!$A$2:$A$201,0)),""))</f>
        <v/>
      </c>
      <c r="E580" s="55" t="n"/>
      <c r="F580" s="55" t="n"/>
      <c r="G580">
        <f>IF(B580="","",IFERROR(INDEX(Equipamentos!$N$2:$N$201,MATCH(B580,Equipamentos!$A$2:$A$201,0)),""))</f>
        <v/>
      </c>
      <c r="H580">
        <f>IF(B580="","",IFERROR(INDEX(Equipamentos!$L$2:$L$201,MATCH(B580,Equipamentos!$A$2:$A$201,0)),""))</f>
        <v/>
      </c>
      <c r="I580" s="57">
        <f>IF(OR(A580="",B580=""),"",IFERROR(INDEX(Equipamentos!$J$2:$J$201,MATCH(1,INDEX((Equipamentos!$A$2:$A$201=B580)*(Equipamentos!$P$2:$P$201=A580),0),0)),""))</f>
        <v/>
      </c>
    </row>
    <row r="581">
      <c r="A581" s="54" t="n"/>
      <c r="B581" s="55" t="n"/>
      <c r="C581" s="56">
        <f>IF(OR(A581="",B581=""),"",IF(COUNTIF(Equipamentos!$A$2:$A$201,B581)=0,"tag não encontrada",IFERROR(INDEX(Equipamentos!$H$2:$H$201,MATCH(1,INDEX((Equipamentos!$A$2:$A$201=B581)*(Equipamentos!$P$2:$P$201=A581),0),0)),"confira a data")))</f>
        <v/>
      </c>
      <c r="D581">
        <f>IF(B581="","",IFERROR(INDEX(Equipamentos!$C$2:$C$201,MATCH(B581,Equipamentos!$A$2:$A$201,0)),""))</f>
        <v/>
      </c>
      <c r="E581" s="55" t="n"/>
      <c r="F581" s="55" t="n"/>
      <c r="G581">
        <f>IF(B581="","",IFERROR(INDEX(Equipamentos!$N$2:$N$201,MATCH(B581,Equipamentos!$A$2:$A$201,0)),""))</f>
        <v/>
      </c>
      <c r="H581">
        <f>IF(B581="","",IFERROR(INDEX(Equipamentos!$L$2:$L$201,MATCH(B581,Equipamentos!$A$2:$A$201,0)),""))</f>
        <v/>
      </c>
      <c r="I581" s="57">
        <f>IF(OR(A581="",B581=""),"",IFERROR(INDEX(Equipamentos!$J$2:$J$201,MATCH(1,INDEX((Equipamentos!$A$2:$A$201=B581)*(Equipamentos!$P$2:$P$201=A581),0),0)),""))</f>
        <v/>
      </c>
    </row>
    <row r="582">
      <c r="A582" s="54" t="n"/>
      <c r="B582" s="55" t="n"/>
      <c r="C582" s="56">
        <f>IF(OR(A582="",B582=""),"",IF(COUNTIF(Equipamentos!$A$2:$A$201,B582)=0,"tag não encontrada",IFERROR(INDEX(Equipamentos!$H$2:$H$201,MATCH(1,INDEX((Equipamentos!$A$2:$A$201=B582)*(Equipamentos!$P$2:$P$201=A582),0),0)),"confira a data")))</f>
        <v/>
      </c>
      <c r="D582">
        <f>IF(B582="","",IFERROR(INDEX(Equipamentos!$C$2:$C$201,MATCH(B582,Equipamentos!$A$2:$A$201,0)),""))</f>
        <v/>
      </c>
      <c r="E582" s="55" t="n"/>
      <c r="F582" s="55" t="n"/>
      <c r="G582">
        <f>IF(B582="","",IFERROR(INDEX(Equipamentos!$N$2:$N$201,MATCH(B582,Equipamentos!$A$2:$A$201,0)),""))</f>
        <v/>
      </c>
      <c r="H582">
        <f>IF(B582="","",IFERROR(INDEX(Equipamentos!$L$2:$L$201,MATCH(B582,Equipamentos!$A$2:$A$201,0)),""))</f>
        <v/>
      </c>
      <c r="I582" s="57">
        <f>IF(OR(A582="",B582=""),"",IFERROR(INDEX(Equipamentos!$J$2:$J$201,MATCH(1,INDEX((Equipamentos!$A$2:$A$201=B582)*(Equipamentos!$P$2:$P$201=A582),0),0)),""))</f>
        <v/>
      </c>
    </row>
    <row r="583">
      <c r="A583" s="54" t="n"/>
      <c r="B583" s="55" t="n"/>
      <c r="C583" s="56">
        <f>IF(OR(A583="",B583=""),"",IF(COUNTIF(Equipamentos!$A$2:$A$201,B583)=0,"tag não encontrada",IFERROR(INDEX(Equipamentos!$H$2:$H$201,MATCH(1,INDEX((Equipamentos!$A$2:$A$201=B583)*(Equipamentos!$P$2:$P$201=A583),0),0)),"confira a data")))</f>
        <v/>
      </c>
      <c r="D583">
        <f>IF(B583="","",IFERROR(INDEX(Equipamentos!$C$2:$C$201,MATCH(B583,Equipamentos!$A$2:$A$201,0)),""))</f>
        <v/>
      </c>
      <c r="E583" s="55" t="n"/>
      <c r="F583" s="55" t="n"/>
      <c r="G583">
        <f>IF(B583="","",IFERROR(INDEX(Equipamentos!$N$2:$N$201,MATCH(B583,Equipamentos!$A$2:$A$201,0)),""))</f>
        <v/>
      </c>
      <c r="H583">
        <f>IF(B583="","",IFERROR(INDEX(Equipamentos!$L$2:$L$201,MATCH(B583,Equipamentos!$A$2:$A$201,0)),""))</f>
        <v/>
      </c>
      <c r="I583" s="57">
        <f>IF(OR(A583="",B583=""),"",IFERROR(INDEX(Equipamentos!$J$2:$J$201,MATCH(1,INDEX((Equipamentos!$A$2:$A$201=B583)*(Equipamentos!$P$2:$P$201=A583),0),0)),""))</f>
        <v/>
      </c>
    </row>
    <row r="584">
      <c r="A584" s="54" t="n"/>
      <c r="B584" s="55" t="n"/>
      <c r="C584" s="56">
        <f>IF(OR(A584="",B584=""),"",IF(COUNTIF(Equipamentos!$A$2:$A$201,B584)=0,"tag não encontrada",IFERROR(INDEX(Equipamentos!$H$2:$H$201,MATCH(1,INDEX((Equipamentos!$A$2:$A$201=B584)*(Equipamentos!$P$2:$P$201=A584),0),0)),"confira a data")))</f>
        <v/>
      </c>
      <c r="D584">
        <f>IF(B584="","",IFERROR(INDEX(Equipamentos!$C$2:$C$201,MATCH(B584,Equipamentos!$A$2:$A$201,0)),""))</f>
        <v/>
      </c>
      <c r="E584" s="55" t="n"/>
      <c r="F584" s="55" t="n"/>
      <c r="G584">
        <f>IF(B584="","",IFERROR(INDEX(Equipamentos!$N$2:$N$201,MATCH(B584,Equipamentos!$A$2:$A$201,0)),""))</f>
        <v/>
      </c>
      <c r="H584">
        <f>IF(B584="","",IFERROR(INDEX(Equipamentos!$L$2:$L$201,MATCH(B584,Equipamentos!$A$2:$A$201,0)),""))</f>
        <v/>
      </c>
      <c r="I584" s="57">
        <f>IF(OR(A584="",B584=""),"",IFERROR(INDEX(Equipamentos!$J$2:$J$201,MATCH(1,INDEX((Equipamentos!$A$2:$A$201=B584)*(Equipamentos!$P$2:$P$201=A584),0),0)),""))</f>
        <v/>
      </c>
    </row>
    <row r="585">
      <c r="A585" s="54" t="n"/>
      <c r="B585" s="55" t="n"/>
      <c r="C585" s="56">
        <f>IF(OR(A585="",B585=""),"",IF(COUNTIF(Equipamentos!$A$2:$A$201,B585)=0,"tag não encontrada",IFERROR(INDEX(Equipamentos!$H$2:$H$201,MATCH(1,INDEX((Equipamentos!$A$2:$A$201=B585)*(Equipamentos!$P$2:$P$201=A585),0),0)),"confira a data")))</f>
        <v/>
      </c>
      <c r="D585">
        <f>IF(B585="","",IFERROR(INDEX(Equipamentos!$C$2:$C$201,MATCH(B585,Equipamentos!$A$2:$A$201,0)),""))</f>
        <v/>
      </c>
      <c r="E585" s="55" t="n"/>
      <c r="F585" s="55" t="n"/>
      <c r="G585">
        <f>IF(B585="","",IFERROR(INDEX(Equipamentos!$N$2:$N$201,MATCH(B585,Equipamentos!$A$2:$A$201,0)),""))</f>
        <v/>
      </c>
      <c r="H585">
        <f>IF(B585="","",IFERROR(INDEX(Equipamentos!$L$2:$L$201,MATCH(B585,Equipamentos!$A$2:$A$201,0)),""))</f>
        <v/>
      </c>
      <c r="I585" s="57">
        <f>IF(OR(A585="",B585=""),"",IFERROR(INDEX(Equipamentos!$J$2:$J$201,MATCH(1,INDEX((Equipamentos!$A$2:$A$201=B585)*(Equipamentos!$P$2:$P$201=A585),0),0)),""))</f>
        <v/>
      </c>
    </row>
    <row r="586">
      <c r="A586" s="54" t="n"/>
      <c r="B586" s="55" t="n"/>
      <c r="C586" s="56">
        <f>IF(OR(A586="",B586=""),"",IF(COUNTIF(Equipamentos!$A$2:$A$201,B586)=0,"tag não encontrada",IFERROR(INDEX(Equipamentos!$H$2:$H$201,MATCH(1,INDEX((Equipamentos!$A$2:$A$201=B586)*(Equipamentos!$P$2:$P$201=A586),0),0)),"confira a data")))</f>
        <v/>
      </c>
      <c r="D586">
        <f>IF(B586="","",IFERROR(INDEX(Equipamentos!$C$2:$C$201,MATCH(B586,Equipamentos!$A$2:$A$201,0)),""))</f>
        <v/>
      </c>
      <c r="E586" s="55" t="n"/>
      <c r="F586" s="55" t="n"/>
      <c r="G586">
        <f>IF(B586="","",IFERROR(INDEX(Equipamentos!$N$2:$N$201,MATCH(B586,Equipamentos!$A$2:$A$201,0)),""))</f>
        <v/>
      </c>
      <c r="H586">
        <f>IF(B586="","",IFERROR(INDEX(Equipamentos!$L$2:$L$201,MATCH(B586,Equipamentos!$A$2:$A$201,0)),""))</f>
        <v/>
      </c>
      <c r="I586" s="57">
        <f>IF(OR(A586="",B586=""),"",IFERROR(INDEX(Equipamentos!$J$2:$J$201,MATCH(1,INDEX((Equipamentos!$A$2:$A$201=B586)*(Equipamentos!$P$2:$P$201=A586),0),0)),""))</f>
        <v/>
      </c>
    </row>
    <row r="587">
      <c r="A587" s="54" t="n"/>
      <c r="B587" s="55" t="n"/>
      <c r="C587" s="56">
        <f>IF(OR(A587="",B587=""),"",IF(COUNTIF(Equipamentos!$A$2:$A$201,B587)=0,"tag não encontrada",IFERROR(INDEX(Equipamentos!$H$2:$H$201,MATCH(1,INDEX((Equipamentos!$A$2:$A$201=B587)*(Equipamentos!$P$2:$P$201=A587),0),0)),"confira a data")))</f>
        <v/>
      </c>
      <c r="D587">
        <f>IF(B587="","",IFERROR(INDEX(Equipamentos!$C$2:$C$201,MATCH(B587,Equipamentos!$A$2:$A$201,0)),""))</f>
        <v/>
      </c>
      <c r="E587" s="55" t="n"/>
      <c r="F587" s="55" t="n"/>
      <c r="G587">
        <f>IF(B587="","",IFERROR(INDEX(Equipamentos!$N$2:$N$201,MATCH(B587,Equipamentos!$A$2:$A$201,0)),""))</f>
        <v/>
      </c>
      <c r="H587">
        <f>IF(B587="","",IFERROR(INDEX(Equipamentos!$L$2:$L$201,MATCH(B587,Equipamentos!$A$2:$A$201,0)),""))</f>
        <v/>
      </c>
      <c r="I587" s="57">
        <f>IF(OR(A587="",B587=""),"",IFERROR(INDEX(Equipamentos!$J$2:$J$201,MATCH(1,INDEX((Equipamentos!$A$2:$A$201=B587)*(Equipamentos!$P$2:$P$201=A587),0),0)),""))</f>
        <v/>
      </c>
    </row>
    <row r="588">
      <c r="A588" s="54" t="n"/>
      <c r="B588" s="55" t="n"/>
      <c r="C588" s="56">
        <f>IF(OR(A588="",B588=""),"",IF(COUNTIF(Equipamentos!$A$2:$A$201,B588)=0,"tag não encontrada",IFERROR(INDEX(Equipamentos!$H$2:$H$201,MATCH(1,INDEX((Equipamentos!$A$2:$A$201=B588)*(Equipamentos!$P$2:$P$201=A588),0),0)),"confira a data")))</f>
        <v/>
      </c>
      <c r="D588">
        <f>IF(B588="","",IFERROR(INDEX(Equipamentos!$C$2:$C$201,MATCH(B588,Equipamentos!$A$2:$A$201,0)),""))</f>
        <v/>
      </c>
      <c r="E588" s="55" t="n"/>
      <c r="F588" s="55" t="n"/>
      <c r="G588">
        <f>IF(B588="","",IFERROR(INDEX(Equipamentos!$N$2:$N$201,MATCH(B588,Equipamentos!$A$2:$A$201,0)),""))</f>
        <v/>
      </c>
      <c r="H588">
        <f>IF(B588="","",IFERROR(INDEX(Equipamentos!$L$2:$L$201,MATCH(B588,Equipamentos!$A$2:$A$201,0)),""))</f>
        <v/>
      </c>
      <c r="I588" s="57">
        <f>IF(OR(A588="",B588=""),"",IFERROR(INDEX(Equipamentos!$J$2:$J$201,MATCH(1,INDEX((Equipamentos!$A$2:$A$201=B588)*(Equipamentos!$P$2:$P$201=A588),0),0)),""))</f>
        <v/>
      </c>
    </row>
    <row r="589">
      <c r="A589" s="54" t="n"/>
      <c r="B589" s="55" t="n"/>
      <c r="C589" s="56">
        <f>IF(OR(A589="",B589=""),"",IF(COUNTIF(Equipamentos!$A$2:$A$201,B589)=0,"tag não encontrada",IFERROR(INDEX(Equipamentos!$H$2:$H$201,MATCH(1,INDEX((Equipamentos!$A$2:$A$201=B589)*(Equipamentos!$P$2:$P$201=A589),0),0)),"confira a data")))</f>
        <v/>
      </c>
      <c r="D589">
        <f>IF(B589="","",IFERROR(INDEX(Equipamentos!$C$2:$C$201,MATCH(B589,Equipamentos!$A$2:$A$201,0)),""))</f>
        <v/>
      </c>
      <c r="E589" s="55" t="n"/>
      <c r="F589" s="55" t="n"/>
      <c r="G589">
        <f>IF(B589="","",IFERROR(INDEX(Equipamentos!$N$2:$N$201,MATCH(B589,Equipamentos!$A$2:$A$201,0)),""))</f>
        <v/>
      </c>
      <c r="H589">
        <f>IF(B589="","",IFERROR(INDEX(Equipamentos!$L$2:$L$201,MATCH(B589,Equipamentos!$A$2:$A$201,0)),""))</f>
        <v/>
      </c>
      <c r="I589" s="57">
        <f>IF(OR(A589="",B589=""),"",IFERROR(INDEX(Equipamentos!$J$2:$J$201,MATCH(1,INDEX((Equipamentos!$A$2:$A$201=B589)*(Equipamentos!$P$2:$P$201=A589),0),0)),""))</f>
        <v/>
      </c>
    </row>
    <row r="590">
      <c r="A590" s="54" t="n"/>
      <c r="B590" s="55" t="n"/>
      <c r="C590" s="56">
        <f>IF(OR(A590="",B590=""),"",IF(COUNTIF(Equipamentos!$A$2:$A$201,B590)=0,"tag não encontrada",IFERROR(INDEX(Equipamentos!$H$2:$H$201,MATCH(1,INDEX((Equipamentos!$A$2:$A$201=B590)*(Equipamentos!$P$2:$P$201=A590),0),0)),"confira a data")))</f>
        <v/>
      </c>
      <c r="D590">
        <f>IF(B590="","",IFERROR(INDEX(Equipamentos!$C$2:$C$201,MATCH(B590,Equipamentos!$A$2:$A$201,0)),""))</f>
        <v/>
      </c>
      <c r="E590" s="55" t="n"/>
      <c r="F590" s="55" t="n"/>
      <c r="G590">
        <f>IF(B590="","",IFERROR(INDEX(Equipamentos!$N$2:$N$201,MATCH(B590,Equipamentos!$A$2:$A$201,0)),""))</f>
        <v/>
      </c>
      <c r="H590">
        <f>IF(B590="","",IFERROR(INDEX(Equipamentos!$L$2:$L$201,MATCH(B590,Equipamentos!$A$2:$A$201,0)),""))</f>
        <v/>
      </c>
      <c r="I590" s="57">
        <f>IF(OR(A590="",B590=""),"",IFERROR(INDEX(Equipamentos!$J$2:$J$201,MATCH(1,INDEX((Equipamentos!$A$2:$A$201=B590)*(Equipamentos!$P$2:$P$201=A590),0),0)),""))</f>
        <v/>
      </c>
    </row>
    <row r="591">
      <c r="A591" s="54" t="n"/>
      <c r="B591" s="55" t="n"/>
      <c r="C591" s="56">
        <f>IF(OR(A591="",B591=""),"",IF(COUNTIF(Equipamentos!$A$2:$A$201,B591)=0,"tag não encontrada",IFERROR(INDEX(Equipamentos!$H$2:$H$201,MATCH(1,INDEX((Equipamentos!$A$2:$A$201=B591)*(Equipamentos!$P$2:$P$201=A591),0),0)),"confira a data")))</f>
        <v/>
      </c>
      <c r="D591">
        <f>IF(B591="","",IFERROR(INDEX(Equipamentos!$C$2:$C$201,MATCH(B591,Equipamentos!$A$2:$A$201,0)),""))</f>
        <v/>
      </c>
      <c r="E591" s="55" t="n"/>
      <c r="F591" s="55" t="n"/>
      <c r="G591">
        <f>IF(B591="","",IFERROR(INDEX(Equipamentos!$N$2:$N$201,MATCH(B591,Equipamentos!$A$2:$A$201,0)),""))</f>
        <v/>
      </c>
      <c r="H591">
        <f>IF(B591="","",IFERROR(INDEX(Equipamentos!$L$2:$L$201,MATCH(B591,Equipamentos!$A$2:$A$201,0)),""))</f>
        <v/>
      </c>
      <c r="I591" s="57">
        <f>IF(OR(A591="",B591=""),"",IFERROR(INDEX(Equipamentos!$J$2:$J$201,MATCH(1,INDEX((Equipamentos!$A$2:$A$201=B591)*(Equipamentos!$P$2:$P$201=A591),0),0)),""))</f>
        <v/>
      </c>
    </row>
    <row r="592">
      <c r="A592" s="54" t="n"/>
      <c r="B592" s="55" t="n"/>
      <c r="C592" s="56">
        <f>IF(OR(A592="",B592=""),"",IF(COUNTIF(Equipamentos!$A$2:$A$201,B592)=0,"tag não encontrada",IFERROR(INDEX(Equipamentos!$H$2:$H$201,MATCH(1,INDEX((Equipamentos!$A$2:$A$201=B592)*(Equipamentos!$P$2:$P$201=A592),0),0)),"confira a data")))</f>
        <v/>
      </c>
      <c r="D592">
        <f>IF(B592="","",IFERROR(INDEX(Equipamentos!$C$2:$C$201,MATCH(B592,Equipamentos!$A$2:$A$201,0)),""))</f>
        <v/>
      </c>
      <c r="E592" s="55" t="n"/>
      <c r="F592" s="55" t="n"/>
      <c r="G592">
        <f>IF(B592="","",IFERROR(INDEX(Equipamentos!$N$2:$N$201,MATCH(B592,Equipamentos!$A$2:$A$201,0)),""))</f>
        <v/>
      </c>
      <c r="H592">
        <f>IF(B592="","",IFERROR(INDEX(Equipamentos!$L$2:$L$201,MATCH(B592,Equipamentos!$A$2:$A$201,0)),""))</f>
        <v/>
      </c>
      <c r="I592" s="57">
        <f>IF(OR(A592="",B592=""),"",IFERROR(INDEX(Equipamentos!$J$2:$J$201,MATCH(1,INDEX((Equipamentos!$A$2:$A$201=B592)*(Equipamentos!$P$2:$P$201=A592),0),0)),""))</f>
        <v/>
      </c>
    </row>
    <row r="593">
      <c r="A593" s="54" t="n"/>
      <c r="B593" s="55" t="n"/>
      <c r="C593" s="56">
        <f>IF(OR(A593="",B593=""),"",IF(COUNTIF(Equipamentos!$A$2:$A$201,B593)=0,"tag não encontrada",IFERROR(INDEX(Equipamentos!$H$2:$H$201,MATCH(1,INDEX((Equipamentos!$A$2:$A$201=B593)*(Equipamentos!$P$2:$P$201=A593),0),0)),"confira a data")))</f>
        <v/>
      </c>
      <c r="D593">
        <f>IF(B593="","",IFERROR(INDEX(Equipamentos!$C$2:$C$201,MATCH(B593,Equipamentos!$A$2:$A$201,0)),""))</f>
        <v/>
      </c>
      <c r="E593" s="55" t="n"/>
      <c r="F593" s="55" t="n"/>
      <c r="G593">
        <f>IF(B593="","",IFERROR(INDEX(Equipamentos!$N$2:$N$201,MATCH(B593,Equipamentos!$A$2:$A$201,0)),""))</f>
        <v/>
      </c>
      <c r="H593">
        <f>IF(B593="","",IFERROR(INDEX(Equipamentos!$L$2:$L$201,MATCH(B593,Equipamentos!$A$2:$A$201,0)),""))</f>
        <v/>
      </c>
      <c r="I593" s="57">
        <f>IF(OR(A593="",B593=""),"",IFERROR(INDEX(Equipamentos!$J$2:$J$201,MATCH(1,INDEX((Equipamentos!$A$2:$A$201=B593)*(Equipamentos!$P$2:$P$201=A593),0),0)),""))</f>
        <v/>
      </c>
    </row>
    <row r="594">
      <c r="A594" s="54" t="n"/>
      <c r="B594" s="55" t="n"/>
      <c r="C594" s="56">
        <f>IF(OR(A594="",B594=""),"",IF(COUNTIF(Equipamentos!$A$2:$A$201,B594)=0,"tag não encontrada",IFERROR(INDEX(Equipamentos!$H$2:$H$201,MATCH(1,INDEX((Equipamentos!$A$2:$A$201=B594)*(Equipamentos!$P$2:$P$201=A594),0),0)),"confira a data")))</f>
        <v/>
      </c>
      <c r="D594">
        <f>IF(B594="","",IFERROR(INDEX(Equipamentos!$C$2:$C$201,MATCH(B594,Equipamentos!$A$2:$A$201,0)),""))</f>
        <v/>
      </c>
      <c r="E594" s="55" t="n"/>
      <c r="F594" s="55" t="n"/>
      <c r="G594">
        <f>IF(B594="","",IFERROR(INDEX(Equipamentos!$N$2:$N$201,MATCH(B594,Equipamentos!$A$2:$A$201,0)),""))</f>
        <v/>
      </c>
      <c r="H594">
        <f>IF(B594="","",IFERROR(INDEX(Equipamentos!$L$2:$L$201,MATCH(B594,Equipamentos!$A$2:$A$201,0)),""))</f>
        <v/>
      </c>
      <c r="I594" s="57">
        <f>IF(OR(A594="",B594=""),"",IFERROR(INDEX(Equipamentos!$J$2:$J$201,MATCH(1,INDEX((Equipamentos!$A$2:$A$201=B594)*(Equipamentos!$P$2:$P$201=A594),0),0)),""))</f>
        <v/>
      </c>
    </row>
    <row r="595">
      <c r="A595" s="54" t="n"/>
      <c r="B595" s="55" t="n"/>
      <c r="C595" s="56">
        <f>IF(OR(A595="",B595=""),"",IF(COUNTIF(Equipamentos!$A$2:$A$201,B595)=0,"tag não encontrada",IFERROR(INDEX(Equipamentos!$H$2:$H$201,MATCH(1,INDEX((Equipamentos!$A$2:$A$201=B595)*(Equipamentos!$P$2:$P$201=A595),0),0)),"confira a data")))</f>
        <v/>
      </c>
      <c r="D595">
        <f>IF(B595="","",IFERROR(INDEX(Equipamentos!$C$2:$C$201,MATCH(B595,Equipamentos!$A$2:$A$201,0)),""))</f>
        <v/>
      </c>
      <c r="E595" s="55" t="n"/>
      <c r="F595" s="55" t="n"/>
      <c r="G595">
        <f>IF(B595="","",IFERROR(INDEX(Equipamentos!$N$2:$N$201,MATCH(B595,Equipamentos!$A$2:$A$201,0)),""))</f>
        <v/>
      </c>
      <c r="H595">
        <f>IF(B595="","",IFERROR(INDEX(Equipamentos!$L$2:$L$201,MATCH(B595,Equipamentos!$A$2:$A$201,0)),""))</f>
        <v/>
      </c>
      <c r="I595" s="57">
        <f>IF(OR(A595="",B595=""),"",IFERROR(INDEX(Equipamentos!$J$2:$J$201,MATCH(1,INDEX((Equipamentos!$A$2:$A$201=B595)*(Equipamentos!$P$2:$P$201=A595),0),0)),""))</f>
        <v/>
      </c>
    </row>
    <row r="596">
      <c r="A596" s="54" t="n"/>
      <c r="B596" s="55" t="n"/>
      <c r="C596" s="56">
        <f>IF(OR(A596="",B596=""),"",IF(COUNTIF(Equipamentos!$A$2:$A$201,B596)=0,"tag não encontrada",IFERROR(INDEX(Equipamentos!$H$2:$H$201,MATCH(1,INDEX((Equipamentos!$A$2:$A$201=B596)*(Equipamentos!$P$2:$P$201=A596),0),0)),"confira a data")))</f>
        <v/>
      </c>
      <c r="D596">
        <f>IF(B596="","",IFERROR(INDEX(Equipamentos!$C$2:$C$201,MATCH(B596,Equipamentos!$A$2:$A$201,0)),""))</f>
        <v/>
      </c>
      <c r="E596" s="55" t="n"/>
      <c r="F596" s="55" t="n"/>
      <c r="G596">
        <f>IF(B596="","",IFERROR(INDEX(Equipamentos!$N$2:$N$201,MATCH(B596,Equipamentos!$A$2:$A$201,0)),""))</f>
        <v/>
      </c>
      <c r="H596">
        <f>IF(B596="","",IFERROR(INDEX(Equipamentos!$L$2:$L$201,MATCH(B596,Equipamentos!$A$2:$A$201,0)),""))</f>
        <v/>
      </c>
      <c r="I596" s="57">
        <f>IF(OR(A596="",B596=""),"",IFERROR(INDEX(Equipamentos!$J$2:$J$201,MATCH(1,INDEX((Equipamentos!$A$2:$A$201=B596)*(Equipamentos!$P$2:$P$201=A596),0),0)),""))</f>
        <v/>
      </c>
    </row>
    <row r="597">
      <c r="A597" s="54" t="n"/>
      <c r="B597" s="55" t="n"/>
      <c r="C597" s="56">
        <f>IF(OR(A597="",B597=""),"",IF(COUNTIF(Equipamentos!$A$2:$A$201,B597)=0,"tag não encontrada",IFERROR(INDEX(Equipamentos!$H$2:$H$201,MATCH(1,INDEX((Equipamentos!$A$2:$A$201=B597)*(Equipamentos!$P$2:$P$201=A597),0),0)),"confira a data")))</f>
        <v/>
      </c>
      <c r="D597">
        <f>IF(B597="","",IFERROR(INDEX(Equipamentos!$C$2:$C$201,MATCH(B597,Equipamentos!$A$2:$A$201,0)),""))</f>
        <v/>
      </c>
      <c r="E597" s="55" t="n"/>
      <c r="F597" s="55" t="n"/>
      <c r="G597">
        <f>IF(B597="","",IFERROR(INDEX(Equipamentos!$N$2:$N$201,MATCH(B597,Equipamentos!$A$2:$A$201,0)),""))</f>
        <v/>
      </c>
      <c r="H597">
        <f>IF(B597="","",IFERROR(INDEX(Equipamentos!$L$2:$L$201,MATCH(B597,Equipamentos!$A$2:$A$201,0)),""))</f>
        <v/>
      </c>
      <c r="I597" s="57">
        <f>IF(OR(A597="",B597=""),"",IFERROR(INDEX(Equipamentos!$J$2:$J$201,MATCH(1,INDEX((Equipamentos!$A$2:$A$201=B597)*(Equipamentos!$P$2:$P$201=A597),0),0)),""))</f>
        <v/>
      </c>
    </row>
    <row r="598">
      <c r="A598" s="54" t="n"/>
      <c r="B598" s="55" t="n"/>
      <c r="C598" s="56">
        <f>IF(OR(A598="",B598=""),"",IF(COUNTIF(Equipamentos!$A$2:$A$201,B598)=0,"tag não encontrada",IFERROR(INDEX(Equipamentos!$H$2:$H$201,MATCH(1,INDEX((Equipamentos!$A$2:$A$201=B598)*(Equipamentos!$P$2:$P$201=A598),0),0)),"confira a data")))</f>
        <v/>
      </c>
      <c r="D598">
        <f>IF(B598="","",IFERROR(INDEX(Equipamentos!$C$2:$C$201,MATCH(B598,Equipamentos!$A$2:$A$201,0)),""))</f>
        <v/>
      </c>
      <c r="E598" s="55" t="n"/>
      <c r="F598" s="55" t="n"/>
      <c r="G598">
        <f>IF(B598="","",IFERROR(INDEX(Equipamentos!$N$2:$N$201,MATCH(B598,Equipamentos!$A$2:$A$201,0)),""))</f>
        <v/>
      </c>
      <c r="H598">
        <f>IF(B598="","",IFERROR(INDEX(Equipamentos!$L$2:$L$201,MATCH(B598,Equipamentos!$A$2:$A$201,0)),""))</f>
        <v/>
      </c>
      <c r="I598" s="57">
        <f>IF(OR(A598="",B598=""),"",IFERROR(INDEX(Equipamentos!$J$2:$J$201,MATCH(1,INDEX((Equipamentos!$A$2:$A$201=B598)*(Equipamentos!$P$2:$P$201=A598),0),0)),""))</f>
        <v/>
      </c>
    </row>
    <row r="599">
      <c r="A599" s="54" t="n"/>
      <c r="B599" s="55" t="n"/>
      <c r="C599" s="56">
        <f>IF(OR(A599="",B599=""),"",IF(COUNTIF(Equipamentos!$A$2:$A$201,B599)=0,"tag não encontrada",IFERROR(INDEX(Equipamentos!$H$2:$H$201,MATCH(1,INDEX((Equipamentos!$A$2:$A$201=B599)*(Equipamentos!$P$2:$P$201=A599),0),0)),"confira a data")))</f>
        <v/>
      </c>
      <c r="D599">
        <f>IF(B599="","",IFERROR(INDEX(Equipamentos!$C$2:$C$201,MATCH(B599,Equipamentos!$A$2:$A$201,0)),""))</f>
        <v/>
      </c>
      <c r="E599" s="55" t="n"/>
      <c r="F599" s="55" t="n"/>
      <c r="G599">
        <f>IF(B599="","",IFERROR(INDEX(Equipamentos!$N$2:$N$201,MATCH(B599,Equipamentos!$A$2:$A$201,0)),""))</f>
        <v/>
      </c>
      <c r="H599">
        <f>IF(B599="","",IFERROR(INDEX(Equipamentos!$L$2:$L$201,MATCH(B599,Equipamentos!$A$2:$A$201,0)),""))</f>
        <v/>
      </c>
      <c r="I599" s="57">
        <f>IF(OR(A599="",B599=""),"",IFERROR(INDEX(Equipamentos!$J$2:$J$201,MATCH(1,INDEX((Equipamentos!$A$2:$A$201=B599)*(Equipamentos!$P$2:$P$201=A599),0),0)),""))</f>
        <v/>
      </c>
    </row>
    <row r="600">
      <c r="A600" s="54" t="n"/>
      <c r="B600" s="55" t="n"/>
      <c r="C600" s="56">
        <f>IF(OR(A600="",B600=""),"",IF(COUNTIF(Equipamentos!$A$2:$A$201,B600)=0,"tag não encontrada",IFERROR(INDEX(Equipamentos!$H$2:$H$201,MATCH(1,INDEX((Equipamentos!$A$2:$A$201=B600)*(Equipamentos!$P$2:$P$201=A600),0),0)),"confira a data")))</f>
        <v/>
      </c>
      <c r="D600">
        <f>IF(B600="","",IFERROR(INDEX(Equipamentos!$C$2:$C$201,MATCH(B600,Equipamentos!$A$2:$A$201,0)),""))</f>
        <v/>
      </c>
      <c r="E600" s="55" t="n"/>
      <c r="F600" s="55" t="n"/>
      <c r="G600">
        <f>IF(B600="","",IFERROR(INDEX(Equipamentos!$N$2:$N$201,MATCH(B600,Equipamentos!$A$2:$A$201,0)),""))</f>
        <v/>
      </c>
      <c r="H600">
        <f>IF(B600="","",IFERROR(INDEX(Equipamentos!$L$2:$L$201,MATCH(B600,Equipamentos!$A$2:$A$201,0)),""))</f>
        <v/>
      </c>
      <c r="I600" s="57">
        <f>IF(OR(A600="",B600=""),"",IFERROR(INDEX(Equipamentos!$J$2:$J$201,MATCH(1,INDEX((Equipamentos!$A$2:$A$201=B600)*(Equipamentos!$P$2:$P$201=A600),0),0)),""))</f>
        <v/>
      </c>
    </row>
    <row r="601">
      <c r="A601" s="54" t="n"/>
      <c r="B601" s="55" t="n"/>
      <c r="C601" s="56">
        <f>IF(OR(A601="",B601=""),"",IF(COUNTIF(Equipamentos!$A$2:$A$201,B601)=0,"tag não encontrada",IFERROR(INDEX(Equipamentos!$H$2:$H$201,MATCH(1,INDEX((Equipamentos!$A$2:$A$201=B601)*(Equipamentos!$P$2:$P$201=A601),0),0)),"confira a data")))</f>
        <v/>
      </c>
      <c r="D601">
        <f>IF(B601="","",IFERROR(INDEX(Equipamentos!$C$2:$C$201,MATCH(B601,Equipamentos!$A$2:$A$201,0)),""))</f>
        <v/>
      </c>
      <c r="E601" s="55" t="n"/>
      <c r="F601" s="55" t="n"/>
      <c r="G601">
        <f>IF(B601="","",IFERROR(INDEX(Equipamentos!$N$2:$N$201,MATCH(B601,Equipamentos!$A$2:$A$201,0)),""))</f>
        <v/>
      </c>
      <c r="H601">
        <f>IF(B601="","",IFERROR(INDEX(Equipamentos!$L$2:$L$201,MATCH(B601,Equipamentos!$A$2:$A$201,0)),""))</f>
        <v/>
      </c>
      <c r="I601" s="57">
        <f>IF(OR(A601="",B601=""),"",IFERROR(INDEX(Equipamentos!$J$2:$J$201,MATCH(1,INDEX((Equipamentos!$A$2:$A$201=B601)*(Equipamentos!$P$2:$P$201=A601),0),0)),""))</f>
        <v/>
      </c>
    </row>
    <row r="602">
      <c r="A602" s="54" t="n"/>
      <c r="B602" s="55" t="n"/>
      <c r="C602" s="56">
        <f>IF(OR(A602="",B602=""),"",IF(COUNTIF(Equipamentos!$A$2:$A$201,B602)=0,"tag não encontrada",IFERROR(INDEX(Equipamentos!$H$2:$H$201,MATCH(1,INDEX((Equipamentos!$A$2:$A$201=B602)*(Equipamentos!$P$2:$P$201=A602),0),0)),"confira a data")))</f>
        <v/>
      </c>
      <c r="D602">
        <f>IF(B602="","",IFERROR(INDEX(Equipamentos!$C$2:$C$201,MATCH(B602,Equipamentos!$A$2:$A$201,0)),""))</f>
        <v/>
      </c>
      <c r="E602" s="55" t="n"/>
      <c r="F602" s="55" t="n"/>
      <c r="G602">
        <f>IF(B602="","",IFERROR(INDEX(Equipamentos!$N$2:$N$201,MATCH(B602,Equipamentos!$A$2:$A$201,0)),""))</f>
        <v/>
      </c>
      <c r="H602">
        <f>IF(B602="","",IFERROR(INDEX(Equipamentos!$L$2:$L$201,MATCH(B602,Equipamentos!$A$2:$A$201,0)),""))</f>
        <v/>
      </c>
      <c r="I602" s="57">
        <f>IF(OR(A602="",B602=""),"",IFERROR(INDEX(Equipamentos!$J$2:$J$201,MATCH(1,INDEX((Equipamentos!$A$2:$A$201=B602)*(Equipamentos!$P$2:$P$201=A602),0),0)),""))</f>
        <v/>
      </c>
    </row>
    <row r="603">
      <c r="A603" s="54" t="n"/>
      <c r="B603" s="55" t="n"/>
      <c r="C603" s="56">
        <f>IF(OR(A603="",B603=""),"",IF(COUNTIF(Equipamentos!$A$2:$A$201,B603)=0,"tag não encontrada",IFERROR(INDEX(Equipamentos!$H$2:$H$201,MATCH(1,INDEX((Equipamentos!$A$2:$A$201=B603)*(Equipamentos!$P$2:$P$201=A603),0),0)),"confira a data")))</f>
        <v/>
      </c>
      <c r="D603">
        <f>IF(B603="","",IFERROR(INDEX(Equipamentos!$C$2:$C$201,MATCH(B603,Equipamentos!$A$2:$A$201,0)),""))</f>
        <v/>
      </c>
      <c r="E603" s="55" t="n"/>
      <c r="F603" s="55" t="n"/>
      <c r="G603">
        <f>IF(B603="","",IFERROR(INDEX(Equipamentos!$N$2:$N$201,MATCH(B603,Equipamentos!$A$2:$A$201,0)),""))</f>
        <v/>
      </c>
      <c r="H603">
        <f>IF(B603="","",IFERROR(INDEX(Equipamentos!$L$2:$L$201,MATCH(B603,Equipamentos!$A$2:$A$201,0)),""))</f>
        <v/>
      </c>
      <c r="I603" s="57">
        <f>IF(OR(A603="",B603=""),"",IFERROR(INDEX(Equipamentos!$J$2:$J$201,MATCH(1,INDEX((Equipamentos!$A$2:$A$201=B603)*(Equipamentos!$P$2:$P$201=A603),0),0)),""))</f>
        <v/>
      </c>
    </row>
    <row r="604">
      <c r="A604" s="54" t="n"/>
      <c r="B604" s="55" t="n"/>
      <c r="C604" s="56">
        <f>IF(OR(A604="",B604=""),"",IF(COUNTIF(Equipamentos!$A$2:$A$201,B604)=0,"tag não encontrada",IFERROR(INDEX(Equipamentos!$H$2:$H$201,MATCH(1,INDEX((Equipamentos!$A$2:$A$201=B604)*(Equipamentos!$P$2:$P$201=A604),0),0)),"confira a data")))</f>
        <v/>
      </c>
      <c r="D604">
        <f>IF(B604="","",IFERROR(INDEX(Equipamentos!$C$2:$C$201,MATCH(B604,Equipamentos!$A$2:$A$201,0)),""))</f>
        <v/>
      </c>
      <c r="E604" s="55" t="n"/>
      <c r="F604" s="55" t="n"/>
      <c r="G604">
        <f>IF(B604="","",IFERROR(INDEX(Equipamentos!$N$2:$N$201,MATCH(B604,Equipamentos!$A$2:$A$201,0)),""))</f>
        <v/>
      </c>
      <c r="H604">
        <f>IF(B604="","",IFERROR(INDEX(Equipamentos!$L$2:$L$201,MATCH(B604,Equipamentos!$A$2:$A$201,0)),""))</f>
        <v/>
      </c>
      <c r="I604" s="57">
        <f>IF(OR(A604="",B604=""),"",IFERROR(INDEX(Equipamentos!$J$2:$J$201,MATCH(1,INDEX((Equipamentos!$A$2:$A$201=B604)*(Equipamentos!$P$2:$P$201=A604),0),0)),""))</f>
        <v/>
      </c>
    </row>
    <row r="605">
      <c r="A605" s="54" t="n"/>
      <c r="B605" s="55" t="n"/>
      <c r="C605" s="56">
        <f>IF(OR(A605="",B605=""),"",IF(COUNTIF(Equipamentos!$A$2:$A$201,B605)=0,"tag não encontrada",IFERROR(INDEX(Equipamentos!$H$2:$H$201,MATCH(1,INDEX((Equipamentos!$A$2:$A$201=B605)*(Equipamentos!$P$2:$P$201=A605),0),0)),"confira a data")))</f>
        <v/>
      </c>
      <c r="D605">
        <f>IF(B605="","",IFERROR(INDEX(Equipamentos!$C$2:$C$201,MATCH(B605,Equipamentos!$A$2:$A$201,0)),""))</f>
        <v/>
      </c>
      <c r="E605" s="55" t="n"/>
      <c r="F605" s="55" t="n"/>
      <c r="G605">
        <f>IF(B605="","",IFERROR(INDEX(Equipamentos!$N$2:$N$201,MATCH(B605,Equipamentos!$A$2:$A$201,0)),""))</f>
        <v/>
      </c>
      <c r="H605">
        <f>IF(B605="","",IFERROR(INDEX(Equipamentos!$L$2:$L$201,MATCH(B605,Equipamentos!$A$2:$A$201,0)),""))</f>
        <v/>
      </c>
      <c r="I605" s="57">
        <f>IF(OR(A605="",B605=""),"",IFERROR(INDEX(Equipamentos!$J$2:$J$201,MATCH(1,INDEX((Equipamentos!$A$2:$A$201=B605)*(Equipamentos!$P$2:$P$201=A605),0),0)),""))</f>
        <v/>
      </c>
    </row>
    <row r="606">
      <c r="A606" s="54" t="n"/>
      <c r="B606" s="55" t="n"/>
      <c r="C606" s="56">
        <f>IF(OR(A606="",B606=""),"",IF(COUNTIF(Equipamentos!$A$2:$A$201,B606)=0,"tag não encontrada",IFERROR(INDEX(Equipamentos!$H$2:$H$201,MATCH(1,INDEX((Equipamentos!$A$2:$A$201=B606)*(Equipamentos!$P$2:$P$201=A606),0),0)),"confira a data")))</f>
        <v/>
      </c>
      <c r="D606">
        <f>IF(B606="","",IFERROR(INDEX(Equipamentos!$C$2:$C$201,MATCH(B606,Equipamentos!$A$2:$A$201,0)),""))</f>
        <v/>
      </c>
      <c r="E606" s="55" t="n"/>
      <c r="F606" s="55" t="n"/>
      <c r="G606">
        <f>IF(B606="","",IFERROR(INDEX(Equipamentos!$N$2:$N$201,MATCH(B606,Equipamentos!$A$2:$A$201,0)),""))</f>
        <v/>
      </c>
      <c r="H606">
        <f>IF(B606="","",IFERROR(INDEX(Equipamentos!$L$2:$L$201,MATCH(B606,Equipamentos!$A$2:$A$201,0)),""))</f>
        <v/>
      </c>
      <c r="I606" s="57">
        <f>IF(OR(A606="",B606=""),"",IFERROR(INDEX(Equipamentos!$J$2:$J$201,MATCH(1,INDEX((Equipamentos!$A$2:$A$201=B606)*(Equipamentos!$P$2:$P$201=A606),0),0)),""))</f>
        <v/>
      </c>
    </row>
    <row r="607">
      <c r="A607" s="54" t="n"/>
      <c r="B607" s="55" t="n"/>
      <c r="C607" s="56">
        <f>IF(OR(A607="",B607=""),"",IF(COUNTIF(Equipamentos!$A$2:$A$201,B607)=0,"tag não encontrada",IFERROR(INDEX(Equipamentos!$H$2:$H$201,MATCH(1,INDEX((Equipamentos!$A$2:$A$201=B607)*(Equipamentos!$P$2:$P$201=A607),0),0)),"confira a data")))</f>
        <v/>
      </c>
      <c r="D607">
        <f>IF(B607="","",IFERROR(INDEX(Equipamentos!$C$2:$C$201,MATCH(B607,Equipamentos!$A$2:$A$201,0)),""))</f>
        <v/>
      </c>
      <c r="E607" s="55" t="n"/>
      <c r="F607" s="55" t="n"/>
      <c r="G607">
        <f>IF(B607="","",IFERROR(INDEX(Equipamentos!$N$2:$N$201,MATCH(B607,Equipamentos!$A$2:$A$201,0)),""))</f>
        <v/>
      </c>
      <c r="H607">
        <f>IF(B607="","",IFERROR(INDEX(Equipamentos!$L$2:$L$201,MATCH(B607,Equipamentos!$A$2:$A$201,0)),""))</f>
        <v/>
      </c>
      <c r="I607" s="57">
        <f>IF(OR(A607="",B607=""),"",IFERROR(INDEX(Equipamentos!$J$2:$J$201,MATCH(1,INDEX((Equipamentos!$A$2:$A$201=B607)*(Equipamentos!$P$2:$P$201=A607),0),0)),""))</f>
        <v/>
      </c>
    </row>
    <row r="608">
      <c r="A608" s="54" t="n"/>
      <c r="B608" s="55" t="n"/>
      <c r="C608" s="56">
        <f>IF(OR(A608="",B608=""),"",IF(COUNTIF(Equipamentos!$A$2:$A$201,B608)=0,"tag não encontrada",IFERROR(INDEX(Equipamentos!$H$2:$H$201,MATCH(1,INDEX((Equipamentos!$A$2:$A$201=B608)*(Equipamentos!$P$2:$P$201=A608),0),0)),"confira a data")))</f>
        <v/>
      </c>
      <c r="D608">
        <f>IF(B608="","",IFERROR(INDEX(Equipamentos!$C$2:$C$201,MATCH(B608,Equipamentos!$A$2:$A$201,0)),""))</f>
        <v/>
      </c>
      <c r="E608" s="55" t="n"/>
      <c r="F608" s="55" t="n"/>
      <c r="G608">
        <f>IF(B608="","",IFERROR(INDEX(Equipamentos!$N$2:$N$201,MATCH(B608,Equipamentos!$A$2:$A$201,0)),""))</f>
        <v/>
      </c>
      <c r="H608">
        <f>IF(B608="","",IFERROR(INDEX(Equipamentos!$L$2:$L$201,MATCH(B608,Equipamentos!$A$2:$A$201,0)),""))</f>
        <v/>
      </c>
      <c r="I608" s="57">
        <f>IF(OR(A608="",B608=""),"",IFERROR(INDEX(Equipamentos!$J$2:$J$201,MATCH(1,INDEX((Equipamentos!$A$2:$A$201=B608)*(Equipamentos!$P$2:$P$201=A608),0),0)),""))</f>
        <v/>
      </c>
    </row>
    <row r="609">
      <c r="A609" s="54" t="n"/>
      <c r="B609" s="55" t="n"/>
      <c r="C609" s="56">
        <f>IF(OR(A609="",B609=""),"",IF(COUNTIF(Equipamentos!$A$2:$A$201,B609)=0,"tag não encontrada",IFERROR(INDEX(Equipamentos!$H$2:$H$201,MATCH(1,INDEX((Equipamentos!$A$2:$A$201=B609)*(Equipamentos!$P$2:$P$201=A609),0),0)),"confira a data")))</f>
        <v/>
      </c>
      <c r="D609">
        <f>IF(B609="","",IFERROR(INDEX(Equipamentos!$C$2:$C$201,MATCH(B609,Equipamentos!$A$2:$A$201,0)),""))</f>
        <v/>
      </c>
      <c r="E609" s="55" t="n"/>
      <c r="F609" s="55" t="n"/>
      <c r="G609">
        <f>IF(B609="","",IFERROR(INDEX(Equipamentos!$N$2:$N$201,MATCH(B609,Equipamentos!$A$2:$A$201,0)),""))</f>
        <v/>
      </c>
      <c r="H609">
        <f>IF(B609="","",IFERROR(INDEX(Equipamentos!$L$2:$L$201,MATCH(B609,Equipamentos!$A$2:$A$201,0)),""))</f>
        <v/>
      </c>
      <c r="I609" s="57">
        <f>IF(OR(A609="",B609=""),"",IFERROR(INDEX(Equipamentos!$J$2:$J$201,MATCH(1,INDEX((Equipamentos!$A$2:$A$201=B609)*(Equipamentos!$P$2:$P$201=A609),0),0)),""))</f>
        <v/>
      </c>
    </row>
    <row r="610">
      <c r="A610" s="54" t="n"/>
      <c r="B610" s="55" t="n"/>
      <c r="C610" s="56">
        <f>IF(OR(A610="",B610=""),"",IF(COUNTIF(Equipamentos!$A$2:$A$201,B610)=0,"tag não encontrada",IFERROR(INDEX(Equipamentos!$H$2:$H$201,MATCH(1,INDEX((Equipamentos!$A$2:$A$201=B610)*(Equipamentos!$P$2:$P$201=A610),0),0)),"confira a data")))</f>
        <v/>
      </c>
      <c r="D610">
        <f>IF(B610="","",IFERROR(INDEX(Equipamentos!$C$2:$C$201,MATCH(B610,Equipamentos!$A$2:$A$201,0)),""))</f>
        <v/>
      </c>
      <c r="E610" s="55" t="n"/>
      <c r="F610" s="55" t="n"/>
      <c r="G610">
        <f>IF(B610="","",IFERROR(INDEX(Equipamentos!$N$2:$N$201,MATCH(B610,Equipamentos!$A$2:$A$201,0)),""))</f>
        <v/>
      </c>
      <c r="H610">
        <f>IF(B610="","",IFERROR(INDEX(Equipamentos!$L$2:$L$201,MATCH(B610,Equipamentos!$A$2:$A$201,0)),""))</f>
        <v/>
      </c>
      <c r="I610" s="57">
        <f>IF(OR(A610="",B610=""),"",IFERROR(INDEX(Equipamentos!$J$2:$J$201,MATCH(1,INDEX((Equipamentos!$A$2:$A$201=B610)*(Equipamentos!$P$2:$P$201=A610),0),0)),""))</f>
        <v/>
      </c>
    </row>
    <row r="611">
      <c r="A611" s="54" t="n"/>
      <c r="B611" s="55" t="n"/>
      <c r="C611" s="56">
        <f>IF(OR(A611="",B611=""),"",IF(COUNTIF(Equipamentos!$A$2:$A$201,B611)=0,"tag não encontrada",IFERROR(INDEX(Equipamentos!$H$2:$H$201,MATCH(1,INDEX((Equipamentos!$A$2:$A$201=B611)*(Equipamentos!$P$2:$P$201=A611),0),0)),"confira a data")))</f>
        <v/>
      </c>
      <c r="D611">
        <f>IF(B611="","",IFERROR(INDEX(Equipamentos!$C$2:$C$201,MATCH(B611,Equipamentos!$A$2:$A$201,0)),""))</f>
        <v/>
      </c>
      <c r="E611" s="55" t="n"/>
      <c r="F611" s="55" t="n"/>
      <c r="G611">
        <f>IF(B611="","",IFERROR(INDEX(Equipamentos!$N$2:$N$201,MATCH(B611,Equipamentos!$A$2:$A$201,0)),""))</f>
        <v/>
      </c>
      <c r="H611">
        <f>IF(B611="","",IFERROR(INDEX(Equipamentos!$L$2:$L$201,MATCH(B611,Equipamentos!$A$2:$A$201,0)),""))</f>
        <v/>
      </c>
      <c r="I611" s="57">
        <f>IF(OR(A611="",B611=""),"",IFERROR(INDEX(Equipamentos!$J$2:$J$201,MATCH(1,INDEX((Equipamentos!$A$2:$A$201=B611)*(Equipamentos!$P$2:$P$201=A611),0),0)),""))</f>
        <v/>
      </c>
    </row>
    <row r="612">
      <c r="A612" s="54" t="n"/>
      <c r="B612" s="55" t="n"/>
      <c r="C612" s="56">
        <f>IF(OR(A612="",B612=""),"",IF(COUNTIF(Equipamentos!$A$2:$A$201,B612)=0,"tag não encontrada",IFERROR(INDEX(Equipamentos!$H$2:$H$201,MATCH(1,INDEX((Equipamentos!$A$2:$A$201=B612)*(Equipamentos!$P$2:$P$201=A612),0),0)),"confira a data")))</f>
        <v/>
      </c>
      <c r="D612">
        <f>IF(B612="","",IFERROR(INDEX(Equipamentos!$C$2:$C$201,MATCH(B612,Equipamentos!$A$2:$A$201,0)),""))</f>
        <v/>
      </c>
      <c r="E612" s="55" t="n"/>
      <c r="F612" s="55" t="n"/>
      <c r="G612">
        <f>IF(B612="","",IFERROR(INDEX(Equipamentos!$N$2:$N$201,MATCH(B612,Equipamentos!$A$2:$A$201,0)),""))</f>
        <v/>
      </c>
      <c r="H612">
        <f>IF(B612="","",IFERROR(INDEX(Equipamentos!$L$2:$L$201,MATCH(B612,Equipamentos!$A$2:$A$201,0)),""))</f>
        <v/>
      </c>
      <c r="I612" s="57">
        <f>IF(OR(A612="",B612=""),"",IFERROR(INDEX(Equipamentos!$J$2:$J$201,MATCH(1,INDEX((Equipamentos!$A$2:$A$201=B612)*(Equipamentos!$P$2:$P$201=A612),0),0)),""))</f>
        <v/>
      </c>
    </row>
    <row r="613">
      <c r="A613" s="54" t="n"/>
      <c r="B613" s="55" t="n"/>
      <c r="C613" s="56">
        <f>IF(OR(A613="",B613=""),"",IF(COUNTIF(Equipamentos!$A$2:$A$201,B613)=0,"tag não encontrada",IFERROR(INDEX(Equipamentos!$H$2:$H$201,MATCH(1,INDEX((Equipamentos!$A$2:$A$201=B613)*(Equipamentos!$P$2:$P$201=A613),0),0)),"confira a data")))</f>
        <v/>
      </c>
      <c r="D613">
        <f>IF(B613="","",IFERROR(INDEX(Equipamentos!$C$2:$C$201,MATCH(B613,Equipamentos!$A$2:$A$201,0)),""))</f>
        <v/>
      </c>
      <c r="E613" s="55" t="n"/>
      <c r="F613" s="55" t="n"/>
      <c r="G613">
        <f>IF(B613="","",IFERROR(INDEX(Equipamentos!$N$2:$N$201,MATCH(B613,Equipamentos!$A$2:$A$201,0)),""))</f>
        <v/>
      </c>
      <c r="H613">
        <f>IF(B613="","",IFERROR(INDEX(Equipamentos!$L$2:$L$201,MATCH(B613,Equipamentos!$A$2:$A$201,0)),""))</f>
        <v/>
      </c>
      <c r="I613" s="57">
        <f>IF(OR(A613="",B613=""),"",IFERROR(INDEX(Equipamentos!$J$2:$J$201,MATCH(1,INDEX((Equipamentos!$A$2:$A$201=B613)*(Equipamentos!$P$2:$P$201=A613),0),0)),""))</f>
        <v/>
      </c>
    </row>
    <row r="614">
      <c r="A614" s="54" t="n"/>
      <c r="B614" s="55" t="n"/>
      <c r="C614" s="56">
        <f>IF(OR(A614="",B614=""),"",IF(COUNTIF(Equipamentos!$A$2:$A$201,B614)=0,"tag não encontrada",IFERROR(INDEX(Equipamentos!$H$2:$H$201,MATCH(1,INDEX((Equipamentos!$A$2:$A$201=B614)*(Equipamentos!$P$2:$P$201=A614),0),0)),"confira a data")))</f>
        <v/>
      </c>
      <c r="D614">
        <f>IF(B614="","",IFERROR(INDEX(Equipamentos!$C$2:$C$201,MATCH(B614,Equipamentos!$A$2:$A$201,0)),""))</f>
        <v/>
      </c>
      <c r="E614" s="55" t="n"/>
      <c r="F614" s="55" t="n"/>
      <c r="G614">
        <f>IF(B614="","",IFERROR(INDEX(Equipamentos!$N$2:$N$201,MATCH(B614,Equipamentos!$A$2:$A$201,0)),""))</f>
        <v/>
      </c>
      <c r="H614">
        <f>IF(B614="","",IFERROR(INDEX(Equipamentos!$L$2:$L$201,MATCH(B614,Equipamentos!$A$2:$A$201,0)),""))</f>
        <v/>
      </c>
      <c r="I614" s="57">
        <f>IF(OR(A614="",B614=""),"",IFERROR(INDEX(Equipamentos!$J$2:$J$201,MATCH(1,INDEX((Equipamentos!$A$2:$A$201=B614)*(Equipamentos!$P$2:$P$201=A614),0),0)),""))</f>
        <v/>
      </c>
    </row>
    <row r="615">
      <c r="A615" s="54" t="n"/>
      <c r="B615" s="55" t="n"/>
      <c r="C615" s="56">
        <f>IF(OR(A615="",B615=""),"",IF(COUNTIF(Equipamentos!$A$2:$A$201,B615)=0,"tag não encontrada",IFERROR(INDEX(Equipamentos!$H$2:$H$201,MATCH(1,INDEX((Equipamentos!$A$2:$A$201=B615)*(Equipamentos!$P$2:$P$201=A615),0),0)),"confira a data")))</f>
        <v/>
      </c>
      <c r="D615">
        <f>IF(B615="","",IFERROR(INDEX(Equipamentos!$C$2:$C$201,MATCH(B615,Equipamentos!$A$2:$A$201,0)),""))</f>
        <v/>
      </c>
      <c r="E615" s="55" t="n"/>
      <c r="F615" s="55" t="n"/>
      <c r="G615">
        <f>IF(B615="","",IFERROR(INDEX(Equipamentos!$N$2:$N$201,MATCH(B615,Equipamentos!$A$2:$A$201,0)),""))</f>
        <v/>
      </c>
      <c r="H615">
        <f>IF(B615="","",IFERROR(INDEX(Equipamentos!$L$2:$L$201,MATCH(B615,Equipamentos!$A$2:$A$201,0)),""))</f>
        <v/>
      </c>
      <c r="I615" s="57">
        <f>IF(OR(A615="",B615=""),"",IFERROR(INDEX(Equipamentos!$J$2:$J$201,MATCH(1,INDEX((Equipamentos!$A$2:$A$201=B615)*(Equipamentos!$P$2:$P$201=A615),0),0)),""))</f>
        <v/>
      </c>
    </row>
    <row r="616">
      <c r="A616" s="54" t="n"/>
      <c r="B616" s="55" t="n"/>
      <c r="C616" s="56">
        <f>IF(OR(A616="",B616=""),"",IF(COUNTIF(Equipamentos!$A$2:$A$201,B616)=0,"tag não encontrada",IFERROR(INDEX(Equipamentos!$H$2:$H$201,MATCH(1,INDEX((Equipamentos!$A$2:$A$201=B616)*(Equipamentos!$P$2:$P$201=A616),0),0)),"confira a data")))</f>
        <v/>
      </c>
      <c r="D616">
        <f>IF(B616="","",IFERROR(INDEX(Equipamentos!$C$2:$C$201,MATCH(B616,Equipamentos!$A$2:$A$201,0)),""))</f>
        <v/>
      </c>
      <c r="E616" s="55" t="n"/>
      <c r="F616" s="55" t="n"/>
      <c r="G616">
        <f>IF(B616="","",IFERROR(INDEX(Equipamentos!$N$2:$N$201,MATCH(B616,Equipamentos!$A$2:$A$201,0)),""))</f>
        <v/>
      </c>
      <c r="H616">
        <f>IF(B616="","",IFERROR(INDEX(Equipamentos!$L$2:$L$201,MATCH(B616,Equipamentos!$A$2:$A$201,0)),""))</f>
        <v/>
      </c>
      <c r="I616" s="57">
        <f>IF(OR(A616="",B616=""),"",IFERROR(INDEX(Equipamentos!$J$2:$J$201,MATCH(1,INDEX((Equipamentos!$A$2:$A$201=B616)*(Equipamentos!$P$2:$P$201=A616),0),0)),""))</f>
        <v/>
      </c>
    </row>
    <row r="617">
      <c r="A617" s="54" t="n"/>
      <c r="B617" s="55" t="n"/>
      <c r="C617" s="56">
        <f>IF(OR(A617="",B617=""),"",IF(COUNTIF(Equipamentos!$A$2:$A$201,B617)=0,"tag não encontrada",IFERROR(INDEX(Equipamentos!$H$2:$H$201,MATCH(1,INDEX((Equipamentos!$A$2:$A$201=B617)*(Equipamentos!$P$2:$P$201=A617),0),0)),"confira a data")))</f>
        <v/>
      </c>
      <c r="D617">
        <f>IF(B617="","",IFERROR(INDEX(Equipamentos!$C$2:$C$201,MATCH(B617,Equipamentos!$A$2:$A$201,0)),""))</f>
        <v/>
      </c>
      <c r="E617" s="55" t="n"/>
      <c r="F617" s="55" t="n"/>
      <c r="G617">
        <f>IF(B617="","",IFERROR(INDEX(Equipamentos!$N$2:$N$201,MATCH(B617,Equipamentos!$A$2:$A$201,0)),""))</f>
        <v/>
      </c>
      <c r="H617">
        <f>IF(B617="","",IFERROR(INDEX(Equipamentos!$L$2:$L$201,MATCH(B617,Equipamentos!$A$2:$A$201,0)),""))</f>
        <v/>
      </c>
      <c r="I617" s="57">
        <f>IF(OR(A617="",B617=""),"",IFERROR(INDEX(Equipamentos!$J$2:$J$201,MATCH(1,INDEX((Equipamentos!$A$2:$A$201=B617)*(Equipamentos!$P$2:$P$201=A617),0),0)),""))</f>
        <v/>
      </c>
    </row>
    <row r="618">
      <c r="A618" s="54" t="n"/>
      <c r="B618" s="55" t="n"/>
      <c r="C618" s="56">
        <f>IF(OR(A618="",B618=""),"",IF(COUNTIF(Equipamentos!$A$2:$A$201,B618)=0,"tag não encontrada",IFERROR(INDEX(Equipamentos!$H$2:$H$201,MATCH(1,INDEX((Equipamentos!$A$2:$A$201=B618)*(Equipamentos!$P$2:$P$201=A618),0),0)),"confira a data")))</f>
        <v/>
      </c>
      <c r="D618">
        <f>IF(B618="","",IFERROR(INDEX(Equipamentos!$C$2:$C$201,MATCH(B618,Equipamentos!$A$2:$A$201,0)),""))</f>
        <v/>
      </c>
      <c r="E618" s="55" t="n"/>
      <c r="F618" s="55" t="n"/>
      <c r="G618">
        <f>IF(B618="","",IFERROR(INDEX(Equipamentos!$N$2:$N$201,MATCH(B618,Equipamentos!$A$2:$A$201,0)),""))</f>
        <v/>
      </c>
      <c r="H618">
        <f>IF(B618="","",IFERROR(INDEX(Equipamentos!$L$2:$L$201,MATCH(B618,Equipamentos!$A$2:$A$201,0)),""))</f>
        <v/>
      </c>
      <c r="I618" s="57">
        <f>IF(OR(A618="",B618=""),"",IFERROR(INDEX(Equipamentos!$J$2:$J$201,MATCH(1,INDEX((Equipamentos!$A$2:$A$201=B618)*(Equipamentos!$P$2:$P$201=A618),0),0)),""))</f>
        <v/>
      </c>
    </row>
    <row r="619">
      <c r="A619" s="54" t="n"/>
      <c r="B619" s="55" t="n"/>
      <c r="C619" s="56">
        <f>IF(OR(A619="",B619=""),"",IF(COUNTIF(Equipamentos!$A$2:$A$201,B619)=0,"tag não encontrada",IFERROR(INDEX(Equipamentos!$H$2:$H$201,MATCH(1,INDEX((Equipamentos!$A$2:$A$201=B619)*(Equipamentos!$P$2:$P$201=A619),0),0)),"confira a data")))</f>
        <v/>
      </c>
      <c r="D619">
        <f>IF(B619="","",IFERROR(INDEX(Equipamentos!$C$2:$C$201,MATCH(B619,Equipamentos!$A$2:$A$201,0)),""))</f>
        <v/>
      </c>
      <c r="E619" s="55" t="n"/>
      <c r="F619" s="55" t="n"/>
      <c r="G619">
        <f>IF(B619="","",IFERROR(INDEX(Equipamentos!$N$2:$N$201,MATCH(B619,Equipamentos!$A$2:$A$201,0)),""))</f>
        <v/>
      </c>
      <c r="H619">
        <f>IF(B619="","",IFERROR(INDEX(Equipamentos!$L$2:$L$201,MATCH(B619,Equipamentos!$A$2:$A$201,0)),""))</f>
        <v/>
      </c>
      <c r="I619" s="57">
        <f>IF(OR(A619="",B619=""),"",IFERROR(INDEX(Equipamentos!$J$2:$J$201,MATCH(1,INDEX((Equipamentos!$A$2:$A$201=B619)*(Equipamentos!$P$2:$P$201=A619),0),0)),""))</f>
        <v/>
      </c>
    </row>
    <row r="620">
      <c r="A620" s="54" t="n"/>
      <c r="B620" s="55" t="n"/>
      <c r="C620" s="56">
        <f>IF(OR(A620="",B620=""),"",IF(COUNTIF(Equipamentos!$A$2:$A$201,B620)=0,"tag não encontrada",IFERROR(INDEX(Equipamentos!$H$2:$H$201,MATCH(1,INDEX((Equipamentos!$A$2:$A$201=B620)*(Equipamentos!$P$2:$P$201=A620),0),0)),"confira a data")))</f>
        <v/>
      </c>
      <c r="D620">
        <f>IF(B620="","",IFERROR(INDEX(Equipamentos!$C$2:$C$201,MATCH(B620,Equipamentos!$A$2:$A$201,0)),""))</f>
        <v/>
      </c>
      <c r="E620" s="55" t="n"/>
      <c r="F620" s="55" t="n"/>
      <c r="G620">
        <f>IF(B620="","",IFERROR(INDEX(Equipamentos!$N$2:$N$201,MATCH(B620,Equipamentos!$A$2:$A$201,0)),""))</f>
        <v/>
      </c>
      <c r="H620">
        <f>IF(B620="","",IFERROR(INDEX(Equipamentos!$L$2:$L$201,MATCH(B620,Equipamentos!$A$2:$A$201,0)),""))</f>
        <v/>
      </c>
      <c r="I620" s="57">
        <f>IF(OR(A620="",B620=""),"",IFERROR(INDEX(Equipamentos!$J$2:$J$201,MATCH(1,INDEX((Equipamentos!$A$2:$A$201=B620)*(Equipamentos!$P$2:$P$201=A620),0),0)),""))</f>
        <v/>
      </c>
    </row>
    <row r="621">
      <c r="A621" s="54" t="n"/>
      <c r="B621" s="55" t="n"/>
      <c r="C621" s="56">
        <f>IF(OR(A621="",B621=""),"",IF(COUNTIF(Equipamentos!$A$2:$A$201,B621)=0,"tag não encontrada",IFERROR(INDEX(Equipamentos!$H$2:$H$201,MATCH(1,INDEX((Equipamentos!$A$2:$A$201=B621)*(Equipamentos!$P$2:$P$201=A621),0),0)),"confira a data")))</f>
        <v/>
      </c>
      <c r="D621">
        <f>IF(B621="","",IFERROR(INDEX(Equipamentos!$C$2:$C$201,MATCH(B621,Equipamentos!$A$2:$A$201,0)),""))</f>
        <v/>
      </c>
      <c r="E621" s="55" t="n"/>
      <c r="F621" s="55" t="n"/>
      <c r="G621">
        <f>IF(B621="","",IFERROR(INDEX(Equipamentos!$N$2:$N$201,MATCH(B621,Equipamentos!$A$2:$A$201,0)),""))</f>
        <v/>
      </c>
      <c r="H621">
        <f>IF(B621="","",IFERROR(INDEX(Equipamentos!$L$2:$L$201,MATCH(B621,Equipamentos!$A$2:$A$201,0)),""))</f>
        <v/>
      </c>
      <c r="I621" s="57">
        <f>IF(OR(A621="",B621=""),"",IFERROR(INDEX(Equipamentos!$J$2:$J$201,MATCH(1,INDEX((Equipamentos!$A$2:$A$201=B621)*(Equipamentos!$P$2:$P$201=A621),0),0)),""))</f>
        <v/>
      </c>
    </row>
    <row r="622">
      <c r="A622" s="54" t="n"/>
      <c r="B622" s="55" t="n"/>
      <c r="C622" s="56">
        <f>IF(OR(A622="",B622=""),"",IF(COUNTIF(Equipamentos!$A$2:$A$201,B622)=0,"tag não encontrada",IFERROR(INDEX(Equipamentos!$H$2:$H$201,MATCH(1,INDEX((Equipamentos!$A$2:$A$201=B622)*(Equipamentos!$P$2:$P$201=A622),0),0)),"confira a data")))</f>
        <v/>
      </c>
      <c r="D622">
        <f>IF(B622="","",IFERROR(INDEX(Equipamentos!$C$2:$C$201,MATCH(B622,Equipamentos!$A$2:$A$201,0)),""))</f>
        <v/>
      </c>
      <c r="E622" s="55" t="n"/>
      <c r="F622" s="55" t="n"/>
      <c r="G622">
        <f>IF(B622="","",IFERROR(INDEX(Equipamentos!$N$2:$N$201,MATCH(B622,Equipamentos!$A$2:$A$201,0)),""))</f>
        <v/>
      </c>
      <c r="H622">
        <f>IF(B622="","",IFERROR(INDEX(Equipamentos!$L$2:$L$201,MATCH(B622,Equipamentos!$A$2:$A$201,0)),""))</f>
        <v/>
      </c>
      <c r="I622" s="57">
        <f>IF(OR(A622="",B622=""),"",IFERROR(INDEX(Equipamentos!$J$2:$J$201,MATCH(1,INDEX((Equipamentos!$A$2:$A$201=B622)*(Equipamentos!$P$2:$P$201=A622),0),0)),""))</f>
        <v/>
      </c>
    </row>
    <row r="623">
      <c r="A623" s="54" t="n"/>
      <c r="B623" s="55" t="n"/>
      <c r="C623" s="56">
        <f>IF(OR(A623="",B623=""),"",IF(COUNTIF(Equipamentos!$A$2:$A$201,B623)=0,"tag não encontrada",IFERROR(INDEX(Equipamentos!$H$2:$H$201,MATCH(1,INDEX((Equipamentos!$A$2:$A$201=B623)*(Equipamentos!$P$2:$P$201=A623),0),0)),"confira a data")))</f>
        <v/>
      </c>
      <c r="D623">
        <f>IF(B623="","",IFERROR(INDEX(Equipamentos!$C$2:$C$201,MATCH(B623,Equipamentos!$A$2:$A$201,0)),""))</f>
        <v/>
      </c>
      <c r="E623" s="55" t="n"/>
      <c r="F623" s="55" t="n"/>
      <c r="G623">
        <f>IF(B623="","",IFERROR(INDEX(Equipamentos!$N$2:$N$201,MATCH(B623,Equipamentos!$A$2:$A$201,0)),""))</f>
        <v/>
      </c>
      <c r="H623">
        <f>IF(B623="","",IFERROR(INDEX(Equipamentos!$L$2:$L$201,MATCH(B623,Equipamentos!$A$2:$A$201,0)),""))</f>
        <v/>
      </c>
      <c r="I623" s="57">
        <f>IF(OR(A623="",B623=""),"",IFERROR(INDEX(Equipamentos!$J$2:$J$201,MATCH(1,INDEX((Equipamentos!$A$2:$A$201=B623)*(Equipamentos!$P$2:$P$201=A623),0),0)),""))</f>
        <v/>
      </c>
    </row>
    <row r="624">
      <c r="A624" s="54" t="n"/>
      <c r="B624" s="55" t="n"/>
      <c r="C624" s="56">
        <f>IF(OR(A624="",B624=""),"",IF(COUNTIF(Equipamentos!$A$2:$A$201,B624)=0,"tag não encontrada",IFERROR(INDEX(Equipamentos!$H$2:$H$201,MATCH(1,INDEX((Equipamentos!$A$2:$A$201=B624)*(Equipamentos!$P$2:$P$201=A624),0),0)),"confira a data")))</f>
        <v/>
      </c>
      <c r="D624">
        <f>IF(B624="","",IFERROR(INDEX(Equipamentos!$C$2:$C$201,MATCH(B624,Equipamentos!$A$2:$A$201,0)),""))</f>
        <v/>
      </c>
      <c r="E624" s="55" t="n"/>
      <c r="F624" s="55" t="n"/>
      <c r="G624">
        <f>IF(B624="","",IFERROR(INDEX(Equipamentos!$N$2:$N$201,MATCH(B624,Equipamentos!$A$2:$A$201,0)),""))</f>
        <v/>
      </c>
      <c r="H624">
        <f>IF(B624="","",IFERROR(INDEX(Equipamentos!$L$2:$L$201,MATCH(B624,Equipamentos!$A$2:$A$201,0)),""))</f>
        <v/>
      </c>
      <c r="I624" s="57">
        <f>IF(OR(A624="",B624=""),"",IFERROR(INDEX(Equipamentos!$J$2:$J$201,MATCH(1,INDEX((Equipamentos!$A$2:$A$201=B624)*(Equipamentos!$P$2:$P$201=A624),0),0)),""))</f>
        <v/>
      </c>
    </row>
    <row r="625">
      <c r="A625" s="54" t="n"/>
      <c r="B625" s="55" t="n"/>
      <c r="C625" s="56">
        <f>IF(OR(A625="",B625=""),"",IF(COUNTIF(Equipamentos!$A$2:$A$201,B625)=0,"tag não encontrada",IFERROR(INDEX(Equipamentos!$H$2:$H$201,MATCH(1,INDEX((Equipamentos!$A$2:$A$201=B625)*(Equipamentos!$P$2:$P$201=A625),0),0)),"confira a data")))</f>
        <v/>
      </c>
      <c r="D625">
        <f>IF(B625="","",IFERROR(INDEX(Equipamentos!$C$2:$C$201,MATCH(B625,Equipamentos!$A$2:$A$201,0)),""))</f>
        <v/>
      </c>
      <c r="E625" s="55" t="n"/>
      <c r="F625" s="55" t="n"/>
      <c r="G625">
        <f>IF(B625="","",IFERROR(INDEX(Equipamentos!$N$2:$N$201,MATCH(B625,Equipamentos!$A$2:$A$201,0)),""))</f>
        <v/>
      </c>
      <c r="H625">
        <f>IF(B625="","",IFERROR(INDEX(Equipamentos!$L$2:$L$201,MATCH(B625,Equipamentos!$A$2:$A$201,0)),""))</f>
        <v/>
      </c>
      <c r="I625" s="57">
        <f>IF(OR(A625="",B625=""),"",IFERROR(INDEX(Equipamentos!$J$2:$J$201,MATCH(1,INDEX((Equipamentos!$A$2:$A$201=B625)*(Equipamentos!$P$2:$P$201=A625),0),0)),""))</f>
        <v/>
      </c>
    </row>
    <row r="626">
      <c r="A626" s="54" t="n"/>
      <c r="B626" s="55" t="n"/>
      <c r="C626" s="56">
        <f>IF(OR(A626="",B626=""),"",IF(COUNTIF(Equipamentos!$A$2:$A$201,B626)=0,"tag não encontrada",IFERROR(INDEX(Equipamentos!$H$2:$H$201,MATCH(1,INDEX((Equipamentos!$A$2:$A$201=B626)*(Equipamentos!$P$2:$P$201=A626),0),0)),"confira a data")))</f>
        <v/>
      </c>
      <c r="D626">
        <f>IF(B626="","",IFERROR(INDEX(Equipamentos!$C$2:$C$201,MATCH(B626,Equipamentos!$A$2:$A$201,0)),""))</f>
        <v/>
      </c>
      <c r="E626" s="55" t="n"/>
      <c r="F626" s="55" t="n"/>
      <c r="G626">
        <f>IF(B626="","",IFERROR(INDEX(Equipamentos!$N$2:$N$201,MATCH(B626,Equipamentos!$A$2:$A$201,0)),""))</f>
        <v/>
      </c>
      <c r="H626">
        <f>IF(B626="","",IFERROR(INDEX(Equipamentos!$L$2:$L$201,MATCH(B626,Equipamentos!$A$2:$A$201,0)),""))</f>
        <v/>
      </c>
      <c r="I626" s="57">
        <f>IF(OR(A626="",B626=""),"",IFERROR(INDEX(Equipamentos!$J$2:$J$201,MATCH(1,INDEX((Equipamentos!$A$2:$A$201=B626)*(Equipamentos!$P$2:$P$201=A626),0),0)),""))</f>
        <v/>
      </c>
    </row>
    <row r="627">
      <c r="A627" s="54" t="n"/>
      <c r="B627" s="55" t="n"/>
      <c r="C627" s="56">
        <f>IF(OR(A627="",B627=""),"",IF(COUNTIF(Equipamentos!$A$2:$A$201,B627)=0,"tag não encontrada",IFERROR(INDEX(Equipamentos!$H$2:$H$201,MATCH(1,INDEX((Equipamentos!$A$2:$A$201=B627)*(Equipamentos!$P$2:$P$201=A627),0),0)),"confira a data")))</f>
        <v/>
      </c>
      <c r="D627">
        <f>IF(B627="","",IFERROR(INDEX(Equipamentos!$C$2:$C$201,MATCH(B627,Equipamentos!$A$2:$A$201,0)),""))</f>
        <v/>
      </c>
      <c r="E627" s="55" t="n"/>
      <c r="F627" s="55" t="n"/>
      <c r="G627">
        <f>IF(B627="","",IFERROR(INDEX(Equipamentos!$N$2:$N$201,MATCH(B627,Equipamentos!$A$2:$A$201,0)),""))</f>
        <v/>
      </c>
      <c r="H627">
        <f>IF(B627="","",IFERROR(INDEX(Equipamentos!$L$2:$L$201,MATCH(B627,Equipamentos!$A$2:$A$201,0)),""))</f>
        <v/>
      </c>
      <c r="I627" s="57">
        <f>IF(OR(A627="",B627=""),"",IFERROR(INDEX(Equipamentos!$J$2:$J$201,MATCH(1,INDEX((Equipamentos!$A$2:$A$201=B627)*(Equipamentos!$P$2:$P$201=A627),0),0)),""))</f>
        <v/>
      </c>
    </row>
    <row r="628">
      <c r="A628" s="54" t="n"/>
      <c r="B628" s="55" t="n"/>
      <c r="C628" s="56">
        <f>IF(OR(A628="",B628=""),"",IF(COUNTIF(Equipamentos!$A$2:$A$201,B628)=0,"tag não encontrada",IFERROR(INDEX(Equipamentos!$H$2:$H$201,MATCH(1,INDEX((Equipamentos!$A$2:$A$201=B628)*(Equipamentos!$P$2:$P$201=A628),0),0)),"confira a data")))</f>
        <v/>
      </c>
      <c r="D628">
        <f>IF(B628="","",IFERROR(INDEX(Equipamentos!$C$2:$C$201,MATCH(B628,Equipamentos!$A$2:$A$201,0)),""))</f>
        <v/>
      </c>
      <c r="E628" s="55" t="n"/>
      <c r="F628" s="55" t="n"/>
      <c r="G628">
        <f>IF(B628="","",IFERROR(INDEX(Equipamentos!$N$2:$N$201,MATCH(B628,Equipamentos!$A$2:$A$201,0)),""))</f>
        <v/>
      </c>
      <c r="H628">
        <f>IF(B628="","",IFERROR(INDEX(Equipamentos!$L$2:$L$201,MATCH(B628,Equipamentos!$A$2:$A$201,0)),""))</f>
        <v/>
      </c>
      <c r="I628" s="57">
        <f>IF(OR(A628="",B628=""),"",IFERROR(INDEX(Equipamentos!$J$2:$J$201,MATCH(1,INDEX((Equipamentos!$A$2:$A$201=B628)*(Equipamentos!$P$2:$P$201=A628),0),0)),""))</f>
        <v/>
      </c>
    </row>
    <row r="629">
      <c r="A629" s="54" t="n"/>
      <c r="B629" s="55" t="n"/>
      <c r="C629" s="56">
        <f>IF(OR(A629="",B629=""),"",IF(COUNTIF(Equipamentos!$A$2:$A$201,B629)=0,"tag não encontrada",IFERROR(INDEX(Equipamentos!$H$2:$H$201,MATCH(1,INDEX((Equipamentos!$A$2:$A$201=B629)*(Equipamentos!$P$2:$P$201=A629),0),0)),"confira a data")))</f>
        <v/>
      </c>
      <c r="D629">
        <f>IF(B629="","",IFERROR(INDEX(Equipamentos!$C$2:$C$201,MATCH(B629,Equipamentos!$A$2:$A$201,0)),""))</f>
        <v/>
      </c>
      <c r="E629" s="55" t="n"/>
      <c r="F629" s="55" t="n"/>
      <c r="G629">
        <f>IF(B629="","",IFERROR(INDEX(Equipamentos!$N$2:$N$201,MATCH(B629,Equipamentos!$A$2:$A$201,0)),""))</f>
        <v/>
      </c>
      <c r="H629">
        <f>IF(B629="","",IFERROR(INDEX(Equipamentos!$L$2:$L$201,MATCH(B629,Equipamentos!$A$2:$A$201,0)),""))</f>
        <v/>
      </c>
      <c r="I629" s="57">
        <f>IF(OR(A629="",B629=""),"",IFERROR(INDEX(Equipamentos!$J$2:$J$201,MATCH(1,INDEX((Equipamentos!$A$2:$A$201=B629)*(Equipamentos!$P$2:$P$201=A629),0),0)),""))</f>
        <v/>
      </c>
    </row>
    <row r="630">
      <c r="A630" s="54" t="n"/>
      <c r="B630" s="55" t="n"/>
      <c r="C630" s="56">
        <f>IF(OR(A630="",B630=""),"",IF(COUNTIF(Equipamentos!$A$2:$A$201,B630)=0,"tag não encontrada",IFERROR(INDEX(Equipamentos!$H$2:$H$201,MATCH(1,INDEX((Equipamentos!$A$2:$A$201=B630)*(Equipamentos!$P$2:$P$201=A630),0),0)),"confira a data")))</f>
        <v/>
      </c>
      <c r="D630">
        <f>IF(B630="","",IFERROR(INDEX(Equipamentos!$C$2:$C$201,MATCH(B630,Equipamentos!$A$2:$A$201,0)),""))</f>
        <v/>
      </c>
      <c r="E630" s="55" t="n"/>
      <c r="F630" s="55" t="n"/>
      <c r="G630">
        <f>IF(B630="","",IFERROR(INDEX(Equipamentos!$N$2:$N$201,MATCH(B630,Equipamentos!$A$2:$A$201,0)),""))</f>
        <v/>
      </c>
      <c r="H630">
        <f>IF(B630="","",IFERROR(INDEX(Equipamentos!$L$2:$L$201,MATCH(B630,Equipamentos!$A$2:$A$201,0)),""))</f>
        <v/>
      </c>
      <c r="I630" s="57">
        <f>IF(OR(A630="",B630=""),"",IFERROR(INDEX(Equipamentos!$J$2:$J$201,MATCH(1,INDEX((Equipamentos!$A$2:$A$201=B630)*(Equipamentos!$P$2:$P$201=A630),0),0)),""))</f>
        <v/>
      </c>
    </row>
    <row r="631">
      <c r="A631" s="54" t="n"/>
      <c r="B631" s="55" t="n"/>
      <c r="C631" s="56">
        <f>IF(OR(A631="",B631=""),"",IF(COUNTIF(Equipamentos!$A$2:$A$201,B631)=0,"tag não encontrada",IFERROR(INDEX(Equipamentos!$H$2:$H$201,MATCH(1,INDEX((Equipamentos!$A$2:$A$201=B631)*(Equipamentos!$P$2:$P$201=A631),0),0)),"confira a data")))</f>
        <v/>
      </c>
      <c r="D631">
        <f>IF(B631="","",IFERROR(INDEX(Equipamentos!$C$2:$C$201,MATCH(B631,Equipamentos!$A$2:$A$201,0)),""))</f>
        <v/>
      </c>
      <c r="E631" s="55" t="n"/>
      <c r="F631" s="55" t="n"/>
      <c r="G631">
        <f>IF(B631="","",IFERROR(INDEX(Equipamentos!$N$2:$N$201,MATCH(B631,Equipamentos!$A$2:$A$201,0)),""))</f>
        <v/>
      </c>
      <c r="H631">
        <f>IF(B631="","",IFERROR(INDEX(Equipamentos!$L$2:$L$201,MATCH(B631,Equipamentos!$A$2:$A$201,0)),""))</f>
        <v/>
      </c>
      <c r="I631" s="57">
        <f>IF(OR(A631="",B631=""),"",IFERROR(INDEX(Equipamentos!$J$2:$J$201,MATCH(1,INDEX((Equipamentos!$A$2:$A$201=B631)*(Equipamentos!$P$2:$P$201=A631),0),0)),""))</f>
        <v/>
      </c>
    </row>
    <row r="632">
      <c r="A632" s="54" t="n"/>
      <c r="B632" s="55" t="n"/>
      <c r="C632" s="56">
        <f>IF(OR(A632="",B632=""),"",IF(COUNTIF(Equipamentos!$A$2:$A$201,B632)=0,"tag não encontrada",IFERROR(INDEX(Equipamentos!$H$2:$H$201,MATCH(1,INDEX((Equipamentos!$A$2:$A$201=B632)*(Equipamentos!$P$2:$P$201=A632),0),0)),"confira a data")))</f>
        <v/>
      </c>
      <c r="D632">
        <f>IF(B632="","",IFERROR(INDEX(Equipamentos!$C$2:$C$201,MATCH(B632,Equipamentos!$A$2:$A$201,0)),""))</f>
        <v/>
      </c>
      <c r="E632" s="55" t="n"/>
      <c r="F632" s="55" t="n"/>
      <c r="G632">
        <f>IF(B632="","",IFERROR(INDEX(Equipamentos!$N$2:$N$201,MATCH(B632,Equipamentos!$A$2:$A$201,0)),""))</f>
        <v/>
      </c>
      <c r="H632">
        <f>IF(B632="","",IFERROR(INDEX(Equipamentos!$L$2:$L$201,MATCH(B632,Equipamentos!$A$2:$A$201,0)),""))</f>
        <v/>
      </c>
      <c r="I632" s="57">
        <f>IF(OR(A632="",B632=""),"",IFERROR(INDEX(Equipamentos!$J$2:$J$201,MATCH(1,INDEX((Equipamentos!$A$2:$A$201=B632)*(Equipamentos!$P$2:$P$201=A632),0),0)),""))</f>
        <v/>
      </c>
    </row>
    <row r="633">
      <c r="A633" s="54" t="n"/>
      <c r="B633" s="55" t="n"/>
      <c r="C633" s="56">
        <f>IF(OR(A633="",B633=""),"",IF(COUNTIF(Equipamentos!$A$2:$A$201,B633)=0,"tag não encontrada",IFERROR(INDEX(Equipamentos!$H$2:$H$201,MATCH(1,INDEX((Equipamentos!$A$2:$A$201=B633)*(Equipamentos!$P$2:$P$201=A633),0),0)),"confira a data")))</f>
        <v/>
      </c>
      <c r="D633">
        <f>IF(B633="","",IFERROR(INDEX(Equipamentos!$C$2:$C$201,MATCH(B633,Equipamentos!$A$2:$A$201,0)),""))</f>
        <v/>
      </c>
      <c r="E633" s="55" t="n"/>
      <c r="F633" s="55" t="n"/>
      <c r="G633">
        <f>IF(B633="","",IFERROR(INDEX(Equipamentos!$N$2:$N$201,MATCH(B633,Equipamentos!$A$2:$A$201,0)),""))</f>
        <v/>
      </c>
      <c r="H633">
        <f>IF(B633="","",IFERROR(INDEX(Equipamentos!$L$2:$L$201,MATCH(B633,Equipamentos!$A$2:$A$201,0)),""))</f>
        <v/>
      </c>
      <c r="I633" s="57">
        <f>IF(OR(A633="",B633=""),"",IFERROR(INDEX(Equipamentos!$J$2:$J$201,MATCH(1,INDEX((Equipamentos!$A$2:$A$201=B633)*(Equipamentos!$P$2:$P$201=A633),0),0)),""))</f>
        <v/>
      </c>
    </row>
    <row r="634">
      <c r="A634" s="54" t="n"/>
      <c r="B634" s="55" t="n"/>
      <c r="C634" s="56">
        <f>IF(OR(A634="",B634=""),"",IF(COUNTIF(Equipamentos!$A$2:$A$201,B634)=0,"tag não encontrada",IFERROR(INDEX(Equipamentos!$H$2:$H$201,MATCH(1,INDEX((Equipamentos!$A$2:$A$201=B634)*(Equipamentos!$P$2:$P$201=A634),0),0)),"confira a data")))</f>
        <v/>
      </c>
      <c r="D634">
        <f>IF(B634="","",IFERROR(INDEX(Equipamentos!$C$2:$C$201,MATCH(B634,Equipamentos!$A$2:$A$201,0)),""))</f>
        <v/>
      </c>
      <c r="E634" s="55" t="n"/>
      <c r="F634" s="55" t="n"/>
      <c r="G634">
        <f>IF(B634="","",IFERROR(INDEX(Equipamentos!$N$2:$N$201,MATCH(B634,Equipamentos!$A$2:$A$201,0)),""))</f>
        <v/>
      </c>
      <c r="H634">
        <f>IF(B634="","",IFERROR(INDEX(Equipamentos!$L$2:$L$201,MATCH(B634,Equipamentos!$A$2:$A$201,0)),""))</f>
        <v/>
      </c>
      <c r="I634" s="57">
        <f>IF(OR(A634="",B634=""),"",IFERROR(INDEX(Equipamentos!$J$2:$J$201,MATCH(1,INDEX((Equipamentos!$A$2:$A$201=B634)*(Equipamentos!$P$2:$P$201=A634),0),0)),""))</f>
        <v/>
      </c>
    </row>
    <row r="635">
      <c r="A635" s="54" t="n"/>
      <c r="B635" s="55" t="n"/>
      <c r="C635" s="56">
        <f>IF(OR(A635="",B635=""),"",IF(COUNTIF(Equipamentos!$A$2:$A$201,B635)=0,"tag não encontrada",IFERROR(INDEX(Equipamentos!$H$2:$H$201,MATCH(1,INDEX((Equipamentos!$A$2:$A$201=B635)*(Equipamentos!$P$2:$P$201=A635),0),0)),"confira a data")))</f>
        <v/>
      </c>
      <c r="D635">
        <f>IF(B635="","",IFERROR(INDEX(Equipamentos!$C$2:$C$201,MATCH(B635,Equipamentos!$A$2:$A$201,0)),""))</f>
        <v/>
      </c>
      <c r="E635" s="55" t="n"/>
      <c r="F635" s="55" t="n"/>
      <c r="G635">
        <f>IF(B635="","",IFERROR(INDEX(Equipamentos!$N$2:$N$201,MATCH(B635,Equipamentos!$A$2:$A$201,0)),""))</f>
        <v/>
      </c>
      <c r="H635">
        <f>IF(B635="","",IFERROR(INDEX(Equipamentos!$L$2:$L$201,MATCH(B635,Equipamentos!$A$2:$A$201,0)),""))</f>
        <v/>
      </c>
      <c r="I635" s="57">
        <f>IF(OR(A635="",B635=""),"",IFERROR(INDEX(Equipamentos!$J$2:$J$201,MATCH(1,INDEX((Equipamentos!$A$2:$A$201=B635)*(Equipamentos!$P$2:$P$201=A635),0),0)),""))</f>
        <v/>
      </c>
    </row>
    <row r="636">
      <c r="A636" s="54" t="n"/>
      <c r="B636" s="55" t="n"/>
      <c r="C636" s="56">
        <f>IF(OR(A636="",B636=""),"",IF(COUNTIF(Equipamentos!$A$2:$A$201,B636)=0,"tag não encontrada",IFERROR(INDEX(Equipamentos!$H$2:$H$201,MATCH(1,INDEX((Equipamentos!$A$2:$A$201=B636)*(Equipamentos!$P$2:$P$201=A636),0),0)),"confira a data")))</f>
        <v/>
      </c>
      <c r="D636">
        <f>IF(B636="","",IFERROR(INDEX(Equipamentos!$C$2:$C$201,MATCH(B636,Equipamentos!$A$2:$A$201,0)),""))</f>
        <v/>
      </c>
      <c r="E636" s="55" t="n"/>
      <c r="F636" s="55" t="n"/>
      <c r="G636">
        <f>IF(B636="","",IFERROR(INDEX(Equipamentos!$N$2:$N$201,MATCH(B636,Equipamentos!$A$2:$A$201,0)),""))</f>
        <v/>
      </c>
      <c r="H636">
        <f>IF(B636="","",IFERROR(INDEX(Equipamentos!$L$2:$L$201,MATCH(B636,Equipamentos!$A$2:$A$201,0)),""))</f>
        <v/>
      </c>
      <c r="I636" s="57">
        <f>IF(OR(A636="",B636=""),"",IFERROR(INDEX(Equipamentos!$J$2:$J$201,MATCH(1,INDEX((Equipamentos!$A$2:$A$201=B636)*(Equipamentos!$P$2:$P$201=A636),0),0)),""))</f>
        <v/>
      </c>
    </row>
    <row r="637">
      <c r="A637" s="54" t="n"/>
      <c r="B637" s="55" t="n"/>
      <c r="C637" s="56">
        <f>IF(OR(A637="",B637=""),"",IF(COUNTIF(Equipamentos!$A$2:$A$201,B637)=0,"tag não encontrada",IFERROR(INDEX(Equipamentos!$H$2:$H$201,MATCH(1,INDEX((Equipamentos!$A$2:$A$201=B637)*(Equipamentos!$P$2:$P$201=A637),0),0)),"confira a data")))</f>
        <v/>
      </c>
      <c r="D637">
        <f>IF(B637="","",IFERROR(INDEX(Equipamentos!$C$2:$C$201,MATCH(B637,Equipamentos!$A$2:$A$201,0)),""))</f>
        <v/>
      </c>
      <c r="E637" s="55" t="n"/>
      <c r="F637" s="55" t="n"/>
      <c r="G637">
        <f>IF(B637="","",IFERROR(INDEX(Equipamentos!$N$2:$N$201,MATCH(B637,Equipamentos!$A$2:$A$201,0)),""))</f>
        <v/>
      </c>
      <c r="H637">
        <f>IF(B637="","",IFERROR(INDEX(Equipamentos!$L$2:$L$201,MATCH(B637,Equipamentos!$A$2:$A$201,0)),""))</f>
        <v/>
      </c>
      <c r="I637" s="57">
        <f>IF(OR(A637="",B637=""),"",IFERROR(INDEX(Equipamentos!$J$2:$J$201,MATCH(1,INDEX((Equipamentos!$A$2:$A$201=B637)*(Equipamentos!$P$2:$P$201=A637),0),0)),""))</f>
        <v/>
      </c>
    </row>
    <row r="638">
      <c r="A638" s="54" t="n"/>
      <c r="B638" s="55" t="n"/>
      <c r="C638" s="56">
        <f>IF(OR(A638="",B638=""),"",IF(COUNTIF(Equipamentos!$A$2:$A$201,B638)=0,"tag não encontrada",IFERROR(INDEX(Equipamentos!$H$2:$H$201,MATCH(1,INDEX((Equipamentos!$A$2:$A$201=B638)*(Equipamentos!$P$2:$P$201=A638),0),0)),"confira a data")))</f>
        <v/>
      </c>
      <c r="D638">
        <f>IF(B638="","",IFERROR(INDEX(Equipamentos!$C$2:$C$201,MATCH(B638,Equipamentos!$A$2:$A$201,0)),""))</f>
        <v/>
      </c>
      <c r="E638" s="55" t="n"/>
      <c r="F638" s="55" t="n"/>
      <c r="G638">
        <f>IF(B638="","",IFERROR(INDEX(Equipamentos!$N$2:$N$201,MATCH(B638,Equipamentos!$A$2:$A$201,0)),""))</f>
        <v/>
      </c>
      <c r="H638">
        <f>IF(B638="","",IFERROR(INDEX(Equipamentos!$L$2:$L$201,MATCH(B638,Equipamentos!$A$2:$A$201,0)),""))</f>
        <v/>
      </c>
      <c r="I638" s="57">
        <f>IF(OR(A638="",B638=""),"",IFERROR(INDEX(Equipamentos!$J$2:$J$201,MATCH(1,INDEX((Equipamentos!$A$2:$A$201=B638)*(Equipamentos!$P$2:$P$201=A638),0),0)),""))</f>
        <v/>
      </c>
    </row>
    <row r="639">
      <c r="A639" s="54" t="n"/>
      <c r="B639" s="55" t="n"/>
      <c r="C639" s="56">
        <f>IF(OR(A639="",B639=""),"",IF(COUNTIF(Equipamentos!$A$2:$A$201,B639)=0,"tag não encontrada",IFERROR(INDEX(Equipamentos!$H$2:$H$201,MATCH(1,INDEX((Equipamentos!$A$2:$A$201=B639)*(Equipamentos!$P$2:$P$201=A639),0),0)),"confira a data")))</f>
        <v/>
      </c>
      <c r="D639">
        <f>IF(B639="","",IFERROR(INDEX(Equipamentos!$C$2:$C$201,MATCH(B639,Equipamentos!$A$2:$A$201,0)),""))</f>
        <v/>
      </c>
      <c r="E639" s="55" t="n"/>
      <c r="F639" s="55" t="n"/>
      <c r="G639">
        <f>IF(B639="","",IFERROR(INDEX(Equipamentos!$N$2:$N$201,MATCH(B639,Equipamentos!$A$2:$A$201,0)),""))</f>
        <v/>
      </c>
      <c r="H639">
        <f>IF(B639="","",IFERROR(INDEX(Equipamentos!$L$2:$L$201,MATCH(B639,Equipamentos!$A$2:$A$201,0)),""))</f>
        <v/>
      </c>
      <c r="I639" s="57">
        <f>IF(OR(A639="",B639=""),"",IFERROR(INDEX(Equipamentos!$J$2:$J$201,MATCH(1,INDEX((Equipamentos!$A$2:$A$201=B639)*(Equipamentos!$P$2:$P$201=A639),0),0)),""))</f>
        <v/>
      </c>
    </row>
    <row r="640">
      <c r="A640" s="54" t="n"/>
      <c r="B640" s="55" t="n"/>
      <c r="C640" s="56">
        <f>IF(OR(A640="",B640=""),"",IF(COUNTIF(Equipamentos!$A$2:$A$201,B640)=0,"tag não encontrada",IFERROR(INDEX(Equipamentos!$H$2:$H$201,MATCH(1,INDEX((Equipamentos!$A$2:$A$201=B640)*(Equipamentos!$P$2:$P$201=A640),0),0)),"confira a data")))</f>
        <v/>
      </c>
      <c r="D640">
        <f>IF(B640="","",IFERROR(INDEX(Equipamentos!$C$2:$C$201,MATCH(B640,Equipamentos!$A$2:$A$201,0)),""))</f>
        <v/>
      </c>
      <c r="E640" s="55" t="n"/>
      <c r="F640" s="55" t="n"/>
      <c r="G640">
        <f>IF(B640="","",IFERROR(INDEX(Equipamentos!$N$2:$N$201,MATCH(B640,Equipamentos!$A$2:$A$201,0)),""))</f>
        <v/>
      </c>
      <c r="H640">
        <f>IF(B640="","",IFERROR(INDEX(Equipamentos!$L$2:$L$201,MATCH(B640,Equipamentos!$A$2:$A$201,0)),""))</f>
        <v/>
      </c>
      <c r="I640" s="57">
        <f>IF(OR(A640="",B640=""),"",IFERROR(INDEX(Equipamentos!$J$2:$J$201,MATCH(1,INDEX((Equipamentos!$A$2:$A$201=B640)*(Equipamentos!$P$2:$P$201=A640),0),0)),""))</f>
        <v/>
      </c>
    </row>
    <row r="641">
      <c r="A641" s="54" t="n"/>
      <c r="B641" s="55" t="n"/>
      <c r="C641" s="56">
        <f>IF(OR(A641="",B641=""),"",IF(COUNTIF(Equipamentos!$A$2:$A$201,B641)=0,"tag não encontrada",IFERROR(INDEX(Equipamentos!$H$2:$H$201,MATCH(1,INDEX((Equipamentos!$A$2:$A$201=B641)*(Equipamentos!$P$2:$P$201=A641),0),0)),"confira a data")))</f>
        <v/>
      </c>
      <c r="D641">
        <f>IF(B641="","",IFERROR(INDEX(Equipamentos!$C$2:$C$201,MATCH(B641,Equipamentos!$A$2:$A$201,0)),""))</f>
        <v/>
      </c>
      <c r="E641" s="55" t="n"/>
      <c r="F641" s="55" t="n"/>
      <c r="G641">
        <f>IF(B641="","",IFERROR(INDEX(Equipamentos!$N$2:$N$201,MATCH(B641,Equipamentos!$A$2:$A$201,0)),""))</f>
        <v/>
      </c>
      <c r="H641">
        <f>IF(B641="","",IFERROR(INDEX(Equipamentos!$L$2:$L$201,MATCH(B641,Equipamentos!$A$2:$A$201,0)),""))</f>
        <v/>
      </c>
      <c r="I641" s="57">
        <f>IF(OR(A641="",B641=""),"",IFERROR(INDEX(Equipamentos!$J$2:$J$201,MATCH(1,INDEX((Equipamentos!$A$2:$A$201=B641)*(Equipamentos!$P$2:$P$201=A641),0),0)),""))</f>
        <v/>
      </c>
    </row>
    <row r="642">
      <c r="A642" s="54" t="n"/>
      <c r="B642" s="55" t="n"/>
      <c r="C642" s="56">
        <f>IF(OR(A642="",B642=""),"",IF(COUNTIF(Equipamentos!$A$2:$A$201,B642)=0,"tag não encontrada",IFERROR(INDEX(Equipamentos!$H$2:$H$201,MATCH(1,INDEX((Equipamentos!$A$2:$A$201=B642)*(Equipamentos!$P$2:$P$201=A642),0),0)),"confira a data")))</f>
        <v/>
      </c>
      <c r="D642">
        <f>IF(B642="","",IFERROR(INDEX(Equipamentos!$C$2:$C$201,MATCH(B642,Equipamentos!$A$2:$A$201,0)),""))</f>
        <v/>
      </c>
      <c r="E642" s="55" t="n"/>
      <c r="F642" s="55" t="n"/>
      <c r="G642">
        <f>IF(B642="","",IFERROR(INDEX(Equipamentos!$N$2:$N$201,MATCH(B642,Equipamentos!$A$2:$A$201,0)),""))</f>
        <v/>
      </c>
      <c r="H642">
        <f>IF(B642="","",IFERROR(INDEX(Equipamentos!$L$2:$L$201,MATCH(B642,Equipamentos!$A$2:$A$201,0)),""))</f>
        <v/>
      </c>
      <c r="I642" s="57">
        <f>IF(OR(A642="",B642=""),"",IFERROR(INDEX(Equipamentos!$J$2:$J$201,MATCH(1,INDEX((Equipamentos!$A$2:$A$201=B642)*(Equipamentos!$P$2:$P$201=A642),0),0)),""))</f>
        <v/>
      </c>
    </row>
    <row r="643">
      <c r="A643" s="54" t="n"/>
      <c r="B643" s="55" t="n"/>
      <c r="C643" s="56">
        <f>IF(OR(A643="",B643=""),"",IF(COUNTIF(Equipamentos!$A$2:$A$201,B643)=0,"tag não encontrada",IFERROR(INDEX(Equipamentos!$H$2:$H$201,MATCH(1,INDEX((Equipamentos!$A$2:$A$201=B643)*(Equipamentos!$P$2:$P$201=A643),0),0)),"confira a data")))</f>
        <v/>
      </c>
      <c r="D643">
        <f>IF(B643="","",IFERROR(INDEX(Equipamentos!$C$2:$C$201,MATCH(B643,Equipamentos!$A$2:$A$201,0)),""))</f>
        <v/>
      </c>
      <c r="E643" s="55" t="n"/>
      <c r="F643" s="55" t="n"/>
      <c r="G643">
        <f>IF(B643="","",IFERROR(INDEX(Equipamentos!$N$2:$N$201,MATCH(B643,Equipamentos!$A$2:$A$201,0)),""))</f>
        <v/>
      </c>
      <c r="H643">
        <f>IF(B643="","",IFERROR(INDEX(Equipamentos!$L$2:$L$201,MATCH(B643,Equipamentos!$A$2:$A$201,0)),""))</f>
        <v/>
      </c>
      <c r="I643" s="57">
        <f>IF(OR(A643="",B643=""),"",IFERROR(INDEX(Equipamentos!$J$2:$J$201,MATCH(1,INDEX((Equipamentos!$A$2:$A$201=B643)*(Equipamentos!$P$2:$P$201=A643),0),0)),""))</f>
        <v/>
      </c>
    </row>
    <row r="644">
      <c r="A644" s="54" t="n"/>
      <c r="B644" s="55" t="n"/>
      <c r="C644" s="56">
        <f>IF(OR(A644="",B644=""),"",IF(COUNTIF(Equipamentos!$A$2:$A$201,B644)=0,"tag não encontrada",IFERROR(INDEX(Equipamentos!$H$2:$H$201,MATCH(1,INDEX((Equipamentos!$A$2:$A$201=B644)*(Equipamentos!$P$2:$P$201=A644),0),0)),"confira a data")))</f>
        <v/>
      </c>
      <c r="D644">
        <f>IF(B644="","",IFERROR(INDEX(Equipamentos!$C$2:$C$201,MATCH(B644,Equipamentos!$A$2:$A$201,0)),""))</f>
        <v/>
      </c>
      <c r="E644" s="55" t="n"/>
      <c r="F644" s="55" t="n"/>
      <c r="G644">
        <f>IF(B644="","",IFERROR(INDEX(Equipamentos!$N$2:$N$201,MATCH(B644,Equipamentos!$A$2:$A$201,0)),""))</f>
        <v/>
      </c>
      <c r="H644">
        <f>IF(B644="","",IFERROR(INDEX(Equipamentos!$L$2:$L$201,MATCH(B644,Equipamentos!$A$2:$A$201,0)),""))</f>
        <v/>
      </c>
      <c r="I644" s="57">
        <f>IF(OR(A644="",B644=""),"",IFERROR(INDEX(Equipamentos!$J$2:$J$201,MATCH(1,INDEX((Equipamentos!$A$2:$A$201=B644)*(Equipamentos!$P$2:$P$201=A644),0),0)),""))</f>
        <v/>
      </c>
    </row>
    <row r="645">
      <c r="A645" s="54" t="n"/>
      <c r="B645" s="55" t="n"/>
      <c r="C645" s="56">
        <f>IF(OR(A645="",B645=""),"",IF(COUNTIF(Equipamentos!$A$2:$A$201,B645)=0,"tag não encontrada",IFERROR(INDEX(Equipamentos!$H$2:$H$201,MATCH(1,INDEX((Equipamentos!$A$2:$A$201=B645)*(Equipamentos!$P$2:$P$201=A645),0),0)),"confira a data")))</f>
        <v/>
      </c>
      <c r="D645">
        <f>IF(B645="","",IFERROR(INDEX(Equipamentos!$C$2:$C$201,MATCH(B645,Equipamentos!$A$2:$A$201,0)),""))</f>
        <v/>
      </c>
      <c r="E645" s="55" t="n"/>
      <c r="F645" s="55" t="n"/>
      <c r="G645">
        <f>IF(B645="","",IFERROR(INDEX(Equipamentos!$N$2:$N$201,MATCH(B645,Equipamentos!$A$2:$A$201,0)),""))</f>
        <v/>
      </c>
      <c r="H645">
        <f>IF(B645="","",IFERROR(INDEX(Equipamentos!$L$2:$L$201,MATCH(B645,Equipamentos!$A$2:$A$201,0)),""))</f>
        <v/>
      </c>
      <c r="I645" s="57">
        <f>IF(OR(A645="",B645=""),"",IFERROR(INDEX(Equipamentos!$J$2:$J$201,MATCH(1,INDEX((Equipamentos!$A$2:$A$201=B645)*(Equipamentos!$P$2:$P$201=A645),0),0)),""))</f>
        <v/>
      </c>
    </row>
    <row r="646">
      <c r="A646" s="54" t="n"/>
      <c r="B646" s="55" t="n"/>
      <c r="C646" s="56">
        <f>IF(OR(A646="",B646=""),"",IF(COUNTIF(Equipamentos!$A$2:$A$201,B646)=0,"tag não encontrada",IFERROR(INDEX(Equipamentos!$H$2:$H$201,MATCH(1,INDEX((Equipamentos!$A$2:$A$201=B646)*(Equipamentos!$P$2:$P$201=A646),0),0)),"confira a data")))</f>
        <v/>
      </c>
      <c r="D646">
        <f>IF(B646="","",IFERROR(INDEX(Equipamentos!$C$2:$C$201,MATCH(B646,Equipamentos!$A$2:$A$201,0)),""))</f>
        <v/>
      </c>
      <c r="E646" s="55" t="n"/>
      <c r="F646" s="55" t="n"/>
      <c r="G646">
        <f>IF(B646="","",IFERROR(INDEX(Equipamentos!$N$2:$N$201,MATCH(B646,Equipamentos!$A$2:$A$201,0)),""))</f>
        <v/>
      </c>
      <c r="H646">
        <f>IF(B646="","",IFERROR(INDEX(Equipamentos!$L$2:$L$201,MATCH(B646,Equipamentos!$A$2:$A$201,0)),""))</f>
        <v/>
      </c>
      <c r="I646" s="57">
        <f>IF(OR(A646="",B646=""),"",IFERROR(INDEX(Equipamentos!$J$2:$J$201,MATCH(1,INDEX((Equipamentos!$A$2:$A$201=B646)*(Equipamentos!$P$2:$P$201=A646),0),0)),""))</f>
        <v/>
      </c>
    </row>
    <row r="647">
      <c r="A647" s="54" t="n"/>
      <c r="B647" s="55" t="n"/>
      <c r="C647" s="56">
        <f>IF(OR(A647="",B647=""),"",IF(COUNTIF(Equipamentos!$A$2:$A$201,B647)=0,"tag não encontrada",IFERROR(INDEX(Equipamentos!$H$2:$H$201,MATCH(1,INDEX((Equipamentos!$A$2:$A$201=B647)*(Equipamentos!$P$2:$P$201=A647),0),0)),"confira a data")))</f>
        <v/>
      </c>
      <c r="D647">
        <f>IF(B647="","",IFERROR(INDEX(Equipamentos!$C$2:$C$201,MATCH(B647,Equipamentos!$A$2:$A$201,0)),""))</f>
        <v/>
      </c>
      <c r="E647" s="55" t="n"/>
      <c r="F647" s="55" t="n"/>
      <c r="G647">
        <f>IF(B647="","",IFERROR(INDEX(Equipamentos!$N$2:$N$201,MATCH(B647,Equipamentos!$A$2:$A$201,0)),""))</f>
        <v/>
      </c>
      <c r="H647">
        <f>IF(B647="","",IFERROR(INDEX(Equipamentos!$L$2:$L$201,MATCH(B647,Equipamentos!$A$2:$A$201,0)),""))</f>
        <v/>
      </c>
      <c r="I647" s="57">
        <f>IF(OR(A647="",B647=""),"",IFERROR(INDEX(Equipamentos!$J$2:$J$201,MATCH(1,INDEX((Equipamentos!$A$2:$A$201=B647)*(Equipamentos!$P$2:$P$201=A647),0),0)),""))</f>
        <v/>
      </c>
    </row>
    <row r="648">
      <c r="A648" s="54" t="n"/>
      <c r="B648" s="55" t="n"/>
      <c r="C648" s="56">
        <f>IF(OR(A648="",B648=""),"",IF(COUNTIF(Equipamentos!$A$2:$A$201,B648)=0,"tag não encontrada",IFERROR(INDEX(Equipamentos!$H$2:$H$201,MATCH(1,INDEX((Equipamentos!$A$2:$A$201=B648)*(Equipamentos!$P$2:$P$201=A648),0),0)),"confira a data")))</f>
        <v/>
      </c>
      <c r="D648">
        <f>IF(B648="","",IFERROR(INDEX(Equipamentos!$C$2:$C$201,MATCH(B648,Equipamentos!$A$2:$A$201,0)),""))</f>
        <v/>
      </c>
      <c r="E648" s="55" t="n"/>
      <c r="F648" s="55" t="n"/>
      <c r="G648">
        <f>IF(B648="","",IFERROR(INDEX(Equipamentos!$N$2:$N$201,MATCH(B648,Equipamentos!$A$2:$A$201,0)),""))</f>
        <v/>
      </c>
      <c r="H648">
        <f>IF(B648="","",IFERROR(INDEX(Equipamentos!$L$2:$L$201,MATCH(B648,Equipamentos!$A$2:$A$201,0)),""))</f>
        <v/>
      </c>
      <c r="I648" s="57">
        <f>IF(OR(A648="",B648=""),"",IFERROR(INDEX(Equipamentos!$J$2:$J$201,MATCH(1,INDEX((Equipamentos!$A$2:$A$201=B648)*(Equipamentos!$P$2:$P$201=A648),0),0)),""))</f>
        <v/>
      </c>
    </row>
    <row r="649">
      <c r="A649" s="54" t="n"/>
      <c r="B649" s="55" t="n"/>
      <c r="C649" s="56">
        <f>IF(OR(A649="",B649=""),"",IF(COUNTIF(Equipamentos!$A$2:$A$201,B649)=0,"tag não encontrada",IFERROR(INDEX(Equipamentos!$H$2:$H$201,MATCH(1,INDEX((Equipamentos!$A$2:$A$201=B649)*(Equipamentos!$P$2:$P$201=A649),0),0)),"confira a data")))</f>
        <v/>
      </c>
      <c r="D649">
        <f>IF(B649="","",IFERROR(INDEX(Equipamentos!$C$2:$C$201,MATCH(B649,Equipamentos!$A$2:$A$201,0)),""))</f>
        <v/>
      </c>
      <c r="E649" s="55" t="n"/>
      <c r="F649" s="55" t="n"/>
      <c r="G649">
        <f>IF(B649="","",IFERROR(INDEX(Equipamentos!$N$2:$N$201,MATCH(B649,Equipamentos!$A$2:$A$201,0)),""))</f>
        <v/>
      </c>
      <c r="H649">
        <f>IF(B649="","",IFERROR(INDEX(Equipamentos!$L$2:$L$201,MATCH(B649,Equipamentos!$A$2:$A$201,0)),""))</f>
        <v/>
      </c>
      <c r="I649" s="57">
        <f>IF(OR(A649="",B649=""),"",IFERROR(INDEX(Equipamentos!$J$2:$J$201,MATCH(1,INDEX((Equipamentos!$A$2:$A$201=B649)*(Equipamentos!$P$2:$P$201=A649),0),0)),""))</f>
        <v/>
      </c>
    </row>
    <row r="650">
      <c r="A650" s="54" t="n"/>
      <c r="B650" s="55" t="n"/>
      <c r="C650" s="56">
        <f>IF(OR(A650="",B650=""),"",IF(COUNTIF(Equipamentos!$A$2:$A$201,B650)=0,"tag não encontrada",IFERROR(INDEX(Equipamentos!$H$2:$H$201,MATCH(1,INDEX((Equipamentos!$A$2:$A$201=B650)*(Equipamentos!$P$2:$P$201=A650),0),0)),"confira a data")))</f>
        <v/>
      </c>
      <c r="D650">
        <f>IF(B650="","",IFERROR(INDEX(Equipamentos!$C$2:$C$201,MATCH(B650,Equipamentos!$A$2:$A$201,0)),""))</f>
        <v/>
      </c>
      <c r="E650" s="55" t="n"/>
      <c r="F650" s="55" t="n"/>
      <c r="G650">
        <f>IF(B650="","",IFERROR(INDEX(Equipamentos!$N$2:$N$201,MATCH(B650,Equipamentos!$A$2:$A$201,0)),""))</f>
        <v/>
      </c>
      <c r="H650">
        <f>IF(B650="","",IFERROR(INDEX(Equipamentos!$L$2:$L$201,MATCH(B650,Equipamentos!$A$2:$A$201,0)),""))</f>
        <v/>
      </c>
      <c r="I650" s="57">
        <f>IF(OR(A650="",B650=""),"",IFERROR(INDEX(Equipamentos!$J$2:$J$201,MATCH(1,INDEX((Equipamentos!$A$2:$A$201=B650)*(Equipamentos!$P$2:$P$201=A650),0),0)),""))</f>
        <v/>
      </c>
    </row>
    <row r="651">
      <c r="A651" s="54" t="n"/>
      <c r="B651" s="55" t="n"/>
      <c r="C651" s="56">
        <f>IF(OR(A651="",B651=""),"",IF(COUNTIF(Equipamentos!$A$2:$A$201,B651)=0,"tag não encontrada",IFERROR(INDEX(Equipamentos!$H$2:$H$201,MATCH(1,INDEX((Equipamentos!$A$2:$A$201=B651)*(Equipamentos!$P$2:$P$201=A651),0),0)),"confira a data")))</f>
        <v/>
      </c>
      <c r="D651">
        <f>IF(B651="","",IFERROR(INDEX(Equipamentos!$C$2:$C$201,MATCH(B651,Equipamentos!$A$2:$A$201,0)),""))</f>
        <v/>
      </c>
      <c r="E651" s="55" t="n"/>
      <c r="F651" s="55" t="n"/>
      <c r="G651">
        <f>IF(B651="","",IFERROR(INDEX(Equipamentos!$N$2:$N$201,MATCH(B651,Equipamentos!$A$2:$A$201,0)),""))</f>
        <v/>
      </c>
      <c r="H651">
        <f>IF(B651="","",IFERROR(INDEX(Equipamentos!$L$2:$L$201,MATCH(B651,Equipamentos!$A$2:$A$201,0)),""))</f>
        <v/>
      </c>
      <c r="I651" s="57">
        <f>IF(OR(A651="",B651=""),"",IFERROR(INDEX(Equipamentos!$J$2:$J$201,MATCH(1,INDEX((Equipamentos!$A$2:$A$201=B651)*(Equipamentos!$P$2:$P$201=A651),0),0)),""))</f>
        <v/>
      </c>
    </row>
    <row r="652">
      <c r="A652" s="54" t="n"/>
      <c r="B652" s="55" t="n"/>
      <c r="C652" s="56">
        <f>IF(OR(A652="",B652=""),"",IF(COUNTIF(Equipamentos!$A$2:$A$201,B652)=0,"tag não encontrada",IFERROR(INDEX(Equipamentos!$H$2:$H$201,MATCH(1,INDEX((Equipamentos!$A$2:$A$201=B652)*(Equipamentos!$P$2:$P$201=A652),0),0)),"confira a data")))</f>
        <v/>
      </c>
      <c r="D652">
        <f>IF(B652="","",IFERROR(INDEX(Equipamentos!$C$2:$C$201,MATCH(B652,Equipamentos!$A$2:$A$201,0)),""))</f>
        <v/>
      </c>
      <c r="E652" s="55" t="n"/>
      <c r="F652" s="55" t="n"/>
      <c r="G652">
        <f>IF(B652="","",IFERROR(INDEX(Equipamentos!$N$2:$N$201,MATCH(B652,Equipamentos!$A$2:$A$201,0)),""))</f>
        <v/>
      </c>
      <c r="H652">
        <f>IF(B652="","",IFERROR(INDEX(Equipamentos!$L$2:$L$201,MATCH(B652,Equipamentos!$A$2:$A$201,0)),""))</f>
        <v/>
      </c>
      <c r="I652" s="57">
        <f>IF(OR(A652="",B652=""),"",IFERROR(INDEX(Equipamentos!$J$2:$J$201,MATCH(1,INDEX((Equipamentos!$A$2:$A$201=B652)*(Equipamentos!$P$2:$P$201=A652),0),0)),""))</f>
        <v/>
      </c>
    </row>
    <row r="653">
      <c r="A653" s="54" t="n"/>
      <c r="B653" s="55" t="n"/>
      <c r="C653" s="56">
        <f>IF(OR(A653="",B653=""),"",IF(COUNTIF(Equipamentos!$A$2:$A$201,B653)=0,"tag não encontrada",IFERROR(INDEX(Equipamentos!$H$2:$H$201,MATCH(1,INDEX((Equipamentos!$A$2:$A$201=B653)*(Equipamentos!$P$2:$P$201=A653),0),0)),"confira a data")))</f>
        <v/>
      </c>
      <c r="D653">
        <f>IF(B653="","",IFERROR(INDEX(Equipamentos!$C$2:$C$201,MATCH(B653,Equipamentos!$A$2:$A$201,0)),""))</f>
        <v/>
      </c>
      <c r="E653" s="55" t="n"/>
      <c r="F653" s="55" t="n"/>
      <c r="G653">
        <f>IF(B653="","",IFERROR(INDEX(Equipamentos!$N$2:$N$201,MATCH(B653,Equipamentos!$A$2:$A$201,0)),""))</f>
        <v/>
      </c>
      <c r="H653">
        <f>IF(B653="","",IFERROR(INDEX(Equipamentos!$L$2:$L$201,MATCH(B653,Equipamentos!$A$2:$A$201,0)),""))</f>
        <v/>
      </c>
      <c r="I653" s="57">
        <f>IF(OR(A653="",B653=""),"",IFERROR(INDEX(Equipamentos!$J$2:$J$201,MATCH(1,INDEX((Equipamentos!$A$2:$A$201=B653)*(Equipamentos!$P$2:$P$201=A653),0),0)),""))</f>
        <v/>
      </c>
    </row>
    <row r="654">
      <c r="A654" s="54" t="n"/>
      <c r="B654" s="55" t="n"/>
      <c r="C654" s="56">
        <f>IF(OR(A654="",B654=""),"",IF(COUNTIF(Equipamentos!$A$2:$A$201,B654)=0,"tag não encontrada",IFERROR(INDEX(Equipamentos!$H$2:$H$201,MATCH(1,INDEX((Equipamentos!$A$2:$A$201=B654)*(Equipamentos!$P$2:$P$201=A654),0),0)),"confira a data")))</f>
        <v/>
      </c>
      <c r="D654">
        <f>IF(B654="","",IFERROR(INDEX(Equipamentos!$C$2:$C$201,MATCH(B654,Equipamentos!$A$2:$A$201,0)),""))</f>
        <v/>
      </c>
      <c r="E654" s="55" t="n"/>
      <c r="F654" s="55" t="n"/>
      <c r="G654">
        <f>IF(B654="","",IFERROR(INDEX(Equipamentos!$N$2:$N$201,MATCH(B654,Equipamentos!$A$2:$A$201,0)),""))</f>
        <v/>
      </c>
      <c r="H654">
        <f>IF(B654="","",IFERROR(INDEX(Equipamentos!$L$2:$L$201,MATCH(B654,Equipamentos!$A$2:$A$201,0)),""))</f>
        <v/>
      </c>
      <c r="I654" s="57">
        <f>IF(OR(A654="",B654=""),"",IFERROR(INDEX(Equipamentos!$J$2:$J$201,MATCH(1,INDEX((Equipamentos!$A$2:$A$201=B654)*(Equipamentos!$P$2:$P$201=A654),0),0)),""))</f>
        <v/>
      </c>
    </row>
    <row r="655">
      <c r="A655" s="54" t="n"/>
      <c r="B655" s="55" t="n"/>
      <c r="C655" s="56">
        <f>IF(OR(A655="",B655=""),"",IF(COUNTIF(Equipamentos!$A$2:$A$201,B655)=0,"tag não encontrada",IFERROR(INDEX(Equipamentos!$H$2:$H$201,MATCH(1,INDEX((Equipamentos!$A$2:$A$201=B655)*(Equipamentos!$P$2:$P$201=A655),0),0)),"confira a data")))</f>
        <v/>
      </c>
      <c r="D655">
        <f>IF(B655="","",IFERROR(INDEX(Equipamentos!$C$2:$C$201,MATCH(B655,Equipamentos!$A$2:$A$201,0)),""))</f>
        <v/>
      </c>
      <c r="E655" s="55" t="n"/>
      <c r="F655" s="55" t="n"/>
      <c r="G655">
        <f>IF(B655="","",IFERROR(INDEX(Equipamentos!$N$2:$N$201,MATCH(B655,Equipamentos!$A$2:$A$201,0)),""))</f>
        <v/>
      </c>
      <c r="H655">
        <f>IF(B655="","",IFERROR(INDEX(Equipamentos!$L$2:$L$201,MATCH(B655,Equipamentos!$A$2:$A$201,0)),""))</f>
        <v/>
      </c>
      <c r="I655" s="57">
        <f>IF(OR(A655="",B655=""),"",IFERROR(INDEX(Equipamentos!$J$2:$J$201,MATCH(1,INDEX((Equipamentos!$A$2:$A$201=B655)*(Equipamentos!$P$2:$P$201=A655),0),0)),""))</f>
        <v/>
      </c>
    </row>
    <row r="656">
      <c r="A656" s="54" t="n"/>
      <c r="B656" s="55" t="n"/>
      <c r="C656" s="56">
        <f>IF(OR(A656="",B656=""),"",IF(COUNTIF(Equipamentos!$A$2:$A$201,B656)=0,"tag não encontrada",IFERROR(INDEX(Equipamentos!$H$2:$H$201,MATCH(1,INDEX((Equipamentos!$A$2:$A$201=B656)*(Equipamentos!$P$2:$P$201=A656),0),0)),"confira a data")))</f>
        <v/>
      </c>
      <c r="D656">
        <f>IF(B656="","",IFERROR(INDEX(Equipamentos!$C$2:$C$201,MATCH(B656,Equipamentos!$A$2:$A$201,0)),""))</f>
        <v/>
      </c>
      <c r="E656" s="55" t="n"/>
      <c r="F656" s="55" t="n"/>
      <c r="G656">
        <f>IF(B656="","",IFERROR(INDEX(Equipamentos!$N$2:$N$201,MATCH(B656,Equipamentos!$A$2:$A$201,0)),""))</f>
        <v/>
      </c>
      <c r="H656">
        <f>IF(B656="","",IFERROR(INDEX(Equipamentos!$L$2:$L$201,MATCH(B656,Equipamentos!$A$2:$A$201,0)),""))</f>
        <v/>
      </c>
      <c r="I656" s="57">
        <f>IF(OR(A656="",B656=""),"",IFERROR(INDEX(Equipamentos!$J$2:$J$201,MATCH(1,INDEX((Equipamentos!$A$2:$A$201=B656)*(Equipamentos!$P$2:$P$201=A656),0),0)),""))</f>
        <v/>
      </c>
    </row>
    <row r="657">
      <c r="A657" s="54" t="n"/>
      <c r="B657" s="55" t="n"/>
      <c r="C657" s="56">
        <f>IF(OR(A657="",B657=""),"",IF(COUNTIF(Equipamentos!$A$2:$A$201,B657)=0,"tag não encontrada",IFERROR(INDEX(Equipamentos!$H$2:$H$201,MATCH(1,INDEX((Equipamentos!$A$2:$A$201=B657)*(Equipamentos!$P$2:$P$201=A657),0),0)),"confira a data")))</f>
        <v/>
      </c>
      <c r="D657">
        <f>IF(B657="","",IFERROR(INDEX(Equipamentos!$C$2:$C$201,MATCH(B657,Equipamentos!$A$2:$A$201,0)),""))</f>
        <v/>
      </c>
      <c r="E657" s="55" t="n"/>
      <c r="F657" s="55" t="n"/>
      <c r="G657">
        <f>IF(B657="","",IFERROR(INDEX(Equipamentos!$N$2:$N$201,MATCH(B657,Equipamentos!$A$2:$A$201,0)),""))</f>
        <v/>
      </c>
      <c r="H657">
        <f>IF(B657="","",IFERROR(INDEX(Equipamentos!$L$2:$L$201,MATCH(B657,Equipamentos!$A$2:$A$201,0)),""))</f>
        <v/>
      </c>
      <c r="I657" s="57">
        <f>IF(OR(A657="",B657=""),"",IFERROR(INDEX(Equipamentos!$J$2:$J$201,MATCH(1,INDEX((Equipamentos!$A$2:$A$201=B657)*(Equipamentos!$P$2:$P$201=A657),0),0)),""))</f>
        <v/>
      </c>
    </row>
    <row r="658">
      <c r="A658" s="54" t="n"/>
      <c r="B658" s="55" t="n"/>
      <c r="C658" s="56">
        <f>IF(OR(A658="",B658=""),"",IF(COUNTIF(Equipamentos!$A$2:$A$201,B658)=0,"tag não encontrada",IFERROR(INDEX(Equipamentos!$H$2:$H$201,MATCH(1,INDEX((Equipamentos!$A$2:$A$201=B658)*(Equipamentos!$P$2:$P$201=A658),0),0)),"confira a data")))</f>
        <v/>
      </c>
      <c r="D658">
        <f>IF(B658="","",IFERROR(INDEX(Equipamentos!$C$2:$C$201,MATCH(B658,Equipamentos!$A$2:$A$201,0)),""))</f>
        <v/>
      </c>
      <c r="E658" s="55" t="n"/>
      <c r="F658" s="55" t="n"/>
      <c r="G658">
        <f>IF(B658="","",IFERROR(INDEX(Equipamentos!$N$2:$N$201,MATCH(B658,Equipamentos!$A$2:$A$201,0)),""))</f>
        <v/>
      </c>
      <c r="H658">
        <f>IF(B658="","",IFERROR(INDEX(Equipamentos!$L$2:$L$201,MATCH(B658,Equipamentos!$A$2:$A$201,0)),""))</f>
        <v/>
      </c>
      <c r="I658" s="57">
        <f>IF(OR(A658="",B658=""),"",IFERROR(INDEX(Equipamentos!$J$2:$J$201,MATCH(1,INDEX((Equipamentos!$A$2:$A$201=B658)*(Equipamentos!$P$2:$P$201=A658),0),0)),""))</f>
        <v/>
      </c>
    </row>
    <row r="659">
      <c r="A659" s="54" t="n"/>
      <c r="B659" s="55" t="n"/>
      <c r="C659" s="56">
        <f>IF(OR(A659="",B659=""),"",IF(COUNTIF(Equipamentos!$A$2:$A$201,B659)=0,"tag não encontrada",IFERROR(INDEX(Equipamentos!$H$2:$H$201,MATCH(1,INDEX((Equipamentos!$A$2:$A$201=B659)*(Equipamentos!$P$2:$P$201=A659),0),0)),"confira a data")))</f>
        <v/>
      </c>
      <c r="D659">
        <f>IF(B659="","",IFERROR(INDEX(Equipamentos!$C$2:$C$201,MATCH(B659,Equipamentos!$A$2:$A$201,0)),""))</f>
        <v/>
      </c>
      <c r="E659" s="55" t="n"/>
      <c r="F659" s="55" t="n"/>
      <c r="G659">
        <f>IF(B659="","",IFERROR(INDEX(Equipamentos!$N$2:$N$201,MATCH(B659,Equipamentos!$A$2:$A$201,0)),""))</f>
        <v/>
      </c>
      <c r="H659">
        <f>IF(B659="","",IFERROR(INDEX(Equipamentos!$L$2:$L$201,MATCH(B659,Equipamentos!$A$2:$A$201,0)),""))</f>
        <v/>
      </c>
      <c r="I659" s="57">
        <f>IF(OR(A659="",B659=""),"",IFERROR(INDEX(Equipamentos!$J$2:$J$201,MATCH(1,INDEX((Equipamentos!$A$2:$A$201=B659)*(Equipamentos!$P$2:$P$201=A659),0),0)),""))</f>
        <v/>
      </c>
    </row>
    <row r="660">
      <c r="A660" s="54" t="n"/>
      <c r="B660" s="55" t="n"/>
      <c r="C660" s="56">
        <f>IF(OR(A660="",B660=""),"",IF(COUNTIF(Equipamentos!$A$2:$A$201,B660)=0,"tag não encontrada",IFERROR(INDEX(Equipamentos!$H$2:$H$201,MATCH(1,INDEX((Equipamentos!$A$2:$A$201=B660)*(Equipamentos!$P$2:$P$201=A660),0),0)),"confira a data")))</f>
        <v/>
      </c>
      <c r="D660">
        <f>IF(B660="","",IFERROR(INDEX(Equipamentos!$C$2:$C$201,MATCH(B660,Equipamentos!$A$2:$A$201,0)),""))</f>
        <v/>
      </c>
      <c r="E660" s="55" t="n"/>
      <c r="F660" s="55" t="n"/>
      <c r="G660">
        <f>IF(B660="","",IFERROR(INDEX(Equipamentos!$N$2:$N$201,MATCH(B660,Equipamentos!$A$2:$A$201,0)),""))</f>
        <v/>
      </c>
      <c r="H660">
        <f>IF(B660="","",IFERROR(INDEX(Equipamentos!$L$2:$L$201,MATCH(B660,Equipamentos!$A$2:$A$201,0)),""))</f>
        <v/>
      </c>
      <c r="I660" s="57">
        <f>IF(OR(A660="",B660=""),"",IFERROR(INDEX(Equipamentos!$J$2:$J$201,MATCH(1,INDEX((Equipamentos!$A$2:$A$201=B660)*(Equipamentos!$P$2:$P$201=A660),0),0)),""))</f>
        <v/>
      </c>
    </row>
    <row r="661">
      <c r="A661" s="54" t="n"/>
      <c r="B661" s="55" t="n"/>
      <c r="C661" s="56">
        <f>IF(OR(A661="",B661=""),"",IF(COUNTIF(Equipamentos!$A$2:$A$201,B661)=0,"tag não encontrada",IFERROR(INDEX(Equipamentos!$H$2:$H$201,MATCH(1,INDEX((Equipamentos!$A$2:$A$201=B661)*(Equipamentos!$P$2:$P$201=A661),0),0)),"confira a data")))</f>
        <v/>
      </c>
      <c r="D661">
        <f>IF(B661="","",IFERROR(INDEX(Equipamentos!$C$2:$C$201,MATCH(B661,Equipamentos!$A$2:$A$201,0)),""))</f>
        <v/>
      </c>
      <c r="E661" s="55" t="n"/>
      <c r="F661" s="55" t="n"/>
      <c r="G661">
        <f>IF(B661="","",IFERROR(INDEX(Equipamentos!$N$2:$N$201,MATCH(B661,Equipamentos!$A$2:$A$201,0)),""))</f>
        <v/>
      </c>
      <c r="H661">
        <f>IF(B661="","",IFERROR(INDEX(Equipamentos!$L$2:$L$201,MATCH(B661,Equipamentos!$A$2:$A$201,0)),""))</f>
        <v/>
      </c>
      <c r="I661" s="57">
        <f>IF(OR(A661="",B661=""),"",IFERROR(INDEX(Equipamentos!$J$2:$J$201,MATCH(1,INDEX((Equipamentos!$A$2:$A$201=B661)*(Equipamentos!$P$2:$P$201=A661),0),0)),""))</f>
        <v/>
      </c>
    </row>
    <row r="662">
      <c r="A662" s="54" t="n"/>
      <c r="B662" s="55" t="n"/>
      <c r="C662" s="56">
        <f>IF(OR(A662="",B662=""),"",IF(COUNTIF(Equipamentos!$A$2:$A$201,B662)=0,"tag não encontrada",IFERROR(INDEX(Equipamentos!$H$2:$H$201,MATCH(1,INDEX((Equipamentos!$A$2:$A$201=B662)*(Equipamentos!$P$2:$P$201=A662),0),0)),"confira a data")))</f>
        <v/>
      </c>
      <c r="D662">
        <f>IF(B662="","",IFERROR(INDEX(Equipamentos!$C$2:$C$201,MATCH(B662,Equipamentos!$A$2:$A$201,0)),""))</f>
        <v/>
      </c>
      <c r="E662" s="55" t="n"/>
      <c r="F662" s="55" t="n"/>
      <c r="G662">
        <f>IF(B662="","",IFERROR(INDEX(Equipamentos!$N$2:$N$201,MATCH(B662,Equipamentos!$A$2:$A$201,0)),""))</f>
        <v/>
      </c>
      <c r="H662">
        <f>IF(B662="","",IFERROR(INDEX(Equipamentos!$L$2:$L$201,MATCH(B662,Equipamentos!$A$2:$A$201,0)),""))</f>
        <v/>
      </c>
      <c r="I662" s="57">
        <f>IF(OR(A662="",B662=""),"",IFERROR(INDEX(Equipamentos!$J$2:$J$201,MATCH(1,INDEX((Equipamentos!$A$2:$A$201=B662)*(Equipamentos!$P$2:$P$201=A662),0),0)),""))</f>
        <v/>
      </c>
    </row>
    <row r="663">
      <c r="A663" s="54" t="n"/>
      <c r="B663" s="55" t="n"/>
      <c r="C663" s="56">
        <f>IF(OR(A663="",B663=""),"",IF(COUNTIF(Equipamentos!$A$2:$A$201,B663)=0,"tag não encontrada",IFERROR(INDEX(Equipamentos!$H$2:$H$201,MATCH(1,INDEX((Equipamentos!$A$2:$A$201=B663)*(Equipamentos!$P$2:$P$201=A663),0),0)),"confira a data")))</f>
        <v/>
      </c>
      <c r="D663">
        <f>IF(B663="","",IFERROR(INDEX(Equipamentos!$C$2:$C$201,MATCH(B663,Equipamentos!$A$2:$A$201,0)),""))</f>
        <v/>
      </c>
      <c r="E663" s="55" t="n"/>
      <c r="F663" s="55" t="n"/>
      <c r="G663">
        <f>IF(B663="","",IFERROR(INDEX(Equipamentos!$N$2:$N$201,MATCH(B663,Equipamentos!$A$2:$A$201,0)),""))</f>
        <v/>
      </c>
      <c r="H663">
        <f>IF(B663="","",IFERROR(INDEX(Equipamentos!$L$2:$L$201,MATCH(B663,Equipamentos!$A$2:$A$201,0)),""))</f>
        <v/>
      </c>
      <c r="I663" s="57">
        <f>IF(OR(A663="",B663=""),"",IFERROR(INDEX(Equipamentos!$J$2:$J$201,MATCH(1,INDEX((Equipamentos!$A$2:$A$201=B663)*(Equipamentos!$P$2:$P$201=A663),0),0)),""))</f>
        <v/>
      </c>
    </row>
    <row r="664">
      <c r="A664" s="54" t="n"/>
      <c r="B664" s="55" t="n"/>
      <c r="C664" s="56">
        <f>IF(OR(A664="",B664=""),"",IF(COUNTIF(Equipamentos!$A$2:$A$201,B664)=0,"tag não encontrada",IFERROR(INDEX(Equipamentos!$H$2:$H$201,MATCH(1,INDEX((Equipamentos!$A$2:$A$201=B664)*(Equipamentos!$P$2:$P$201=A664),0),0)),"confira a data")))</f>
        <v/>
      </c>
      <c r="D664">
        <f>IF(B664="","",IFERROR(INDEX(Equipamentos!$C$2:$C$201,MATCH(B664,Equipamentos!$A$2:$A$201,0)),""))</f>
        <v/>
      </c>
      <c r="E664" s="55" t="n"/>
      <c r="F664" s="55" t="n"/>
      <c r="G664">
        <f>IF(B664="","",IFERROR(INDEX(Equipamentos!$N$2:$N$201,MATCH(B664,Equipamentos!$A$2:$A$201,0)),""))</f>
        <v/>
      </c>
      <c r="H664">
        <f>IF(B664="","",IFERROR(INDEX(Equipamentos!$L$2:$L$201,MATCH(B664,Equipamentos!$A$2:$A$201,0)),""))</f>
        <v/>
      </c>
      <c r="I664" s="57">
        <f>IF(OR(A664="",B664=""),"",IFERROR(INDEX(Equipamentos!$J$2:$J$201,MATCH(1,INDEX((Equipamentos!$A$2:$A$201=B664)*(Equipamentos!$P$2:$P$201=A664),0),0)),""))</f>
        <v/>
      </c>
    </row>
    <row r="665">
      <c r="A665" s="54" t="n"/>
      <c r="B665" s="55" t="n"/>
      <c r="C665" s="56">
        <f>IF(OR(A665="",B665=""),"",IF(COUNTIF(Equipamentos!$A$2:$A$201,B665)=0,"tag não encontrada",IFERROR(INDEX(Equipamentos!$H$2:$H$201,MATCH(1,INDEX((Equipamentos!$A$2:$A$201=B665)*(Equipamentos!$P$2:$P$201=A665),0),0)),"confira a data")))</f>
        <v/>
      </c>
      <c r="D665">
        <f>IF(B665="","",IFERROR(INDEX(Equipamentos!$C$2:$C$201,MATCH(B665,Equipamentos!$A$2:$A$201,0)),""))</f>
        <v/>
      </c>
      <c r="E665" s="55" t="n"/>
      <c r="F665" s="55" t="n"/>
      <c r="G665">
        <f>IF(B665="","",IFERROR(INDEX(Equipamentos!$N$2:$N$201,MATCH(B665,Equipamentos!$A$2:$A$201,0)),""))</f>
        <v/>
      </c>
      <c r="H665">
        <f>IF(B665="","",IFERROR(INDEX(Equipamentos!$L$2:$L$201,MATCH(B665,Equipamentos!$A$2:$A$201,0)),""))</f>
        <v/>
      </c>
      <c r="I665" s="57">
        <f>IF(OR(A665="",B665=""),"",IFERROR(INDEX(Equipamentos!$J$2:$J$201,MATCH(1,INDEX((Equipamentos!$A$2:$A$201=B665)*(Equipamentos!$P$2:$P$201=A665),0),0)),""))</f>
        <v/>
      </c>
    </row>
    <row r="666">
      <c r="A666" s="54" t="n"/>
      <c r="B666" s="55" t="n"/>
      <c r="C666" s="56">
        <f>IF(OR(A666="",B666=""),"",IF(COUNTIF(Equipamentos!$A$2:$A$201,B666)=0,"tag não encontrada",IFERROR(INDEX(Equipamentos!$H$2:$H$201,MATCH(1,INDEX((Equipamentos!$A$2:$A$201=B666)*(Equipamentos!$P$2:$P$201=A666),0),0)),"confira a data")))</f>
        <v/>
      </c>
      <c r="D666">
        <f>IF(B666="","",IFERROR(INDEX(Equipamentos!$C$2:$C$201,MATCH(B666,Equipamentos!$A$2:$A$201,0)),""))</f>
        <v/>
      </c>
      <c r="E666" s="55" t="n"/>
      <c r="F666" s="55" t="n"/>
      <c r="G666">
        <f>IF(B666="","",IFERROR(INDEX(Equipamentos!$N$2:$N$201,MATCH(B666,Equipamentos!$A$2:$A$201,0)),""))</f>
        <v/>
      </c>
      <c r="H666">
        <f>IF(B666="","",IFERROR(INDEX(Equipamentos!$L$2:$L$201,MATCH(B666,Equipamentos!$A$2:$A$201,0)),""))</f>
        <v/>
      </c>
      <c r="I666" s="57">
        <f>IF(OR(A666="",B666=""),"",IFERROR(INDEX(Equipamentos!$J$2:$J$201,MATCH(1,INDEX((Equipamentos!$A$2:$A$201=B666)*(Equipamentos!$P$2:$P$201=A666),0),0)),""))</f>
        <v/>
      </c>
    </row>
    <row r="667">
      <c r="A667" s="54" t="n"/>
      <c r="B667" s="55" t="n"/>
      <c r="C667" s="56">
        <f>IF(OR(A667="",B667=""),"",IF(COUNTIF(Equipamentos!$A$2:$A$201,B667)=0,"tag não encontrada",IFERROR(INDEX(Equipamentos!$H$2:$H$201,MATCH(1,INDEX((Equipamentos!$A$2:$A$201=B667)*(Equipamentos!$P$2:$P$201=A667),0),0)),"confira a data")))</f>
        <v/>
      </c>
      <c r="D667">
        <f>IF(B667="","",IFERROR(INDEX(Equipamentos!$C$2:$C$201,MATCH(B667,Equipamentos!$A$2:$A$201,0)),""))</f>
        <v/>
      </c>
      <c r="E667" s="55" t="n"/>
      <c r="F667" s="55" t="n"/>
      <c r="G667">
        <f>IF(B667="","",IFERROR(INDEX(Equipamentos!$N$2:$N$201,MATCH(B667,Equipamentos!$A$2:$A$201,0)),""))</f>
        <v/>
      </c>
      <c r="H667">
        <f>IF(B667="","",IFERROR(INDEX(Equipamentos!$L$2:$L$201,MATCH(B667,Equipamentos!$A$2:$A$201,0)),""))</f>
        <v/>
      </c>
      <c r="I667" s="57">
        <f>IF(OR(A667="",B667=""),"",IFERROR(INDEX(Equipamentos!$J$2:$J$201,MATCH(1,INDEX((Equipamentos!$A$2:$A$201=B667)*(Equipamentos!$P$2:$P$201=A667),0),0)),""))</f>
        <v/>
      </c>
    </row>
    <row r="668">
      <c r="A668" s="54" t="n"/>
      <c r="B668" s="55" t="n"/>
      <c r="C668" s="56">
        <f>IF(OR(A668="",B668=""),"",IF(COUNTIF(Equipamentos!$A$2:$A$201,B668)=0,"tag não encontrada",IFERROR(INDEX(Equipamentos!$H$2:$H$201,MATCH(1,INDEX((Equipamentos!$A$2:$A$201=B668)*(Equipamentos!$P$2:$P$201=A668),0),0)),"confira a data")))</f>
        <v/>
      </c>
      <c r="D668">
        <f>IF(B668="","",IFERROR(INDEX(Equipamentos!$C$2:$C$201,MATCH(B668,Equipamentos!$A$2:$A$201,0)),""))</f>
        <v/>
      </c>
      <c r="E668" s="55" t="n"/>
      <c r="F668" s="55" t="n"/>
      <c r="G668">
        <f>IF(B668="","",IFERROR(INDEX(Equipamentos!$N$2:$N$201,MATCH(B668,Equipamentos!$A$2:$A$201,0)),""))</f>
        <v/>
      </c>
      <c r="H668">
        <f>IF(B668="","",IFERROR(INDEX(Equipamentos!$L$2:$L$201,MATCH(B668,Equipamentos!$A$2:$A$201,0)),""))</f>
        <v/>
      </c>
      <c r="I668" s="57">
        <f>IF(OR(A668="",B668=""),"",IFERROR(INDEX(Equipamentos!$J$2:$J$201,MATCH(1,INDEX((Equipamentos!$A$2:$A$201=B668)*(Equipamentos!$P$2:$P$201=A668),0),0)),""))</f>
        <v/>
      </c>
    </row>
    <row r="669">
      <c r="A669" s="54" t="n"/>
      <c r="B669" s="55" t="n"/>
      <c r="C669" s="56">
        <f>IF(OR(A669="",B669=""),"",IF(COUNTIF(Equipamentos!$A$2:$A$201,B669)=0,"tag não encontrada",IFERROR(INDEX(Equipamentos!$H$2:$H$201,MATCH(1,INDEX((Equipamentos!$A$2:$A$201=B669)*(Equipamentos!$P$2:$P$201=A669),0),0)),"confira a data")))</f>
        <v/>
      </c>
      <c r="D669">
        <f>IF(B669="","",IFERROR(INDEX(Equipamentos!$C$2:$C$201,MATCH(B669,Equipamentos!$A$2:$A$201,0)),""))</f>
        <v/>
      </c>
      <c r="E669" s="55" t="n"/>
      <c r="F669" s="55" t="n"/>
      <c r="G669">
        <f>IF(B669="","",IFERROR(INDEX(Equipamentos!$N$2:$N$201,MATCH(B669,Equipamentos!$A$2:$A$201,0)),""))</f>
        <v/>
      </c>
      <c r="H669">
        <f>IF(B669="","",IFERROR(INDEX(Equipamentos!$L$2:$L$201,MATCH(B669,Equipamentos!$A$2:$A$201,0)),""))</f>
        <v/>
      </c>
      <c r="I669" s="57">
        <f>IF(OR(A669="",B669=""),"",IFERROR(INDEX(Equipamentos!$J$2:$J$201,MATCH(1,INDEX((Equipamentos!$A$2:$A$201=B669)*(Equipamentos!$P$2:$P$201=A669),0),0)),""))</f>
        <v/>
      </c>
    </row>
    <row r="670">
      <c r="A670" s="54" t="n"/>
      <c r="B670" s="55" t="n"/>
      <c r="C670" s="56">
        <f>IF(OR(A670="",B670=""),"",IF(COUNTIF(Equipamentos!$A$2:$A$201,B670)=0,"tag não encontrada",IFERROR(INDEX(Equipamentos!$H$2:$H$201,MATCH(1,INDEX((Equipamentos!$A$2:$A$201=B670)*(Equipamentos!$P$2:$P$201=A670),0),0)),"confira a data")))</f>
        <v/>
      </c>
      <c r="D670">
        <f>IF(B670="","",IFERROR(INDEX(Equipamentos!$C$2:$C$201,MATCH(B670,Equipamentos!$A$2:$A$201,0)),""))</f>
        <v/>
      </c>
      <c r="E670" s="55" t="n"/>
      <c r="F670" s="55" t="n"/>
      <c r="G670">
        <f>IF(B670="","",IFERROR(INDEX(Equipamentos!$N$2:$N$201,MATCH(B670,Equipamentos!$A$2:$A$201,0)),""))</f>
        <v/>
      </c>
      <c r="H670">
        <f>IF(B670="","",IFERROR(INDEX(Equipamentos!$L$2:$L$201,MATCH(B670,Equipamentos!$A$2:$A$201,0)),""))</f>
        <v/>
      </c>
      <c r="I670" s="57">
        <f>IF(OR(A670="",B670=""),"",IFERROR(INDEX(Equipamentos!$J$2:$J$201,MATCH(1,INDEX((Equipamentos!$A$2:$A$201=B670)*(Equipamentos!$P$2:$P$201=A670),0),0)),""))</f>
        <v/>
      </c>
    </row>
    <row r="671">
      <c r="A671" s="54" t="n"/>
      <c r="B671" s="55" t="n"/>
      <c r="C671" s="56">
        <f>IF(OR(A671="",B671=""),"",IF(COUNTIF(Equipamentos!$A$2:$A$201,B671)=0,"tag não encontrada",IFERROR(INDEX(Equipamentos!$H$2:$H$201,MATCH(1,INDEX((Equipamentos!$A$2:$A$201=B671)*(Equipamentos!$P$2:$P$201=A671),0),0)),"confira a data")))</f>
        <v/>
      </c>
      <c r="D671">
        <f>IF(B671="","",IFERROR(INDEX(Equipamentos!$C$2:$C$201,MATCH(B671,Equipamentos!$A$2:$A$201,0)),""))</f>
        <v/>
      </c>
      <c r="E671" s="55" t="n"/>
      <c r="F671" s="55" t="n"/>
      <c r="G671">
        <f>IF(B671="","",IFERROR(INDEX(Equipamentos!$N$2:$N$201,MATCH(B671,Equipamentos!$A$2:$A$201,0)),""))</f>
        <v/>
      </c>
      <c r="H671">
        <f>IF(B671="","",IFERROR(INDEX(Equipamentos!$L$2:$L$201,MATCH(B671,Equipamentos!$A$2:$A$201,0)),""))</f>
        <v/>
      </c>
      <c r="I671" s="57">
        <f>IF(OR(A671="",B671=""),"",IFERROR(INDEX(Equipamentos!$J$2:$J$201,MATCH(1,INDEX((Equipamentos!$A$2:$A$201=B671)*(Equipamentos!$P$2:$P$201=A671),0),0)),""))</f>
        <v/>
      </c>
    </row>
    <row r="672">
      <c r="A672" s="54" t="n"/>
      <c r="B672" s="55" t="n"/>
      <c r="C672" s="56">
        <f>IF(OR(A672="",B672=""),"",IF(COUNTIF(Equipamentos!$A$2:$A$201,B672)=0,"tag não encontrada",IFERROR(INDEX(Equipamentos!$H$2:$H$201,MATCH(1,INDEX((Equipamentos!$A$2:$A$201=B672)*(Equipamentos!$P$2:$P$201=A672),0),0)),"confira a data")))</f>
        <v/>
      </c>
      <c r="D672">
        <f>IF(B672="","",IFERROR(INDEX(Equipamentos!$C$2:$C$201,MATCH(B672,Equipamentos!$A$2:$A$201,0)),""))</f>
        <v/>
      </c>
      <c r="E672" s="55" t="n"/>
      <c r="F672" s="55" t="n"/>
      <c r="G672">
        <f>IF(B672="","",IFERROR(INDEX(Equipamentos!$N$2:$N$201,MATCH(B672,Equipamentos!$A$2:$A$201,0)),""))</f>
        <v/>
      </c>
      <c r="H672">
        <f>IF(B672="","",IFERROR(INDEX(Equipamentos!$L$2:$L$201,MATCH(B672,Equipamentos!$A$2:$A$201,0)),""))</f>
        <v/>
      </c>
      <c r="I672" s="57">
        <f>IF(OR(A672="",B672=""),"",IFERROR(INDEX(Equipamentos!$J$2:$J$201,MATCH(1,INDEX((Equipamentos!$A$2:$A$201=B672)*(Equipamentos!$P$2:$P$201=A672),0),0)),""))</f>
        <v/>
      </c>
    </row>
    <row r="673">
      <c r="A673" s="54" t="n"/>
      <c r="B673" s="55" t="n"/>
      <c r="C673" s="56">
        <f>IF(OR(A673="",B673=""),"",IF(COUNTIF(Equipamentos!$A$2:$A$201,B673)=0,"tag não encontrada",IFERROR(INDEX(Equipamentos!$H$2:$H$201,MATCH(1,INDEX((Equipamentos!$A$2:$A$201=B673)*(Equipamentos!$P$2:$P$201=A673),0),0)),"confira a data")))</f>
        <v/>
      </c>
      <c r="D673">
        <f>IF(B673="","",IFERROR(INDEX(Equipamentos!$C$2:$C$201,MATCH(B673,Equipamentos!$A$2:$A$201,0)),""))</f>
        <v/>
      </c>
      <c r="E673" s="55" t="n"/>
      <c r="F673" s="55" t="n"/>
      <c r="G673">
        <f>IF(B673="","",IFERROR(INDEX(Equipamentos!$N$2:$N$201,MATCH(B673,Equipamentos!$A$2:$A$201,0)),""))</f>
        <v/>
      </c>
      <c r="H673">
        <f>IF(B673="","",IFERROR(INDEX(Equipamentos!$L$2:$L$201,MATCH(B673,Equipamentos!$A$2:$A$201,0)),""))</f>
        <v/>
      </c>
      <c r="I673" s="57">
        <f>IF(OR(A673="",B673=""),"",IFERROR(INDEX(Equipamentos!$J$2:$J$201,MATCH(1,INDEX((Equipamentos!$A$2:$A$201=B673)*(Equipamentos!$P$2:$P$201=A673),0),0)),""))</f>
        <v/>
      </c>
    </row>
    <row r="674">
      <c r="A674" s="54" t="n"/>
      <c r="B674" s="55" t="n"/>
      <c r="C674" s="56">
        <f>IF(OR(A674="",B674=""),"",IF(COUNTIF(Equipamentos!$A$2:$A$201,B674)=0,"tag não encontrada",IFERROR(INDEX(Equipamentos!$H$2:$H$201,MATCH(1,INDEX((Equipamentos!$A$2:$A$201=B674)*(Equipamentos!$P$2:$P$201=A674),0),0)),"confira a data")))</f>
        <v/>
      </c>
      <c r="D674">
        <f>IF(B674="","",IFERROR(INDEX(Equipamentos!$C$2:$C$201,MATCH(B674,Equipamentos!$A$2:$A$201,0)),""))</f>
        <v/>
      </c>
      <c r="E674" s="55" t="n"/>
      <c r="F674" s="55" t="n"/>
      <c r="G674">
        <f>IF(B674="","",IFERROR(INDEX(Equipamentos!$N$2:$N$201,MATCH(B674,Equipamentos!$A$2:$A$201,0)),""))</f>
        <v/>
      </c>
      <c r="H674">
        <f>IF(B674="","",IFERROR(INDEX(Equipamentos!$L$2:$L$201,MATCH(B674,Equipamentos!$A$2:$A$201,0)),""))</f>
        <v/>
      </c>
      <c r="I674" s="57">
        <f>IF(OR(A674="",B674=""),"",IFERROR(INDEX(Equipamentos!$J$2:$J$201,MATCH(1,INDEX((Equipamentos!$A$2:$A$201=B674)*(Equipamentos!$P$2:$P$201=A674),0),0)),""))</f>
        <v/>
      </c>
    </row>
    <row r="675">
      <c r="A675" s="54" t="n"/>
      <c r="B675" s="55" t="n"/>
      <c r="C675" s="56">
        <f>IF(OR(A675="",B675=""),"",IF(COUNTIF(Equipamentos!$A$2:$A$201,B675)=0,"tag não encontrada",IFERROR(INDEX(Equipamentos!$H$2:$H$201,MATCH(1,INDEX((Equipamentos!$A$2:$A$201=B675)*(Equipamentos!$P$2:$P$201=A675),0),0)),"confira a data")))</f>
        <v/>
      </c>
      <c r="D675">
        <f>IF(B675="","",IFERROR(INDEX(Equipamentos!$C$2:$C$201,MATCH(B675,Equipamentos!$A$2:$A$201,0)),""))</f>
        <v/>
      </c>
      <c r="E675" s="55" t="n"/>
      <c r="F675" s="55" t="n"/>
      <c r="G675">
        <f>IF(B675="","",IFERROR(INDEX(Equipamentos!$N$2:$N$201,MATCH(B675,Equipamentos!$A$2:$A$201,0)),""))</f>
        <v/>
      </c>
      <c r="H675">
        <f>IF(B675="","",IFERROR(INDEX(Equipamentos!$L$2:$L$201,MATCH(B675,Equipamentos!$A$2:$A$201,0)),""))</f>
        <v/>
      </c>
      <c r="I675" s="57">
        <f>IF(OR(A675="",B675=""),"",IFERROR(INDEX(Equipamentos!$J$2:$J$201,MATCH(1,INDEX((Equipamentos!$A$2:$A$201=B675)*(Equipamentos!$P$2:$P$201=A675),0),0)),""))</f>
        <v/>
      </c>
    </row>
    <row r="676">
      <c r="A676" s="54" t="n"/>
      <c r="B676" s="55" t="n"/>
      <c r="C676" s="56">
        <f>IF(OR(A676="",B676=""),"",IF(COUNTIF(Equipamentos!$A$2:$A$201,B676)=0,"tag não encontrada",IFERROR(INDEX(Equipamentos!$H$2:$H$201,MATCH(1,INDEX((Equipamentos!$A$2:$A$201=B676)*(Equipamentos!$P$2:$P$201=A676),0),0)),"confira a data")))</f>
        <v/>
      </c>
      <c r="D676">
        <f>IF(B676="","",IFERROR(INDEX(Equipamentos!$C$2:$C$201,MATCH(B676,Equipamentos!$A$2:$A$201,0)),""))</f>
        <v/>
      </c>
      <c r="E676" s="55" t="n"/>
      <c r="F676" s="55" t="n"/>
      <c r="G676">
        <f>IF(B676="","",IFERROR(INDEX(Equipamentos!$N$2:$N$201,MATCH(B676,Equipamentos!$A$2:$A$201,0)),""))</f>
        <v/>
      </c>
      <c r="H676">
        <f>IF(B676="","",IFERROR(INDEX(Equipamentos!$L$2:$L$201,MATCH(B676,Equipamentos!$A$2:$A$201,0)),""))</f>
        <v/>
      </c>
      <c r="I676" s="57">
        <f>IF(OR(A676="",B676=""),"",IFERROR(INDEX(Equipamentos!$J$2:$J$201,MATCH(1,INDEX((Equipamentos!$A$2:$A$201=B676)*(Equipamentos!$P$2:$P$201=A676),0),0)),""))</f>
        <v/>
      </c>
    </row>
    <row r="677">
      <c r="A677" s="54" t="n"/>
      <c r="B677" s="55" t="n"/>
      <c r="C677" s="56">
        <f>IF(OR(A677="",B677=""),"",IF(COUNTIF(Equipamentos!$A$2:$A$201,B677)=0,"tag não encontrada",IFERROR(INDEX(Equipamentos!$H$2:$H$201,MATCH(1,INDEX((Equipamentos!$A$2:$A$201=B677)*(Equipamentos!$P$2:$P$201=A677),0),0)),"confira a data")))</f>
        <v/>
      </c>
      <c r="D677">
        <f>IF(B677="","",IFERROR(INDEX(Equipamentos!$C$2:$C$201,MATCH(B677,Equipamentos!$A$2:$A$201,0)),""))</f>
        <v/>
      </c>
      <c r="E677" s="55" t="n"/>
      <c r="F677" s="55" t="n"/>
      <c r="G677">
        <f>IF(B677="","",IFERROR(INDEX(Equipamentos!$N$2:$N$201,MATCH(B677,Equipamentos!$A$2:$A$201,0)),""))</f>
        <v/>
      </c>
      <c r="H677">
        <f>IF(B677="","",IFERROR(INDEX(Equipamentos!$L$2:$L$201,MATCH(B677,Equipamentos!$A$2:$A$201,0)),""))</f>
        <v/>
      </c>
      <c r="I677" s="57">
        <f>IF(OR(A677="",B677=""),"",IFERROR(INDEX(Equipamentos!$J$2:$J$201,MATCH(1,INDEX((Equipamentos!$A$2:$A$201=B677)*(Equipamentos!$P$2:$P$201=A677),0),0)),""))</f>
        <v/>
      </c>
    </row>
    <row r="678">
      <c r="A678" s="54" t="n"/>
      <c r="B678" s="55" t="n"/>
      <c r="C678" s="56">
        <f>IF(OR(A678="",B678=""),"",IF(COUNTIF(Equipamentos!$A$2:$A$201,B678)=0,"tag não encontrada",IFERROR(INDEX(Equipamentos!$H$2:$H$201,MATCH(1,INDEX((Equipamentos!$A$2:$A$201=B678)*(Equipamentos!$P$2:$P$201=A678),0),0)),"confira a data")))</f>
        <v/>
      </c>
      <c r="D678">
        <f>IF(B678="","",IFERROR(INDEX(Equipamentos!$C$2:$C$201,MATCH(B678,Equipamentos!$A$2:$A$201,0)),""))</f>
        <v/>
      </c>
      <c r="E678" s="55" t="n"/>
      <c r="F678" s="55" t="n"/>
      <c r="G678">
        <f>IF(B678="","",IFERROR(INDEX(Equipamentos!$N$2:$N$201,MATCH(B678,Equipamentos!$A$2:$A$201,0)),""))</f>
        <v/>
      </c>
      <c r="H678">
        <f>IF(B678="","",IFERROR(INDEX(Equipamentos!$L$2:$L$201,MATCH(B678,Equipamentos!$A$2:$A$201,0)),""))</f>
        <v/>
      </c>
      <c r="I678" s="57">
        <f>IF(OR(A678="",B678=""),"",IFERROR(INDEX(Equipamentos!$J$2:$J$201,MATCH(1,INDEX((Equipamentos!$A$2:$A$201=B678)*(Equipamentos!$P$2:$P$201=A678),0),0)),""))</f>
        <v/>
      </c>
    </row>
    <row r="679">
      <c r="A679" s="54" t="n"/>
      <c r="B679" s="55" t="n"/>
      <c r="C679" s="56">
        <f>IF(OR(A679="",B679=""),"",IF(COUNTIF(Equipamentos!$A$2:$A$201,B679)=0,"tag não encontrada",IFERROR(INDEX(Equipamentos!$H$2:$H$201,MATCH(1,INDEX((Equipamentos!$A$2:$A$201=B679)*(Equipamentos!$P$2:$P$201=A679),0),0)),"confira a data")))</f>
        <v/>
      </c>
      <c r="D679">
        <f>IF(B679="","",IFERROR(INDEX(Equipamentos!$C$2:$C$201,MATCH(B679,Equipamentos!$A$2:$A$201,0)),""))</f>
        <v/>
      </c>
      <c r="E679" s="55" t="n"/>
      <c r="F679" s="55" t="n"/>
      <c r="G679">
        <f>IF(B679="","",IFERROR(INDEX(Equipamentos!$N$2:$N$201,MATCH(B679,Equipamentos!$A$2:$A$201,0)),""))</f>
        <v/>
      </c>
      <c r="H679">
        <f>IF(B679="","",IFERROR(INDEX(Equipamentos!$L$2:$L$201,MATCH(B679,Equipamentos!$A$2:$A$201,0)),""))</f>
        <v/>
      </c>
      <c r="I679" s="57">
        <f>IF(OR(A679="",B679=""),"",IFERROR(INDEX(Equipamentos!$J$2:$J$201,MATCH(1,INDEX((Equipamentos!$A$2:$A$201=B679)*(Equipamentos!$P$2:$P$201=A679),0),0)),""))</f>
        <v/>
      </c>
    </row>
    <row r="680">
      <c r="A680" s="54" t="n"/>
      <c r="B680" s="55" t="n"/>
      <c r="C680" s="56">
        <f>IF(OR(A680="",B680=""),"",IF(COUNTIF(Equipamentos!$A$2:$A$201,B680)=0,"tag não encontrada",IFERROR(INDEX(Equipamentos!$H$2:$H$201,MATCH(1,INDEX((Equipamentos!$A$2:$A$201=B680)*(Equipamentos!$P$2:$P$201=A680),0),0)),"confira a data")))</f>
        <v/>
      </c>
      <c r="D680">
        <f>IF(B680="","",IFERROR(INDEX(Equipamentos!$C$2:$C$201,MATCH(B680,Equipamentos!$A$2:$A$201,0)),""))</f>
        <v/>
      </c>
      <c r="E680" s="55" t="n"/>
      <c r="F680" s="55" t="n"/>
      <c r="G680">
        <f>IF(B680="","",IFERROR(INDEX(Equipamentos!$N$2:$N$201,MATCH(B680,Equipamentos!$A$2:$A$201,0)),""))</f>
        <v/>
      </c>
      <c r="H680">
        <f>IF(B680="","",IFERROR(INDEX(Equipamentos!$L$2:$L$201,MATCH(B680,Equipamentos!$A$2:$A$201,0)),""))</f>
        <v/>
      </c>
      <c r="I680" s="57">
        <f>IF(OR(A680="",B680=""),"",IFERROR(INDEX(Equipamentos!$J$2:$J$201,MATCH(1,INDEX((Equipamentos!$A$2:$A$201=B680)*(Equipamentos!$P$2:$P$201=A680),0),0)),""))</f>
        <v/>
      </c>
    </row>
    <row r="681">
      <c r="A681" s="54" t="n"/>
      <c r="B681" s="55" t="n"/>
      <c r="C681" s="56">
        <f>IF(OR(A681="",B681=""),"",IF(COUNTIF(Equipamentos!$A$2:$A$201,B681)=0,"tag não encontrada",IFERROR(INDEX(Equipamentos!$H$2:$H$201,MATCH(1,INDEX((Equipamentos!$A$2:$A$201=B681)*(Equipamentos!$P$2:$P$201=A681),0),0)),"confira a data")))</f>
        <v/>
      </c>
      <c r="D681">
        <f>IF(B681="","",IFERROR(INDEX(Equipamentos!$C$2:$C$201,MATCH(B681,Equipamentos!$A$2:$A$201,0)),""))</f>
        <v/>
      </c>
      <c r="E681" s="55" t="n"/>
      <c r="F681" s="55" t="n"/>
      <c r="G681">
        <f>IF(B681="","",IFERROR(INDEX(Equipamentos!$N$2:$N$201,MATCH(B681,Equipamentos!$A$2:$A$201,0)),""))</f>
        <v/>
      </c>
      <c r="H681">
        <f>IF(B681="","",IFERROR(INDEX(Equipamentos!$L$2:$L$201,MATCH(B681,Equipamentos!$A$2:$A$201,0)),""))</f>
        <v/>
      </c>
      <c r="I681" s="57">
        <f>IF(OR(A681="",B681=""),"",IFERROR(INDEX(Equipamentos!$J$2:$J$201,MATCH(1,INDEX((Equipamentos!$A$2:$A$201=B681)*(Equipamentos!$P$2:$P$201=A681),0),0)),""))</f>
        <v/>
      </c>
    </row>
    <row r="682">
      <c r="A682" s="54" t="n"/>
      <c r="B682" s="55" t="n"/>
      <c r="C682" s="56">
        <f>IF(OR(A682="",B682=""),"",IF(COUNTIF(Equipamentos!$A$2:$A$201,B682)=0,"tag não encontrada",IFERROR(INDEX(Equipamentos!$H$2:$H$201,MATCH(1,INDEX((Equipamentos!$A$2:$A$201=B682)*(Equipamentos!$P$2:$P$201=A682),0),0)),"confira a data")))</f>
        <v/>
      </c>
      <c r="D682">
        <f>IF(B682="","",IFERROR(INDEX(Equipamentos!$C$2:$C$201,MATCH(B682,Equipamentos!$A$2:$A$201,0)),""))</f>
        <v/>
      </c>
      <c r="E682" s="55" t="n"/>
      <c r="F682" s="55" t="n"/>
      <c r="G682">
        <f>IF(B682="","",IFERROR(INDEX(Equipamentos!$N$2:$N$201,MATCH(B682,Equipamentos!$A$2:$A$201,0)),""))</f>
        <v/>
      </c>
      <c r="H682">
        <f>IF(B682="","",IFERROR(INDEX(Equipamentos!$L$2:$L$201,MATCH(B682,Equipamentos!$A$2:$A$201,0)),""))</f>
        <v/>
      </c>
      <c r="I682" s="57">
        <f>IF(OR(A682="",B682=""),"",IFERROR(INDEX(Equipamentos!$J$2:$J$201,MATCH(1,INDEX((Equipamentos!$A$2:$A$201=B682)*(Equipamentos!$P$2:$P$201=A682),0),0)),""))</f>
        <v/>
      </c>
    </row>
    <row r="683">
      <c r="A683" s="54" t="n"/>
      <c r="B683" s="55" t="n"/>
      <c r="C683" s="56">
        <f>IF(OR(A683="",B683=""),"",IF(COUNTIF(Equipamentos!$A$2:$A$201,B683)=0,"tag não encontrada",IFERROR(INDEX(Equipamentos!$H$2:$H$201,MATCH(1,INDEX((Equipamentos!$A$2:$A$201=B683)*(Equipamentos!$P$2:$P$201=A683),0),0)),"confira a data")))</f>
        <v/>
      </c>
      <c r="D683">
        <f>IF(B683="","",IFERROR(INDEX(Equipamentos!$C$2:$C$201,MATCH(B683,Equipamentos!$A$2:$A$201,0)),""))</f>
        <v/>
      </c>
      <c r="E683" s="55" t="n"/>
      <c r="F683" s="55" t="n"/>
      <c r="G683">
        <f>IF(B683="","",IFERROR(INDEX(Equipamentos!$N$2:$N$201,MATCH(B683,Equipamentos!$A$2:$A$201,0)),""))</f>
        <v/>
      </c>
      <c r="H683">
        <f>IF(B683="","",IFERROR(INDEX(Equipamentos!$L$2:$L$201,MATCH(B683,Equipamentos!$A$2:$A$201,0)),""))</f>
        <v/>
      </c>
      <c r="I683" s="57">
        <f>IF(OR(A683="",B683=""),"",IFERROR(INDEX(Equipamentos!$J$2:$J$201,MATCH(1,INDEX((Equipamentos!$A$2:$A$201=B683)*(Equipamentos!$P$2:$P$201=A683),0),0)),""))</f>
        <v/>
      </c>
    </row>
    <row r="684">
      <c r="A684" s="54" t="n"/>
      <c r="B684" s="55" t="n"/>
      <c r="C684" s="56">
        <f>IF(OR(A684="",B684=""),"",IF(COUNTIF(Equipamentos!$A$2:$A$201,B684)=0,"tag não encontrada",IFERROR(INDEX(Equipamentos!$H$2:$H$201,MATCH(1,INDEX((Equipamentos!$A$2:$A$201=B684)*(Equipamentos!$P$2:$P$201=A684),0),0)),"confira a data")))</f>
        <v/>
      </c>
      <c r="D684">
        <f>IF(B684="","",IFERROR(INDEX(Equipamentos!$C$2:$C$201,MATCH(B684,Equipamentos!$A$2:$A$201,0)),""))</f>
        <v/>
      </c>
      <c r="E684" s="55" t="n"/>
      <c r="F684" s="55" t="n"/>
      <c r="G684">
        <f>IF(B684="","",IFERROR(INDEX(Equipamentos!$N$2:$N$201,MATCH(B684,Equipamentos!$A$2:$A$201,0)),""))</f>
        <v/>
      </c>
      <c r="H684">
        <f>IF(B684="","",IFERROR(INDEX(Equipamentos!$L$2:$L$201,MATCH(B684,Equipamentos!$A$2:$A$201,0)),""))</f>
        <v/>
      </c>
      <c r="I684" s="57">
        <f>IF(OR(A684="",B684=""),"",IFERROR(INDEX(Equipamentos!$J$2:$J$201,MATCH(1,INDEX((Equipamentos!$A$2:$A$201=B684)*(Equipamentos!$P$2:$P$201=A684),0),0)),""))</f>
        <v/>
      </c>
    </row>
    <row r="685">
      <c r="A685" s="54" t="n"/>
      <c r="B685" s="55" t="n"/>
      <c r="C685" s="56">
        <f>IF(OR(A685="",B685=""),"",IF(COUNTIF(Equipamentos!$A$2:$A$201,B685)=0,"tag não encontrada",IFERROR(INDEX(Equipamentos!$H$2:$H$201,MATCH(1,INDEX((Equipamentos!$A$2:$A$201=B685)*(Equipamentos!$P$2:$P$201=A685),0),0)),"confira a data")))</f>
        <v/>
      </c>
      <c r="D685">
        <f>IF(B685="","",IFERROR(INDEX(Equipamentos!$C$2:$C$201,MATCH(B685,Equipamentos!$A$2:$A$201,0)),""))</f>
        <v/>
      </c>
      <c r="E685" s="55" t="n"/>
      <c r="F685" s="55" t="n"/>
      <c r="G685">
        <f>IF(B685="","",IFERROR(INDEX(Equipamentos!$N$2:$N$201,MATCH(B685,Equipamentos!$A$2:$A$201,0)),""))</f>
        <v/>
      </c>
      <c r="H685">
        <f>IF(B685="","",IFERROR(INDEX(Equipamentos!$L$2:$L$201,MATCH(B685,Equipamentos!$A$2:$A$201,0)),""))</f>
        <v/>
      </c>
      <c r="I685" s="57">
        <f>IF(OR(A685="",B685=""),"",IFERROR(INDEX(Equipamentos!$J$2:$J$201,MATCH(1,INDEX((Equipamentos!$A$2:$A$201=B685)*(Equipamentos!$P$2:$P$201=A685),0),0)),""))</f>
        <v/>
      </c>
    </row>
    <row r="686">
      <c r="A686" s="54" t="n"/>
      <c r="B686" s="55" t="n"/>
      <c r="C686" s="56">
        <f>IF(OR(A686="",B686=""),"",IF(COUNTIF(Equipamentos!$A$2:$A$201,B686)=0,"tag não encontrada",IFERROR(INDEX(Equipamentos!$H$2:$H$201,MATCH(1,INDEX((Equipamentos!$A$2:$A$201=B686)*(Equipamentos!$P$2:$P$201=A686),0),0)),"confira a data")))</f>
        <v/>
      </c>
      <c r="D686">
        <f>IF(B686="","",IFERROR(INDEX(Equipamentos!$C$2:$C$201,MATCH(B686,Equipamentos!$A$2:$A$201,0)),""))</f>
        <v/>
      </c>
      <c r="E686" s="55" t="n"/>
      <c r="F686" s="55" t="n"/>
      <c r="G686">
        <f>IF(B686="","",IFERROR(INDEX(Equipamentos!$N$2:$N$201,MATCH(B686,Equipamentos!$A$2:$A$201,0)),""))</f>
        <v/>
      </c>
      <c r="H686">
        <f>IF(B686="","",IFERROR(INDEX(Equipamentos!$L$2:$L$201,MATCH(B686,Equipamentos!$A$2:$A$201,0)),""))</f>
        <v/>
      </c>
      <c r="I686" s="57">
        <f>IF(OR(A686="",B686=""),"",IFERROR(INDEX(Equipamentos!$J$2:$J$201,MATCH(1,INDEX((Equipamentos!$A$2:$A$201=B686)*(Equipamentos!$P$2:$P$201=A686),0),0)),""))</f>
        <v/>
      </c>
    </row>
    <row r="687">
      <c r="A687" s="54" t="n"/>
      <c r="B687" s="55" t="n"/>
      <c r="C687" s="56">
        <f>IF(OR(A687="",B687=""),"",IF(COUNTIF(Equipamentos!$A$2:$A$201,B687)=0,"tag não encontrada",IFERROR(INDEX(Equipamentos!$H$2:$H$201,MATCH(1,INDEX((Equipamentos!$A$2:$A$201=B687)*(Equipamentos!$P$2:$P$201=A687),0),0)),"confira a data")))</f>
        <v/>
      </c>
      <c r="D687">
        <f>IF(B687="","",IFERROR(INDEX(Equipamentos!$C$2:$C$201,MATCH(B687,Equipamentos!$A$2:$A$201,0)),""))</f>
        <v/>
      </c>
      <c r="E687" s="55" t="n"/>
      <c r="F687" s="55" t="n"/>
      <c r="G687">
        <f>IF(B687="","",IFERROR(INDEX(Equipamentos!$N$2:$N$201,MATCH(B687,Equipamentos!$A$2:$A$201,0)),""))</f>
        <v/>
      </c>
      <c r="H687">
        <f>IF(B687="","",IFERROR(INDEX(Equipamentos!$L$2:$L$201,MATCH(B687,Equipamentos!$A$2:$A$201,0)),""))</f>
        <v/>
      </c>
      <c r="I687" s="57">
        <f>IF(OR(A687="",B687=""),"",IFERROR(INDEX(Equipamentos!$J$2:$J$201,MATCH(1,INDEX((Equipamentos!$A$2:$A$201=B687)*(Equipamentos!$P$2:$P$201=A687),0),0)),""))</f>
        <v/>
      </c>
    </row>
    <row r="688">
      <c r="A688" s="54" t="n"/>
      <c r="B688" s="55" t="n"/>
      <c r="C688" s="56">
        <f>IF(OR(A688="",B688=""),"",IF(COUNTIF(Equipamentos!$A$2:$A$201,B688)=0,"tag não encontrada",IFERROR(INDEX(Equipamentos!$H$2:$H$201,MATCH(1,INDEX((Equipamentos!$A$2:$A$201=B688)*(Equipamentos!$P$2:$P$201=A688),0),0)),"confira a data")))</f>
        <v/>
      </c>
      <c r="D688">
        <f>IF(B688="","",IFERROR(INDEX(Equipamentos!$C$2:$C$201,MATCH(B688,Equipamentos!$A$2:$A$201,0)),""))</f>
        <v/>
      </c>
      <c r="E688" s="55" t="n"/>
      <c r="F688" s="55" t="n"/>
      <c r="G688">
        <f>IF(B688="","",IFERROR(INDEX(Equipamentos!$N$2:$N$201,MATCH(B688,Equipamentos!$A$2:$A$201,0)),""))</f>
        <v/>
      </c>
      <c r="H688">
        <f>IF(B688="","",IFERROR(INDEX(Equipamentos!$L$2:$L$201,MATCH(B688,Equipamentos!$A$2:$A$201,0)),""))</f>
        <v/>
      </c>
      <c r="I688" s="57">
        <f>IF(OR(A688="",B688=""),"",IFERROR(INDEX(Equipamentos!$J$2:$J$201,MATCH(1,INDEX((Equipamentos!$A$2:$A$201=B688)*(Equipamentos!$P$2:$P$201=A688),0),0)),""))</f>
        <v/>
      </c>
    </row>
    <row r="689">
      <c r="A689" s="54" t="n"/>
      <c r="B689" s="55" t="n"/>
      <c r="C689" s="56">
        <f>IF(OR(A689="",B689=""),"",IF(COUNTIF(Equipamentos!$A$2:$A$201,B689)=0,"tag não encontrada",IFERROR(INDEX(Equipamentos!$H$2:$H$201,MATCH(1,INDEX((Equipamentos!$A$2:$A$201=B689)*(Equipamentos!$P$2:$P$201=A689),0),0)),"confira a data")))</f>
        <v/>
      </c>
      <c r="D689">
        <f>IF(B689="","",IFERROR(INDEX(Equipamentos!$C$2:$C$201,MATCH(B689,Equipamentos!$A$2:$A$201,0)),""))</f>
        <v/>
      </c>
      <c r="E689" s="55" t="n"/>
      <c r="F689" s="55" t="n"/>
      <c r="G689">
        <f>IF(B689="","",IFERROR(INDEX(Equipamentos!$N$2:$N$201,MATCH(B689,Equipamentos!$A$2:$A$201,0)),""))</f>
        <v/>
      </c>
      <c r="H689">
        <f>IF(B689="","",IFERROR(INDEX(Equipamentos!$L$2:$L$201,MATCH(B689,Equipamentos!$A$2:$A$201,0)),""))</f>
        <v/>
      </c>
      <c r="I689" s="57">
        <f>IF(OR(A689="",B689=""),"",IFERROR(INDEX(Equipamentos!$J$2:$J$201,MATCH(1,INDEX((Equipamentos!$A$2:$A$201=B689)*(Equipamentos!$P$2:$P$201=A689),0),0)),""))</f>
        <v/>
      </c>
    </row>
    <row r="690">
      <c r="A690" s="54" t="n"/>
      <c r="B690" s="55" t="n"/>
      <c r="C690" s="56">
        <f>IF(OR(A690="",B690=""),"",IF(COUNTIF(Equipamentos!$A$2:$A$201,B690)=0,"tag não encontrada",IFERROR(INDEX(Equipamentos!$H$2:$H$201,MATCH(1,INDEX((Equipamentos!$A$2:$A$201=B690)*(Equipamentos!$P$2:$P$201=A690),0),0)),"confira a data")))</f>
        <v/>
      </c>
      <c r="D690">
        <f>IF(B690="","",IFERROR(INDEX(Equipamentos!$C$2:$C$201,MATCH(B690,Equipamentos!$A$2:$A$201,0)),""))</f>
        <v/>
      </c>
      <c r="E690" s="55" t="n"/>
      <c r="F690" s="55" t="n"/>
      <c r="G690">
        <f>IF(B690="","",IFERROR(INDEX(Equipamentos!$N$2:$N$201,MATCH(B690,Equipamentos!$A$2:$A$201,0)),""))</f>
        <v/>
      </c>
      <c r="H690">
        <f>IF(B690="","",IFERROR(INDEX(Equipamentos!$L$2:$L$201,MATCH(B690,Equipamentos!$A$2:$A$201,0)),""))</f>
        <v/>
      </c>
      <c r="I690" s="57">
        <f>IF(OR(A690="",B690=""),"",IFERROR(INDEX(Equipamentos!$J$2:$J$201,MATCH(1,INDEX((Equipamentos!$A$2:$A$201=B690)*(Equipamentos!$P$2:$P$201=A690),0),0)),""))</f>
        <v/>
      </c>
    </row>
    <row r="691">
      <c r="A691" s="54" t="n"/>
      <c r="B691" s="55" t="n"/>
      <c r="C691" s="56">
        <f>IF(OR(A691="",B691=""),"",IF(COUNTIF(Equipamentos!$A$2:$A$201,B691)=0,"tag não encontrada",IFERROR(INDEX(Equipamentos!$H$2:$H$201,MATCH(1,INDEX((Equipamentos!$A$2:$A$201=B691)*(Equipamentos!$P$2:$P$201=A691),0),0)),"confira a data")))</f>
        <v/>
      </c>
      <c r="D691">
        <f>IF(B691="","",IFERROR(INDEX(Equipamentos!$C$2:$C$201,MATCH(B691,Equipamentos!$A$2:$A$201,0)),""))</f>
        <v/>
      </c>
      <c r="E691" s="55" t="n"/>
      <c r="F691" s="55" t="n"/>
      <c r="G691">
        <f>IF(B691="","",IFERROR(INDEX(Equipamentos!$N$2:$N$201,MATCH(B691,Equipamentos!$A$2:$A$201,0)),""))</f>
        <v/>
      </c>
      <c r="H691">
        <f>IF(B691="","",IFERROR(INDEX(Equipamentos!$L$2:$L$201,MATCH(B691,Equipamentos!$A$2:$A$201,0)),""))</f>
        <v/>
      </c>
      <c r="I691" s="57">
        <f>IF(OR(A691="",B691=""),"",IFERROR(INDEX(Equipamentos!$J$2:$J$201,MATCH(1,INDEX((Equipamentos!$A$2:$A$201=B691)*(Equipamentos!$P$2:$P$201=A691),0),0)),""))</f>
        <v/>
      </c>
    </row>
    <row r="692">
      <c r="A692" s="54" t="n"/>
      <c r="B692" s="55" t="n"/>
      <c r="C692" s="56">
        <f>IF(OR(A692="",B692=""),"",IF(COUNTIF(Equipamentos!$A$2:$A$201,B692)=0,"tag não encontrada",IFERROR(INDEX(Equipamentos!$H$2:$H$201,MATCH(1,INDEX((Equipamentos!$A$2:$A$201=B692)*(Equipamentos!$P$2:$P$201=A692),0),0)),"confira a data")))</f>
        <v/>
      </c>
      <c r="D692">
        <f>IF(B692="","",IFERROR(INDEX(Equipamentos!$C$2:$C$201,MATCH(B692,Equipamentos!$A$2:$A$201,0)),""))</f>
        <v/>
      </c>
      <c r="E692" s="55" t="n"/>
      <c r="F692" s="55" t="n"/>
      <c r="G692">
        <f>IF(B692="","",IFERROR(INDEX(Equipamentos!$N$2:$N$201,MATCH(B692,Equipamentos!$A$2:$A$201,0)),""))</f>
        <v/>
      </c>
      <c r="H692">
        <f>IF(B692="","",IFERROR(INDEX(Equipamentos!$L$2:$L$201,MATCH(B692,Equipamentos!$A$2:$A$201,0)),""))</f>
        <v/>
      </c>
      <c r="I692" s="57">
        <f>IF(OR(A692="",B692=""),"",IFERROR(INDEX(Equipamentos!$J$2:$J$201,MATCH(1,INDEX((Equipamentos!$A$2:$A$201=B692)*(Equipamentos!$P$2:$P$201=A692),0),0)),""))</f>
        <v/>
      </c>
    </row>
    <row r="693">
      <c r="A693" s="54" t="n"/>
      <c r="B693" s="55" t="n"/>
      <c r="C693" s="56">
        <f>IF(OR(A693="",B693=""),"",IF(COUNTIF(Equipamentos!$A$2:$A$201,B693)=0,"tag não encontrada",IFERROR(INDEX(Equipamentos!$H$2:$H$201,MATCH(1,INDEX((Equipamentos!$A$2:$A$201=B693)*(Equipamentos!$P$2:$P$201=A693),0),0)),"confira a data")))</f>
        <v/>
      </c>
      <c r="D693">
        <f>IF(B693="","",IFERROR(INDEX(Equipamentos!$C$2:$C$201,MATCH(B693,Equipamentos!$A$2:$A$201,0)),""))</f>
        <v/>
      </c>
      <c r="E693" s="55" t="n"/>
      <c r="F693" s="55" t="n"/>
      <c r="G693">
        <f>IF(B693="","",IFERROR(INDEX(Equipamentos!$N$2:$N$201,MATCH(B693,Equipamentos!$A$2:$A$201,0)),""))</f>
        <v/>
      </c>
      <c r="H693">
        <f>IF(B693="","",IFERROR(INDEX(Equipamentos!$L$2:$L$201,MATCH(B693,Equipamentos!$A$2:$A$201,0)),""))</f>
        <v/>
      </c>
      <c r="I693" s="57">
        <f>IF(OR(A693="",B693=""),"",IFERROR(INDEX(Equipamentos!$J$2:$J$201,MATCH(1,INDEX((Equipamentos!$A$2:$A$201=B693)*(Equipamentos!$P$2:$P$201=A693),0),0)),""))</f>
        <v/>
      </c>
    </row>
    <row r="694">
      <c r="A694" s="54" t="n"/>
      <c r="B694" s="55" t="n"/>
      <c r="C694" s="56">
        <f>IF(OR(A694="",B694=""),"",IF(COUNTIF(Equipamentos!$A$2:$A$201,B694)=0,"tag não encontrada",IFERROR(INDEX(Equipamentos!$H$2:$H$201,MATCH(1,INDEX((Equipamentos!$A$2:$A$201=B694)*(Equipamentos!$P$2:$P$201=A694),0),0)),"confira a data")))</f>
        <v/>
      </c>
      <c r="D694">
        <f>IF(B694="","",IFERROR(INDEX(Equipamentos!$C$2:$C$201,MATCH(B694,Equipamentos!$A$2:$A$201,0)),""))</f>
        <v/>
      </c>
      <c r="E694" s="55" t="n"/>
      <c r="F694" s="55" t="n"/>
      <c r="G694">
        <f>IF(B694="","",IFERROR(INDEX(Equipamentos!$N$2:$N$201,MATCH(B694,Equipamentos!$A$2:$A$201,0)),""))</f>
        <v/>
      </c>
      <c r="H694">
        <f>IF(B694="","",IFERROR(INDEX(Equipamentos!$L$2:$L$201,MATCH(B694,Equipamentos!$A$2:$A$201,0)),""))</f>
        <v/>
      </c>
      <c r="I694" s="57">
        <f>IF(OR(A694="",B694=""),"",IFERROR(INDEX(Equipamentos!$J$2:$J$201,MATCH(1,INDEX((Equipamentos!$A$2:$A$201=B694)*(Equipamentos!$P$2:$P$201=A694),0),0)),""))</f>
        <v/>
      </c>
    </row>
    <row r="695">
      <c r="A695" s="54" t="n"/>
      <c r="B695" s="55" t="n"/>
      <c r="C695" s="56">
        <f>IF(OR(A695="",B695=""),"",IF(COUNTIF(Equipamentos!$A$2:$A$201,B695)=0,"tag não encontrada",IFERROR(INDEX(Equipamentos!$H$2:$H$201,MATCH(1,INDEX((Equipamentos!$A$2:$A$201=B695)*(Equipamentos!$P$2:$P$201=A695),0),0)),"confira a data")))</f>
        <v/>
      </c>
      <c r="D695">
        <f>IF(B695="","",IFERROR(INDEX(Equipamentos!$C$2:$C$201,MATCH(B695,Equipamentos!$A$2:$A$201,0)),""))</f>
        <v/>
      </c>
      <c r="E695" s="55" t="n"/>
      <c r="F695" s="55" t="n"/>
      <c r="G695">
        <f>IF(B695="","",IFERROR(INDEX(Equipamentos!$N$2:$N$201,MATCH(B695,Equipamentos!$A$2:$A$201,0)),""))</f>
        <v/>
      </c>
      <c r="H695">
        <f>IF(B695="","",IFERROR(INDEX(Equipamentos!$L$2:$L$201,MATCH(B695,Equipamentos!$A$2:$A$201,0)),""))</f>
        <v/>
      </c>
      <c r="I695" s="57">
        <f>IF(OR(A695="",B695=""),"",IFERROR(INDEX(Equipamentos!$J$2:$J$201,MATCH(1,INDEX((Equipamentos!$A$2:$A$201=B695)*(Equipamentos!$P$2:$P$201=A695),0),0)),""))</f>
        <v/>
      </c>
    </row>
    <row r="696">
      <c r="A696" s="54" t="n"/>
      <c r="B696" s="55" t="n"/>
      <c r="C696" s="56">
        <f>IF(OR(A696="",B696=""),"",IF(COUNTIF(Equipamentos!$A$2:$A$201,B696)=0,"tag não encontrada",IFERROR(INDEX(Equipamentos!$H$2:$H$201,MATCH(1,INDEX((Equipamentos!$A$2:$A$201=B696)*(Equipamentos!$P$2:$P$201=A696),0),0)),"confira a data")))</f>
        <v/>
      </c>
      <c r="D696">
        <f>IF(B696="","",IFERROR(INDEX(Equipamentos!$C$2:$C$201,MATCH(B696,Equipamentos!$A$2:$A$201,0)),""))</f>
        <v/>
      </c>
      <c r="E696" s="55" t="n"/>
      <c r="F696" s="55" t="n"/>
      <c r="G696">
        <f>IF(B696="","",IFERROR(INDEX(Equipamentos!$N$2:$N$201,MATCH(B696,Equipamentos!$A$2:$A$201,0)),""))</f>
        <v/>
      </c>
      <c r="H696">
        <f>IF(B696="","",IFERROR(INDEX(Equipamentos!$L$2:$L$201,MATCH(B696,Equipamentos!$A$2:$A$201,0)),""))</f>
        <v/>
      </c>
      <c r="I696" s="57">
        <f>IF(OR(A696="",B696=""),"",IFERROR(INDEX(Equipamentos!$J$2:$J$201,MATCH(1,INDEX((Equipamentos!$A$2:$A$201=B696)*(Equipamentos!$P$2:$P$201=A696),0),0)),""))</f>
        <v/>
      </c>
    </row>
    <row r="697">
      <c r="A697" s="54" t="n"/>
      <c r="B697" s="55" t="n"/>
      <c r="C697" s="56">
        <f>IF(OR(A697="",B697=""),"",IF(COUNTIF(Equipamentos!$A$2:$A$201,B697)=0,"tag não encontrada",IFERROR(INDEX(Equipamentos!$H$2:$H$201,MATCH(1,INDEX((Equipamentos!$A$2:$A$201=B697)*(Equipamentos!$P$2:$P$201=A697),0),0)),"confira a data")))</f>
        <v/>
      </c>
      <c r="D697">
        <f>IF(B697="","",IFERROR(INDEX(Equipamentos!$C$2:$C$201,MATCH(B697,Equipamentos!$A$2:$A$201,0)),""))</f>
        <v/>
      </c>
      <c r="E697" s="55" t="n"/>
      <c r="F697" s="55" t="n"/>
      <c r="G697">
        <f>IF(B697="","",IFERROR(INDEX(Equipamentos!$N$2:$N$201,MATCH(B697,Equipamentos!$A$2:$A$201,0)),""))</f>
        <v/>
      </c>
      <c r="H697">
        <f>IF(B697="","",IFERROR(INDEX(Equipamentos!$L$2:$L$201,MATCH(B697,Equipamentos!$A$2:$A$201,0)),""))</f>
        <v/>
      </c>
      <c r="I697" s="57">
        <f>IF(OR(A697="",B697=""),"",IFERROR(INDEX(Equipamentos!$J$2:$J$201,MATCH(1,INDEX((Equipamentos!$A$2:$A$201=B697)*(Equipamentos!$P$2:$P$201=A697),0),0)),""))</f>
        <v/>
      </c>
    </row>
    <row r="698">
      <c r="A698" s="54" t="n"/>
      <c r="B698" s="55" t="n"/>
      <c r="C698" s="56">
        <f>IF(OR(A698="",B698=""),"",IF(COUNTIF(Equipamentos!$A$2:$A$201,B698)=0,"tag não encontrada",IFERROR(INDEX(Equipamentos!$H$2:$H$201,MATCH(1,INDEX((Equipamentos!$A$2:$A$201=B698)*(Equipamentos!$P$2:$P$201=A698),0),0)),"confira a data")))</f>
        <v/>
      </c>
      <c r="D698">
        <f>IF(B698="","",IFERROR(INDEX(Equipamentos!$C$2:$C$201,MATCH(B698,Equipamentos!$A$2:$A$201,0)),""))</f>
        <v/>
      </c>
      <c r="E698" s="55" t="n"/>
      <c r="F698" s="55" t="n"/>
      <c r="G698">
        <f>IF(B698="","",IFERROR(INDEX(Equipamentos!$N$2:$N$201,MATCH(B698,Equipamentos!$A$2:$A$201,0)),""))</f>
        <v/>
      </c>
      <c r="H698">
        <f>IF(B698="","",IFERROR(INDEX(Equipamentos!$L$2:$L$201,MATCH(B698,Equipamentos!$A$2:$A$201,0)),""))</f>
        <v/>
      </c>
      <c r="I698" s="57">
        <f>IF(OR(A698="",B698=""),"",IFERROR(INDEX(Equipamentos!$J$2:$J$201,MATCH(1,INDEX((Equipamentos!$A$2:$A$201=B698)*(Equipamentos!$P$2:$P$201=A698),0),0)),""))</f>
        <v/>
      </c>
    </row>
    <row r="699">
      <c r="A699" s="54" t="n"/>
      <c r="B699" s="55" t="n"/>
      <c r="C699" s="56">
        <f>IF(OR(A699="",B699=""),"",IF(COUNTIF(Equipamentos!$A$2:$A$201,B699)=0,"tag não encontrada",IFERROR(INDEX(Equipamentos!$H$2:$H$201,MATCH(1,INDEX((Equipamentos!$A$2:$A$201=B699)*(Equipamentos!$P$2:$P$201=A699),0),0)),"confira a data")))</f>
        <v/>
      </c>
      <c r="D699">
        <f>IF(B699="","",IFERROR(INDEX(Equipamentos!$C$2:$C$201,MATCH(B699,Equipamentos!$A$2:$A$201,0)),""))</f>
        <v/>
      </c>
      <c r="E699" s="55" t="n"/>
      <c r="F699" s="55" t="n"/>
      <c r="G699">
        <f>IF(B699="","",IFERROR(INDEX(Equipamentos!$N$2:$N$201,MATCH(B699,Equipamentos!$A$2:$A$201,0)),""))</f>
        <v/>
      </c>
      <c r="H699">
        <f>IF(B699="","",IFERROR(INDEX(Equipamentos!$L$2:$L$201,MATCH(B699,Equipamentos!$A$2:$A$201,0)),""))</f>
        <v/>
      </c>
      <c r="I699" s="57">
        <f>IF(OR(A699="",B699=""),"",IFERROR(INDEX(Equipamentos!$J$2:$J$201,MATCH(1,INDEX((Equipamentos!$A$2:$A$201=B699)*(Equipamentos!$P$2:$P$201=A699),0),0)),""))</f>
        <v/>
      </c>
    </row>
    <row r="700">
      <c r="A700" s="54" t="n"/>
      <c r="B700" s="55" t="n"/>
      <c r="C700" s="56">
        <f>IF(OR(A700="",B700=""),"",IF(COUNTIF(Equipamentos!$A$2:$A$201,B700)=0,"tag não encontrada",IFERROR(INDEX(Equipamentos!$H$2:$H$201,MATCH(1,INDEX((Equipamentos!$A$2:$A$201=B700)*(Equipamentos!$P$2:$P$201=A700),0),0)),"confira a data")))</f>
        <v/>
      </c>
      <c r="D700">
        <f>IF(B700="","",IFERROR(INDEX(Equipamentos!$C$2:$C$201,MATCH(B700,Equipamentos!$A$2:$A$201,0)),""))</f>
        <v/>
      </c>
      <c r="E700" s="55" t="n"/>
      <c r="F700" s="55" t="n"/>
      <c r="G700">
        <f>IF(B700="","",IFERROR(INDEX(Equipamentos!$N$2:$N$201,MATCH(B700,Equipamentos!$A$2:$A$201,0)),""))</f>
        <v/>
      </c>
      <c r="H700">
        <f>IF(B700="","",IFERROR(INDEX(Equipamentos!$L$2:$L$201,MATCH(B700,Equipamentos!$A$2:$A$201,0)),""))</f>
        <v/>
      </c>
      <c r="I700" s="57">
        <f>IF(OR(A700="",B700=""),"",IFERROR(INDEX(Equipamentos!$J$2:$J$201,MATCH(1,INDEX((Equipamentos!$A$2:$A$201=B700)*(Equipamentos!$P$2:$P$201=A700),0),0)),""))</f>
        <v/>
      </c>
    </row>
    <row r="701">
      <c r="A701" s="54" t="n"/>
      <c r="B701" s="55" t="n"/>
      <c r="C701" s="56">
        <f>IF(OR(A701="",B701=""),"",IF(COUNTIF(Equipamentos!$A$2:$A$201,B701)=0,"tag não encontrada",IFERROR(INDEX(Equipamentos!$H$2:$H$201,MATCH(1,INDEX((Equipamentos!$A$2:$A$201=B701)*(Equipamentos!$P$2:$P$201=A701),0),0)),"confira a data")))</f>
        <v/>
      </c>
      <c r="D701">
        <f>IF(B701="","",IFERROR(INDEX(Equipamentos!$C$2:$C$201,MATCH(B701,Equipamentos!$A$2:$A$201,0)),""))</f>
        <v/>
      </c>
      <c r="E701" s="55" t="n"/>
      <c r="F701" s="55" t="n"/>
      <c r="G701">
        <f>IF(B701="","",IFERROR(INDEX(Equipamentos!$N$2:$N$201,MATCH(B701,Equipamentos!$A$2:$A$201,0)),""))</f>
        <v/>
      </c>
      <c r="H701">
        <f>IF(B701="","",IFERROR(INDEX(Equipamentos!$L$2:$L$201,MATCH(B701,Equipamentos!$A$2:$A$201,0)),""))</f>
        <v/>
      </c>
      <c r="I701" s="57">
        <f>IF(OR(A701="",B701=""),"",IFERROR(INDEX(Equipamentos!$J$2:$J$201,MATCH(1,INDEX((Equipamentos!$A$2:$A$201=B701)*(Equipamentos!$P$2:$P$201=A701),0),0)),""))</f>
        <v/>
      </c>
    </row>
    <row r="702">
      <c r="A702" s="54" t="n"/>
      <c r="B702" s="55" t="n"/>
      <c r="C702" s="56">
        <f>IF(OR(A702="",B702=""),"",IF(COUNTIF(Equipamentos!$A$2:$A$201,B702)=0,"tag não encontrada",IFERROR(INDEX(Equipamentos!$H$2:$H$201,MATCH(1,INDEX((Equipamentos!$A$2:$A$201=B702)*(Equipamentos!$P$2:$P$201=A702),0),0)),"confira a data")))</f>
        <v/>
      </c>
      <c r="D702">
        <f>IF(B702="","",IFERROR(INDEX(Equipamentos!$C$2:$C$201,MATCH(B702,Equipamentos!$A$2:$A$201,0)),""))</f>
        <v/>
      </c>
      <c r="E702" s="55" t="n"/>
      <c r="F702" s="55" t="n"/>
      <c r="G702">
        <f>IF(B702="","",IFERROR(INDEX(Equipamentos!$N$2:$N$201,MATCH(B702,Equipamentos!$A$2:$A$201,0)),""))</f>
        <v/>
      </c>
      <c r="H702">
        <f>IF(B702="","",IFERROR(INDEX(Equipamentos!$L$2:$L$201,MATCH(B702,Equipamentos!$A$2:$A$201,0)),""))</f>
        <v/>
      </c>
      <c r="I702" s="57">
        <f>IF(OR(A702="",B702=""),"",IFERROR(INDEX(Equipamentos!$J$2:$J$201,MATCH(1,INDEX((Equipamentos!$A$2:$A$201=B702)*(Equipamentos!$P$2:$P$201=A702),0),0)),""))</f>
        <v/>
      </c>
    </row>
    <row r="703">
      <c r="A703" s="54" t="n"/>
      <c r="B703" s="55" t="n"/>
      <c r="C703" s="56">
        <f>IF(OR(A703="",B703=""),"",IF(COUNTIF(Equipamentos!$A$2:$A$201,B703)=0,"tag não encontrada",IFERROR(INDEX(Equipamentos!$H$2:$H$201,MATCH(1,INDEX((Equipamentos!$A$2:$A$201=B703)*(Equipamentos!$P$2:$P$201=A703),0),0)),"confira a data")))</f>
        <v/>
      </c>
      <c r="D703">
        <f>IF(B703="","",IFERROR(INDEX(Equipamentos!$C$2:$C$201,MATCH(B703,Equipamentos!$A$2:$A$201,0)),""))</f>
        <v/>
      </c>
      <c r="E703" s="55" t="n"/>
      <c r="F703" s="55" t="n"/>
      <c r="G703">
        <f>IF(B703="","",IFERROR(INDEX(Equipamentos!$N$2:$N$201,MATCH(B703,Equipamentos!$A$2:$A$201,0)),""))</f>
        <v/>
      </c>
      <c r="H703">
        <f>IF(B703="","",IFERROR(INDEX(Equipamentos!$L$2:$L$201,MATCH(B703,Equipamentos!$A$2:$A$201,0)),""))</f>
        <v/>
      </c>
      <c r="I703" s="57">
        <f>IF(OR(A703="",B703=""),"",IFERROR(INDEX(Equipamentos!$J$2:$J$201,MATCH(1,INDEX((Equipamentos!$A$2:$A$201=B703)*(Equipamentos!$P$2:$P$201=A703),0),0)),""))</f>
        <v/>
      </c>
    </row>
    <row r="704">
      <c r="A704" s="54" t="n"/>
      <c r="B704" s="55" t="n"/>
      <c r="C704" s="56">
        <f>IF(OR(A704="",B704=""),"",IF(COUNTIF(Equipamentos!$A$2:$A$201,B704)=0,"tag não encontrada",IFERROR(INDEX(Equipamentos!$H$2:$H$201,MATCH(1,INDEX((Equipamentos!$A$2:$A$201=B704)*(Equipamentos!$P$2:$P$201=A704),0),0)),"confira a data")))</f>
        <v/>
      </c>
      <c r="D704">
        <f>IF(B704="","",IFERROR(INDEX(Equipamentos!$C$2:$C$201,MATCH(B704,Equipamentos!$A$2:$A$201,0)),""))</f>
        <v/>
      </c>
      <c r="E704" s="55" t="n"/>
      <c r="F704" s="55" t="n"/>
      <c r="G704">
        <f>IF(B704="","",IFERROR(INDEX(Equipamentos!$N$2:$N$201,MATCH(B704,Equipamentos!$A$2:$A$201,0)),""))</f>
        <v/>
      </c>
      <c r="H704">
        <f>IF(B704="","",IFERROR(INDEX(Equipamentos!$L$2:$L$201,MATCH(B704,Equipamentos!$A$2:$A$201,0)),""))</f>
        <v/>
      </c>
      <c r="I704" s="57">
        <f>IF(OR(A704="",B704=""),"",IFERROR(INDEX(Equipamentos!$J$2:$J$201,MATCH(1,INDEX((Equipamentos!$A$2:$A$201=B704)*(Equipamentos!$P$2:$P$201=A704),0),0)),""))</f>
        <v/>
      </c>
    </row>
    <row r="705">
      <c r="A705" s="54" t="n"/>
      <c r="B705" s="55" t="n"/>
      <c r="C705" s="56">
        <f>IF(OR(A705="",B705=""),"",IF(COUNTIF(Equipamentos!$A$2:$A$201,B705)=0,"tag não encontrada",IFERROR(INDEX(Equipamentos!$H$2:$H$201,MATCH(1,INDEX((Equipamentos!$A$2:$A$201=B705)*(Equipamentos!$P$2:$P$201=A705),0),0)),"confira a data")))</f>
        <v/>
      </c>
      <c r="D705">
        <f>IF(B705="","",IFERROR(INDEX(Equipamentos!$C$2:$C$201,MATCH(B705,Equipamentos!$A$2:$A$201,0)),""))</f>
        <v/>
      </c>
      <c r="E705" s="55" t="n"/>
      <c r="F705" s="55" t="n"/>
      <c r="G705">
        <f>IF(B705="","",IFERROR(INDEX(Equipamentos!$N$2:$N$201,MATCH(B705,Equipamentos!$A$2:$A$201,0)),""))</f>
        <v/>
      </c>
      <c r="H705">
        <f>IF(B705="","",IFERROR(INDEX(Equipamentos!$L$2:$L$201,MATCH(B705,Equipamentos!$A$2:$A$201,0)),""))</f>
        <v/>
      </c>
      <c r="I705" s="57">
        <f>IF(OR(A705="",B705=""),"",IFERROR(INDEX(Equipamentos!$J$2:$J$201,MATCH(1,INDEX((Equipamentos!$A$2:$A$201=B705)*(Equipamentos!$P$2:$P$201=A705),0),0)),""))</f>
        <v/>
      </c>
    </row>
    <row r="706">
      <c r="A706" s="54" t="n"/>
      <c r="B706" s="55" t="n"/>
      <c r="C706" s="56">
        <f>IF(OR(A706="",B706=""),"",IF(COUNTIF(Equipamentos!$A$2:$A$201,B706)=0,"tag não encontrada",IFERROR(INDEX(Equipamentos!$H$2:$H$201,MATCH(1,INDEX((Equipamentos!$A$2:$A$201=B706)*(Equipamentos!$P$2:$P$201=A706),0),0)),"confira a data")))</f>
        <v/>
      </c>
      <c r="D706">
        <f>IF(B706="","",IFERROR(INDEX(Equipamentos!$C$2:$C$201,MATCH(B706,Equipamentos!$A$2:$A$201,0)),""))</f>
        <v/>
      </c>
      <c r="E706" s="55" t="n"/>
      <c r="F706" s="55" t="n"/>
      <c r="G706">
        <f>IF(B706="","",IFERROR(INDEX(Equipamentos!$N$2:$N$201,MATCH(B706,Equipamentos!$A$2:$A$201,0)),""))</f>
        <v/>
      </c>
      <c r="H706">
        <f>IF(B706="","",IFERROR(INDEX(Equipamentos!$L$2:$L$201,MATCH(B706,Equipamentos!$A$2:$A$201,0)),""))</f>
        <v/>
      </c>
      <c r="I706" s="57">
        <f>IF(OR(A706="",B706=""),"",IFERROR(INDEX(Equipamentos!$J$2:$J$201,MATCH(1,INDEX((Equipamentos!$A$2:$A$201=B706)*(Equipamentos!$P$2:$P$201=A706),0),0)),""))</f>
        <v/>
      </c>
    </row>
    <row r="707">
      <c r="A707" s="54" t="n"/>
      <c r="B707" s="55" t="n"/>
      <c r="C707" s="56">
        <f>IF(OR(A707="",B707=""),"",IF(COUNTIF(Equipamentos!$A$2:$A$201,B707)=0,"tag não encontrada",IFERROR(INDEX(Equipamentos!$H$2:$H$201,MATCH(1,INDEX((Equipamentos!$A$2:$A$201=B707)*(Equipamentos!$P$2:$P$201=A707),0),0)),"confira a data")))</f>
        <v/>
      </c>
      <c r="D707">
        <f>IF(B707="","",IFERROR(INDEX(Equipamentos!$C$2:$C$201,MATCH(B707,Equipamentos!$A$2:$A$201,0)),""))</f>
        <v/>
      </c>
      <c r="E707" s="55" t="n"/>
      <c r="F707" s="55" t="n"/>
      <c r="G707">
        <f>IF(B707="","",IFERROR(INDEX(Equipamentos!$N$2:$N$201,MATCH(B707,Equipamentos!$A$2:$A$201,0)),""))</f>
        <v/>
      </c>
      <c r="H707">
        <f>IF(B707="","",IFERROR(INDEX(Equipamentos!$L$2:$L$201,MATCH(B707,Equipamentos!$A$2:$A$201,0)),""))</f>
        <v/>
      </c>
      <c r="I707" s="57">
        <f>IF(OR(A707="",B707=""),"",IFERROR(INDEX(Equipamentos!$J$2:$J$201,MATCH(1,INDEX((Equipamentos!$A$2:$A$201=B707)*(Equipamentos!$P$2:$P$201=A707),0),0)),""))</f>
        <v/>
      </c>
    </row>
    <row r="708">
      <c r="A708" s="54" t="n"/>
      <c r="B708" s="55" t="n"/>
      <c r="C708" s="56">
        <f>IF(OR(A708="",B708=""),"",IF(COUNTIF(Equipamentos!$A$2:$A$201,B708)=0,"tag não encontrada",IFERROR(INDEX(Equipamentos!$H$2:$H$201,MATCH(1,INDEX((Equipamentos!$A$2:$A$201=B708)*(Equipamentos!$P$2:$P$201=A708),0),0)),"confira a data")))</f>
        <v/>
      </c>
      <c r="D708">
        <f>IF(B708="","",IFERROR(INDEX(Equipamentos!$C$2:$C$201,MATCH(B708,Equipamentos!$A$2:$A$201,0)),""))</f>
        <v/>
      </c>
      <c r="E708" s="55" t="n"/>
      <c r="F708" s="55" t="n"/>
      <c r="G708">
        <f>IF(B708="","",IFERROR(INDEX(Equipamentos!$N$2:$N$201,MATCH(B708,Equipamentos!$A$2:$A$201,0)),""))</f>
        <v/>
      </c>
      <c r="H708">
        <f>IF(B708="","",IFERROR(INDEX(Equipamentos!$L$2:$L$201,MATCH(B708,Equipamentos!$A$2:$A$201,0)),""))</f>
        <v/>
      </c>
      <c r="I708" s="57">
        <f>IF(OR(A708="",B708=""),"",IFERROR(INDEX(Equipamentos!$J$2:$J$201,MATCH(1,INDEX((Equipamentos!$A$2:$A$201=B708)*(Equipamentos!$P$2:$P$201=A708),0),0)),""))</f>
        <v/>
      </c>
    </row>
    <row r="709">
      <c r="A709" s="54" t="n"/>
      <c r="B709" s="55" t="n"/>
      <c r="C709" s="56">
        <f>IF(OR(A709="",B709=""),"",IF(COUNTIF(Equipamentos!$A$2:$A$201,B709)=0,"tag não encontrada",IFERROR(INDEX(Equipamentos!$H$2:$H$201,MATCH(1,INDEX((Equipamentos!$A$2:$A$201=B709)*(Equipamentos!$P$2:$P$201=A709),0),0)),"confira a data")))</f>
        <v/>
      </c>
      <c r="D709">
        <f>IF(B709="","",IFERROR(INDEX(Equipamentos!$C$2:$C$201,MATCH(B709,Equipamentos!$A$2:$A$201,0)),""))</f>
        <v/>
      </c>
      <c r="E709" s="55" t="n"/>
      <c r="F709" s="55" t="n"/>
      <c r="G709">
        <f>IF(B709="","",IFERROR(INDEX(Equipamentos!$N$2:$N$201,MATCH(B709,Equipamentos!$A$2:$A$201,0)),""))</f>
        <v/>
      </c>
      <c r="H709">
        <f>IF(B709="","",IFERROR(INDEX(Equipamentos!$L$2:$L$201,MATCH(B709,Equipamentos!$A$2:$A$201,0)),""))</f>
        <v/>
      </c>
      <c r="I709" s="57">
        <f>IF(OR(A709="",B709=""),"",IFERROR(INDEX(Equipamentos!$J$2:$J$201,MATCH(1,INDEX((Equipamentos!$A$2:$A$201=B709)*(Equipamentos!$P$2:$P$201=A709),0),0)),""))</f>
        <v/>
      </c>
    </row>
    <row r="710">
      <c r="A710" s="54" t="n"/>
      <c r="B710" s="55" t="n"/>
      <c r="C710" s="56">
        <f>IF(OR(A710="",B710=""),"",IF(COUNTIF(Equipamentos!$A$2:$A$201,B710)=0,"tag não encontrada",IFERROR(INDEX(Equipamentos!$H$2:$H$201,MATCH(1,INDEX((Equipamentos!$A$2:$A$201=B710)*(Equipamentos!$P$2:$P$201=A710),0),0)),"confira a data")))</f>
        <v/>
      </c>
      <c r="D710">
        <f>IF(B710="","",IFERROR(INDEX(Equipamentos!$C$2:$C$201,MATCH(B710,Equipamentos!$A$2:$A$201,0)),""))</f>
        <v/>
      </c>
      <c r="E710" s="55" t="n"/>
      <c r="F710" s="55" t="n"/>
      <c r="G710">
        <f>IF(B710="","",IFERROR(INDEX(Equipamentos!$N$2:$N$201,MATCH(B710,Equipamentos!$A$2:$A$201,0)),""))</f>
        <v/>
      </c>
      <c r="H710">
        <f>IF(B710="","",IFERROR(INDEX(Equipamentos!$L$2:$L$201,MATCH(B710,Equipamentos!$A$2:$A$201,0)),""))</f>
        <v/>
      </c>
      <c r="I710" s="57">
        <f>IF(OR(A710="",B710=""),"",IFERROR(INDEX(Equipamentos!$J$2:$J$201,MATCH(1,INDEX((Equipamentos!$A$2:$A$201=B710)*(Equipamentos!$P$2:$P$201=A710),0),0)),""))</f>
        <v/>
      </c>
    </row>
    <row r="711">
      <c r="A711" s="54" t="n"/>
      <c r="B711" s="55" t="n"/>
      <c r="C711" s="56">
        <f>IF(OR(A711="",B711=""),"",IF(COUNTIF(Equipamentos!$A$2:$A$201,B711)=0,"tag não encontrada",IFERROR(INDEX(Equipamentos!$H$2:$H$201,MATCH(1,INDEX((Equipamentos!$A$2:$A$201=B711)*(Equipamentos!$P$2:$P$201=A711),0),0)),"confira a data")))</f>
        <v/>
      </c>
      <c r="D711">
        <f>IF(B711="","",IFERROR(INDEX(Equipamentos!$C$2:$C$201,MATCH(B711,Equipamentos!$A$2:$A$201,0)),""))</f>
        <v/>
      </c>
      <c r="E711" s="55" t="n"/>
      <c r="F711" s="55" t="n"/>
      <c r="G711">
        <f>IF(B711="","",IFERROR(INDEX(Equipamentos!$N$2:$N$201,MATCH(B711,Equipamentos!$A$2:$A$201,0)),""))</f>
        <v/>
      </c>
      <c r="H711">
        <f>IF(B711="","",IFERROR(INDEX(Equipamentos!$L$2:$L$201,MATCH(B711,Equipamentos!$A$2:$A$201,0)),""))</f>
        <v/>
      </c>
      <c r="I711" s="57">
        <f>IF(OR(A711="",B711=""),"",IFERROR(INDEX(Equipamentos!$J$2:$J$201,MATCH(1,INDEX((Equipamentos!$A$2:$A$201=B711)*(Equipamentos!$P$2:$P$201=A711),0),0)),""))</f>
        <v/>
      </c>
    </row>
    <row r="712">
      <c r="A712" s="54" t="n"/>
      <c r="B712" s="55" t="n"/>
      <c r="C712" s="56">
        <f>IF(OR(A712="",B712=""),"",IF(COUNTIF(Equipamentos!$A$2:$A$201,B712)=0,"tag não encontrada",IFERROR(INDEX(Equipamentos!$H$2:$H$201,MATCH(1,INDEX((Equipamentos!$A$2:$A$201=B712)*(Equipamentos!$P$2:$P$201=A712),0),0)),"confira a data")))</f>
        <v/>
      </c>
      <c r="D712">
        <f>IF(B712="","",IFERROR(INDEX(Equipamentos!$C$2:$C$201,MATCH(B712,Equipamentos!$A$2:$A$201,0)),""))</f>
        <v/>
      </c>
      <c r="E712" s="55" t="n"/>
      <c r="F712" s="55" t="n"/>
      <c r="G712">
        <f>IF(B712="","",IFERROR(INDEX(Equipamentos!$N$2:$N$201,MATCH(B712,Equipamentos!$A$2:$A$201,0)),""))</f>
        <v/>
      </c>
      <c r="H712">
        <f>IF(B712="","",IFERROR(INDEX(Equipamentos!$L$2:$L$201,MATCH(B712,Equipamentos!$A$2:$A$201,0)),""))</f>
        <v/>
      </c>
      <c r="I712" s="57">
        <f>IF(OR(A712="",B712=""),"",IFERROR(INDEX(Equipamentos!$J$2:$J$201,MATCH(1,INDEX((Equipamentos!$A$2:$A$201=B712)*(Equipamentos!$P$2:$P$201=A712),0),0)),""))</f>
        <v/>
      </c>
    </row>
    <row r="713">
      <c r="A713" s="54" t="n"/>
      <c r="B713" s="55" t="n"/>
      <c r="C713" s="56">
        <f>IF(OR(A713="",B713=""),"",IF(COUNTIF(Equipamentos!$A$2:$A$201,B713)=0,"tag não encontrada",IFERROR(INDEX(Equipamentos!$H$2:$H$201,MATCH(1,INDEX((Equipamentos!$A$2:$A$201=B713)*(Equipamentos!$P$2:$P$201=A713),0),0)),"confira a data")))</f>
        <v/>
      </c>
      <c r="D713">
        <f>IF(B713="","",IFERROR(INDEX(Equipamentos!$C$2:$C$201,MATCH(B713,Equipamentos!$A$2:$A$201,0)),""))</f>
        <v/>
      </c>
      <c r="E713" s="55" t="n"/>
      <c r="F713" s="55" t="n"/>
      <c r="G713">
        <f>IF(B713="","",IFERROR(INDEX(Equipamentos!$N$2:$N$201,MATCH(B713,Equipamentos!$A$2:$A$201,0)),""))</f>
        <v/>
      </c>
      <c r="H713">
        <f>IF(B713="","",IFERROR(INDEX(Equipamentos!$L$2:$L$201,MATCH(B713,Equipamentos!$A$2:$A$201,0)),""))</f>
        <v/>
      </c>
      <c r="I713" s="57">
        <f>IF(OR(A713="",B713=""),"",IFERROR(INDEX(Equipamentos!$J$2:$J$201,MATCH(1,INDEX((Equipamentos!$A$2:$A$201=B713)*(Equipamentos!$P$2:$P$201=A713),0),0)),""))</f>
        <v/>
      </c>
    </row>
    <row r="714">
      <c r="A714" s="54" t="n"/>
      <c r="B714" s="55" t="n"/>
      <c r="C714" s="56">
        <f>IF(OR(A714="",B714=""),"",IF(COUNTIF(Equipamentos!$A$2:$A$201,B714)=0,"tag não encontrada",IFERROR(INDEX(Equipamentos!$H$2:$H$201,MATCH(1,INDEX((Equipamentos!$A$2:$A$201=B714)*(Equipamentos!$P$2:$P$201=A714),0),0)),"confira a data")))</f>
        <v/>
      </c>
      <c r="D714">
        <f>IF(B714="","",IFERROR(INDEX(Equipamentos!$C$2:$C$201,MATCH(B714,Equipamentos!$A$2:$A$201,0)),""))</f>
        <v/>
      </c>
      <c r="E714" s="55" t="n"/>
      <c r="F714" s="55" t="n"/>
      <c r="G714">
        <f>IF(B714="","",IFERROR(INDEX(Equipamentos!$N$2:$N$201,MATCH(B714,Equipamentos!$A$2:$A$201,0)),""))</f>
        <v/>
      </c>
      <c r="H714">
        <f>IF(B714="","",IFERROR(INDEX(Equipamentos!$L$2:$L$201,MATCH(B714,Equipamentos!$A$2:$A$201,0)),""))</f>
        <v/>
      </c>
      <c r="I714" s="57">
        <f>IF(OR(A714="",B714=""),"",IFERROR(INDEX(Equipamentos!$J$2:$J$201,MATCH(1,INDEX((Equipamentos!$A$2:$A$201=B714)*(Equipamentos!$P$2:$P$201=A714),0),0)),""))</f>
        <v/>
      </c>
    </row>
    <row r="715">
      <c r="A715" s="54" t="n"/>
      <c r="B715" s="55" t="n"/>
      <c r="C715" s="56">
        <f>IF(OR(A715="",B715=""),"",IF(COUNTIF(Equipamentos!$A$2:$A$201,B715)=0,"tag não encontrada",IFERROR(INDEX(Equipamentos!$H$2:$H$201,MATCH(1,INDEX((Equipamentos!$A$2:$A$201=B715)*(Equipamentos!$P$2:$P$201=A715),0),0)),"confira a data")))</f>
        <v/>
      </c>
      <c r="D715">
        <f>IF(B715="","",IFERROR(INDEX(Equipamentos!$C$2:$C$201,MATCH(B715,Equipamentos!$A$2:$A$201,0)),""))</f>
        <v/>
      </c>
      <c r="E715" s="55" t="n"/>
      <c r="F715" s="55" t="n"/>
      <c r="G715">
        <f>IF(B715="","",IFERROR(INDEX(Equipamentos!$N$2:$N$201,MATCH(B715,Equipamentos!$A$2:$A$201,0)),""))</f>
        <v/>
      </c>
      <c r="H715">
        <f>IF(B715="","",IFERROR(INDEX(Equipamentos!$L$2:$L$201,MATCH(B715,Equipamentos!$A$2:$A$201,0)),""))</f>
        <v/>
      </c>
      <c r="I715" s="57">
        <f>IF(OR(A715="",B715=""),"",IFERROR(INDEX(Equipamentos!$J$2:$J$201,MATCH(1,INDEX((Equipamentos!$A$2:$A$201=B715)*(Equipamentos!$P$2:$P$201=A715),0),0)),""))</f>
        <v/>
      </c>
    </row>
    <row r="716">
      <c r="A716" s="54" t="n"/>
      <c r="B716" s="55" t="n"/>
      <c r="C716" s="56">
        <f>IF(OR(A716="",B716=""),"",IF(COUNTIF(Equipamentos!$A$2:$A$201,B716)=0,"tag não encontrada",IFERROR(INDEX(Equipamentos!$H$2:$H$201,MATCH(1,INDEX((Equipamentos!$A$2:$A$201=B716)*(Equipamentos!$P$2:$P$201=A716),0),0)),"confira a data")))</f>
        <v/>
      </c>
      <c r="D716">
        <f>IF(B716="","",IFERROR(INDEX(Equipamentos!$C$2:$C$201,MATCH(B716,Equipamentos!$A$2:$A$201,0)),""))</f>
        <v/>
      </c>
      <c r="E716" s="55" t="n"/>
      <c r="F716" s="55" t="n"/>
      <c r="G716">
        <f>IF(B716="","",IFERROR(INDEX(Equipamentos!$N$2:$N$201,MATCH(B716,Equipamentos!$A$2:$A$201,0)),""))</f>
        <v/>
      </c>
      <c r="H716">
        <f>IF(B716="","",IFERROR(INDEX(Equipamentos!$L$2:$L$201,MATCH(B716,Equipamentos!$A$2:$A$201,0)),""))</f>
        <v/>
      </c>
      <c r="I716" s="57">
        <f>IF(OR(A716="",B716=""),"",IFERROR(INDEX(Equipamentos!$J$2:$J$201,MATCH(1,INDEX((Equipamentos!$A$2:$A$201=B716)*(Equipamentos!$P$2:$P$201=A716),0),0)),""))</f>
        <v/>
      </c>
    </row>
    <row r="717">
      <c r="A717" s="54" t="n"/>
      <c r="B717" s="55" t="n"/>
      <c r="C717" s="56">
        <f>IF(OR(A717="",B717=""),"",IF(COUNTIF(Equipamentos!$A$2:$A$201,B717)=0,"tag não encontrada",IFERROR(INDEX(Equipamentos!$H$2:$H$201,MATCH(1,INDEX((Equipamentos!$A$2:$A$201=B717)*(Equipamentos!$P$2:$P$201=A717),0),0)),"confira a data")))</f>
        <v/>
      </c>
      <c r="D717">
        <f>IF(B717="","",IFERROR(INDEX(Equipamentos!$C$2:$C$201,MATCH(B717,Equipamentos!$A$2:$A$201,0)),""))</f>
        <v/>
      </c>
      <c r="E717" s="55" t="n"/>
      <c r="F717" s="55" t="n"/>
      <c r="G717">
        <f>IF(B717="","",IFERROR(INDEX(Equipamentos!$N$2:$N$201,MATCH(B717,Equipamentos!$A$2:$A$201,0)),""))</f>
        <v/>
      </c>
      <c r="H717">
        <f>IF(B717="","",IFERROR(INDEX(Equipamentos!$L$2:$L$201,MATCH(B717,Equipamentos!$A$2:$A$201,0)),""))</f>
        <v/>
      </c>
      <c r="I717" s="57">
        <f>IF(OR(A717="",B717=""),"",IFERROR(INDEX(Equipamentos!$J$2:$J$201,MATCH(1,INDEX((Equipamentos!$A$2:$A$201=B717)*(Equipamentos!$P$2:$P$201=A717),0),0)),""))</f>
        <v/>
      </c>
    </row>
    <row r="718">
      <c r="A718" s="54" t="n"/>
      <c r="B718" s="55" t="n"/>
      <c r="C718" s="56">
        <f>IF(OR(A718="",B718=""),"",IF(COUNTIF(Equipamentos!$A$2:$A$201,B718)=0,"tag não encontrada",IFERROR(INDEX(Equipamentos!$H$2:$H$201,MATCH(1,INDEX((Equipamentos!$A$2:$A$201=B718)*(Equipamentos!$P$2:$P$201=A718),0),0)),"confira a data")))</f>
        <v/>
      </c>
      <c r="D718">
        <f>IF(B718="","",IFERROR(INDEX(Equipamentos!$C$2:$C$201,MATCH(B718,Equipamentos!$A$2:$A$201,0)),""))</f>
        <v/>
      </c>
      <c r="E718" s="55" t="n"/>
      <c r="F718" s="55" t="n"/>
      <c r="G718">
        <f>IF(B718="","",IFERROR(INDEX(Equipamentos!$N$2:$N$201,MATCH(B718,Equipamentos!$A$2:$A$201,0)),""))</f>
        <v/>
      </c>
      <c r="H718">
        <f>IF(B718="","",IFERROR(INDEX(Equipamentos!$L$2:$L$201,MATCH(B718,Equipamentos!$A$2:$A$201,0)),""))</f>
        <v/>
      </c>
      <c r="I718" s="57">
        <f>IF(OR(A718="",B718=""),"",IFERROR(INDEX(Equipamentos!$J$2:$J$201,MATCH(1,INDEX((Equipamentos!$A$2:$A$201=B718)*(Equipamentos!$P$2:$P$201=A718),0),0)),""))</f>
        <v/>
      </c>
    </row>
    <row r="719">
      <c r="A719" s="54" t="n"/>
      <c r="B719" s="55" t="n"/>
      <c r="C719" s="56">
        <f>IF(OR(A719="",B719=""),"",IF(COUNTIF(Equipamentos!$A$2:$A$201,B719)=0,"tag não encontrada",IFERROR(INDEX(Equipamentos!$H$2:$H$201,MATCH(1,INDEX((Equipamentos!$A$2:$A$201=B719)*(Equipamentos!$P$2:$P$201=A719),0),0)),"confira a data")))</f>
        <v/>
      </c>
      <c r="D719">
        <f>IF(B719="","",IFERROR(INDEX(Equipamentos!$C$2:$C$201,MATCH(B719,Equipamentos!$A$2:$A$201,0)),""))</f>
        <v/>
      </c>
      <c r="E719" s="55" t="n"/>
      <c r="F719" s="55" t="n"/>
      <c r="G719">
        <f>IF(B719="","",IFERROR(INDEX(Equipamentos!$N$2:$N$201,MATCH(B719,Equipamentos!$A$2:$A$201,0)),""))</f>
        <v/>
      </c>
      <c r="H719">
        <f>IF(B719="","",IFERROR(INDEX(Equipamentos!$L$2:$L$201,MATCH(B719,Equipamentos!$A$2:$A$201,0)),""))</f>
        <v/>
      </c>
      <c r="I719" s="57">
        <f>IF(OR(A719="",B719=""),"",IFERROR(INDEX(Equipamentos!$J$2:$J$201,MATCH(1,INDEX((Equipamentos!$A$2:$A$201=B719)*(Equipamentos!$P$2:$P$201=A719),0),0)),""))</f>
        <v/>
      </c>
    </row>
    <row r="720">
      <c r="A720" s="54" t="n"/>
      <c r="B720" s="55" t="n"/>
      <c r="C720" s="56">
        <f>IF(OR(A720="",B720=""),"",IF(COUNTIF(Equipamentos!$A$2:$A$201,B720)=0,"tag não encontrada",IFERROR(INDEX(Equipamentos!$H$2:$H$201,MATCH(1,INDEX((Equipamentos!$A$2:$A$201=B720)*(Equipamentos!$P$2:$P$201=A720),0),0)),"confira a data")))</f>
        <v/>
      </c>
      <c r="D720">
        <f>IF(B720="","",IFERROR(INDEX(Equipamentos!$C$2:$C$201,MATCH(B720,Equipamentos!$A$2:$A$201,0)),""))</f>
        <v/>
      </c>
      <c r="E720" s="55" t="n"/>
      <c r="F720" s="55" t="n"/>
      <c r="G720">
        <f>IF(B720="","",IFERROR(INDEX(Equipamentos!$N$2:$N$201,MATCH(B720,Equipamentos!$A$2:$A$201,0)),""))</f>
        <v/>
      </c>
      <c r="H720">
        <f>IF(B720="","",IFERROR(INDEX(Equipamentos!$L$2:$L$201,MATCH(B720,Equipamentos!$A$2:$A$201,0)),""))</f>
        <v/>
      </c>
      <c r="I720" s="57">
        <f>IF(OR(A720="",B720=""),"",IFERROR(INDEX(Equipamentos!$J$2:$J$201,MATCH(1,INDEX((Equipamentos!$A$2:$A$201=B720)*(Equipamentos!$P$2:$P$201=A720),0),0)),""))</f>
        <v/>
      </c>
    </row>
    <row r="721">
      <c r="A721" s="54" t="n"/>
      <c r="B721" s="55" t="n"/>
      <c r="C721" s="56">
        <f>IF(OR(A721="",B721=""),"",IF(COUNTIF(Equipamentos!$A$2:$A$201,B721)=0,"tag não encontrada",IFERROR(INDEX(Equipamentos!$H$2:$H$201,MATCH(1,INDEX((Equipamentos!$A$2:$A$201=B721)*(Equipamentos!$P$2:$P$201=A721),0),0)),"confira a data")))</f>
        <v/>
      </c>
      <c r="D721">
        <f>IF(B721="","",IFERROR(INDEX(Equipamentos!$C$2:$C$201,MATCH(B721,Equipamentos!$A$2:$A$201,0)),""))</f>
        <v/>
      </c>
      <c r="E721" s="55" t="n"/>
      <c r="F721" s="55" t="n"/>
      <c r="G721">
        <f>IF(B721="","",IFERROR(INDEX(Equipamentos!$N$2:$N$201,MATCH(B721,Equipamentos!$A$2:$A$201,0)),""))</f>
        <v/>
      </c>
      <c r="H721">
        <f>IF(B721="","",IFERROR(INDEX(Equipamentos!$L$2:$L$201,MATCH(B721,Equipamentos!$A$2:$A$201,0)),""))</f>
        <v/>
      </c>
      <c r="I721" s="57">
        <f>IF(OR(A721="",B721=""),"",IFERROR(INDEX(Equipamentos!$J$2:$J$201,MATCH(1,INDEX((Equipamentos!$A$2:$A$201=B721)*(Equipamentos!$P$2:$P$201=A721),0),0)),""))</f>
        <v/>
      </c>
    </row>
    <row r="722">
      <c r="A722" s="54" t="n"/>
      <c r="B722" s="55" t="n"/>
      <c r="C722" s="56">
        <f>IF(OR(A722="",B722=""),"",IF(COUNTIF(Equipamentos!$A$2:$A$201,B722)=0,"tag não encontrada",IFERROR(INDEX(Equipamentos!$H$2:$H$201,MATCH(1,INDEX((Equipamentos!$A$2:$A$201=B722)*(Equipamentos!$P$2:$P$201=A722),0),0)),"confira a data")))</f>
        <v/>
      </c>
      <c r="D722">
        <f>IF(B722="","",IFERROR(INDEX(Equipamentos!$C$2:$C$201,MATCH(B722,Equipamentos!$A$2:$A$201,0)),""))</f>
        <v/>
      </c>
      <c r="E722" s="55" t="n"/>
      <c r="F722" s="55" t="n"/>
      <c r="G722">
        <f>IF(B722="","",IFERROR(INDEX(Equipamentos!$N$2:$N$201,MATCH(B722,Equipamentos!$A$2:$A$201,0)),""))</f>
        <v/>
      </c>
      <c r="H722">
        <f>IF(B722="","",IFERROR(INDEX(Equipamentos!$L$2:$L$201,MATCH(B722,Equipamentos!$A$2:$A$201,0)),""))</f>
        <v/>
      </c>
      <c r="I722" s="57">
        <f>IF(OR(A722="",B722=""),"",IFERROR(INDEX(Equipamentos!$J$2:$J$201,MATCH(1,INDEX((Equipamentos!$A$2:$A$201=B722)*(Equipamentos!$P$2:$P$201=A722),0),0)),""))</f>
        <v/>
      </c>
    </row>
    <row r="723">
      <c r="A723" s="54" t="n"/>
      <c r="B723" s="55" t="n"/>
      <c r="C723" s="56">
        <f>IF(OR(A723="",B723=""),"",IF(COUNTIF(Equipamentos!$A$2:$A$201,B723)=0,"tag não encontrada",IFERROR(INDEX(Equipamentos!$H$2:$H$201,MATCH(1,INDEX((Equipamentos!$A$2:$A$201=B723)*(Equipamentos!$P$2:$P$201=A723),0),0)),"confira a data")))</f>
        <v/>
      </c>
      <c r="D723">
        <f>IF(B723="","",IFERROR(INDEX(Equipamentos!$C$2:$C$201,MATCH(B723,Equipamentos!$A$2:$A$201,0)),""))</f>
        <v/>
      </c>
      <c r="E723" s="55" t="n"/>
      <c r="F723" s="55" t="n"/>
      <c r="G723">
        <f>IF(B723="","",IFERROR(INDEX(Equipamentos!$N$2:$N$201,MATCH(B723,Equipamentos!$A$2:$A$201,0)),""))</f>
        <v/>
      </c>
      <c r="H723">
        <f>IF(B723="","",IFERROR(INDEX(Equipamentos!$L$2:$L$201,MATCH(B723,Equipamentos!$A$2:$A$201,0)),""))</f>
        <v/>
      </c>
      <c r="I723" s="57">
        <f>IF(OR(A723="",B723=""),"",IFERROR(INDEX(Equipamentos!$J$2:$J$201,MATCH(1,INDEX((Equipamentos!$A$2:$A$201=B723)*(Equipamentos!$P$2:$P$201=A723),0),0)),""))</f>
        <v/>
      </c>
    </row>
    <row r="724">
      <c r="A724" s="54" t="n"/>
      <c r="B724" s="55" t="n"/>
      <c r="C724" s="56">
        <f>IF(OR(A724="",B724=""),"",IF(COUNTIF(Equipamentos!$A$2:$A$201,B724)=0,"tag não encontrada",IFERROR(INDEX(Equipamentos!$H$2:$H$201,MATCH(1,INDEX((Equipamentos!$A$2:$A$201=B724)*(Equipamentos!$P$2:$P$201=A724),0),0)),"confira a data")))</f>
        <v/>
      </c>
      <c r="D724">
        <f>IF(B724="","",IFERROR(INDEX(Equipamentos!$C$2:$C$201,MATCH(B724,Equipamentos!$A$2:$A$201,0)),""))</f>
        <v/>
      </c>
      <c r="E724" s="55" t="n"/>
      <c r="F724" s="55" t="n"/>
      <c r="G724">
        <f>IF(B724="","",IFERROR(INDEX(Equipamentos!$N$2:$N$201,MATCH(B724,Equipamentos!$A$2:$A$201,0)),""))</f>
        <v/>
      </c>
      <c r="H724">
        <f>IF(B724="","",IFERROR(INDEX(Equipamentos!$L$2:$L$201,MATCH(B724,Equipamentos!$A$2:$A$201,0)),""))</f>
        <v/>
      </c>
      <c r="I724" s="57">
        <f>IF(OR(A724="",B724=""),"",IFERROR(INDEX(Equipamentos!$J$2:$J$201,MATCH(1,INDEX((Equipamentos!$A$2:$A$201=B724)*(Equipamentos!$P$2:$P$201=A724),0),0)),""))</f>
        <v/>
      </c>
    </row>
    <row r="725">
      <c r="A725" s="54" t="n"/>
      <c r="B725" s="55" t="n"/>
      <c r="C725" s="56">
        <f>IF(OR(A725="",B725=""),"",IF(COUNTIF(Equipamentos!$A$2:$A$201,B725)=0,"tag não encontrada",IFERROR(INDEX(Equipamentos!$H$2:$H$201,MATCH(1,INDEX((Equipamentos!$A$2:$A$201=B725)*(Equipamentos!$P$2:$P$201=A725),0),0)),"confira a data")))</f>
        <v/>
      </c>
      <c r="D725">
        <f>IF(B725="","",IFERROR(INDEX(Equipamentos!$C$2:$C$201,MATCH(B725,Equipamentos!$A$2:$A$201,0)),""))</f>
        <v/>
      </c>
      <c r="E725" s="55" t="n"/>
      <c r="F725" s="55" t="n"/>
      <c r="G725">
        <f>IF(B725="","",IFERROR(INDEX(Equipamentos!$N$2:$N$201,MATCH(B725,Equipamentos!$A$2:$A$201,0)),""))</f>
        <v/>
      </c>
      <c r="H725">
        <f>IF(B725="","",IFERROR(INDEX(Equipamentos!$L$2:$L$201,MATCH(B725,Equipamentos!$A$2:$A$201,0)),""))</f>
        <v/>
      </c>
      <c r="I725" s="57">
        <f>IF(OR(A725="",B725=""),"",IFERROR(INDEX(Equipamentos!$J$2:$J$201,MATCH(1,INDEX((Equipamentos!$A$2:$A$201=B725)*(Equipamentos!$P$2:$P$201=A725),0),0)),""))</f>
        <v/>
      </c>
    </row>
    <row r="726">
      <c r="A726" s="54" t="n"/>
      <c r="B726" s="55" t="n"/>
      <c r="C726" s="56">
        <f>IF(OR(A726="",B726=""),"",IF(COUNTIF(Equipamentos!$A$2:$A$201,B726)=0,"tag não encontrada",IFERROR(INDEX(Equipamentos!$H$2:$H$201,MATCH(1,INDEX((Equipamentos!$A$2:$A$201=B726)*(Equipamentos!$P$2:$P$201=A726),0),0)),"confira a data")))</f>
        <v/>
      </c>
      <c r="D726">
        <f>IF(B726="","",IFERROR(INDEX(Equipamentos!$C$2:$C$201,MATCH(B726,Equipamentos!$A$2:$A$201,0)),""))</f>
        <v/>
      </c>
      <c r="E726" s="55" t="n"/>
      <c r="F726" s="55" t="n"/>
      <c r="G726">
        <f>IF(B726="","",IFERROR(INDEX(Equipamentos!$N$2:$N$201,MATCH(B726,Equipamentos!$A$2:$A$201,0)),""))</f>
        <v/>
      </c>
      <c r="H726">
        <f>IF(B726="","",IFERROR(INDEX(Equipamentos!$L$2:$L$201,MATCH(B726,Equipamentos!$A$2:$A$201,0)),""))</f>
        <v/>
      </c>
      <c r="I726" s="57">
        <f>IF(OR(A726="",B726=""),"",IFERROR(INDEX(Equipamentos!$J$2:$J$201,MATCH(1,INDEX((Equipamentos!$A$2:$A$201=B726)*(Equipamentos!$P$2:$P$201=A726),0),0)),""))</f>
        <v/>
      </c>
    </row>
    <row r="727">
      <c r="A727" s="54" t="n"/>
      <c r="B727" s="55" t="n"/>
      <c r="C727" s="56">
        <f>IF(OR(A727="",B727=""),"",IF(COUNTIF(Equipamentos!$A$2:$A$201,B727)=0,"tag não encontrada",IFERROR(INDEX(Equipamentos!$H$2:$H$201,MATCH(1,INDEX((Equipamentos!$A$2:$A$201=B727)*(Equipamentos!$P$2:$P$201=A727),0),0)),"confira a data")))</f>
        <v/>
      </c>
      <c r="D727">
        <f>IF(B727="","",IFERROR(INDEX(Equipamentos!$C$2:$C$201,MATCH(B727,Equipamentos!$A$2:$A$201,0)),""))</f>
        <v/>
      </c>
      <c r="E727" s="55" t="n"/>
      <c r="F727" s="55" t="n"/>
      <c r="G727">
        <f>IF(B727="","",IFERROR(INDEX(Equipamentos!$N$2:$N$201,MATCH(B727,Equipamentos!$A$2:$A$201,0)),""))</f>
        <v/>
      </c>
      <c r="H727">
        <f>IF(B727="","",IFERROR(INDEX(Equipamentos!$L$2:$L$201,MATCH(B727,Equipamentos!$A$2:$A$201,0)),""))</f>
        <v/>
      </c>
      <c r="I727" s="57">
        <f>IF(OR(A727="",B727=""),"",IFERROR(INDEX(Equipamentos!$J$2:$J$201,MATCH(1,INDEX((Equipamentos!$A$2:$A$201=B727)*(Equipamentos!$P$2:$P$201=A727),0),0)),""))</f>
        <v/>
      </c>
    </row>
    <row r="728">
      <c r="A728" s="54" t="n"/>
      <c r="B728" s="55" t="n"/>
      <c r="C728" s="56">
        <f>IF(OR(A728="",B728=""),"",IF(COUNTIF(Equipamentos!$A$2:$A$201,B728)=0,"tag não encontrada",IFERROR(INDEX(Equipamentos!$H$2:$H$201,MATCH(1,INDEX((Equipamentos!$A$2:$A$201=B728)*(Equipamentos!$P$2:$P$201=A728),0),0)),"confira a data")))</f>
        <v/>
      </c>
      <c r="D728">
        <f>IF(B728="","",IFERROR(INDEX(Equipamentos!$C$2:$C$201,MATCH(B728,Equipamentos!$A$2:$A$201,0)),""))</f>
        <v/>
      </c>
      <c r="E728" s="55" t="n"/>
      <c r="F728" s="55" t="n"/>
      <c r="G728">
        <f>IF(B728="","",IFERROR(INDEX(Equipamentos!$N$2:$N$201,MATCH(B728,Equipamentos!$A$2:$A$201,0)),""))</f>
        <v/>
      </c>
      <c r="H728">
        <f>IF(B728="","",IFERROR(INDEX(Equipamentos!$L$2:$L$201,MATCH(B728,Equipamentos!$A$2:$A$201,0)),""))</f>
        <v/>
      </c>
      <c r="I728" s="57">
        <f>IF(OR(A728="",B728=""),"",IFERROR(INDEX(Equipamentos!$J$2:$J$201,MATCH(1,INDEX((Equipamentos!$A$2:$A$201=B728)*(Equipamentos!$P$2:$P$201=A728),0),0)),""))</f>
        <v/>
      </c>
    </row>
    <row r="729">
      <c r="A729" s="54" t="n"/>
      <c r="B729" s="55" t="n"/>
      <c r="C729" s="56">
        <f>IF(OR(A729="",B729=""),"",IF(COUNTIF(Equipamentos!$A$2:$A$201,B729)=0,"tag não encontrada",IFERROR(INDEX(Equipamentos!$H$2:$H$201,MATCH(1,INDEX((Equipamentos!$A$2:$A$201=B729)*(Equipamentos!$P$2:$P$201=A729),0),0)),"confira a data")))</f>
        <v/>
      </c>
      <c r="D729">
        <f>IF(B729="","",IFERROR(INDEX(Equipamentos!$C$2:$C$201,MATCH(B729,Equipamentos!$A$2:$A$201,0)),""))</f>
        <v/>
      </c>
      <c r="E729" s="55" t="n"/>
      <c r="F729" s="55" t="n"/>
      <c r="G729">
        <f>IF(B729="","",IFERROR(INDEX(Equipamentos!$N$2:$N$201,MATCH(B729,Equipamentos!$A$2:$A$201,0)),""))</f>
        <v/>
      </c>
      <c r="H729">
        <f>IF(B729="","",IFERROR(INDEX(Equipamentos!$L$2:$L$201,MATCH(B729,Equipamentos!$A$2:$A$201,0)),""))</f>
        <v/>
      </c>
      <c r="I729" s="57">
        <f>IF(OR(A729="",B729=""),"",IFERROR(INDEX(Equipamentos!$J$2:$J$201,MATCH(1,INDEX((Equipamentos!$A$2:$A$201=B729)*(Equipamentos!$P$2:$P$201=A729),0),0)),""))</f>
        <v/>
      </c>
    </row>
    <row r="730">
      <c r="A730" s="54" t="n"/>
      <c r="B730" s="55" t="n"/>
      <c r="C730" s="56">
        <f>IF(OR(A730="",B730=""),"",IF(COUNTIF(Equipamentos!$A$2:$A$201,B730)=0,"tag não encontrada",IFERROR(INDEX(Equipamentos!$H$2:$H$201,MATCH(1,INDEX((Equipamentos!$A$2:$A$201=B730)*(Equipamentos!$P$2:$P$201=A730),0),0)),"confira a data")))</f>
        <v/>
      </c>
      <c r="D730">
        <f>IF(B730="","",IFERROR(INDEX(Equipamentos!$C$2:$C$201,MATCH(B730,Equipamentos!$A$2:$A$201,0)),""))</f>
        <v/>
      </c>
      <c r="E730" s="55" t="n"/>
      <c r="F730" s="55" t="n"/>
      <c r="G730">
        <f>IF(B730="","",IFERROR(INDEX(Equipamentos!$N$2:$N$201,MATCH(B730,Equipamentos!$A$2:$A$201,0)),""))</f>
        <v/>
      </c>
      <c r="H730">
        <f>IF(B730="","",IFERROR(INDEX(Equipamentos!$L$2:$L$201,MATCH(B730,Equipamentos!$A$2:$A$201,0)),""))</f>
        <v/>
      </c>
      <c r="I730" s="57">
        <f>IF(OR(A730="",B730=""),"",IFERROR(INDEX(Equipamentos!$J$2:$J$201,MATCH(1,INDEX((Equipamentos!$A$2:$A$201=B730)*(Equipamentos!$P$2:$P$201=A730),0),0)),""))</f>
        <v/>
      </c>
    </row>
    <row r="731">
      <c r="A731" s="54" t="n"/>
      <c r="B731" s="55" t="n"/>
      <c r="C731" s="56">
        <f>IF(OR(A731="",B731=""),"",IF(COUNTIF(Equipamentos!$A$2:$A$201,B731)=0,"tag não encontrada",IFERROR(INDEX(Equipamentos!$H$2:$H$201,MATCH(1,INDEX((Equipamentos!$A$2:$A$201=B731)*(Equipamentos!$P$2:$P$201=A731),0),0)),"confira a data")))</f>
        <v/>
      </c>
      <c r="D731">
        <f>IF(B731="","",IFERROR(INDEX(Equipamentos!$C$2:$C$201,MATCH(B731,Equipamentos!$A$2:$A$201,0)),""))</f>
        <v/>
      </c>
      <c r="E731" s="55" t="n"/>
      <c r="F731" s="55" t="n"/>
      <c r="G731">
        <f>IF(B731="","",IFERROR(INDEX(Equipamentos!$N$2:$N$201,MATCH(B731,Equipamentos!$A$2:$A$201,0)),""))</f>
        <v/>
      </c>
      <c r="H731">
        <f>IF(B731="","",IFERROR(INDEX(Equipamentos!$L$2:$L$201,MATCH(B731,Equipamentos!$A$2:$A$201,0)),""))</f>
        <v/>
      </c>
      <c r="I731" s="57">
        <f>IF(OR(A731="",B731=""),"",IFERROR(INDEX(Equipamentos!$J$2:$J$201,MATCH(1,INDEX((Equipamentos!$A$2:$A$201=B731)*(Equipamentos!$P$2:$P$201=A731),0),0)),""))</f>
        <v/>
      </c>
    </row>
    <row r="732">
      <c r="A732" s="54" t="n"/>
      <c r="B732" s="55" t="n"/>
      <c r="C732" s="56">
        <f>IF(OR(A732="",B732=""),"",IF(COUNTIF(Equipamentos!$A$2:$A$201,B732)=0,"tag não encontrada",IFERROR(INDEX(Equipamentos!$H$2:$H$201,MATCH(1,INDEX((Equipamentos!$A$2:$A$201=B732)*(Equipamentos!$P$2:$P$201=A732),0),0)),"confira a data")))</f>
        <v/>
      </c>
      <c r="D732">
        <f>IF(B732="","",IFERROR(INDEX(Equipamentos!$C$2:$C$201,MATCH(B732,Equipamentos!$A$2:$A$201,0)),""))</f>
        <v/>
      </c>
      <c r="E732" s="55" t="n"/>
      <c r="F732" s="55" t="n"/>
      <c r="G732">
        <f>IF(B732="","",IFERROR(INDEX(Equipamentos!$N$2:$N$201,MATCH(B732,Equipamentos!$A$2:$A$201,0)),""))</f>
        <v/>
      </c>
      <c r="H732">
        <f>IF(B732="","",IFERROR(INDEX(Equipamentos!$L$2:$L$201,MATCH(B732,Equipamentos!$A$2:$A$201,0)),""))</f>
        <v/>
      </c>
      <c r="I732" s="57">
        <f>IF(OR(A732="",B732=""),"",IFERROR(INDEX(Equipamentos!$J$2:$J$201,MATCH(1,INDEX((Equipamentos!$A$2:$A$201=B732)*(Equipamentos!$P$2:$P$201=A732),0),0)),""))</f>
        <v/>
      </c>
    </row>
    <row r="733">
      <c r="A733" s="54" t="n"/>
      <c r="B733" s="55" t="n"/>
      <c r="C733" s="56">
        <f>IF(OR(A733="",B733=""),"",IF(COUNTIF(Equipamentos!$A$2:$A$201,B733)=0,"tag não encontrada",IFERROR(INDEX(Equipamentos!$H$2:$H$201,MATCH(1,INDEX((Equipamentos!$A$2:$A$201=B733)*(Equipamentos!$P$2:$P$201=A733),0),0)),"confira a data")))</f>
        <v/>
      </c>
      <c r="D733">
        <f>IF(B733="","",IFERROR(INDEX(Equipamentos!$C$2:$C$201,MATCH(B733,Equipamentos!$A$2:$A$201,0)),""))</f>
        <v/>
      </c>
      <c r="E733" s="55" t="n"/>
      <c r="F733" s="55" t="n"/>
      <c r="G733">
        <f>IF(B733="","",IFERROR(INDEX(Equipamentos!$N$2:$N$201,MATCH(B733,Equipamentos!$A$2:$A$201,0)),""))</f>
        <v/>
      </c>
      <c r="H733">
        <f>IF(B733="","",IFERROR(INDEX(Equipamentos!$L$2:$L$201,MATCH(B733,Equipamentos!$A$2:$A$201,0)),""))</f>
        <v/>
      </c>
      <c r="I733" s="57">
        <f>IF(OR(A733="",B733=""),"",IFERROR(INDEX(Equipamentos!$J$2:$J$201,MATCH(1,INDEX((Equipamentos!$A$2:$A$201=B733)*(Equipamentos!$P$2:$P$201=A733),0),0)),""))</f>
        <v/>
      </c>
    </row>
    <row r="734">
      <c r="A734" s="54" t="n"/>
      <c r="B734" s="55" t="n"/>
      <c r="C734" s="56">
        <f>IF(OR(A734="",B734=""),"",IF(COUNTIF(Equipamentos!$A$2:$A$201,B734)=0,"tag não encontrada",IFERROR(INDEX(Equipamentos!$H$2:$H$201,MATCH(1,INDEX((Equipamentos!$A$2:$A$201=B734)*(Equipamentos!$P$2:$P$201=A734),0),0)),"confira a data")))</f>
        <v/>
      </c>
      <c r="D734">
        <f>IF(B734="","",IFERROR(INDEX(Equipamentos!$C$2:$C$201,MATCH(B734,Equipamentos!$A$2:$A$201,0)),""))</f>
        <v/>
      </c>
      <c r="E734" s="55" t="n"/>
      <c r="F734" s="55" t="n"/>
      <c r="G734">
        <f>IF(B734="","",IFERROR(INDEX(Equipamentos!$N$2:$N$201,MATCH(B734,Equipamentos!$A$2:$A$201,0)),""))</f>
        <v/>
      </c>
      <c r="H734">
        <f>IF(B734="","",IFERROR(INDEX(Equipamentos!$L$2:$L$201,MATCH(B734,Equipamentos!$A$2:$A$201,0)),""))</f>
        <v/>
      </c>
      <c r="I734" s="57">
        <f>IF(OR(A734="",B734=""),"",IFERROR(INDEX(Equipamentos!$J$2:$J$201,MATCH(1,INDEX((Equipamentos!$A$2:$A$201=B734)*(Equipamentos!$P$2:$P$201=A734),0),0)),""))</f>
        <v/>
      </c>
    </row>
    <row r="735">
      <c r="A735" s="54" t="n"/>
      <c r="B735" s="55" t="n"/>
      <c r="C735" s="56">
        <f>IF(OR(A735="",B735=""),"",IF(COUNTIF(Equipamentos!$A$2:$A$201,B735)=0,"tag não encontrada",IFERROR(INDEX(Equipamentos!$H$2:$H$201,MATCH(1,INDEX((Equipamentos!$A$2:$A$201=B735)*(Equipamentos!$P$2:$P$201=A735),0),0)),"confira a data")))</f>
        <v/>
      </c>
      <c r="D735">
        <f>IF(B735="","",IFERROR(INDEX(Equipamentos!$C$2:$C$201,MATCH(B735,Equipamentos!$A$2:$A$201,0)),""))</f>
        <v/>
      </c>
      <c r="E735" s="55" t="n"/>
      <c r="F735" s="55" t="n"/>
      <c r="G735">
        <f>IF(B735="","",IFERROR(INDEX(Equipamentos!$N$2:$N$201,MATCH(B735,Equipamentos!$A$2:$A$201,0)),""))</f>
        <v/>
      </c>
      <c r="H735">
        <f>IF(B735="","",IFERROR(INDEX(Equipamentos!$L$2:$L$201,MATCH(B735,Equipamentos!$A$2:$A$201,0)),""))</f>
        <v/>
      </c>
      <c r="I735" s="57">
        <f>IF(OR(A735="",B735=""),"",IFERROR(INDEX(Equipamentos!$J$2:$J$201,MATCH(1,INDEX((Equipamentos!$A$2:$A$201=B735)*(Equipamentos!$P$2:$P$201=A735),0),0)),""))</f>
        <v/>
      </c>
    </row>
    <row r="736">
      <c r="A736" s="54" t="n"/>
      <c r="B736" s="55" t="n"/>
      <c r="C736" s="56">
        <f>IF(OR(A736="",B736=""),"",IF(COUNTIF(Equipamentos!$A$2:$A$201,B736)=0,"tag não encontrada",IFERROR(INDEX(Equipamentos!$H$2:$H$201,MATCH(1,INDEX((Equipamentos!$A$2:$A$201=B736)*(Equipamentos!$P$2:$P$201=A736),0),0)),"confira a data")))</f>
        <v/>
      </c>
      <c r="D736">
        <f>IF(B736="","",IFERROR(INDEX(Equipamentos!$C$2:$C$201,MATCH(B736,Equipamentos!$A$2:$A$201,0)),""))</f>
        <v/>
      </c>
      <c r="E736" s="55" t="n"/>
      <c r="F736" s="55" t="n"/>
      <c r="G736">
        <f>IF(B736="","",IFERROR(INDEX(Equipamentos!$N$2:$N$201,MATCH(B736,Equipamentos!$A$2:$A$201,0)),""))</f>
        <v/>
      </c>
      <c r="H736">
        <f>IF(B736="","",IFERROR(INDEX(Equipamentos!$L$2:$L$201,MATCH(B736,Equipamentos!$A$2:$A$201,0)),""))</f>
        <v/>
      </c>
      <c r="I736" s="57">
        <f>IF(OR(A736="",B736=""),"",IFERROR(INDEX(Equipamentos!$J$2:$J$201,MATCH(1,INDEX((Equipamentos!$A$2:$A$201=B736)*(Equipamentos!$P$2:$P$201=A736),0),0)),""))</f>
        <v/>
      </c>
    </row>
    <row r="737">
      <c r="A737" s="54" t="n"/>
      <c r="B737" s="55" t="n"/>
      <c r="C737" s="56">
        <f>IF(OR(A737="",B737=""),"",IF(COUNTIF(Equipamentos!$A$2:$A$201,B737)=0,"tag não encontrada",IFERROR(INDEX(Equipamentos!$H$2:$H$201,MATCH(1,INDEX((Equipamentos!$A$2:$A$201=B737)*(Equipamentos!$P$2:$P$201=A737),0),0)),"confira a data")))</f>
        <v/>
      </c>
      <c r="D737">
        <f>IF(B737="","",IFERROR(INDEX(Equipamentos!$C$2:$C$201,MATCH(B737,Equipamentos!$A$2:$A$201,0)),""))</f>
        <v/>
      </c>
      <c r="E737" s="55" t="n"/>
      <c r="F737" s="55" t="n"/>
      <c r="G737">
        <f>IF(B737="","",IFERROR(INDEX(Equipamentos!$N$2:$N$201,MATCH(B737,Equipamentos!$A$2:$A$201,0)),""))</f>
        <v/>
      </c>
      <c r="H737">
        <f>IF(B737="","",IFERROR(INDEX(Equipamentos!$L$2:$L$201,MATCH(B737,Equipamentos!$A$2:$A$201,0)),""))</f>
        <v/>
      </c>
      <c r="I737" s="57">
        <f>IF(OR(A737="",B737=""),"",IFERROR(INDEX(Equipamentos!$J$2:$J$201,MATCH(1,INDEX((Equipamentos!$A$2:$A$201=B737)*(Equipamentos!$P$2:$P$201=A737),0),0)),""))</f>
        <v/>
      </c>
    </row>
    <row r="738">
      <c r="A738" s="54" t="n"/>
      <c r="B738" s="55" t="n"/>
      <c r="C738" s="56">
        <f>IF(OR(A738="",B738=""),"",IF(COUNTIF(Equipamentos!$A$2:$A$201,B738)=0,"tag não encontrada",IFERROR(INDEX(Equipamentos!$H$2:$H$201,MATCH(1,INDEX((Equipamentos!$A$2:$A$201=B738)*(Equipamentos!$P$2:$P$201=A738),0),0)),"confira a data")))</f>
        <v/>
      </c>
      <c r="D738">
        <f>IF(B738="","",IFERROR(INDEX(Equipamentos!$C$2:$C$201,MATCH(B738,Equipamentos!$A$2:$A$201,0)),""))</f>
        <v/>
      </c>
      <c r="E738" s="55" t="n"/>
      <c r="F738" s="55" t="n"/>
      <c r="G738">
        <f>IF(B738="","",IFERROR(INDEX(Equipamentos!$N$2:$N$201,MATCH(B738,Equipamentos!$A$2:$A$201,0)),""))</f>
        <v/>
      </c>
      <c r="H738">
        <f>IF(B738="","",IFERROR(INDEX(Equipamentos!$L$2:$L$201,MATCH(B738,Equipamentos!$A$2:$A$201,0)),""))</f>
        <v/>
      </c>
      <c r="I738" s="57">
        <f>IF(OR(A738="",B738=""),"",IFERROR(INDEX(Equipamentos!$J$2:$J$201,MATCH(1,INDEX((Equipamentos!$A$2:$A$201=B738)*(Equipamentos!$P$2:$P$201=A738),0),0)),""))</f>
        <v/>
      </c>
    </row>
    <row r="739">
      <c r="A739" s="54" t="n"/>
      <c r="B739" s="55" t="n"/>
      <c r="C739" s="56">
        <f>IF(OR(A739="",B739=""),"",IF(COUNTIF(Equipamentos!$A$2:$A$201,B739)=0,"tag não encontrada",IFERROR(INDEX(Equipamentos!$H$2:$H$201,MATCH(1,INDEX((Equipamentos!$A$2:$A$201=B739)*(Equipamentos!$P$2:$P$201=A739),0),0)),"confira a data")))</f>
        <v/>
      </c>
      <c r="D739">
        <f>IF(B739="","",IFERROR(INDEX(Equipamentos!$C$2:$C$201,MATCH(B739,Equipamentos!$A$2:$A$201,0)),""))</f>
        <v/>
      </c>
      <c r="E739" s="55" t="n"/>
      <c r="F739" s="55" t="n"/>
      <c r="G739">
        <f>IF(B739="","",IFERROR(INDEX(Equipamentos!$N$2:$N$201,MATCH(B739,Equipamentos!$A$2:$A$201,0)),""))</f>
        <v/>
      </c>
      <c r="H739">
        <f>IF(B739="","",IFERROR(INDEX(Equipamentos!$L$2:$L$201,MATCH(B739,Equipamentos!$A$2:$A$201,0)),""))</f>
        <v/>
      </c>
      <c r="I739" s="57">
        <f>IF(OR(A739="",B739=""),"",IFERROR(INDEX(Equipamentos!$J$2:$J$201,MATCH(1,INDEX((Equipamentos!$A$2:$A$201=B739)*(Equipamentos!$P$2:$P$201=A739),0),0)),""))</f>
        <v/>
      </c>
    </row>
    <row r="740">
      <c r="A740" s="54" t="n"/>
      <c r="B740" s="55" t="n"/>
      <c r="C740" s="56">
        <f>IF(OR(A740="",B740=""),"",IF(COUNTIF(Equipamentos!$A$2:$A$201,B740)=0,"tag não encontrada",IFERROR(INDEX(Equipamentos!$H$2:$H$201,MATCH(1,INDEX((Equipamentos!$A$2:$A$201=B740)*(Equipamentos!$P$2:$P$201=A740),0),0)),"confira a data")))</f>
        <v/>
      </c>
      <c r="D740">
        <f>IF(B740="","",IFERROR(INDEX(Equipamentos!$C$2:$C$201,MATCH(B740,Equipamentos!$A$2:$A$201,0)),""))</f>
        <v/>
      </c>
      <c r="E740" s="55" t="n"/>
      <c r="F740" s="55" t="n"/>
      <c r="G740">
        <f>IF(B740="","",IFERROR(INDEX(Equipamentos!$N$2:$N$201,MATCH(B740,Equipamentos!$A$2:$A$201,0)),""))</f>
        <v/>
      </c>
      <c r="H740">
        <f>IF(B740="","",IFERROR(INDEX(Equipamentos!$L$2:$L$201,MATCH(B740,Equipamentos!$A$2:$A$201,0)),""))</f>
        <v/>
      </c>
      <c r="I740" s="57">
        <f>IF(OR(A740="",B740=""),"",IFERROR(INDEX(Equipamentos!$J$2:$J$201,MATCH(1,INDEX((Equipamentos!$A$2:$A$201=B740)*(Equipamentos!$P$2:$P$201=A740),0),0)),""))</f>
        <v/>
      </c>
    </row>
    <row r="741">
      <c r="A741" s="54" t="n"/>
      <c r="B741" s="55" t="n"/>
      <c r="C741" s="56">
        <f>IF(OR(A741="",B741=""),"",IF(COUNTIF(Equipamentos!$A$2:$A$201,B741)=0,"tag não encontrada",IFERROR(INDEX(Equipamentos!$H$2:$H$201,MATCH(1,INDEX((Equipamentos!$A$2:$A$201=B741)*(Equipamentos!$P$2:$P$201=A741),0),0)),"confira a data")))</f>
        <v/>
      </c>
      <c r="D741">
        <f>IF(B741="","",IFERROR(INDEX(Equipamentos!$C$2:$C$201,MATCH(B741,Equipamentos!$A$2:$A$201,0)),""))</f>
        <v/>
      </c>
      <c r="E741" s="55" t="n"/>
      <c r="F741" s="55" t="n"/>
      <c r="G741">
        <f>IF(B741="","",IFERROR(INDEX(Equipamentos!$N$2:$N$201,MATCH(B741,Equipamentos!$A$2:$A$201,0)),""))</f>
        <v/>
      </c>
      <c r="H741">
        <f>IF(B741="","",IFERROR(INDEX(Equipamentos!$L$2:$L$201,MATCH(B741,Equipamentos!$A$2:$A$201,0)),""))</f>
        <v/>
      </c>
      <c r="I741" s="57">
        <f>IF(OR(A741="",B741=""),"",IFERROR(INDEX(Equipamentos!$J$2:$J$201,MATCH(1,INDEX((Equipamentos!$A$2:$A$201=B741)*(Equipamentos!$P$2:$P$201=A741),0),0)),""))</f>
        <v/>
      </c>
    </row>
    <row r="742">
      <c r="A742" s="54" t="n"/>
      <c r="B742" s="55" t="n"/>
      <c r="C742" s="56">
        <f>IF(OR(A742="",B742=""),"",IF(COUNTIF(Equipamentos!$A$2:$A$201,B742)=0,"tag não encontrada",IFERROR(INDEX(Equipamentos!$H$2:$H$201,MATCH(1,INDEX((Equipamentos!$A$2:$A$201=B742)*(Equipamentos!$P$2:$P$201=A742),0),0)),"confira a data")))</f>
        <v/>
      </c>
      <c r="D742">
        <f>IF(B742="","",IFERROR(INDEX(Equipamentos!$C$2:$C$201,MATCH(B742,Equipamentos!$A$2:$A$201,0)),""))</f>
        <v/>
      </c>
      <c r="E742" s="55" t="n"/>
      <c r="F742" s="55" t="n"/>
      <c r="G742">
        <f>IF(B742="","",IFERROR(INDEX(Equipamentos!$N$2:$N$201,MATCH(B742,Equipamentos!$A$2:$A$201,0)),""))</f>
        <v/>
      </c>
      <c r="H742">
        <f>IF(B742="","",IFERROR(INDEX(Equipamentos!$L$2:$L$201,MATCH(B742,Equipamentos!$A$2:$A$201,0)),""))</f>
        <v/>
      </c>
      <c r="I742" s="57">
        <f>IF(OR(A742="",B742=""),"",IFERROR(INDEX(Equipamentos!$J$2:$J$201,MATCH(1,INDEX((Equipamentos!$A$2:$A$201=B742)*(Equipamentos!$P$2:$P$201=A742),0),0)),""))</f>
        <v/>
      </c>
    </row>
    <row r="743">
      <c r="A743" s="54" t="n"/>
      <c r="B743" s="55" t="n"/>
      <c r="C743" s="56">
        <f>IF(OR(A743="",B743=""),"",IF(COUNTIF(Equipamentos!$A$2:$A$201,B743)=0,"tag não encontrada",IFERROR(INDEX(Equipamentos!$H$2:$H$201,MATCH(1,INDEX((Equipamentos!$A$2:$A$201=B743)*(Equipamentos!$P$2:$P$201=A743),0),0)),"confira a data")))</f>
        <v/>
      </c>
      <c r="D743">
        <f>IF(B743="","",IFERROR(INDEX(Equipamentos!$C$2:$C$201,MATCH(B743,Equipamentos!$A$2:$A$201,0)),""))</f>
        <v/>
      </c>
      <c r="E743" s="55" t="n"/>
      <c r="F743" s="55" t="n"/>
      <c r="G743">
        <f>IF(B743="","",IFERROR(INDEX(Equipamentos!$N$2:$N$201,MATCH(B743,Equipamentos!$A$2:$A$201,0)),""))</f>
        <v/>
      </c>
      <c r="H743">
        <f>IF(B743="","",IFERROR(INDEX(Equipamentos!$L$2:$L$201,MATCH(B743,Equipamentos!$A$2:$A$201,0)),""))</f>
        <v/>
      </c>
      <c r="I743" s="57">
        <f>IF(OR(A743="",B743=""),"",IFERROR(INDEX(Equipamentos!$J$2:$J$201,MATCH(1,INDEX((Equipamentos!$A$2:$A$201=B743)*(Equipamentos!$P$2:$P$201=A743),0),0)),""))</f>
        <v/>
      </c>
    </row>
    <row r="744">
      <c r="A744" s="54" t="n"/>
      <c r="B744" s="55" t="n"/>
      <c r="C744" s="56">
        <f>IF(OR(A744="",B744=""),"",IF(COUNTIF(Equipamentos!$A$2:$A$201,B744)=0,"tag não encontrada",IFERROR(INDEX(Equipamentos!$H$2:$H$201,MATCH(1,INDEX((Equipamentos!$A$2:$A$201=B744)*(Equipamentos!$P$2:$P$201=A744),0),0)),"confira a data")))</f>
        <v/>
      </c>
      <c r="D744">
        <f>IF(B744="","",IFERROR(INDEX(Equipamentos!$C$2:$C$201,MATCH(B744,Equipamentos!$A$2:$A$201,0)),""))</f>
        <v/>
      </c>
      <c r="E744" s="55" t="n"/>
      <c r="F744" s="55" t="n"/>
      <c r="G744">
        <f>IF(B744="","",IFERROR(INDEX(Equipamentos!$N$2:$N$201,MATCH(B744,Equipamentos!$A$2:$A$201,0)),""))</f>
        <v/>
      </c>
      <c r="H744">
        <f>IF(B744="","",IFERROR(INDEX(Equipamentos!$L$2:$L$201,MATCH(B744,Equipamentos!$A$2:$A$201,0)),""))</f>
        <v/>
      </c>
      <c r="I744" s="57">
        <f>IF(OR(A744="",B744=""),"",IFERROR(INDEX(Equipamentos!$J$2:$J$201,MATCH(1,INDEX((Equipamentos!$A$2:$A$201=B744)*(Equipamentos!$P$2:$P$201=A744),0),0)),""))</f>
        <v/>
      </c>
    </row>
    <row r="745">
      <c r="A745" s="54" t="n"/>
      <c r="B745" s="55" t="n"/>
      <c r="C745" s="56">
        <f>IF(OR(A745="",B745=""),"",IF(COUNTIF(Equipamentos!$A$2:$A$201,B745)=0,"tag não encontrada",IFERROR(INDEX(Equipamentos!$H$2:$H$201,MATCH(1,INDEX((Equipamentos!$A$2:$A$201=B745)*(Equipamentos!$P$2:$P$201=A745),0),0)),"confira a data")))</f>
        <v/>
      </c>
      <c r="D745">
        <f>IF(B745="","",IFERROR(INDEX(Equipamentos!$C$2:$C$201,MATCH(B745,Equipamentos!$A$2:$A$201,0)),""))</f>
        <v/>
      </c>
      <c r="E745" s="55" t="n"/>
      <c r="F745" s="55" t="n"/>
      <c r="G745">
        <f>IF(B745="","",IFERROR(INDEX(Equipamentos!$N$2:$N$201,MATCH(B745,Equipamentos!$A$2:$A$201,0)),""))</f>
        <v/>
      </c>
      <c r="H745">
        <f>IF(B745="","",IFERROR(INDEX(Equipamentos!$L$2:$L$201,MATCH(B745,Equipamentos!$A$2:$A$201,0)),""))</f>
        <v/>
      </c>
      <c r="I745" s="57">
        <f>IF(OR(A745="",B745=""),"",IFERROR(INDEX(Equipamentos!$J$2:$J$201,MATCH(1,INDEX((Equipamentos!$A$2:$A$201=B745)*(Equipamentos!$P$2:$P$201=A745),0),0)),""))</f>
        <v/>
      </c>
    </row>
    <row r="746">
      <c r="A746" s="54" t="n"/>
      <c r="B746" s="55" t="n"/>
      <c r="C746" s="56">
        <f>IF(OR(A746="",B746=""),"",IF(COUNTIF(Equipamentos!$A$2:$A$201,B746)=0,"tag não encontrada",IFERROR(INDEX(Equipamentos!$H$2:$H$201,MATCH(1,INDEX((Equipamentos!$A$2:$A$201=B746)*(Equipamentos!$P$2:$P$201=A746),0),0)),"confira a data")))</f>
        <v/>
      </c>
      <c r="D746">
        <f>IF(B746="","",IFERROR(INDEX(Equipamentos!$C$2:$C$201,MATCH(B746,Equipamentos!$A$2:$A$201,0)),""))</f>
        <v/>
      </c>
      <c r="E746" s="55" t="n"/>
      <c r="F746" s="55" t="n"/>
      <c r="G746">
        <f>IF(B746="","",IFERROR(INDEX(Equipamentos!$N$2:$N$201,MATCH(B746,Equipamentos!$A$2:$A$201,0)),""))</f>
        <v/>
      </c>
      <c r="H746">
        <f>IF(B746="","",IFERROR(INDEX(Equipamentos!$L$2:$L$201,MATCH(B746,Equipamentos!$A$2:$A$201,0)),""))</f>
        <v/>
      </c>
      <c r="I746" s="57">
        <f>IF(OR(A746="",B746=""),"",IFERROR(INDEX(Equipamentos!$J$2:$J$201,MATCH(1,INDEX((Equipamentos!$A$2:$A$201=B746)*(Equipamentos!$P$2:$P$201=A746),0),0)),""))</f>
        <v/>
      </c>
    </row>
    <row r="747">
      <c r="A747" s="54" t="n"/>
      <c r="B747" s="55" t="n"/>
      <c r="C747" s="56">
        <f>IF(OR(A747="",B747=""),"",IF(COUNTIF(Equipamentos!$A$2:$A$201,B747)=0,"tag não encontrada",IFERROR(INDEX(Equipamentos!$H$2:$H$201,MATCH(1,INDEX((Equipamentos!$A$2:$A$201=B747)*(Equipamentos!$P$2:$P$201=A747),0),0)),"confira a data")))</f>
        <v/>
      </c>
      <c r="D747">
        <f>IF(B747="","",IFERROR(INDEX(Equipamentos!$C$2:$C$201,MATCH(B747,Equipamentos!$A$2:$A$201,0)),""))</f>
        <v/>
      </c>
      <c r="E747" s="55" t="n"/>
      <c r="F747" s="55" t="n"/>
      <c r="G747">
        <f>IF(B747="","",IFERROR(INDEX(Equipamentos!$N$2:$N$201,MATCH(B747,Equipamentos!$A$2:$A$201,0)),""))</f>
        <v/>
      </c>
      <c r="H747">
        <f>IF(B747="","",IFERROR(INDEX(Equipamentos!$L$2:$L$201,MATCH(B747,Equipamentos!$A$2:$A$201,0)),""))</f>
        <v/>
      </c>
      <c r="I747" s="57">
        <f>IF(OR(A747="",B747=""),"",IFERROR(INDEX(Equipamentos!$J$2:$J$201,MATCH(1,INDEX((Equipamentos!$A$2:$A$201=B747)*(Equipamentos!$P$2:$P$201=A747),0),0)),""))</f>
        <v/>
      </c>
    </row>
    <row r="748">
      <c r="A748" s="54" t="n"/>
      <c r="B748" s="55" t="n"/>
      <c r="C748" s="56">
        <f>IF(OR(A748="",B748=""),"",IF(COUNTIF(Equipamentos!$A$2:$A$201,B748)=0,"tag não encontrada",IFERROR(INDEX(Equipamentos!$H$2:$H$201,MATCH(1,INDEX((Equipamentos!$A$2:$A$201=B748)*(Equipamentos!$P$2:$P$201=A748),0),0)),"confira a data")))</f>
        <v/>
      </c>
      <c r="D748">
        <f>IF(B748="","",IFERROR(INDEX(Equipamentos!$C$2:$C$201,MATCH(B748,Equipamentos!$A$2:$A$201,0)),""))</f>
        <v/>
      </c>
      <c r="E748" s="55" t="n"/>
      <c r="F748" s="55" t="n"/>
      <c r="G748">
        <f>IF(B748="","",IFERROR(INDEX(Equipamentos!$N$2:$N$201,MATCH(B748,Equipamentos!$A$2:$A$201,0)),""))</f>
        <v/>
      </c>
      <c r="H748">
        <f>IF(B748="","",IFERROR(INDEX(Equipamentos!$L$2:$L$201,MATCH(B748,Equipamentos!$A$2:$A$201,0)),""))</f>
        <v/>
      </c>
      <c r="I748" s="57">
        <f>IF(OR(A748="",B748=""),"",IFERROR(INDEX(Equipamentos!$J$2:$J$201,MATCH(1,INDEX((Equipamentos!$A$2:$A$201=B748)*(Equipamentos!$P$2:$P$201=A748),0),0)),""))</f>
        <v/>
      </c>
    </row>
    <row r="749">
      <c r="A749" s="54" t="n"/>
      <c r="B749" s="55" t="n"/>
      <c r="C749" s="56">
        <f>IF(OR(A749="",B749=""),"",IF(COUNTIF(Equipamentos!$A$2:$A$201,B749)=0,"tag não encontrada",IFERROR(INDEX(Equipamentos!$H$2:$H$201,MATCH(1,INDEX((Equipamentos!$A$2:$A$201=B749)*(Equipamentos!$P$2:$P$201=A749),0),0)),"confira a data")))</f>
        <v/>
      </c>
      <c r="D749">
        <f>IF(B749="","",IFERROR(INDEX(Equipamentos!$C$2:$C$201,MATCH(B749,Equipamentos!$A$2:$A$201,0)),""))</f>
        <v/>
      </c>
      <c r="E749" s="55" t="n"/>
      <c r="F749" s="55" t="n"/>
      <c r="G749">
        <f>IF(B749="","",IFERROR(INDEX(Equipamentos!$N$2:$N$201,MATCH(B749,Equipamentos!$A$2:$A$201,0)),""))</f>
        <v/>
      </c>
      <c r="H749">
        <f>IF(B749="","",IFERROR(INDEX(Equipamentos!$L$2:$L$201,MATCH(B749,Equipamentos!$A$2:$A$201,0)),""))</f>
        <v/>
      </c>
      <c r="I749" s="57">
        <f>IF(OR(A749="",B749=""),"",IFERROR(INDEX(Equipamentos!$J$2:$J$201,MATCH(1,INDEX((Equipamentos!$A$2:$A$201=B749)*(Equipamentos!$P$2:$P$201=A749),0),0)),""))</f>
        <v/>
      </c>
    </row>
    <row r="750">
      <c r="A750" s="54" t="n"/>
      <c r="B750" s="55" t="n"/>
      <c r="C750" s="56">
        <f>IF(OR(A750="",B750=""),"",IF(COUNTIF(Equipamentos!$A$2:$A$201,B750)=0,"tag não encontrada",IFERROR(INDEX(Equipamentos!$H$2:$H$201,MATCH(1,INDEX((Equipamentos!$A$2:$A$201=B750)*(Equipamentos!$P$2:$P$201=A750),0),0)),"confira a data")))</f>
        <v/>
      </c>
      <c r="D750">
        <f>IF(B750="","",IFERROR(INDEX(Equipamentos!$C$2:$C$201,MATCH(B750,Equipamentos!$A$2:$A$201,0)),""))</f>
        <v/>
      </c>
      <c r="E750" s="55" t="n"/>
      <c r="F750" s="55" t="n"/>
      <c r="G750">
        <f>IF(B750="","",IFERROR(INDEX(Equipamentos!$N$2:$N$201,MATCH(B750,Equipamentos!$A$2:$A$201,0)),""))</f>
        <v/>
      </c>
      <c r="H750">
        <f>IF(B750="","",IFERROR(INDEX(Equipamentos!$L$2:$L$201,MATCH(B750,Equipamentos!$A$2:$A$201,0)),""))</f>
        <v/>
      </c>
      <c r="I750" s="57">
        <f>IF(OR(A750="",B750=""),"",IFERROR(INDEX(Equipamentos!$J$2:$J$201,MATCH(1,INDEX((Equipamentos!$A$2:$A$201=B750)*(Equipamentos!$P$2:$P$201=A750),0),0)),""))</f>
        <v/>
      </c>
    </row>
    <row r="751">
      <c r="A751" s="54" t="n"/>
      <c r="B751" s="55" t="n"/>
      <c r="C751" s="56">
        <f>IF(OR(A751="",B751=""),"",IF(COUNTIF(Equipamentos!$A$2:$A$201,B751)=0,"tag não encontrada",IFERROR(INDEX(Equipamentos!$H$2:$H$201,MATCH(1,INDEX((Equipamentos!$A$2:$A$201=B751)*(Equipamentos!$P$2:$P$201=A751),0),0)),"confira a data")))</f>
        <v/>
      </c>
      <c r="D751">
        <f>IF(B751="","",IFERROR(INDEX(Equipamentos!$C$2:$C$201,MATCH(B751,Equipamentos!$A$2:$A$201,0)),""))</f>
        <v/>
      </c>
      <c r="E751" s="55" t="n"/>
      <c r="F751" s="55" t="n"/>
      <c r="G751">
        <f>IF(B751="","",IFERROR(INDEX(Equipamentos!$N$2:$N$201,MATCH(B751,Equipamentos!$A$2:$A$201,0)),""))</f>
        <v/>
      </c>
      <c r="H751">
        <f>IF(B751="","",IFERROR(INDEX(Equipamentos!$L$2:$L$201,MATCH(B751,Equipamentos!$A$2:$A$201,0)),""))</f>
        <v/>
      </c>
      <c r="I751" s="57">
        <f>IF(OR(A751="",B751=""),"",IFERROR(INDEX(Equipamentos!$J$2:$J$201,MATCH(1,INDEX((Equipamentos!$A$2:$A$201=B751)*(Equipamentos!$P$2:$P$201=A751),0),0)),""))</f>
        <v/>
      </c>
    </row>
    <row r="752">
      <c r="A752" s="54" t="n"/>
      <c r="B752" s="55" t="n"/>
      <c r="C752" s="56">
        <f>IF(OR(A752="",B752=""),"",IF(COUNTIF(Equipamentos!$A$2:$A$201,B752)=0,"tag não encontrada",IFERROR(INDEX(Equipamentos!$H$2:$H$201,MATCH(1,INDEX((Equipamentos!$A$2:$A$201=B752)*(Equipamentos!$P$2:$P$201=A752),0),0)),"confira a data")))</f>
        <v/>
      </c>
      <c r="D752">
        <f>IF(B752="","",IFERROR(INDEX(Equipamentos!$C$2:$C$201,MATCH(B752,Equipamentos!$A$2:$A$201,0)),""))</f>
        <v/>
      </c>
      <c r="E752" s="55" t="n"/>
      <c r="F752" s="55" t="n"/>
      <c r="G752">
        <f>IF(B752="","",IFERROR(INDEX(Equipamentos!$N$2:$N$201,MATCH(B752,Equipamentos!$A$2:$A$201,0)),""))</f>
        <v/>
      </c>
      <c r="H752">
        <f>IF(B752="","",IFERROR(INDEX(Equipamentos!$L$2:$L$201,MATCH(B752,Equipamentos!$A$2:$A$201,0)),""))</f>
        <v/>
      </c>
      <c r="I752" s="57">
        <f>IF(OR(A752="",B752=""),"",IFERROR(INDEX(Equipamentos!$J$2:$J$201,MATCH(1,INDEX((Equipamentos!$A$2:$A$201=B752)*(Equipamentos!$P$2:$P$201=A752),0),0)),""))</f>
        <v/>
      </c>
    </row>
    <row r="753">
      <c r="A753" s="54" t="n"/>
      <c r="B753" s="55" t="n"/>
      <c r="C753" s="56">
        <f>IF(OR(A753="",B753=""),"",IF(COUNTIF(Equipamentos!$A$2:$A$201,B753)=0,"tag não encontrada",IFERROR(INDEX(Equipamentos!$H$2:$H$201,MATCH(1,INDEX((Equipamentos!$A$2:$A$201=B753)*(Equipamentos!$P$2:$P$201=A753),0),0)),"confira a data")))</f>
        <v/>
      </c>
      <c r="D753">
        <f>IF(B753="","",IFERROR(INDEX(Equipamentos!$C$2:$C$201,MATCH(B753,Equipamentos!$A$2:$A$201,0)),""))</f>
        <v/>
      </c>
      <c r="E753" s="55" t="n"/>
      <c r="F753" s="55" t="n"/>
      <c r="G753">
        <f>IF(B753="","",IFERROR(INDEX(Equipamentos!$N$2:$N$201,MATCH(B753,Equipamentos!$A$2:$A$201,0)),""))</f>
        <v/>
      </c>
      <c r="H753">
        <f>IF(B753="","",IFERROR(INDEX(Equipamentos!$L$2:$L$201,MATCH(B753,Equipamentos!$A$2:$A$201,0)),""))</f>
        <v/>
      </c>
      <c r="I753" s="57">
        <f>IF(OR(A753="",B753=""),"",IFERROR(INDEX(Equipamentos!$J$2:$J$201,MATCH(1,INDEX((Equipamentos!$A$2:$A$201=B753)*(Equipamentos!$P$2:$P$201=A753),0),0)),""))</f>
        <v/>
      </c>
    </row>
    <row r="754">
      <c r="A754" s="54" t="n"/>
      <c r="B754" s="55" t="n"/>
      <c r="C754" s="56">
        <f>IF(OR(A754="",B754=""),"",IF(COUNTIF(Equipamentos!$A$2:$A$201,B754)=0,"tag não encontrada",IFERROR(INDEX(Equipamentos!$H$2:$H$201,MATCH(1,INDEX((Equipamentos!$A$2:$A$201=B754)*(Equipamentos!$P$2:$P$201=A754),0),0)),"confira a data")))</f>
        <v/>
      </c>
      <c r="D754">
        <f>IF(B754="","",IFERROR(INDEX(Equipamentos!$C$2:$C$201,MATCH(B754,Equipamentos!$A$2:$A$201,0)),""))</f>
        <v/>
      </c>
      <c r="E754" s="55" t="n"/>
      <c r="F754" s="55" t="n"/>
      <c r="G754">
        <f>IF(B754="","",IFERROR(INDEX(Equipamentos!$N$2:$N$201,MATCH(B754,Equipamentos!$A$2:$A$201,0)),""))</f>
        <v/>
      </c>
      <c r="H754">
        <f>IF(B754="","",IFERROR(INDEX(Equipamentos!$L$2:$L$201,MATCH(B754,Equipamentos!$A$2:$A$201,0)),""))</f>
        <v/>
      </c>
      <c r="I754" s="57">
        <f>IF(OR(A754="",B754=""),"",IFERROR(INDEX(Equipamentos!$J$2:$J$201,MATCH(1,INDEX((Equipamentos!$A$2:$A$201=B754)*(Equipamentos!$P$2:$P$201=A754),0),0)),""))</f>
        <v/>
      </c>
    </row>
    <row r="755">
      <c r="A755" s="54" t="n"/>
      <c r="B755" s="55" t="n"/>
      <c r="C755" s="56">
        <f>IF(OR(A755="",B755=""),"",IF(COUNTIF(Equipamentos!$A$2:$A$201,B755)=0,"tag não encontrada",IFERROR(INDEX(Equipamentos!$H$2:$H$201,MATCH(1,INDEX((Equipamentos!$A$2:$A$201=B755)*(Equipamentos!$P$2:$P$201=A755),0),0)),"confira a data")))</f>
        <v/>
      </c>
      <c r="D755">
        <f>IF(B755="","",IFERROR(INDEX(Equipamentos!$C$2:$C$201,MATCH(B755,Equipamentos!$A$2:$A$201,0)),""))</f>
        <v/>
      </c>
      <c r="E755" s="55" t="n"/>
      <c r="F755" s="55" t="n"/>
      <c r="G755">
        <f>IF(B755="","",IFERROR(INDEX(Equipamentos!$N$2:$N$201,MATCH(B755,Equipamentos!$A$2:$A$201,0)),""))</f>
        <v/>
      </c>
      <c r="H755">
        <f>IF(B755="","",IFERROR(INDEX(Equipamentos!$L$2:$L$201,MATCH(B755,Equipamentos!$A$2:$A$201,0)),""))</f>
        <v/>
      </c>
      <c r="I755" s="57">
        <f>IF(OR(A755="",B755=""),"",IFERROR(INDEX(Equipamentos!$J$2:$J$201,MATCH(1,INDEX((Equipamentos!$A$2:$A$201=B755)*(Equipamentos!$P$2:$P$201=A755),0),0)),""))</f>
        <v/>
      </c>
    </row>
    <row r="756">
      <c r="A756" s="54" t="n"/>
      <c r="B756" s="55" t="n"/>
      <c r="C756" s="56">
        <f>IF(OR(A756="",B756=""),"",IF(COUNTIF(Equipamentos!$A$2:$A$201,B756)=0,"tag não encontrada",IFERROR(INDEX(Equipamentos!$H$2:$H$201,MATCH(1,INDEX((Equipamentos!$A$2:$A$201=B756)*(Equipamentos!$P$2:$P$201=A756),0),0)),"confira a data")))</f>
        <v/>
      </c>
      <c r="D756">
        <f>IF(B756="","",IFERROR(INDEX(Equipamentos!$C$2:$C$201,MATCH(B756,Equipamentos!$A$2:$A$201,0)),""))</f>
        <v/>
      </c>
      <c r="E756" s="55" t="n"/>
      <c r="F756" s="55" t="n"/>
      <c r="G756">
        <f>IF(B756="","",IFERROR(INDEX(Equipamentos!$N$2:$N$201,MATCH(B756,Equipamentos!$A$2:$A$201,0)),""))</f>
        <v/>
      </c>
      <c r="H756">
        <f>IF(B756="","",IFERROR(INDEX(Equipamentos!$L$2:$L$201,MATCH(B756,Equipamentos!$A$2:$A$201,0)),""))</f>
        <v/>
      </c>
      <c r="I756" s="57">
        <f>IF(OR(A756="",B756=""),"",IFERROR(INDEX(Equipamentos!$J$2:$J$201,MATCH(1,INDEX((Equipamentos!$A$2:$A$201=B756)*(Equipamentos!$P$2:$P$201=A756),0),0)),""))</f>
        <v/>
      </c>
    </row>
    <row r="757">
      <c r="A757" s="54" t="n"/>
      <c r="B757" s="55" t="n"/>
      <c r="C757" s="56">
        <f>IF(OR(A757="",B757=""),"",IF(COUNTIF(Equipamentos!$A$2:$A$201,B757)=0,"tag não encontrada",IFERROR(INDEX(Equipamentos!$H$2:$H$201,MATCH(1,INDEX((Equipamentos!$A$2:$A$201=B757)*(Equipamentos!$P$2:$P$201=A757),0),0)),"confira a data")))</f>
        <v/>
      </c>
      <c r="D757">
        <f>IF(B757="","",IFERROR(INDEX(Equipamentos!$C$2:$C$201,MATCH(B757,Equipamentos!$A$2:$A$201,0)),""))</f>
        <v/>
      </c>
      <c r="E757" s="55" t="n"/>
      <c r="F757" s="55" t="n"/>
      <c r="G757">
        <f>IF(B757="","",IFERROR(INDEX(Equipamentos!$N$2:$N$201,MATCH(B757,Equipamentos!$A$2:$A$201,0)),""))</f>
        <v/>
      </c>
      <c r="H757">
        <f>IF(B757="","",IFERROR(INDEX(Equipamentos!$L$2:$L$201,MATCH(B757,Equipamentos!$A$2:$A$201,0)),""))</f>
        <v/>
      </c>
      <c r="I757" s="57">
        <f>IF(OR(A757="",B757=""),"",IFERROR(INDEX(Equipamentos!$J$2:$J$201,MATCH(1,INDEX((Equipamentos!$A$2:$A$201=B757)*(Equipamentos!$P$2:$P$201=A757),0),0)),""))</f>
        <v/>
      </c>
    </row>
    <row r="758">
      <c r="A758" s="54" t="n"/>
      <c r="B758" s="55" t="n"/>
      <c r="C758" s="56">
        <f>IF(OR(A758="",B758=""),"",IF(COUNTIF(Equipamentos!$A$2:$A$201,B758)=0,"tag não encontrada",IFERROR(INDEX(Equipamentos!$H$2:$H$201,MATCH(1,INDEX((Equipamentos!$A$2:$A$201=B758)*(Equipamentos!$P$2:$P$201=A758),0),0)),"confira a data")))</f>
        <v/>
      </c>
      <c r="D758">
        <f>IF(B758="","",IFERROR(INDEX(Equipamentos!$C$2:$C$201,MATCH(B758,Equipamentos!$A$2:$A$201,0)),""))</f>
        <v/>
      </c>
      <c r="E758" s="55" t="n"/>
      <c r="F758" s="55" t="n"/>
      <c r="G758">
        <f>IF(B758="","",IFERROR(INDEX(Equipamentos!$N$2:$N$201,MATCH(B758,Equipamentos!$A$2:$A$201,0)),""))</f>
        <v/>
      </c>
      <c r="H758">
        <f>IF(B758="","",IFERROR(INDEX(Equipamentos!$L$2:$L$201,MATCH(B758,Equipamentos!$A$2:$A$201,0)),""))</f>
        <v/>
      </c>
      <c r="I758" s="57">
        <f>IF(OR(A758="",B758=""),"",IFERROR(INDEX(Equipamentos!$J$2:$J$201,MATCH(1,INDEX((Equipamentos!$A$2:$A$201=B758)*(Equipamentos!$P$2:$P$201=A758),0),0)),""))</f>
        <v/>
      </c>
    </row>
    <row r="759">
      <c r="A759" s="54" t="n"/>
      <c r="B759" s="55" t="n"/>
      <c r="C759" s="56">
        <f>IF(OR(A759="",B759=""),"",IF(COUNTIF(Equipamentos!$A$2:$A$201,B759)=0,"tag não encontrada",IFERROR(INDEX(Equipamentos!$H$2:$H$201,MATCH(1,INDEX((Equipamentos!$A$2:$A$201=B759)*(Equipamentos!$P$2:$P$201=A759),0),0)),"confira a data")))</f>
        <v/>
      </c>
      <c r="D759">
        <f>IF(B759="","",IFERROR(INDEX(Equipamentos!$C$2:$C$201,MATCH(B759,Equipamentos!$A$2:$A$201,0)),""))</f>
        <v/>
      </c>
      <c r="E759" s="55" t="n"/>
      <c r="F759" s="55" t="n"/>
      <c r="G759">
        <f>IF(B759="","",IFERROR(INDEX(Equipamentos!$N$2:$N$201,MATCH(B759,Equipamentos!$A$2:$A$201,0)),""))</f>
        <v/>
      </c>
      <c r="H759">
        <f>IF(B759="","",IFERROR(INDEX(Equipamentos!$L$2:$L$201,MATCH(B759,Equipamentos!$A$2:$A$201,0)),""))</f>
        <v/>
      </c>
      <c r="I759" s="57">
        <f>IF(OR(A759="",B759=""),"",IFERROR(INDEX(Equipamentos!$J$2:$J$201,MATCH(1,INDEX((Equipamentos!$A$2:$A$201=B759)*(Equipamentos!$P$2:$P$201=A759),0),0)),""))</f>
        <v/>
      </c>
    </row>
    <row r="760">
      <c r="A760" s="54" t="n"/>
      <c r="B760" s="55" t="n"/>
      <c r="C760" s="56">
        <f>IF(OR(A760="",B760=""),"",IF(COUNTIF(Equipamentos!$A$2:$A$201,B760)=0,"tag não encontrada",IFERROR(INDEX(Equipamentos!$H$2:$H$201,MATCH(1,INDEX((Equipamentos!$A$2:$A$201=B760)*(Equipamentos!$P$2:$P$201=A760),0),0)),"confira a data")))</f>
        <v/>
      </c>
      <c r="D760">
        <f>IF(B760="","",IFERROR(INDEX(Equipamentos!$C$2:$C$201,MATCH(B760,Equipamentos!$A$2:$A$201,0)),""))</f>
        <v/>
      </c>
      <c r="E760" s="55" t="n"/>
      <c r="F760" s="55" t="n"/>
      <c r="G760">
        <f>IF(B760="","",IFERROR(INDEX(Equipamentos!$N$2:$N$201,MATCH(B760,Equipamentos!$A$2:$A$201,0)),""))</f>
        <v/>
      </c>
      <c r="H760">
        <f>IF(B760="","",IFERROR(INDEX(Equipamentos!$L$2:$L$201,MATCH(B760,Equipamentos!$A$2:$A$201,0)),""))</f>
        <v/>
      </c>
      <c r="I760" s="57">
        <f>IF(OR(A760="",B760=""),"",IFERROR(INDEX(Equipamentos!$J$2:$J$201,MATCH(1,INDEX((Equipamentos!$A$2:$A$201=B760)*(Equipamentos!$P$2:$P$201=A760),0),0)),""))</f>
        <v/>
      </c>
    </row>
    <row r="761">
      <c r="A761" s="54" t="n"/>
      <c r="B761" s="55" t="n"/>
      <c r="C761" s="56">
        <f>IF(OR(A761="",B761=""),"",IF(COUNTIF(Equipamentos!$A$2:$A$201,B761)=0,"tag não encontrada",IFERROR(INDEX(Equipamentos!$H$2:$H$201,MATCH(1,INDEX((Equipamentos!$A$2:$A$201=B761)*(Equipamentos!$P$2:$P$201=A761),0),0)),"confira a data")))</f>
        <v/>
      </c>
      <c r="D761">
        <f>IF(B761="","",IFERROR(INDEX(Equipamentos!$C$2:$C$201,MATCH(B761,Equipamentos!$A$2:$A$201,0)),""))</f>
        <v/>
      </c>
      <c r="E761" s="55" t="n"/>
      <c r="F761" s="55" t="n"/>
      <c r="G761">
        <f>IF(B761="","",IFERROR(INDEX(Equipamentos!$N$2:$N$201,MATCH(B761,Equipamentos!$A$2:$A$201,0)),""))</f>
        <v/>
      </c>
      <c r="H761">
        <f>IF(B761="","",IFERROR(INDEX(Equipamentos!$L$2:$L$201,MATCH(B761,Equipamentos!$A$2:$A$201,0)),""))</f>
        <v/>
      </c>
      <c r="I761" s="57">
        <f>IF(OR(A761="",B761=""),"",IFERROR(INDEX(Equipamentos!$J$2:$J$201,MATCH(1,INDEX((Equipamentos!$A$2:$A$201=B761)*(Equipamentos!$P$2:$P$201=A761),0),0)),""))</f>
        <v/>
      </c>
    </row>
    <row r="762">
      <c r="A762" s="54" t="n"/>
      <c r="B762" s="55" t="n"/>
      <c r="C762" s="56">
        <f>IF(OR(A762="",B762=""),"",IF(COUNTIF(Equipamentos!$A$2:$A$201,B762)=0,"tag não encontrada",IFERROR(INDEX(Equipamentos!$H$2:$H$201,MATCH(1,INDEX((Equipamentos!$A$2:$A$201=B762)*(Equipamentos!$P$2:$P$201=A762),0),0)),"confira a data")))</f>
        <v/>
      </c>
      <c r="D762">
        <f>IF(B762="","",IFERROR(INDEX(Equipamentos!$C$2:$C$201,MATCH(B762,Equipamentos!$A$2:$A$201,0)),""))</f>
        <v/>
      </c>
      <c r="E762" s="55" t="n"/>
      <c r="F762" s="55" t="n"/>
      <c r="G762">
        <f>IF(B762="","",IFERROR(INDEX(Equipamentos!$N$2:$N$201,MATCH(B762,Equipamentos!$A$2:$A$201,0)),""))</f>
        <v/>
      </c>
      <c r="H762">
        <f>IF(B762="","",IFERROR(INDEX(Equipamentos!$L$2:$L$201,MATCH(B762,Equipamentos!$A$2:$A$201,0)),""))</f>
        <v/>
      </c>
      <c r="I762" s="57">
        <f>IF(OR(A762="",B762=""),"",IFERROR(INDEX(Equipamentos!$J$2:$J$201,MATCH(1,INDEX((Equipamentos!$A$2:$A$201=B762)*(Equipamentos!$P$2:$P$201=A762),0),0)),""))</f>
        <v/>
      </c>
    </row>
    <row r="763">
      <c r="A763" s="54" t="n"/>
      <c r="B763" s="55" t="n"/>
      <c r="C763" s="56">
        <f>IF(OR(A763="",B763=""),"",IF(COUNTIF(Equipamentos!$A$2:$A$201,B763)=0,"tag não encontrada",IFERROR(INDEX(Equipamentos!$H$2:$H$201,MATCH(1,INDEX((Equipamentos!$A$2:$A$201=B763)*(Equipamentos!$P$2:$P$201=A763),0),0)),"confira a data")))</f>
        <v/>
      </c>
      <c r="D763">
        <f>IF(B763="","",IFERROR(INDEX(Equipamentos!$C$2:$C$201,MATCH(B763,Equipamentos!$A$2:$A$201,0)),""))</f>
        <v/>
      </c>
      <c r="E763" s="55" t="n"/>
      <c r="F763" s="55" t="n"/>
      <c r="G763">
        <f>IF(B763="","",IFERROR(INDEX(Equipamentos!$N$2:$N$201,MATCH(B763,Equipamentos!$A$2:$A$201,0)),""))</f>
        <v/>
      </c>
      <c r="H763">
        <f>IF(B763="","",IFERROR(INDEX(Equipamentos!$L$2:$L$201,MATCH(B763,Equipamentos!$A$2:$A$201,0)),""))</f>
        <v/>
      </c>
      <c r="I763" s="57">
        <f>IF(OR(A763="",B763=""),"",IFERROR(INDEX(Equipamentos!$J$2:$J$201,MATCH(1,INDEX((Equipamentos!$A$2:$A$201=B763)*(Equipamentos!$P$2:$P$201=A763),0),0)),""))</f>
        <v/>
      </c>
    </row>
    <row r="764">
      <c r="A764" s="54" t="n"/>
      <c r="B764" s="55" t="n"/>
      <c r="C764" s="56">
        <f>IF(OR(A764="",B764=""),"",IF(COUNTIF(Equipamentos!$A$2:$A$201,B764)=0,"tag não encontrada",IFERROR(INDEX(Equipamentos!$H$2:$H$201,MATCH(1,INDEX((Equipamentos!$A$2:$A$201=B764)*(Equipamentos!$P$2:$P$201=A764),0),0)),"confira a data")))</f>
        <v/>
      </c>
      <c r="D764">
        <f>IF(B764="","",IFERROR(INDEX(Equipamentos!$C$2:$C$201,MATCH(B764,Equipamentos!$A$2:$A$201,0)),""))</f>
        <v/>
      </c>
      <c r="E764" s="55" t="n"/>
      <c r="F764" s="55" t="n"/>
      <c r="G764">
        <f>IF(B764="","",IFERROR(INDEX(Equipamentos!$N$2:$N$201,MATCH(B764,Equipamentos!$A$2:$A$201,0)),""))</f>
        <v/>
      </c>
      <c r="H764">
        <f>IF(B764="","",IFERROR(INDEX(Equipamentos!$L$2:$L$201,MATCH(B764,Equipamentos!$A$2:$A$201,0)),""))</f>
        <v/>
      </c>
      <c r="I764" s="57">
        <f>IF(OR(A764="",B764=""),"",IFERROR(INDEX(Equipamentos!$J$2:$J$201,MATCH(1,INDEX((Equipamentos!$A$2:$A$201=B764)*(Equipamentos!$P$2:$P$201=A764),0),0)),""))</f>
        <v/>
      </c>
    </row>
    <row r="765">
      <c r="A765" s="54" t="n"/>
      <c r="B765" s="55" t="n"/>
      <c r="C765" s="56">
        <f>IF(OR(A765="",B765=""),"",IF(COUNTIF(Equipamentos!$A$2:$A$201,B765)=0,"tag não encontrada",IFERROR(INDEX(Equipamentos!$H$2:$H$201,MATCH(1,INDEX((Equipamentos!$A$2:$A$201=B765)*(Equipamentos!$P$2:$P$201=A765),0),0)),"confira a data")))</f>
        <v/>
      </c>
      <c r="D765">
        <f>IF(B765="","",IFERROR(INDEX(Equipamentos!$C$2:$C$201,MATCH(B765,Equipamentos!$A$2:$A$201,0)),""))</f>
        <v/>
      </c>
      <c r="E765" s="55" t="n"/>
      <c r="F765" s="55" t="n"/>
      <c r="G765">
        <f>IF(B765="","",IFERROR(INDEX(Equipamentos!$N$2:$N$201,MATCH(B765,Equipamentos!$A$2:$A$201,0)),""))</f>
        <v/>
      </c>
      <c r="H765">
        <f>IF(B765="","",IFERROR(INDEX(Equipamentos!$L$2:$L$201,MATCH(B765,Equipamentos!$A$2:$A$201,0)),""))</f>
        <v/>
      </c>
      <c r="I765" s="57">
        <f>IF(OR(A765="",B765=""),"",IFERROR(INDEX(Equipamentos!$J$2:$J$201,MATCH(1,INDEX((Equipamentos!$A$2:$A$201=B765)*(Equipamentos!$P$2:$P$201=A765),0),0)),""))</f>
        <v/>
      </c>
    </row>
    <row r="766">
      <c r="A766" s="54" t="n"/>
      <c r="B766" s="55" t="n"/>
      <c r="C766" s="56">
        <f>IF(OR(A766="",B766=""),"",IF(COUNTIF(Equipamentos!$A$2:$A$201,B766)=0,"tag não encontrada",IFERROR(INDEX(Equipamentos!$H$2:$H$201,MATCH(1,INDEX((Equipamentos!$A$2:$A$201=B766)*(Equipamentos!$P$2:$P$201=A766),0),0)),"confira a data")))</f>
        <v/>
      </c>
      <c r="D766">
        <f>IF(B766="","",IFERROR(INDEX(Equipamentos!$C$2:$C$201,MATCH(B766,Equipamentos!$A$2:$A$201,0)),""))</f>
        <v/>
      </c>
      <c r="E766" s="55" t="n"/>
      <c r="F766" s="55" t="n"/>
      <c r="G766">
        <f>IF(B766="","",IFERROR(INDEX(Equipamentos!$N$2:$N$201,MATCH(B766,Equipamentos!$A$2:$A$201,0)),""))</f>
        <v/>
      </c>
      <c r="H766">
        <f>IF(B766="","",IFERROR(INDEX(Equipamentos!$L$2:$L$201,MATCH(B766,Equipamentos!$A$2:$A$201,0)),""))</f>
        <v/>
      </c>
      <c r="I766" s="57">
        <f>IF(OR(A766="",B766=""),"",IFERROR(INDEX(Equipamentos!$J$2:$J$201,MATCH(1,INDEX((Equipamentos!$A$2:$A$201=B766)*(Equipamentos!$P$2:$P$201=A766),0),0)),""))</f>
        <v/>
      </c>
    </row>
    <row r="767">
      <c r="A767" s="54" t="n"/>
      <c r="B767" s="55" t="n"/>
      <c r="C767" s="56">
        <f>IF(OR(A767="",B767=""),"",IF(COUNTIF(Equipamentos!$A$2:$A$201,B767)=0,"tag não encontrada",IFERROR(INDEX(Equipamentos!$H$2:$H$201,MATCH(1,INDEX((Equipamentos!$A$2:$A$201=B767)*(Equipamentos!$P$2:$P$201=A767),0),0)),"confira a data")))</f>
        <v/>
      </c>
      <c r="D767">
        <f>IF(B767="","",IFERROR(INDEX(Equipamentos!$C$2:$C$201,MATCH(B767,Equipamentos!$A$2:$A$201,0)),""))</f>
        <v/>
      </c>
      <c r="E767" s="55" t="n"/>
      <c r="F767" s="55" t="n"/>
      <c r="G767">
        <f>IF(B767="","",IFERROR(INDEX(Equipamentos!$N$2:$N$201,MATCH(B767,Equipamentos!$A$2:$A$201,0)),""))</f>
        <v/>
      </c>
      <c r="H767">
        <f>IF(B767="","",IFERROR(INDEX(Equipamentos!$L$2:$L$201,MATCH(B767,Equipamentos!$A$2:$A$201,0)),""))</f>
        <v/>
      </c>
      <c r="I767" s="57">
        <f>IF(OR(A767="",B767=""),"",IFERROR(INDEX(Equipamentos!$J$2:$J$201,MATCH(1,INDEX((Equipamentos!$A$2:$A$201=B767)*(Equipamentos!$P$2:$P$201=A767),0),0)),""))</f>
        <v/>
      </c>
    </row>
    <row r="768">
      <c r="A768" s="54" t="n"/>
      <c r="B768" s="55" t="n"/>
      <c r="C768" s="56">
        <f>IF(OR(A768="",B768=""),"",IF(COUNTIF(Equipamentos!$A$2:$A$201,B768)=0,"tag não encontrada",IFERROR(INDEX(Equipamentos!$H$2:$H$201,MATCH(1,INDEX((Equipamentos!$A$2:$A$201=B768)*(Equipamentos!$P$2:$P$201=A768),0),0)),"confira a data")))</f>
        <v/>
      </c>
      <c r="D768">
        <f>IF(B768="","",IFERROR(INDEX(Equipamentos!$C$2:$C$201,MATCH(B768,Equipamentos!$A$2:$A$201,0)),""))</f>
        <v/>
      </c>
      <c r="E768" s="55" t="n"/>
      <c r="F768" s="55" t="n"/>
      <c r="G768">
        <f>IF(B768="","",IFERROR(INDEX(Equipamentos!$N$2:$N$201,MATCH(B768,Equipamentos!$A$2:$A$201,0)),""))</f>
        <v/>
      </c>
      <c r="H768">
        <f>IF(B768="","",IFERROR(INDEX(Equipamentos!$L$2:$L$201,MATCH(B768,Equipamentos!$A$2:$A$201,0)),""))</f>
        <v/>
      </c>
      <c r="I768" s="57">
        <f>IF(OR(A768="",B768=""),"",IFERROR(INDEX(Equipamentos!$J$2:$J$201,MATCH(1,INDEX((Equipamentos!$A$2:$A$201=B768)*(Equipamentos!$P$2:$P$201=A768),0),0)),""))</f>
        <v/>
      </c>
    </row>
    <row r="769">
      <c r="A769" s="54" t="n"/>
      <c r="B769" s="55" t="n"/>
      <c r="C769" s="56">
        <f>IF(OR(A769="",B769=""),"",IF(COUNTIF(Equipamentos!$A$2:$A$201,B769)=0,"tag não encontrada",IFERROR(INDEX(Equipamentos!$H$2:$H$201,MATCH(1,INDEX((Equipamentos!$A$2:$A$201=B769)*(Equipamentos!$P$2:$P$201=A769),0),0)),"confira a data")))</f>
        <v/>
      </c>
      <c r="D769">
        <f>IF(B769="","",IFERROR(INDEX(Equipamentos!$C$2:$C$201,MATCH(B769,Equipamentos!$A$2:$A$201,0)),""))</f>
        <v/>
      </c>
      <c r="E769" s="55" t="n"/>
      <c r="F769" s="55" t="n"/>
      <c r="G769">
        <f>IF(B769="","",IFERROR(INDEX(Equipamentos!$N$2:$N$201,MATCH(B769,Equipamentos!$A$2:$A$201,0)),""))</f>
        <v/>
      </c>
      <c r="H769">
        <f>IF(B769="","",IFERROR(INDEX(Equipamentos!$L$2:$L$201,MATCH(B769,Equipamentos!$A$2:$A$201,0)),""))</f>
        <v/>
      </c>
      <c r="I769" s="57">
        <f>IF(OR(A769="",B769=""),"",IFERROR(INDEX(Equipamentos!$J$2:$J$201,MATCH(1,INDEX((Equipamentos!$A$2:$A$201=B769)*(Equipamentos!$P$2:$P$201=A769),0),0)),""))</f>
        <v/>
      </c>
    </row>
    <row r="770">
      <c r="A770" s="54" t="n"/>
      <c r="B770" s="55" t="n"/>
      <c r="C770" s="56">
        <f>IF(OR(A770="",B770=""),"",IF(COUNTIF(Equipamentos!$A$2:$A$201,B770)=0,"tag não encontrada",IFERROR(INDEX(Equipamentos!$H$2:$H$201,MATCH(1,INDEX((Equipamentos!$A$2:$A$201=B770)*(Equipamentos!$P$2:$P$201=A770),0),0)),"confira a data")))</f>
        <v/>
      </c>
      <c r="D770">
        <f>IF(B770="","",IFERROR(INDEX(Equipamentos!$C$2:$C$201,MATCH(B770,Equipamentos!$A$2:$A$201,0)),""))</f>
        <v/>
      </c>
      <c r="E770" s="55" t="n"/>
      <c r="F770" s="55" t="n"/>
      <c r="G770">
        <f>IF(B770="","",IFERROR(INDEX(Equipamentos!$N$2:$N$201,MATCH(B770,Equipamentos!$A$2:$A$201,0)),""))</f>
        <v/>
      </c>
      <c r="H770">
        <f>IF(B770="","",IFERROR(INDEX(Equipamentos!$L$2:$L$201,MATCH(B770,Equipamentos!$A$2:$A$201,0)),""))</f>
        <v/>
      </c>
      <c r="I770" s="57">
        <f>IF(OR(A770="",B770=""),"",IFERROR(INDEX(Equipamentos!$J$2:$J$201,MATCH(1,INDEX((Equipamentos!$A$2:$A$201=B770)*(Equipamentos!$P$2:$P$201=A770),0),0)),""))</f>
        <v/>
      </c>
    </row>
    <row r="771">
      <c r="A771" s="54" t="n"/>
      <c r="B771" s="55" t="n"/>
      <c r="C771" s="56">
        <f>IF(OR(A771="",B771=""),"",IF(COUNTIF(Equipamentos!$A$2:$A$201,B771)=0,"tag não encontrada",IFERROR(INDEX(Equipamentos!$H$2:$H$201,MATCH(1,INDEX((Equipamentos!$A$2:$A$201=B771)*(Equipamentos!$P$2:$P$201=A771),0),0)),"confira a data")))</f>
        <v/>
      </c>
      <c r="D771">
        <f>IF(B771="","",IFERROR(INDEX(Equipamentos!$C$2:$C$201,MATCH(B771,Equipamentos!$A$2:$A$201,0)),""))</f>
        <v/>
      </c>
      <c r="E771" s="55" t="n"/>
      <c r="F771" s="55" t="n"/>
      <c r="G771">
        <f>IF(B771="","",IFERROR(INDEX(Equipamentos!$N$2:$N$201,MATCH(B771,Equipamentos!$A$2:$A$201,0)),""))</f>
        <v/>
      </c>
      <c r="H771">
        <f>IF(B771="","",IFERROR(INDEX(Equipamentos!$L$2:$L$201,MATCH(B771,Equipamentos!$A$2:$A$201,0)),""))</f>
        <v/>
      </c>
      <c r="I771" s="57">
        <f>IF(OR(A771="",B771=""),"",IFERROR(INDEX(Equipamentos!$J$2:$J$201,MATCH(1,INDEX((Equipamentos!$A$2:$A$201=B771)*(Equipamentos!$P$2:$P$201=A771),0),0)),""))</f>
        <v/>
      </c>
    </row>
    <row r="772">
      <c r="A772" s="54" t="n"/>
      <c r="B772" s="55" t="n"/>
      <c r="C772" s="56">
        <f>IF(OR(A772="",B772=""),"",IF(COUNTIF(Equipamentos!$A$2:$A$201,B772)=0,"tag não encontrada",IFERROR(INDEX(Equipamentos!$H$2:$H$201,MATCH(1,INDEX((Equipamentos!$A$2:$A$201=B772)*(Equipamentos!$P$2:$P$201=A772),0),0)),"confira a data")))</f>
        <v/>
      </c>
      <c r="D772">
        <f>IF(B772="","",IFERROR(INDEX(Equipamentos!$C$2:$C$201,MATCH(B772,Equipamentos!$A$2:$A$201,0)),""))</f>
        <v/>
      </c>
      <c r="E772" s="55" t="n"/>
      <c r="F772" s="55" t="n"/>
      <c r="G772">
        <f>IF(B772="","",IFERROR(INDEX(Equipamentos!$N$2:$N$201,MATCH(B772,Equipamentos!$A$2:$A$201,0)),""))</f>
        <v/>
      </c>
      <c r="H772">
        <f>IF(B772="","",IFERROR(INDEX(Equipamentos!$L$2:$L$201,MATCH(B772,Equipamentos!$A$2:$A$201,0)),""))</f>
        <v/>
      </c>
      <c r="I772" s="57">
        <f>IF(OR(A772="",B772=""),"",IFERROR(INDEX(Equipamentos!$J$2:$J$201,MATCH(1,INDEX((Equipamentos!$A$2:$A$201=B772)*(Equipamentos!$P$2:$P$201=A772),0),0)),""))</f>
        <v/>
      </c>
    </row>
    <row r="773">
      <c r="A773" s="54" t="n"/>
      <c r="B773" s="55" t="n"/>
      <c r="C773" s="56">
        <f>IF(OR(A773="",B773=""),"",IF(COUNTIF(Equipamentos!$A$2:$A$201,B773)=0,"tag não encontrada",IFERROR(INDEX(Equipamentos!$H$2:$H$201,MATCH(1,INDEX((Equipamentos!$A$2:$A$201=B773)*(Equipamentos!$P$2:$P$201=A773),0),0)),"confira a data")))</f>
        <v/>
      </c>
      <c r="D773">
        <f>IF(B773="","",IFERROR(INDEX(Equipamentos!$C$2:$C$201,MATCH(B773,Equipamentos!$A$2:$A$201,0)),""))</f>
        <v/>
      </c>
      <c r="E773" s="55" t="n"/>
      <c r="F773" s="55" t="n"/>
      <c r="G773">
        <f>IF(B773="","",IFERROR(INDEX(Equipamentos!$N$2:$N$201,MATCH(B773,Equipamentos!$A$2:$A$201,0)),""))</f>
        <v/>
      </c>
      <c r="H773">
        <f>IF(B773="","",IFERROR(INDEX(Equipamentos!$L$2:$L$201,MATCH(B773,Equipamentos!$A$2:$A$201,0)),""))</f>
        <v/>
      </c>
      <c r="I773" s="57">
        <f>IF(OR(A773="",B773=""),"",IFERROR(INDEX(Equipamentos!$J$2:$J$201,MATCH(1,INDEX((Equipamentos!$A$2:$A$201=B773)*(Equipamentos!$P$2:$P$201=A773),0),0)),""))</f>
        <v/>
      </c>
    </row>
    <row r="774">
      <c r="A774" s="54" t="n"/>
      <c r="B774" s="55" t="n"/>
      <c r="C774" s="56">
        <f>IF(OR(A774="",B774=""),"",IF(COUNTIF(Equipamentos!$A$2:$A$201,B774)=0,"tag não encontrada",IFERROR(INDEX(Equipamentos!$H$2:$H$201,MATCH(1,INDEX((Equipamentos!$A$2:$A$201=B774)*(Equipamentos!$P$2:$P$201=A774),0),0)),"confira a data")))</f>
        <v/>
      </c>
      <c r="D774">
        <f>IF(B774="","",IFERROR(INDEX(Equipamentos!$C$2:$C$201,MATCH(B774,Equipamentos!$A$2:$A$201,0)),""))</f>
        <v/>
      </c>
      <c r="E774" s="55" t="n"/>
      <c r="F774" s="55" t="n"/>
      <c r="G774">
        <f>IF(B774="","",IFERROR(INDEX(Equipamentos!$N$2:$N$201,MATCH(B774,Equipamentos!$A$2:$A$201,0)),""))</f>
        <v/>
      </c>
      <c r="H774">
        <f>IF(B774="","",IFERROR(INDEX(Equipamentos!$L$2:$L$201,MATCH(B774,Equipamentos!$A$2:$A$201,0)),""))</f>
        <v/>
      </c>
      <c r="I774" s="57">
        <f>IF(OR(A774="",B774=""),"",IFERROR(INDEX(Equipamentos!$J$2:$J$201,MATCH(1,INDEX((Equipamentos!$A$2:$A$201=B774)*(Equipamentos!$P$2:$P$201=A774),0),0)),""))</f>
        <v/>
      </c>
    </row>
    <row r="775">
      <c r="A775" s="54" t="n"/>
      <c r="B775" s="55" t="n"/>
      <c r="C775" s="56">
        <f>IF(OR(A775="",B775=""),"",IF(COUNTIF(Equipamentos!$A$2:$A$201,B775)=0,"tag não encontrada",IFERROR(INDEX(Equipamentos!$H$2:$H$201,MATCH(1,INDEX((Equipamentos!$A$2:$A$201=B775)*(Equipamentos!$P$2:$P$201=A775),0),0)),"confira a data")))</f>
        <v/>
      </c>
      <c r="D775">
        <f>IF(B775="","",IFERROR(INDEX(Equipamentos!$C$2:$C$201,MATCH(B775,Equipamentos!$A$2:$A$201,0)),""))</f>
        <v/>
      </c>
      <c r="E775" s="55" t="n"/>
      <c r="F775" s="55" t="n"/>
      <c r="G775">
        <f>IF(B775="","",IFERROR(INDEX(Equipamentos!$N$2:$N$201,MATCH(B775,Equipamentos!$A$2:$A$201,0)),""))</f>
        <v/>
      </c>
      <c r="H775">
        <f>IF(B775="","",IFERROR(INDEX(Equipamentos!$L$2:$L$201,MATCH(B775,Equipamentos!$A$2:$A$201,0)),""))</f>
        <v/>
      </c>
      <c r="I775" s="57">
        <f>IF(OR(A775="",B775=""),"",IFERROR(INDEX(Equipamentos!$J$2:$J$201,MATCH(1,INDEX((Equipamentos!$A$2:$A$201=B775)*(Equipamentos!$P$2:$P$201=A775),0),0)),""))</f>
        <v/>
      </c>
    </row>
    <row r="776">
      <c r="A776" s="54" t="n"/>
      <c r="B776" s="55" t="n"/>
      <c r="C776" s="56">
        <f>IF(OR(A776="",B776=""),"",IF(COUNTIF(Equipamentos!$A$2:$A$201,B776)=0,"tag não encontrada",IFERROR(INDEX(Equipamentos!$H$2:$H$201,MATCH(1,INDEX((Equipamentos!$A$2:$A$201=B776)*(Equipamentos!$P$2:$P$201=A776),0),0)),"confira a data")))</f>
        <v/>
      </c>
      <c r="D776">
        <f>IF(B776="","",IFERROR(INDEX(Equipamentos!$C$2:$C$201,MATCH(B776,Equipamentos!$A$2:$A$201,0)),""))</f>
        <v/>
      </c>
      <c r="E776" s="55" t="n"/>
      <c r="F776" s="55" t="n"/>
      <c r="G776">
        <f>IF(B776="","",IFERROR(INDEX(Equipamentos!$N$2:$N$201,MATCH(B776,Equipamentos!$A$2:$A$201,0)),""))</f>
        <v/>
      </c>
      <c r="H776">
        <f>IF(B776="","",IFERROR(INDEX(Equipamentos!$L$2:$L$201,MATCH(B776,Equipamentos!$A$2:$A$201,0)),""))</f>
        <v/>
      </c>
      <c r="I776" s="57">
        <f>IF(OR(A776="",B776=""),"",IFERROR(INDEX(Equipamentos!$J$2:$J$201,MATCH(1,INDEX((Equipamentos!$A$2:$A$201=B776)*(Equipamentos!$P$2:$P$201=A776),0),0)),""))</f>
        <v/>
      </c>
    </row>
    <row r="777">
      <c r="A777" s="54" t="n"/>
      <c r="B777" s="55" t="n"/>
      <c r="C777" s="56">
        <f>IF(OR(A777="",B777=""),"",IF(COUNTIF(Equipamentos!$A$2:$A$201,B777)=0,"tag não encontrada",IFERROR(INDEX(Equipamentos!$H$2:$H$201,MATCH(1,INDEX((Equipamentos!$A$2:$A$201=B777)*(Equipamentos!$P$2:$P$201=A777),0),0)),"confira a data")))</f>
        <v/>
      </c>
      <c r="D777">
        <f>IF(B777="","",IFERROR(INDEX(Equipamentos!$C$2:$C$201,MATCH(B777,Equipamentos!$A$2:$A$201,0)),""))</f>
        <v/>
      </c>
      <c r="E777" s="55" t="n"/>
      <c r="F777" s="55" t="n"/>
      <c r="G777">
        <f>IF(B777="","",IFERROR(INDEX(Equipamentos!$N$2:$N$201,MATCH(B777,Equipamentos!$A$2:$A$201,0)),""))</f>
        <v/>
      </c>
      <c r="H777">
        <f>IF(B777="","",IFERROR(INDEX(Equipamentos!$L$2:$L$201,MATCH(B777,Equipamentos!$A$2:$A$201,0)),""))</f>
        <v/>
      </c>
      <c r="I777" s="57">
        <f>IF(OR(A777="",B777=""),"",IFERROR(INDEX(Equipamentos!$J$2:$J$201,MATCH(1,INDEX((Equipamentos!$A$2:$A$201=B777)*(Equipamentos!$P$2:$P$201=A777),0),0)),""))</f>
        <v/>
      </c>
    </row>
    <row r="778">
      <c r="A778" s="54" t="n"/>
      <c r="B778" s="55" t="n"/>
      <c r="C778" s="56">
        <f>IF(OR(A778="",B778=""),"",IF(COUNTIF(Equipamentos!$A$2:$A$201,B778)=0,"tag não encontrada",IFERROR(INDEX(Equipamentos!$H$2:$H$201,MATCH(1,INDEX((Equipamentos!$A$2:$A$201=B778)*(Equipamentos!$P$2:$P$201=A778),0),0)),"confira a data")))</f>
        <v/>
      </c>
      <c r="D778">
        <f>IF(B778="","",IFERROR(INDEX(Equipamentos!$C$2:$C$201,MATCH(B778,Equipamentos!$A$2:$A$201,0)),""))</f>
        <v/>
      </c>
      <c r="E778" s="55" t="n"/>
      <c r="F778" s="55" t="n"/>
      <c r="G778">
        <f>IF(B778="","",IFERROR(INDEX(Equipamentos!$N$2:$N$201,MATCH(B778,Equipamentos!$A$2:$A$201,0)),""))</f>
        <v/>
      </c>
      <c r="H778">
        <f>IF(B778="","",IFERROR(INDEX(Equipamentos!$L$2:$L$201,MATCH(B778,Equipamentos!$A$2:$A$201,0)),""))</f>
        <v/>
      </c>
      <c r="I778" s="57">
        <f>IF(OR(A778="",B778=""),"",IFERROR(INDEX(Equipamentos!$J$2:$J$201,MATCH(1,INDEX((Equipamentos!$A$2:$A$201=B778)*(Equipamentos!$P$2:$P$201=A778),0),0)),""))</f>
        <v/>
      </c>
    </row>
    <row r="779">
      <c r="A779" s="54" t="n"/>
      <c r="B779" s="55" t="n"/>
      <c r="C779" s="56">
        <f>IF(OR(A779="",B779=""),"",IF(COUNTIF(Equipamentos!$A$2:$A$201,B779)=0,"tag não encontrada",IFERROR(INDEX(Equipamentos!$H$2:$H$201,MATCH(1,INDEX((Equipamentos!$A$2:$A$201=B779)*(Equipamentos!$P$2:$P$201=A779),0),0)),"confira a data")))</f>
        <v/>
      </c>
      <c r="D779">
        <f>IF(B779="","",IFERROR(INDEX(Equipamentos!$C$2:$C$201,MATCH(B779,Equipamentos!$A$2:$A$201,0)),""))</f>
        <v/>
      </c>
      <c r="E779" s="55" t="n"/>
      <c r="F779" s="55" t="n"/>
      <c r="G779">
        <f>IF(B779="","",IFERROR(INDEX(Equipamentos!$N$2:$N$201,MATCH(B779,Equipamentos!$A$2:$A$201,0)),""))</f>
        <v/>
      </c>
      <c r="H779">
        <f>IF(B779="","",IFERROR(INDEX(Equipamentos!$L$2:$L$201,MATCH(B779,Equipamentos!$A$2:$A$201,0)),""))</f>
        <v/>
      </c>
      <c r="I779" s="57">
        <f>IF(OR(A779="",B779=""),"",IFERROR(INDEX(Equipamentos!$J$2:$J$201,MATCH(1,INDEX((Equipamentos!$A$2:$A$201=B779)*(Equipamentos!$P$2:$P$201=A779),0),0)),""))</f>
        <v/>
      </c>
    </row>
    <row r="780">
      <c r="A780" s="54" t="n"/>
      <c r="B780" s="55" t="n"/>
      <c r="C780" s="56">
        <f>IF(OR(A780="",B780=""),"",IF(COUNTIF(Equipamentos!$A$2:$A$201,B780)=0,"tag não encontrada",IFERROR(INDEX(Equipamentos!$H$2:$H$201,MATCH(1,INDEX((Equipamentos!$A$2:$A$201=B780)*(Equipamentos!$P$2:$P$201=A780),0),0)),"confira a data")))</f>
        <v/>
      </c>
      <c r="D780">
        <f>IF(B780="","",IFERROR(INDEX(Equipamentos!$C$2:$C$201,MATCH(B780,Equipamentos!$A$2:$A$201,0)),""))</f>
        <v/>
      </c>
      <c r="E780" s="55" t="n"/>
      <c r="F780" s="55" t="n"/>
      <c r="G780">
        <f>IF(B780="","",IFERROR(INDEX(Equipamentos!$N$2:$N$201,MATCH(B780,Equipamentos!$A$2:$A$201,0)),""))</f>
        <v/>
      </c>
      <c r="H780">
        <f>IF(B780="","",IFERROR(INDEX(Equipamentos!$L$2:$L$201,MATCH(B780,Equipamentos!$A$2:$A$201,0)),""))</f>
        <v/>
      </c>
      <c r="I780" s="57">
        <f>IF(OR(A780="",B780=""),"",IFERROR(INDEX(Equipamentos!$J$2:$J$201,MATCH(1,INDEX((Equipamentos!$A$2:$A$201=B780)*(Equipamentos!$P$2:$P$201=A780),0),0)),""))</f>
        <v/>
      </c>
    </row>
    <row r="781">
      <c r="A781" s="54" t="n"/>
      <c r="B781" s="55" t="n"/>
      <c r="C781" s="56">
        <f>IF(OR(A781="",B781=""),"",IF(COUNTIF(Equipamentos!$A$2:$A$201,B781)=0,"tag não encontrada",IFERROR(INDEX(Equipamentos!$H$2:$H$201,MATCH(1,INDEX((Equipamentos!$A$2:$A$201=B781)*(Equipamentos!$P$2:$P$201=A781),0),0)),"confira a data")))</f>
        <v/>
      </c>
      <c r="D781">
        <f>IF(B781="","",IFERROR(INDEX(Equipamentos!$C$2:$C$201,MATCH(B781,Equipamentos!$A$2:$A$201,0)),""))</f>
        <v/>
      </c>
      <c r="E781" s="55" t="n"/>
      <c r="F781" s="55" t="n"/>
      <c r="G781">
        <f>IF(B781="","",IFERROR(INDEX(Equipamentos!$N$2:$N$201,MATCH(B781,Equipamentos!$A$2:$A$201,0)),""))</f>
        <v/>
      </c>
      <c r="H781">
        <f>IF(B781="","",IFERROR(INDEX(Equipamentos!$L$2:$L$201,MATCH(B781,Equipamentos!$A$2:$A$201,0)),""))</f>
        <v/>
      </c>
      <c r="I781" s="57">
        <f>IF(OR(A781="",B781=""),"",IFERROR(INDEX(Equipamentos!$J$2:$J$201,MATCH(1,INDEX((Equipamentos!$A$2:$A$201=B781)*(Equipamentos!$P$2:$P$201=A781),0),0)),""))</f>
        <v/>
      </c>
    </row>
    <row r="782">
      <c r="A782" s="54" t="n"/>
      <c r="B782" s="55" t="n"/>
      <c r="C782" s="56">
        <f>IF(OR(A782="",B782=""),"",IF(COUNTIF(Equipamentos!$A$2:$A$201,B782)=0,"tag não encontrada",IFERROR(INDEX(Equipamentos!$H$2:$H$201,MATCH(1,INDEX((Equipamentos!$A$2:$A$201=B782)*(Equipamentos!$P$2:$P$201=A782),0),0)),"confira a data")))</f>
        <v/>
      </c>
      <c r="D782">
        <f>IF(B782="","",IFERROR(INDEX(Equipamentos!$C$2:$C$201,MATCH(B782,Equipamentos!$A$2:$A$201,0)),""))</f>
        <v/>
      </c>
      <c r="E782" s="55" t="n"/>
      <c r="F782" s="55" t="n"/>
      <c r="G782">
        <f>IF(B782="","",IFERROR(INDEX(Equipamentos!$N$2:$N$201,MATCH(B782,Equipamentos!$A$2:$A$201,0)),""))</f>
        <v/>
      </c>
      <c r="H782">
        <f>IF(B782="","",IFERROR(INDEX(Equipamentos!$L$2:$L$201,MATCH(B782,Equipamentos!$A$2:$A$201,0)),""))</f>
        <v/>
      </c>
      <c r="I782" s="57">
        <f>IF(OR(A782="",B782=""),"",IFERROR(INDEX(Equipamentos!$J$2:$J$201,MATCH(1,INDEX((Equipamentos!$A$2:$A$201=B782)*(Equipamentos!$P$2:$P$201=A782),0),0)),""))</f>
        <v/>
      </c>
    </row>
    <row r="783">
      <c r="A783" s="54" t="n"/>
      <c r="B783" s="55" t="n"/>
      <c r="C783" s="56">
        <f>IF(OR(A783="",B783=""),"",IF(COUNTIF(Equipamentos!$A$2:$A$201,B783)=0,"tag não encontrada",IFERROR(INDEX(Equipamentos!$H$2:$H$201,MATCH(1,INDEX((Equipamentos!$A$2:$A$201=B783)*(Equipamentos!$P$2:$P$201=A783),0),0)),"confira a data")))</f>
        <v/>
      </c>
      <c r="D783">
        <f>IF(B783="","",IFERROR(INDEX(Equipamentos!$C$2:$C$201,MATCH(B783,Equipamentos!$A$2:$A$201,0)),""))</f>
        <v/>
      </c>
      <c r="E783" s="55" t="n"/>
      <c r="F783" s="55" t="n"/>
      <c r="G783">
        <f>IF(B783="","",IFERROR(INDEX(Equipamentos!$N$2:$N$201,MATCH(B783,Equipamentos!$A$2:$A$201,0)),""))</f>
        <v/>
      </c>
      <c r="H783">
        <f>IF(B783="","",IFERROR(INDEX(Equipamentos!$L$2:$L$201,MATCH(B783,Equipamentos!$A$2:$A$201,0)),""))</f>
        <v/>
      </c>
      <c r="I783" s="57">
        <f>IF(OR(A783="",B783=""),"",IFERROR(INDEX(Equipamentos!$J$2:$J$201,MATCH(1,INDEX((Equipamentos!$A$2:$A$201=B783)*(Equipamentos!$P$2:$P$201=A783),0),0)),""))</f>
        <v/>
      </c>
    </row>
    <row r="784">
      <c r="A784" s="54" t="n"/>
      <c r="B784" s="55" t="n"/>
      <c r="C784" s="56">
        <f>IF(OR(A784="",B784=""),"",IF(COUNTIF(Equipamentos!$A$2:$A$201,B784)=0,"tag não encontrada",IFERROR(INDEX(Equipamentos!$H$2:$H$201,MATCH(1,INDEX((Equipamentos!$A$2:$A$201=B784)*(Equipamentos!$P$2:$P$201=A784),0),0)),"confira a data")))</f>
        <v/>
      </c>
      <c r="D784">
        <f>IF(B784="","",IFERROR(INDEX(Equipamentos!$C$2:$C$201,MATCH(B784,Equipamentos!$A$2:$A$201,0)),""))</f>
        <v/>
      </c>
      <c r="E784" s="55" t="n"/>
      <c r="F784" s="55" t="n"/>
      <c r="G784">
        <f>IF(B784="","",IFERROR(INDEX(Equipamentos!$N$2:$N$201,MATCH(B784,Equipamentos!$A$2:$A$201,0)),""))</f>
        <v/>
      </c>
      <c r="H784">
        <f>IF(B784="","",IFERROR(INDEX(Equipamentos!$L$2:$L$201,MATCH(B784,Equipamentos!$A$2:$A$201,0)),""))</f>
        <v/>
      </c>
      <c r="I784" s="57">
        <f>IF(OR(A784="",B784=""),"",IFERROR(INDEX(Equipamentos!$J$2:$J$201,MATCH(1,INDEX((Equipamentos!$A$2:$A$201=B784)*(Equipamentos!$P$2:$P$201=A784),0),0)),""))</f>
        <v/>
      </c>
    </row>
    <row r="785">
      <c r="A785" s="54" t="n"/>
      <c r="B785" s="55" t="n"/>
      <c r="C785" s="56">
        <f>IF(OR(A785="",B785=""),"",IF(COUNTIF(Equipamentos!$A$2:$A$201,B785)=0,"tag não encontrada",IFERROR(INDEX(Equipamentos!$H$2:$H$201,MATCH(1,INDEX((Equipamentos!$A$2:$A$201=B785)*(Equipamentos!$P$2:$P$201=A785),0),0)),"confira a data")))</f>
        <v/>
      </c>
      <c r="D785">
        <f>IF(B785="","",IFERROR(INDEX(Equipamentos!$C$2:$C$201,MATCH(B785,Equipamentos!$A$2:$A$201,0)),""))</f>
        <v/>
      </c>
      <c r="E785" s="55" t="n"/>
      <c r="F785" s="55" t="n"/>
      <c r="G785">
        <f>IF(B785="","",IFERROR(INDEX(Equipamentos!$N$2:$N$201,MATCH(B785,Equipamentos!$A$2:$A$201,0)),""))</f>
        <v/>
      </c>
      <c r="H785">
        <f>IF(B785="","",IFERROR(INDEX(Equipamentos!$L$2:$L$201,MATCH(B785,Equipamentos!$A$2:$A$201,0)),""))</f>
        <v/>
      </c>
      <c r="I785" s="57">
        <f>IF(OR(A785="",B785=""),"",IFERROR(INDEX(Equipamentos!$J$2:$J$201,MATCH(1,INDEX((Equipamentos!$A$2:$A$201=B785)*(Equipamentos!$P$2:$P$201=A785),0),0)),""))</f>
        <v/>
      </c>
    </row>
    <row r="786">
      <c r="A786" s="54" t="n"/>
      <c r="B786" s="55" t="n"/>
      <c r="C786" s="56">
        <f>IF(OR(A786="",B786=""),"",IF(COUNTIF(Equipamentos!$A$2:$A$201,B786)=0,"tag não encontrada",IFERROR(INDEX(Equipamentos!$H$2:$H$201,MATCH(1,INDEX((Equipamentos!$A$2:$A$201=B786)*(Equipamentos!$P$2:$P$201=A786),0),0)),"confira a data")))</f>
        <v/>
      </c>
      <c r="D786">
        <f>IF(B786="","",IFERROR(INDEX(Equipamentos!$C$2:$C$201,MATCH(B786,Equipamentos!$A$2:$A$201,0)),""))</f>
        <v/>
      </c>
      <c r="E786" s="55" t="n"/>
      <c r="F786" s="55" t="n"/>
      <c r="G786">
        <f>IF(B786="","",IFERROR(INDEX(Equipamentos!$N$2:$N$201,MATCH(B786,Equipamentos!$A$2:$A$201,0)),""))</f>
        <v/>
      </c>
      <c r="H786">
        <f>IF(B786="","",IFERROR(INDEX(Equipamentos!$L$2:$L$201,MATCH(B786,Equipamentos!$A$2:$A$201,0)),""))</f>
        <v/>
      </c>
      <c r="I786" s="57">
        <f>IF(OR(A786="",B786=""),"",IFERROR(INDEX(Equipamentos!$J$2:$J$201,MATCH(1,INDEX((Equipamentos!$A$2:$A$201=B786)*(Equipamentos!$P$2:$P$201=A786),0),0)),""))</f>
        <v/>
      </c>
    </row>
    <row r="787">
      <c r="A787" s="54" t="n"/>
      <c r="B787" s="55" t="n"/>
      <c r="C787" s="56">
        <f>IF(OR(A787="",B787=""),"",IF(COUNTIF(Equipamentos!$A$2:$A$201,B787)=0,"tag não encontrada",IFERROR(INDEX(Equipamentos!$H$2:$H$201,MATCH(1,INDEX((Equipamentos!$A$2:$A$201=B787)*(Equipamentos!$P$2:$P$201=A787),0),0)),"confira a data")))</f>
        <v/>
      </c>
      <c r="D787">
        <f>IF(B787="","",IFERROR(INDEX(Equipamentos!$C$2:$C$201,MATCH(B787,Equipamentos!$A$2:$A$201,0)),""))</f>
        <v/>
      </c>
      <c r="E787" s="55" t="n"/>
      <c r="F787" s="55" t="n"/>
      <c r="G787">
        <f>IF(B787="","",IFERROR(INDEX(Equipamentos!$N$2:$N$201,MATCH(B787,Equipamentos!$A$2:$A$201,0)),""))</f>
        <v/>
      </c>
      <c r="H787">
        <f>IF(B787="","",IFERROR(INDEX(Equipamentos!$L$2:$L$201,MATCH(B787,Equipamentos!$A$2:$A$201,0)),""))</f>
        <v/>
      </c>
      <c r="I787" s="57">
        <f>IF(OR(A787="",B787=""),"",IFERROR(INDEX(Equipamentos!$J$2:$J$201,MATCH(1,INDEX((Equipamentos!$A$2:$A$201=B787)*(Equipamentos!$P$2:$P$201=A787),0),0)),""))</f>
        <v/>
      </c>
    </row>
    <row r="788">
      <c r="A788" s="54" t="n"/>
      <c r="B788" s="55" t="n"/>
      <c r="C788" s="56">
        <f>IF(OR(A788="",B788=""),"",IF(COUNTIF(Equipamentos!$A$2:$A$201,B788)=0,"tag não encontrada",IFERROR(INDEX(Equipamentos!$H$2:$H$201,MATCH(1,INDEX((Equipamentos!$A$2:$A$201=B788)*(Equipamentos!$P$2:$P$201=A788),0),0)),"confira a data")))</f>
        <v/>
      </c>
      <c r="D788">
        <f>IF(B788="","",IFERROR(INDEX(Equipamentos!$C$2:$C$201,MATCH(B788,Equipamentos!$A$2:$A$201,0)),""))</f>
        <v/>
      </c>
      <c r="E788" s="55" t="n"/>
      <c r="F788" s="55" t="n"/>
      <c r="G788">
        <f>IF(B788="","",IFERROR(INDEX(Equipamentos!$N$2:$N$201,MATCH(B788,Equipamentos!$A$2:$A$201,0)),""))</f>
        <v/>
      </c>
      <c r="H788">
        <f>IF(B788="","",IFERROR(INDEX(Equipamentos!$L$2:$L$201,MATCH(B788,Equipamentos!$A$2:$A$201,0)),""))</f>
        <v/>
      </c>
      <c r="I788" s="57">
        <f>IF(OR(A788="",B788=""),"",IFERROR(INDEX(Equipamentos!$J$2:$J$201,MATCH(1,INDEX((Equipamentos!$A$2:$A$201=B788)*(Equipamentos!$P$2:$P$201=A788),0),0)),""))</f>
        <v/>
      </c>
    </row>
    <row r="789">
      <c r="A789" s="54" t="n"/>
      <c r="B789" s="55" t="n"/>
      <c r="C789" s="56">
        <f>IF(OR(A789="",B789=""),"",IF(COUNTIF(Equipamentos!$A$2:$A$201,B789)=0,"tag não encontrada",IFERROR(INDEX(Equipamentos!$H$2:$H$201,MATCH(1,INDEX((Equipamentos!$A$2:$A$201=B789)*(Equipamentos!$P$2:$P$201=A789),0),0)),"confira a data")))</f>
        <v/>
      </c>
      <c r="D789">
        <f>IF(B789="","",IFERROR(INDEX(Equipamentos!$C$2:$C$201,MATCH(B789,Equipamentos!$A$2:$A$201,0)),""))</f>
        <v/>
      </c>
      <c r="E789" s="55" t="n"/>
      <c r="F789" s="55" t="n"/>
      <c r="G789">
        <f>IF(B789="","",IFERROR(INDEX(Equipamentos!$N$2:$N$201,MATCH(B789,Equipamentos!$A$2:$A$201,0)),""))</f>
        <v/>
      </c>
      <c r="H789">
        <f>IF(B789="","",IFERROR(INDEX(Equipamentos!$L$2:$L$201,MATCH(B789,Equipamentos!$A$2:$A$201,0)),""))</f>
        <v/>
      </c>
      <c r="I789" s="57">
        <f>IF(OR(A789="",B789=""),"",IFERROR(INDEX(Equipamentos!$J$2:$J$201,MATCH(1,INDEX((Equipamentos!$A$2:$A$201=B789)*(Equipamentos!$P$2:$P$201=A789),0),0)),""))</f>
        <v/>
      </c>
    </row>
    <row r="790">
      <c r="A790" s="54" t="n"/>
      <c r="B790" s="55" t="n"/>
      <c r="C790" s="56">
        <f>IF(OR(A790="",B790=""),"",IF(COUNTIF(Equipamentos!$A$2:$A$201,B790)=0,"tag não encontrada",IFERROR(INDEX(Equipamentos!$H$2:$H$201,MATCH(1,INDEX((Equipamentos!$A$2:$A$201=B790)*(Equipamentos!$P$2:$P$201=A790),0),0)),"confira a data")))</f>
        <v/>
      </c>
      <c r="D790">
        <f>IF(B790="","",IFERROR(INDEX(Equipamentos!$C$2:$C$201,MATCH(B790,Equipamentos!$A$2:$A$201,0)),""))</f>
        <v/>
      </c>
      <c r="E790" s="55" t="n"/>
      <c r="F790" s="55" t="n"/>
      <c r="G790">
        <f>IF(B790="","",IFERROR(INDEX(Equipamentos!$N$2:$N$201,MATCH(B790,Equipamentos!$A$2:$A$201,0)),""))</f>
        <v/>
      </c>
      <c r="H790">
        <f>IF(B790="","",IFERROR(INDEX(Equipamentos!$L$2:$L$201,MATCH(B790,Equipamentos!$A$2:$A$201,0)),""))</f>
        <v/>
      </c>
      <c r="I790" s="57">
        <f>IF(OR(A790="",B790=""),"",IFERROR(INDEX(Equipamentos!$J$2:$J$201,MATCH(1,INDEX((Equipamentos!$A$2:$A$201=B790)*(Equipamentos!$P$2:$P$201=A790),0),0)),""))</f>
        <v/>
      </c>
    </row>
    <row r="791">
      <c r="A791" s="54" t="n"/>
      <c r="B791" s="55" t="n"/>
      <c r="C791" s="56">
        <f>IF(OR(A791="",B791=""),"",IF(COUNTIF(Equipamentos!$A$2:$A$201,B791)=0,"tag não encontrada",IFERROR(INDEX(Equipamentos!$H$2:$H$201,MATCH(1,INDEX((Equipamentos!$A$2:$A$201=B791)*(Equipamentos!$P$2:$P$201=A791),0),0)),"confira a data")))</f>
        <v/>
      </c>
      <c r="D791">
        <f>IF(B791="","",IFERROR(INDEX(Equipamentos!$C$2:$C$201,MATCH(B791,Equipamentos!$A$2:$A$201,0)),""))</f>
        <v/>
      </c>
      <c r="E791" s="55" t="n"/>
      <c r="F791" s="55" t="n"/>
      <c r="G791">
        <f>IF(B791="","",IFERROR(INDEX(Equipamentos!$N$2:$N$201,MATCH(B791,Equipamentos!$A$2:$A$201,0)),""))</f>
        <v/>
      </c>
      <c r="H791">
        <f>IF(B791="","",IFERROR(INDEX(Equipamentos!$L$2:$L$201,MATCH(B791,Equipamentos!$A$2:$A$201,0)),""))</f>
        <v/>
      </c>
      <c r="I791" s="57">
        <f>IF(OR(A791="",B791=""),"",IFERROR(INDEX(Equipamentos!$J$2:$J$201,MATCH(1,INDEX((Equipamentos!$A$2:$A$201=B791)*(Equipamentos!$P$2:$P$201=A791),0),0)),""))</f>
        <v/>
      </c>
    </row>
    <row r="792">
      <c r="A792" s="54" t="n"/>
      <c r="B792" s="55" t="n"/>
      <c r="C792" s="56">
        <f>IF(OR(A792="",B792=""),"",IF(COUNTIF(Equipamentos!$A$2:$A$201,B792)=0,"tag não encontrada",IFERROR(INDEX(Equipamentos!$H$2:$H$201,MATCH(1,INDEX((Equipamentos!$A$2:$A$201=B792)*(Equipamentos!$P$2:$P$201=A792),0),0)),"confira a data")))</f>
        <v/>
      </c>
      <c r="D792">
        <f>IF(B792="","",IFERROR(INDEX(Equipamentos!$C$2:$C$201,MATCH(B792,Equipamentos!$A$2:$A$201,0)),""))</f>
        <v/>
      </c>
      <c r="E792" s="55" t="n"/>
      <c r="F792" s="55" t="n"/>
      <c r="G792">
        <f>IF(B792="","",IFERROR(INDEX(Equipamentos!$N$2:$N$201,MATCH(B792,Equipamentos!$A$2:$A$201,0)),""))</f>
        <v/>
      </c>
      <c r="H792">
        <f>IF(B792="","",IFERROR(INDEX(Equipamentos!$L$2:$L$201,MATCH(B792,Equipamentos!$A$2:$A$201,0)),""))</f>
        <v/>
      </c>
      <c r="I792" s="57">
        <f>IF(OR(A792="",B792=""),"",IFERROR(INDEX(Equipamentos!$J$2:$J$201,MATCH(1,INDEX((Equipamentos!$A$2:$A$201=B792)*(Equipamentos!$P$2:$P$201=A792),0),0)),""))</f>
        <v/>
      </c>
    </row>
    <row r="793">
      <c r="A793" s="54" t="n"/>
      <c r="B793" s="55" t="n"/>
      <c r="C793" s="56">
        <f>IF(OR(A793="",B793=""),"",IF(COUNTIF(Equipamentos!$A$2:$A$201,B793)=0,"tag não encontrada",IFERROR(INDEX(Equipamentos!$H$2:$H$201,MATCH(1,INDEX((Equipamentos!$A$2:$A$201=B793)*(Equipamentos!$P$2:$P$201=A793),0),0)),"confira a data")))</f>
        <v/>
      </c>
      <c r="D793">
        <f>IF(B793="","",IFERROR(INDEX(Equipamentos!$C$2:$C$201,MATCH(B793,Equipamentos!$A$2:$A$201,0)),""))</f>
        <v/>
      </c>
      <c r="E793" s="55" t="n"/>
      <c r="F793" s="55" t="n"/>
      <c r="G793">
        <f>IF(B793="","",IFERROR(INDEX(Equipamentos!$N$2:$N$201,MATCH(B793,Equipamentos!$A$2:$A$201,0)),""))</f>
        <v/>
      </c>
      <c r="H793">
        <f>IF(B793="","",IFERROR(INDEX(Equipamentos!$L$2:$L$201,MATCH(B793,Equipamentos!$A$2:$A$201,0)),""))</f>
        <v/>
      </c>
      <c r="I793" s="57">
        <f>IF(OR(A793="",B793=""),"",IFERROR(INDEX(Equipamentos!$J$2:$J$201,MATCH(1,INDEX((Equipamentos!$A$2:$A$201=B793)*(Equipamentos!$P$2:$P$201=A793),0),0)),""))</f>
        <v/>
      </c>
    </row>
    <row r="794">
      <c r="A794" s="54" t="n"/>
      <c r="B794" s="55" t="n"/>
      <c r="C794" s="56">
        <f>IF(OR(A794="",B794=""),"",IF(COUNTIF(Equipamentos!$A$2:$A$201,B794)=0,"tag não encontrada",IFERROR(INDEX(Equipamentos!$H$2:$H$201,MATCH(1,INDEX((Equipamentos!$A$2:$A$201=B794)*(Equipamentos!$P$2:$P$201=A794),0),0)),"confira a data")))</f>
        <v/>
      </c>
      <c r="D794">
        <f>IF(B794="","",IFERROR(INDEX(Equipamentos!$C$2:$C$201,MATCH(B794,Equipamentos!$A$2:$A$201,0)),""))</f>
        <v/>
      </c>
      <c r="E794" s="55" t="n"/>
      <c r="F794" s="55" t="n"/>
      <c r="G794">
        <f>IF(B794="","",IFERROR(INDEX(Equipamentos!$N$2:$N$201,MATCH(B794,Equipamentos!$A$2:$A$201,0)),""))</f>
        <v/>
      </c>
      <c r="H794">
        <f>IF(B794="","",IFERROR(INDEX(Equipamentos!$L$2:$L$201,MATCH(B794,Equipamentos!$A$2:$A$201,0)),""))</f>
        <v/>
      </c>
      <c r="I794" s="57">
        <f>IF(OR(A794="",B794=""),"",IFERROR(INDEX(Equipamentos!$J$2:$J$201,MATCH(1,INDEX((Equipamentos!$A$2:$A$201=B794)*(Equipamentos!$P$2:$P$201=A794),0),0)),""))</f>
        <v/>
      </c>
    </row>
    <row r="795">
      <c r="A795" s="54" t="n"/>
      <c r="B795" s="55" t="n"/>
      <c r="C795" s="56">
        <f>IF(OR(A795="",B795=""),"",IF(COUNTIF(Equipamentos!$A$2:$A$201,B795)=0,"tag não encontrada",IFERROR(INDEX(Equipamentos!$H$2:$H$201,MATCH(1,INDEX((Equipamentos!$A$2:$A$201=B795)*(Equipamentos!$P$2:$P$201=A795),0),0)),"confira a data")))</f>
        <v/>
      </c>
      <c r="D795">
        <f>IF(B795="","",IFERROR(INDEX(Equipamentos!$C$2:$C$201,MATCH(B795,Equipamentos!$A$2:$A$201,0)),""))</f>
        <v/>
      </c>
      <c r="E795" s="55" t="n"/>
      <c r="F795" s="55" t="n"/>
      <c r="G795">
        <f>IF(B795="","",IFERROR(INDEX(Equipamentos!$N$2:$N$201,MATCH(B795,Equipamentos!$A$2:$A$201,0)),""))</f>
        <v/>
      </c>
      <c r="H795">
        <f>IF(B795="","",IFERROR(INDEX(Equipamentos!$L$2:$L$201,MATCH(B795,Equipamentos!$A$2:$A$201,0)),""))</f>
        <v/>
      </c>
      <c r="I795" s="57">
        <f>IF(OR(A795="",B795=""),"",IFERROR(INDEX(Equipamentos!$J$2:$J$201,MATCH(1,INDEX((Equipamentos!$A$2:$A$201=B795)*(Equipamentos!$P$2:$P$201=A795),0),0)),""))</f>
        <v/>
      </c>
    </row>
    <row r="796">
      <c r="A796" s="54" t="n"/>
      <c r="B796" s="55" t="n"/>
      <c r="C796" s="56">
        <f>IF(OR(A796="",B796=""),"",IF(COUNTIF(Equipamentos!$A$2:$A$201,B796)=0,"tag não encontrada",IFERROR(INDEX(Equipamentos!$H$2:$H$201,MATCH(1,INDEX((Equipamentos!$A$2:$A$201=B796)*(Equipamentos!$P$2:$P$201=A796),0),0)),"confira a data")))</f>
        <v/>
      </c>
      <c r="D796">
        <f>IF(B796="","",IFERROR(INDEX(Equipamentos!$C$2:$C$201,MATCH(B796,Equipamentos!$A$2:$A$201,0)),""))</f>
        <v/>
      </c>
      <c r="E796" s="55" t="n"/>
      <c r="F796" s="55" t="n"/>
      <c r="G796">
        <f>IF(B796="","",IFERROR(INDEX(Equipamentos!$N$2:$N$201,MATCH(B796,Equipamentos!$A$2:$A$201,0)),""))</f>
        <v/>
      </c>
      <c r="H796">
        <f>IF(B796="","",IFERROR(INDEX(Equipamentos!$L$2:$L$201,MATCH(B796,Equipamentos!$A$2:$A$201,0)),""))</f>
        <v/>
      </c>
      <c r="I796" s="57">
        <f>IF(OR(A796="",B796=""),"",IFERROR(INDEX(Equipamentos!$J$2:$J$201,MATCH(1,INDEX((Equipamentos!$A$2:$A$201=B796)*(Equipamentos!$P$2:$P$201=A796),0),0)),""))</f>
        <v/>
      </c>
    </row>
    <row r="797">
      <c r="A797" s="54" t="n"/>
      <c r="B797" s="55" t="n"/>
      <c r="C797" s="56">
        <f>IF(OR(A797="",B797=""),"",IF(COUNTIF(Equipamentos!$A$2:$A$201,B797)=0,"tag não encontrada",IFERROR(INDEX(Equipamentos!$H$2:$H$201,MATCH(1,INDEX((Equipamentos!$A$2:$A$201=B797)*(Equipamentos!$P$2:$P$201=A797),0),0)),"confira a data")))</f>
        <v/>
      </c>
      <c r="D797">
        <f>IF(B797="","",IFERROR(INDEX(Equipamentos!$C$2:$C$201,MATCH(B797,Equipamentos!$A$2:$A$201,0)),""))</f>
        <v/>
      </c>
      <c r="E797" s="55" t="n"/>
      <c r="F797" s="55" t="n"/>
      <c r="G797">
        <f>IF(B797="","",IFERROR(INDEX(Equipamentos!$N$2:$N$201,MATCH(B797,Equipamentos!$A$2:$A$201,0)),""))</f>
        <v/>
      </c>
      <c r="H797">
        <f>IF(B797="","",IFERROR(INDEX(Equipamentos!$L$2:$L$201,MATCH(B797,Equipamentos!$A$2:$A$201,0)),""))</f>
        <v/>
      </c>
      <c r="I797" s="57">
        <f>IF(OR(A797="",B797=""),"",IFERROR(INDEX(Equipamentos!$J$2:$J$201,MATCH(1,INDEX((Equipamentos!$A$2:$A$201=B797)*(Equipamentos!$P$2:$P$201=A797),0),0)),""))</f>
        <v/>
      </c>
    </row>
    <row r="798">
      <c r="A798" s="54" t="n"/>
      <c r="B798" s="55" t="n"/>
      <c r="C798" s="56">
        <f>IF(OR(A798="",B798=""),"",IF(COUNTIF(Equipamentos!$A$2:$A$201,B798)=0,"tag não encontrada",IFERROR(INDEX(Equipamentos!$H$2:$H$201,MATCH(1,INDEX((Equipamentos!$A$2:$A$201=B798)*(Equipamentos!$P$2:$P$201=A798),0),0)),"confira a data")))</f>
        <v/>
      </c>
      <c r="D798">
        <f>IF(B798="","",IFERROR(INDEX(Equipamentos!$C$2:$C$201,MATCH(B798,Equipamentos!$A$2:$A$201,0)),""))</f>
        <v/>
      </c>
      <c r="E798" s="55" t="n"/>
      <c r="F798" s="55" t="n"/>
      <c r="G798">
        <f>IF(B798="","",IFERROR(INDEX(Equipamentos!$N$2:$N$201,MATCH(B798,Equipamentos!$A$2:$A$201,0)),""))</f>
        <v/>
      </c>
      <c r="H798">
        <f>IF(B798="","",IFERROR(INDEX(Equipamentos!$L$2:$L$201,MATCH(B798,Equipamentos!$A$2:$A$201,0)),""))</f>
        <v/>
      </c>
      <c r="I798" s="57">
        <f>IF(OR(A798="",B798=""),"",IFERROR(INDEX(Equipamentos!$J$2:$J$201,MATCH(1,INDEX((Equipamentos!$A$2:$A$201=B798)*(Equipamentos!$P$2:$P$201=A798),0),0)),""))</f>
        <v/>
      </c>
    </row>
    <row r="799">
      <c r="A799" s="54" t="n"/>
      <c r="B799" s="55" t="n"/>
      <c r="C799" s="56">
        <f>IF(OR(A799="",B799=""),"",IF(COUNTIF(Equipamentos!$A$2:$A$201,B799)=0,"tag não encontrada",IFERROR(INDEX(Equipamentos!$H$2:$H$201,MATCH(1,INDEX((Equipamentos!$A$2:$A$201=B799)*(Equipamentos!$P$2:$P$201=A799),0),0)),"confira a data")))</f>
        <v/>
      </c>
      <c r="D799">
        <f>IF(B799="","",IFERROR(INDEX(Equipamentos!$C$2:$C$201,MATCH(B799,Equipamentos!$A$2:$A$201,0)),""))</f>
        <v/>
      </c>
      <c r="E799" s="55" t="n"/>
      <c r="F799" s="55" t="n"/>
      <c r="G799">
        <f>IF(B799="","",IFERROR(INDEX(Equipamentos!$N$2:$N$201,MATCH(B799,Equipamentos!$A$2:$A$201,0)),""))</f>
        <v/>
      </c>
      <c r="H799">
        <f>IF(B799="","",IFERROR(INDEX(Equipamentos!$L$2:$L$201,MATCH(B799,Equipamentos!$A$2:$A$201,0)),""))</f>
        <v/>
      </c>
      <c r="I799" s="57">
        <f>IF(OR(A799="",B799=""),"",IFERROR(INDEX(Equipamentos!$J$2:$J$201,MATCH(1,INDEX((Equipamentos!$A$2:$A$201=B799)*(Equipamentos!$P$2:$P$201=A799),0),0)),""))</f>
        <v/>
      </c>
    </row>
    <row r="800">
      <c r="A800" s="54" t="n"/>
      <c r="B800" s="55" t="n"/>
      <c r="C800" s="56">
        <f>IF(OR(A800="",B800=""),"",IF(COUNTIF(Equipamentos!$A$2:$A$201,B800)=0,"tag não encontrada",IFERROR(INDEX(Equipamentos!$H$2:$H$201,MATCH(1,INDEX((Equipamentos!$A$2:$A$201=B800)*(Equipamentos!$P$2:$P$201=A800),0),0)),"confira a data")))</f>
        <v/>
      </c>
      <c r="D800">
        <f>IF(B800="","",IFERROR(INDEX(Equipamentos!$C$2:$C$201,MATCH(B800,Equipamentos!$A$2:$A$201,0)),""))</f>
        <v/>
      </c>
      <c r="E800" s="55" t="n"/>
      <c r="F800" s="55" t="n"/>
      <c r="G800">
        <f>IF(B800="","",IFERROR(INDEX(Equipamentos!$N$2:$N$201,MATCH(B800,Equipamentos!$A$2:$A$201,0)),""))</f>
        <v/>
      </c>
      <c r="H800">
        <f>IF(B800="","",IFERROR(INDEX(Equipamentos!$L$2:$L$201,MATCH(B800,Equipamentos!$A$2:$A$201,0)),""))</f>
        <v/>
      </c>
      <c r="I800" s="57">
        <f>IF(OR(A800="",B800=""),"",IFERROR(INDEX(Equipamentos!$J$2:$J$201,MATCH(1,INDEX((Equipamentos!$A$2:$A$201=B800)*(Equipamentos!$P$2:$P$201=A800),0),0)),""))</f>
        <v/>
      </c>
    </row>
    <row r="801">
      <c r="A801" s="54" t="n"/>
      <c r="B801" s="55" t="n"/>
      <c r="C801" s="56">
        <f>IF(OR(A801="",B801=""),"",IF(COUNTIF(Equipamentos!$A$2:$A$201,B801)=0,"tag não encontrada",IFERROR(INDEX(Equipamentos!$H$2:$H$201,MATCH(1,INDEX((Equipamentos!$A$2:$A$201=B801)*(Equipamentos!$P$2:$P$201=A801),0),0)),"confira a data")))</f>
        <v/>
      </c>
      <c r="D801">
        <f>IF(B801="","",IFERROR(INDEX(Equipamentos!$C$2:$C$201,MATCH(B801,Equipamentos!$A$2:$A$201,0)),""))</f>
        <v/>
      </c>
      <c r="E801" s="55" t="n"/>
      <c r="F801" s="55" t="n"/>
      <c r="G801">
        <f>IF(B801="","",IFERROR(INDEX(Equipamentos!$N$2:$N$201,MATCH(B801,Equipamentos!$A$2:$A$201,0)),""))</f>
        <v/>
      </c>
      <c r="H801">
        <f>IF(B801="","",IFERROR(INDEX(Equipamentos!$L$2:$L$201,MATCH(B801,Equipamentos!$A$2:$A$201,0)),""))</f>
        <v/>
      </c>
      <c r="I801" s="57">
        <f>IF(OR(A801="",B801=""),"",IFERROR(INDEX(Equipamentos!$J$2:$J$201,MATCH(1,INDEX((Equipamentos!$A$2:$A$201=B801)*(Equipamentos!$P$2:$P$201=A801),0),0)),""))</f>
        <v/>
      </c>
    </row>
    <row r="802">
      <c r="A802" s="54" t="n"/>
      <c r="B802" s="55" t="n"/>
      <c r="C802" s="56">
        <f>IF(OR(A802="",B802=""),"",IF(COUNTIF(Equipamentos!$A$2:$A$201,B802)=0,"tag não encontrada",IFERROR(INDEX(Equipamentos!$H$2:$H$201,MATCH(1,INDEX((Equipamentos!$A$2:$A$201=B802)*(Equipamentos!$P$2:$P$201=A802),0),0)),"confira a data")))</f>
        <v/>
      </c>
      <c r="D802">
        <f>IF(B802="","",IFERROR(INDEX(Equipamentos!$C$2:$C$201,MATCH(B802,Equipamentos!$A$2:$A$201,0)),""))</f>
        <v/>
      </c>
      <c r="E802" s="55" t="n"/>
      <c r="F802" s="55" t="n"/>
      <c r="G802">
        <f>IF(B802="","",IFERROR(INDEX(Equipamentos!$N$2:$N$201,MATCH(B802,Equipamentos!$A$2:$A$201,0)),""))</f>
        <v/>
      </c>
      <c r="H802">
        <f>IF(B802="","",IFERROR(INDEX(Equipamentos!$L$2:$L$201,MATCH(B802,Equipamentos!$A$2:$A$201,0)),""))</f>
        <v/>
      </c>
      <c r="I802" s="57">
        <f>IF(OR(A802="",B802=""),"",IFERROR(INDEX(Equipamentos!$J$2:$J$201,MATCH(1,INDEX((Equipamentos!$A$2:$A$201=B802)*(Equipamentos!$P$2:$P$201=A802),0),0)),""))</f>
        <v/>
      </c>
    </row>
    <row r="803">
      <c r="A803" s="54" t="n"/>
      <c r="B803" s="55" t="n"/>
      <c r="C803" s="56">
        <f>IF(OR(A803="",B803=""),"",IF(COUNTIF(Equipamentos!$A$2:$A$201,B803)=0,"tag não encontrada",IFERROR(INDEX(Equipamentos!$H$2:$H$201,MATCH(1,INDEX((Equipamentos!$A$2:$A$201=B803)*(Equipamentos!$P$2:$P$201=A803),0),0)),"confira a data")))</f>
        <v/>
      </c>
      <c r="D803">
        <f>IF(B803="","",IFERROR(INDEX(Equipamentos!$C$2:$C$201,MATCH(B803,Equipamentos!$A$2:$A$201,0)),""))</f>
        <v/>
      </c>
      <c r="E803" s="55" t="n"/>
      <c r="F803" s="55" t="n"/>
      <c r="G803">
        <f>IF(B803="","",IFERROR(INDEX(Equipamentos!$N$2:$N$201,MATCH(B803,Equipamentos!$A$2:$A$201,0)),""))</f>
        <v/>
      </c>
      <c r="H803">
        <f>IF(B803="","",IFERROR(INDEX(Equipamentos!$L$2:$L$201,MATCH(B803,Equipamentos!$A$2:$A$201,0)),""))</f>
        <v/>
      </c>
      <c r="I803" s="57">
        <f>IF(OR(A803="",B803=""),"",IFERROR(INDEX(Equipamentos!$J$2:$J$201,MATCH(1,INDEX((Equipamentos!$A$2:$A$201=B803)*(Equipamentos!$P$2:$P$201=A803),0),0)),""))</f>
        <v/>
      </c>
    </row>
    <row r="804">
      <c r="A804" s="54" t="n"/>
      <c r="B804" s="55" t="n"/>
      <c r="C804" s="56">
        <f>IF(OR(A804="",B804=""),"",IF(COUNTIF(Equipamentos!$A$2:$A$201,B804)=0,"tag não encontrada",IFERROR(INDEX(Equipamentos!$H$2:$H$201,MATCH(1,INDEX((Equipamentos!$A$2:$A$201=B804)*(Equipamentos!$P$2:$P$201=A804),0),0)),"confira a data")))</f>
        <v/>
      </c>
      <c r="D804">
        <f>IF(B804="","",IFERROR(INDEX(Equipamentos!$C$2:$C$201,MATCH(B804,Equipamentos!$A$2:$A$201,0)),""))</f>
        <v/>
      </c>
      <c r="E804" s="55" t="n"/>
      <c r="F804" s="55" t="n"/>
      <c r="G804">
        <f>IF(B804="","",IFERROR(INDEX(Equipamentos!$N$2:$N$201,MATCH(B804,Equipamentos!$A$2:$A$201,0)),""))</f>
        <v/>
      </c>
      <c r="H804">
        <f>IF(B804="","",IFERROR(INDEX(Equipamentos!$L$2:$L$201,MATCH(B804,Equipamentos!$A$2:$A$201,0)),""))</f>
        <v/>
      </c>
      <c r="I804" s="57">
        <f>IF(OR(A804="",B804=""),"",IFERROR(INDEX(Equipamentos!$J$2:$J$201,MATCH(1,INDEX((Equipamentos!$A$2:$A$201=B804)*(Equipamentos!$P$2:$P$201=A804),0),0)),""))</f>
        <v/>
      </c>
    </row>
    <row r="805">
      <c r="A805" s="54" t="n"/>
      <c r="B805" s="55" t="n"/>
      <c r="C805" s="56">
        <f>IF(OR(A805="",B805=""),"",IF(COUNTIF(Equipamentos!$A$2:$A$201,B805)=0,"tag não encontrada",IFERROR(INDEX(Equipamentos!$H$2:$H$201,MATCH(1,INDEX((Equipamentos!$A$2:$A$201=B805)*(Equipamentos!$P$2:$P$201=A805),0),0)),"confira a data")))</f>
        <v/>
      </c>
      <c r="D805">
        <f>IF(B805="","",IFERROR(INDEX(Equipamentos!$C$2:$C$201,MATCH(B805,Equipamentos!$A$2:$A$201,0)),""))</f>
        <v/>
      </c>
      <c r="E805" s="55" t="n"/>
      <c r="F805" s="55" t="n"/>
      <c r="G805">
        <f>IF(B805="","",IFERROR(INDEX(Equipamentos!$N$2:$N$201,MATCH(B805,Equipamentos!$A$2:$A$201,0)),""))</f>
        <v/>
      </c>
      <c r="H805">
        <f>IF(B805="","",IFERROR(INDEX(Equipamentos!$L$2:$L$201,MATCH(B805,Equipamentos!$A$2:$A$201,0)),""))</f>
        <v/>
      </c>
      <c r="I805" s="57">
        <f>IF(OR(A805="",B805=""),"",IFERROR(INDEX(Equipamentos!$J$2:$J$201,MATCH(1,INDEX((Equipamentos!$A$2:$A$201=B805)*(Equipamentos!$P$2:$P$201=A805),0),0)),""))</f>
        <v/>
      </c>
    </row>
    <row r="806">
      <c r="A806" s="54" t="n"/>
      <c r="B806" s="55" t="n"/>
      <c r="C806" s="56">
        <f>IF(OR(A806="",B806=""),"",IF(COUNTIF(Equipamentos!$A$2:$A$201,B806)=0,"tag não encontrada",IFERROR(INDEX(Equipamentos!$H$2:$H$201,MATCH(1,INDEX((Equipamentos!$A$2:$A$201=B806)*(Equipamentos!$P$2:$P$201=A806),0),0)),"confira a data")))</f>
        <v/>
      </c>
      <c r="D806">
        <f>IF(B806="","",IFERROR(INDEX(Equipamentos!$C$2:$C$201,MATCH(B806,Equipamentos!$A$2:$A$201,0)),""))</f>
        <v/>
      </c>
      <c r="E806" s="55" t="n"/>
      <c r="F806" s="55" t="n"/>
      <c r="G806">
        <f>IF(B806="","",IFERROR(INDEX(Equipamentos!$N$2:$N$201,MATCH(B806,Equipamentos!$A$2:$A$201,0)),""))</f>
        <v/>
      </c>
      <c r="H806">
        <f>IF(B806="","",IFERROR(INDEX(Equipamentos!$L$2:$L$201,MATCH(B806,Equipamentos!$A$2:$A$201,0)),""))</f>
        <v/>
      </c>
      <c r="I806" s="57">
        <f>IF(OR(A806="",B806=""),"",IFERROR(INDEX(Equipamentos!$J$2:$J$201,MATCH(1,INDEX((Equipamentos!$A$2:$A$201=B806)*(Equipamentos!$P$2:$P$201=A806),0),0)),""))</f>
        <v/>
      </c>
    </row>
    <row r="807">
      <c r="A807" s="54" t="n"/>
      <c r="B807" s="55" t="n"/>
      <c r="C807" s="56">
        <f>IF(OR(A807="",B807=""),"",IF(COUNTIF(Equipamentos!$A$2:$A$201,B807)=0,"tag não encontrada",IFERROR(INDEX(Equipamentos!$H$2:$H$201,MATCH(1,INDEX((Equipamentos!$A$2:$A$201=B807)*(Equipamentos!$P$2:$P$201=A807),0),0)),"confira a data")))</f>
        <v/>
      </c>
      <c r="D807">
        <f>IF(B807="","",IFERROR(INDEX(Equipamentos!$C$2:$C$201,MATCH(B807,Equipamentos!$A$2:$A$201,0)),""))</f>
        <v/>
      </c>
      <c r="E807" s="55" t="n"/>
      <c r="F807" s="55" t="n"/>
      <c r="G807">
        <f>IF(B807="","",IFERROR(INDEX(Equipamentos!$N$2:$N$201,MATCH(B807,Equipamentos!$A$2:$A$201,0)),""))</f>
        <v/>
      </c>
      <c r="H807">
        <f>IF(B807="","",IFERROR(INDEX(Equipamentos!$L$2:$L$201,MATCH(B807,Equipamentos!$A$2:$A$201,0)),""))</f>
        <v/>
      </c>
      <c r="I807" s="57">
        <f>IF(OR(A807="",B807=""),"",IFERROR(INDEX(Equipamentos!$J$2:$J$201,MATCH(1,INDEX((Equipamentos!$A$2:$A$201=B807)*(Equipamentos!$P$2:$P$201=A807),0),0)),""))</f>
        <v/>
      </c>
    </row>
    <row r="808">
      <c r="A808" s="54" t="n"/>
      <c r="B808" s="55" t="n"/>
      <c r="C808" s="56">
        <f>IF(OR(A808="",B808=""),"",IF(COUNTIF(Equipamentos!$A$2:$A$201,B808)=0,"tag não encontrada",IFERROR(INDEX(Equipamentos!$H$2:$H$201,MATCH(1,INDEX((Equipamentos!$A$2:$A$201=B808)*(Equipamentos!$P$2:$P$201=A808),0),0)),"confira a data")))</f>
        <v/>
      </c>
      <c r="D808">
        <f>IF(B808="","",IFERROR(INDEX(Equipamentos!$C$2:$C$201,MATCH(B808,Equipamentos!$A$2:$A$201,0)),""))</f>
        <v/>
      </c>
      <c r="E808" s="55" t="n"/>
      <c r="F808" s="55" t="n"/>
      <c r="G808">
        <f>IF(B808="","",IFERROR(INDEX(Equipamentos!$N$2:$N$201,MATCH(B808,Equipamentos!$A$2:$A$201,0)),""))</f>
        <v/>
      </c>
      <c r="H808">
        <f>IF(B808="","",IFERROR(INDEX(Equipamentos!$L$2:$L$201,MATCH(B808,Equipamentos!$A$2:$A$201,0)),""))</f>
        <v/>
      </c>
      <c r="I808" s="57">
        <f>IF(OR(A808="",B808=""),"",IFERROR(INDEX(Equipamentos!$J$2:$J$201,MATCH(1,INDEX((Equipamentos!$A$2:$A$201=B808)*(Equipamentos!$P$2:$P$201=A808),0),0)),""))</f>
        <v/>
      </c>
    </row>
    <row r="809">
      <c r="A809" s="54" t="n"/>
      <c r="B809" s="55" t="n"/>
      <c r="C809" s="56">
        <f>IF(OR(A809="",B809=""),"",IF(COUNTIF(Equipamentos!$A$2:$A$201,B809)=0,"tag não encontrada",IFERROR(INDEX(Equipamentos!$H$2:$H$201,MATCH(1,INDEX((Equipamentos!$A$2:$A$201=B809)*(Equipamentos!$P$2:$P$201=A809),0),0)),"confira a data")))</f>
        <v/>
      </c>
      <c r="D809">
        <f>IF(B809="","",IFERROR(INDEX(Equipamentos!$C$2:$C$201,MATCH(B809,Equipamentos!$A$2:$A$201,0)),""))</f>
        <v/>
      </c>
      <c r="E809" s="55" t="n"/>
      <c r="F809" s="55" t="n"/>
      <c r="G809">
        <f>IF(B809="","",IFERROR(INDEX(Equipamentos!$N$2:$N$201,MATCH(B809,Equipamentos!$A$2:$A$201,0)),""))</f>
        <v/>
      </c>
      <c r="H809">
        <f>IF(B809="","",IFERROR(INDEX(Equipamentos!$L$2:$L$201,MATCH(B809,Equipamentos!$A$2:$A$201,0)),""))</f>
        <v/>
      </c>
      <c r="I809" s="57">
        <f>IF(OR(A809="",B809=""),"",IFERROR(INDEX(Equipamentos!$J$2:$J$201,MATCH(1,INDEX((Equipamentos!$A$2:$A$201=B809)*(Equipamentos!$P$2:$P$201=A809),0),0)),""))</f>
        <v/>
      </c>
    </row>
    <row r="810">
      <c r="A810" s="54" t="n"/>
      <c r="B810" s="55" t="n"/>
      <c r="C810" s="56">
        <f>IF(OR(A810="",B810=""),"",IF(COUNTIF(Equipamentos!$A$2:$A$201,B810)=0,"tag não encontrada",IFERROR(INDEX(Equipamentos!$H$2:$H$201,MATCH(1,INDEX((Equipamentos!$A$2:$A$201=B810)*(Equipamentos!$P$2:$P$201=A810),0),0)),"confira a data")))</f>
        <v/>
      </c>
      <c r="D810">
        <f>IF(B810="","",IFERROR(INDEX(Equipamentos!$C$2:$C$201,MATCH(B810,Equipamentos!$A$2:$A$201,0)),""))</f>
        <v/>
      </c>
      <c r="E810" s="55" t="n"/>
      <c r="F810" s="55" t="n"/>
      <c r="G810">
        <f>IF(B810="","",IFERROR(INDEX(Equipamentos!$N$2:$N$201,MATCH(B810,Equipamentos!$A$2:$A$201,0)),""))</f>
        <v/>
      </c>
      <c r="H810">
        <f>IF(B810="","",IFERROR(INDEX(Equipamentos!$L$2:$L$201,MATCH(B810,Equipamentos!$A$2:$A$201,0)),""))</f>
        <v/>
      </c>
      <c r="I810" s="57">
        <f>IF(OR(A810="",B810=""),"",IFERROR(INDEX(Equipamentos!$J$2:$J$201,MATCH(1,INDEX((Equipamentos!$A$2:$A$201=B810)*(Equipamentos!$P$2:$P$201=A810),0),0)),""))</f>
        <v/>
      </c>
    </row>
    <row r="811">
      <c r="A811" s="54" t="n"/>
      <c r="B811" s="55" t="n"/>
      <c r="C811" s="56">
        <f>IF(OR(A811="",B811=""),"",IF(COUNTIF(Equipamentos!$A$2:$A$201,B811)=0,"tag não encontrada",IFERROR(INDEX(Equipamentos!$H$2:$H$201,MATCH(1,INDEX((Equipamentos!$A$2:$A$201=B811)*(Equipamentos!$P$2:$P$201=A811),0),0)),"confira a data")))</f>
        <v/>
      </c>
      <c r="D811">
        <f>IF(B811="","",IFERROR(INDEX(Equipamentos!$C$2:$C$201,MATCH(B811,Equipamentos!$A$2:$A$201,0)),""))</f>
        <v/>
      </c>
      <c r="E811" s="55" t="n"/>
      <c r="F811" s="55" t="n"/>
      <c r="G811">
        <f>IF(B811="","",IFERROR(INDEX(Equipamentos!$N$2:$N$201,MATCH(B811,Equipamentos!$A$2:$A$201,0)),""))</f>
        <v/>
      </c>
      <c r="H811">
        <f>IF(B811="","",IFERROR(INDEX(Equipamentos!$L$2:$L$201,MATCH(B811,Equipamentos!$A$2:$A$201,0)),""))</f>
        <v/>
      </c>
      <c r="I811" s="57">
        <f>IF(OR(A811="",B811=""),"",IFERROR(INDEX(Equipamentos!$J$2:$J$201,MATCH(1,INDEX((Equipamentos!$A$2:$A$201=B811)*(Equipamentos!$P$2:$P$201=A811),0),0)),""))</f>
        <v/>
      </c>
    </row>
    <row r="812">
      <c r="A812" s="54" t="n"/>
      <c r="B812" s="55" t="n"/>
      <c r="C812" s="56">
        <f>IF(OR(A812="",B812=""),"",IF(COUNTIF(Equipamentos!$A$2:$A$201,B812)=0,"tag não encontrada",IFERROR(INDEX(Equipamentos!$H$2:$H$201,MATCH(1,INDEX((Equipamentos!$A$2:$A$201=B812)*(Equipamentos!$P$2:$P$201=A812),0),0)),"confira a data")))</f>
        <v/>
      </c>
      <c r="D812">
        <f>IF(B812="","",IFERROR(INDEX(Equipamentos!$C$2:$C$201,MATCH(B812,Equipamentos!$A$2:$A$201,0)),""))</f>
        <v/>
      </c>
      <c r="E812" s="55" t="n"/>
      <c r="F812" s="55" t="n"/>
      <c r="G812">
        <f>IF(B812="","",IFERROR(INDEX(Equipamentos!$N$2:$N$201,MATCH(B812,Equipamentos!$A$2:$A$201,0)),""))</f>
        <v/>
      </c>
      <c r="H812">
        <f>IF(B812="","",IFERROR(INDEX(Equipamentos!$L$2:$L$201,MATCH(B812,Equipamentos!$A$2:$A$201,0)),""))</f>
        <v/>
      </c>
      <c r="I812" s="57">
        <f>IF(OR(A812="",B812=""),"",IFERROR(INDEX(Equipamentos!$J$2:$J$201,MATCH(1,INDEX((Equipamentos!$A$2:$A$201=B812)*(Equipamentos!$P$2:$P$201=A812),0),0)),""))</f>
        <v/>
      </c>
    </row>
    <row r="813">
      <c r="A813" s="54" t="n"/>
      <c r="B813" s="55" t="n"/>
      <c r="C813" s="56">
        <f>IF(OR(A813="",B813=""),"",IF(COUNTIF(Equipamentos!$A$2:$A$201,B813)=0,"tag não encontrada",IFERROR(INDEX(Equipamentos!$H$2:$H$201,MATCH(1,INDEX((Equipamentos!$A$2:$A$201=B813)*(Equipamentos!$P$2:$P$201=A813),0),0)),"confira a data")))</f>
        <v/>
      </c>
      <c r="D813">
        <f>IF(B813="","",IFERROR(INDEX(Equipamentos!$C$2:$C$201,MATCH(B813,Equipamentos!$A$2:$A$201,0)),""))</f>
        <v/>
      </c>
      <c r="E813" s="55" t="n"/>
      <c r="F813" s="55" t="n"/>
      <c r="G813">
        <f>IF(B813="","",IFERROR(INDEX(Equipamentos!$N$2:$N$201,MATCH(B813,Equipamentos!$A$2:$A$201,0)),""))</f>
        <v/>
      </c>
      <c r="H813">
        <f>IF(B813="","",IFERROR(INDEX(Equipamentos!$L$2:$L$201,MATCH(B813,Equipamentos!$A$2:$A$201,0)),""))</f>
        <v/>
      </c>
      <c r="I813" s="57">
        <f>IF(OR(A813="",B813=""),"",IFERROR(INDEX(Equipamentos!$J$2:$J$201,MATCH(1,INDEX((Equipamentos!$A$2:$A$201=B813)*(Equipamentos!$P$2:$P$201=A813),0),0)),""))</f>
        <v/>
      </c>
    </row>
    <row r="814">
      <c r="A814" s="54" t="n"/>
      <c r="B814" s="55" t="n"/>
      <c r="C814" s="56">
        <f>IF(OR(A814="",B814=""),"",IF(COUNTIF(Equipamentos!$A$2:$A$201,B814)=0,"tag não encontrada",IFERROR(INDEX(Equipamentos!$H$2:$H$201,MATCH(1,INDEX((Equipamentos!$A$2:$A$201=B814)*(Equipamentos!$P$2:$P$201=A814),0),0)),"confira a data")))</f>
        <v/>
      </c>
      <c r="D814">
        <f>IF(B814="","",IFERROR(INDEX(Equipamentos!$C$2:$C$201,MATCH(B814,Equipamentos!$A$2:$A$201,0)),""))</f>
        <v/>
      </c>
      <c r="E814" s="55" t="n"/>
      <c r="F814" s="55" t="n"/>
      <c r="G814">
        <f>IF(B814="","",IFERROR(INDEX(Equipamentos!$N$2:$N$201,MATCH(B814,Equipamentos!$A$2:$A$201,0)),""))</f>
        <v/>
      </c>
      <c r="H814">
        <f>IF(B814="","",IFERROR(INDEX(Equipamentos!$L$2:$L$201,MATCH(B814,Equipamentos!$A$2:$A$201,0)),""))</f>
        <v/>
      </c>
      <c r="I814" s="57">
        <f>IF(OR(A814="",B814=""),"",IFERROR(INDEX(Equipamentos!$J$2:$J$201,MATCH(1,INDEX((Equipamentos!$A$2:$A$201=B814)*(Equipamentos!$P$2:$P$201=A814),0),0)),""))</f>
        <v/>
      </c>
    </row>
    <row r="815">
      <c r="A815" s="54" t="n"/>
      <c r="B815" s="55" t="n"/>
      <c r="C815" s="56">
        <f>IF(OR(A815="",B815=""),"",IF(COUNTIF(Equipamentos!$A$2:$A$201,B815)=0,"tag não encontrada",IFERROR(INDEX(Equipamentos!$H$2:$H$201,MATCH(1,INDEX((Equipamentos!$A$2:$A$201=B815)*(Equipamentos!$P$2:$P$201=A815),0),0)),"confira a data")))</f>
        <v/>
      </c>
      <c r="D815">
        <f>IF(B815="","",IFERROR(INDEX(Equipamentos!$C$2:$C$201,MATCH(B815,Equipamentos!$A$2:$A$201,0)),""))</f>
        <v/>
      </c>
      <c r="E815" s="55" t="n"/>
      <c r="F815" s="55" t="n"/>
      <c r="G815">
        <f>IF(B815="","",IFERROR(INDEX(Equipamentos!$N$2:$N$201,MATCH(B815,Equipamentos!$A$2:$A$201,0)),""))</f>
        <v/>
      </c>
      <c r="H815">
        <f>IF(B815="","",IFERROR(INDEX(Equipamentos!$L$2:$L$201,MATCH(B815,Equipamentos!$A$2:$A$201,0)),""))</f>
        <v/>
      </c>
      <c r="I815" s="57">
        <f>IF(OR(A815="",B815=""),"",IFERROR(INDEX(Equipamentos!$J$2:$J$201,MATCH(1,INDEX((Equipamentos!$A$2:$A$201=B815)*(Equipamentos!$P$2:$P$201=A815),0),0)),""))</f>
        <v/>
      </c>
    </row>
    <row r="816">
      <c r="A816" s="54" t="n"/>
      <c r="B816" s="55" t="n"/>
      <c r="C816" s="56">
        <f>IF(OR(A816="",B816=""),"",IF(COUNTIF(Equipamentos!$A$2:$A$201,B816)=0,"tag não encontrada",IFERROR(INDEX(Equipamentos!$H$2:$H$201,MATCH(1,INDEX((Equipamentos!$A$2:$A$201=B816)*(Equipamentos!$P$2:$P$201=A816),0),0)),"confira a data")))</f>
        <v/>
      </c>
      <c r="D816">
        <f>IF(B816="","",IFERROR(INDEX(Equipamentos!$C$2:$C$201,MATCH(B816,Equipamentos!$A$2:$A$201,0)),""))</f>
        <v/>
      </c>
      <c r="E816" s="55" t="n"/>
      <c r="F816" s="55" t="n"/>
      <c r="G816">
        <f>IF(B816="","",IFERROR(INDEX(Equipamentos!$N$2:$N$201,MATCH(B816,Equipamentos!$A$2:$A$201,0)),""))</f>
        <v/>
      </c>
      <c r="H816">
        <f>IF(B816="","",IFERROR(INDEX(Equipamentos!$L$2:$L$201,MATCH(B816,Equipamentos!$A$2:$A$201,0)),""))</f>
        <v/>
      </c>
      <c r="I816" s="57">
        <f>IF(OR(A816="",B816=""),"",IFERROR(INDEX(Equipamentos!$J$2:$J$201,MATCH(1,INDEX((Equipamentos!$A$2:$A$201=B816)*(Equipamentos!$P$2:$P$201=A816),0),0)),""))</f>
        <v/>
      </c>
    </row>
    <row r="817">
      <c r="A817" s="54" t="n"/>
      <c r="B817" s="55" t="n"/>
      <c r="C817" s="56">
        <f>IF(OR(A817="",B817=""),"",IF(COUNTIF(Equipamentos!$A$2:$A$201,B817)=0,"tag não encontrada",IFERROR(INDEX(Equipamentos!$H$2:$H$201,MATCH(1,INDEX((Equipamentos!$A$2:$A$201=B817)*(Equipamentos!$P$2:$P$201=A817),0),0)),"confira a data")))</f>
        <v/>
      </c>
      <c r="D817">
        <f>IF(B817="","",IFERROR(INDEX(Equipamentos!$C$2:$C$201,MATCH(B817,Equipamentos!$A$2:$A$201,0)),""))</f>
        <v/>
      </c>
      <c r="E817" s="55" t="n"/>
      <c r="F817" s="55" t="n"/>
      <c r="G817">
        <f>IF(B817="","",IFERROR(INDEX(Equipamentos!$N$2:$N$201,MATCH(B817,Equipamentos!$A$2:$A$201,0)),""))</f>
        <v/>
      </c>
      <c r="H817">
        <f>IF(B817="","",IFERROR(INDEX(Equipamentos!$L$2:$L$201,MATCH(B817,Equipamentos!$A$2:$A$201,0)),""))</f>
        <v/>
      </c>
      <c r="I817" s="57">
        <f>IF(OR(A817="",B817=""),"",IFERROR(INDEX(Equipamentos!$J$2:$J$201,MATCH(1,INDEX((Equipamentos!$A$2:$A$201=B817)*(Equipamentos!$P$2:$P$201=A817),0),0)),""))</f>
        <v/>
      </c>
    </row>
    <row r="818">
      <c r="A818" s="54" t="n"/>
      <c r="B818" s="55" t="n"/>
      <c r="C818" s="56">
        <f>IF(OR(A818="",B818=""),"",IF(COUNTIF(Equipamentos!$A$2:$A$201,B818)=0,"tag não encontrada",IFERROR(INDEX(Equipamentos!$H$2:$H$201,MATCH(1,INDEX((Equipamentos!$A$2:$A$201=B818)*(Equipamentos!$P$2:$P$201=A818),0),0)),"confira a data")))</f>
        <v/>
      </c>
      <c r="D818">
        <f>IF(B818="","",IFERROR(INDEX(Equipamentos!$C$2:$C$201,MATCH(B818,Equipamentos!$A$2:$A$201,0)),""))</f>
        <v/>
      </c>
      <c r="E818" s="55" t="n"/>
      <c r="F818" s="55" t="n"/>
      <c r="G818">
        <f>IF(B818="","",IFERROR(INDEX(Equipamentos!$N$2:$N$201,MATCH(B818,Equipamentos!$A$2:$A$201,0)),""))</f>
        <v/>
      </c>
      <c r="H818">
        <f>IF(B818="","",IFERROR(INDEX(Equipamentos!$L$2:$L$201,MATCH(B818,Equipamentos!$A$2:$A$201,0)),""))</f>
        <v/>
      </c>
      <c r="I818" s="57">
        <f>IF(OR(A818="",B818=""),"",IFERROR(INDEX(Equipamentos!$J$2:$J$201,MATCH(1,INDEX((Equipamentos!$A$2:$A$201=B818)*(Equipamentos!$P$2:$P$201=A818),0),0)),""))</f>
        <v/>
      </c>
    </row>
    <row r="819">
      <c r="A819" s="54" t="n"/>
      <c r="B819" s="55" t="n"/>
      <c r="C819" s="56">
        <f>IF(OR(A819="",B819=""),"",IF(COUNTIF(Equipamentos!$A$2:$A$201,B819)=0,"tag não encontrada",IFERROR(INDEX(Equipamentos!$H$2:$H$201,MATCH(1,INDEX((Equipamentos!$A$2:$A$201=B819)*(Equipamentos!$P$2:$P$201=A819),0),0)),"confira a data")))</f>
        <v/>
      </c>
      <c r="D819">
        <f>IF(B819="","",IFERROR(INDEX(Equipamentos!$C$2:$C$201,MATCH(B819,Equipamentos!$A$2:$A$201,0)),""))</f>
        <v/>
      </c>
      <c r="E819" s="55" t="n"/>
      <c r="F819" s="55" t="n"/>
      <c r="G819">
        <f>IF(B819="","",IFERROR(INDEX(Equipamentos!$N$2:$N$201,MATCH(B819,Equipamentos!$A$2:$A$201,0)),""))</f>
        <v/>
      </c>
      <c r="H819">
        <f>IF(B819="","",IFERROR(INDEX(Equipamentos!$L$2:$L$201,MATCH(B819,Equipamentos!$A$2:$A$201,0)),""))</f>
        <v/>
      </c>
      <c r="I819" s="57">
        <f>IF(OR(A819="",B819=""),"",IFERROR(INDEX(Equipamentos!$J$2:$J$201,MATCH(1,INDEX((Equipamentos!$A$2:$A$201=B819)*(Equipamentos!$P$2:$P$201=A819),0),0)),""))</f>
        <v/>
      </c>
    </row>
    <row r="820">
      <c r="A820" s="54" t="n"/>
      <c r="B820" s="55" t="n"/>
      <c r="C820" s="56">
        <f>IF(OR(A820="",B820=""),"",IF(COUNTIF(Equipamentos!$A$2:$A$201,B820)=0,"tag não encontrada",IFERROR(INDEX(Equipamentos!$H$2:$H$201,MATCH(1,INDEX((Equipamentos!$A$2:$A$201=B820)*(Equipamentos!$P$2:$P$201=A820),0),0)),"confira a data")))</f>
        <v/>
      </c>
      <c r="D820">
        <f>IF(B820="","",IFERROR(INDEX(Equipamentos!$C$2:$C$201,MATCH(B820,Equipamentos!$A$2:$A$201,0)),""))</f>
        <v/>
      </c>
      <c r="E820" s="55" t="n"/>
      <c r="F820" s="55" t="n"/>
      <c r="G820">
        <f>IF(B820="","",IFERROR(INDEX(Equipamentos!$N$2:$N$201,MATCH(B820,Equipamentos!$A$2:$A$201,0)),""))</f>
        <v/>
      </c>
      <c r="H820">
        <f>IF(B820="","",IFERROR(INDEX(Equipamentos!$L$2:$L$201,MATCH(B820,Equipamentos!$A$2:$A$201,0)),""))</f>
        <v/>
      </c>
      <c r="I820" s="57">
        <f>IF(OR(A820="",B820=""),"",IFERROR(INDEX(Equipamentos!$J$2:$J$201,MATCH(1,INDEX((Equipamentos!$A$2:$A$201=B820)*(Equipamentos!$P$2:$P$201=A820),0),0)),""))</f>
        <v/>
      </c>
    </row>
    <row r="821">
      <c r="A821" s="54" t="n"/>
      <c r="B821" s="55" t="n"/>
      <c r="C821" s="56">
        <f>IF(OR(A821="",B821=""),"",IF(COUNTIF(Equipamentos!$A$2:$A$201,B821)=0,"tag não encontrada",IFERROR(INDEX(Equipamentos!$H$2:$H$201,MATCH(1,INDEX((Equipamentos!$A$2:$A$201=B821)*(Equipamentos!$P$2:$P$201=A821),0),0)),"confira a data")))</f>
        <v/>
      </c>
      <c r="D821">
        <f>IF(B821="","",IFERROR(INDEX(Equipamentos!$C$2:$C$201,MATCH(B821,Equipamentos!$A$2:$A$201,0)),""))</f>
        <v/>
      </c>
      <c r="E821" s="55" t="n"/>
      <c r="F821" s="55" t="n"/>
      <c r="G821">
        <f>IF(B821="","",IFERROR(INDEX(Equipamentos!$N$2:$N$201,MATCH(B821,Equipamentos!$A$2:$A$201,0)),""))</f>
        <v/>
      </c>
      <c r="H821">
        <f>IF(B821="","",IFERROR(INDEX(Equipamentos!$L$2:$L$201,MATCH(B821,Equipamentos!$A$2:$A$201,0)),""))</f>
        <v/>
      </c>
      <c r="I821" s="57">
        <f>IF(OR(A821="",B821=""),"",IFERROR(INDEX(Equipamentos!$J$2:$J$201,MATCH(1,INDEX((Equipamentos!$A$2:$A$201=B821)*(Equipamentos!$P$2:$P$201=A821),0),0)),""))</f>
        <v/>
      </c>
    </row>
    <row r="822">
      <c r="A822" s="54" t="n"/>
      <c r="B822" s="55" t="n"/>
      <c r="C822" s="56">
        <f>IF(OR(A822="",B822=""),"",IF(COUNTIF(Equipamentos!$A$2:$A$201,B822)=0,"tag não encontrada",IFERROR(INDEX(Equipamentos!$H$2:$H$201,MATCH(1,INDEX((Equipamentos!$A$2:$A$201=B822)*(Equipamentos!$P$2:$P$201=A822),0),0)),"confira a data")))</f>
        <v/>
      </c>
      <c r="D822">
        <f>IF(B822="","",IFERROR(INDEX(Equipamentos!$C$2:$C$201,MATCH(B822,Equipamentos!$A$2:$A$201,0)),""))</f>
        <v/>
      </c>
      <c r="E822" s="55" t="n"/>
      <c r="F822" s="55" t="n"/>
      <c r="G822">
        <f>IF(B822="","",IFERROR(INDEX(Equipamentos!$N$2:$N$201,MATCH(B822,Equipamentos!$A$2:$A$201,0)),""))</f>
        <v/>
      </c>
      <c r="H822">
        <f>IF(B822="","",IFERROR(INDEX(Equipamentos!$L$2:$L$201,MATCH(B822,Equipamentos!$A$2:$A$201,0)),""))</f>
        <v/>
      </c>
      <c r="I822" s="57">
        <f>IF(OR(A822="",B822=""),"",IFERROR(INDEX(Equipamentos!$J$2:$J$201,MATCH(1,INDEX((Equipamentos!$A$2:$A$201=B822)*(Equipamentos!$P$2:$P$201=A822),0),0)),""))</f>
        <v/>
      </c>
    </row>
    <row r="823">
      <c r="A823" s="54" t="n"/>
      <c r="B823" s="55" t="n"/>
      <c r="C823" s="56">
        <f>IF(OR(A823="",B823=""),"",IF(COUNTIF(Equipamentos!$A$2:$A$201,B823)=0,"tag não encontrada",IFERROR(INDEX(Equipamentos!$H$2:$H$201,MATCH(1,INDEX((Equipamentos!$A$2:$A$201=B823)*(Equipamentos!$P$2:$P$201=A823),0),0)),"confira a data")))</f>
        <v/>
      </c>
      <c r="D823">
        <f>IF(B823="","",IFERROR(INDEX(Equipamentos!$C$2:$C$201,MATCH(B823,Equipamentos!$A$2:$A$201,0)),""))</f>
        <v/>
      </c>
      <c r="E823" s="55" t="n"/>
      <c r="F823" s="55" t="n"/>
      <c r="G823">
        <f>IF(B823="","",IFERROR(INDEX(Equipamentos!$N$2:$N$201,MATCH(B823,Equipamentos!$A$2:$A$201,0)),""))</f>
        <v/>
      </c>
      <c r="H823">
        <f>IF(B823="","",IFERROR(INDEX(Equipamentos!$L$2:$L$201,MATCH(B823,Equipamentos!$A$2:$A$201,0)),""))</f>
        <v/>
      </c>
      <c r="I823" s="57">
        <f>IF(OR(A823="",B823=""),"",IFERROR(INDEX(Equipamentos!$J$2:$J$201,MATCH(1,INDEX((Equipamentos!$A$2:$A$201=B823)*(Equipamentos!$P$2:$P$201=A823),0),0)),""))</f>
        <v/>
      </c>
    </row>
    <row r="824">
      <c r="A824" s="54" t="n"/>
      <c r="B824" s="55" t="n"/>
      <c r="C824" s="56">
        <f>IF(OR(A824="",B824=""),"",IF(COUNTIF(Equipamentos!$A$2:$A$201,B824)=0,"tag não encontrada",IFERROR(INDEX(Equipamentos!$H$2:$H$201,MATCH(1,INDEX((Equipamentos!$A$2:$A$201=B824)*(Equipamentos!$P$2:$P$201=A824),0),0)),"confira a data")))</f>
        <v/>
      </c>
      <c r="D824">
        <f>IF(B824="","",IFERROR(INDEX(Equipamentos!$C$2:$C$201,MATCH(B824,Equipamentos!$A$2:$A$201,0)),""))</f>
        <v/>
      </c>
      <c r="E824" s="55" t="n"/>
      <c r="F824" s="55" t="n"/>
      <c r="G824">
        <f>IF(B824="","",IFERROR(INDEX(Equipamentos!$N$2:$N$201,MATCH(B824,Equipamentos!$A$2:$A$201,0)),""))</f>
        <v/>
      </c>
      <c r="H824">
        <f>IF(B824="","",IFERROR(INDEX(Equipamentos!$L$2:$L$201,MATCH(B824,Equipamentos!$A$2:$A$201,0)),""))</f>
        <v/>
      </c>
      <c r="I824" s="57">
        <f>IF(OR(A824="",B824=""),"",IFERROR(INDEX(Equipamentos!$J$2:$J$201,MATCH(1,INDEX((Equipamentos!$A$2:$A$201=B824)*(Equipamentos!$P$2:$P$201=A824),0),0)),""))</f>
        <v/>
      </c>
    </row>
    <row r="825">
      <c r="A825" s="54" t="n"/>
      <c r="B825" s="55" t="n"/>
      <c r="C825" s="56">
        <f>IF(OR(A825="",B825=""),"",IF(COUNTIF(Equipamentos!$A$2:$A$201,B825)=0,"tag não encontrada",IFERROR(INDEX(Equipamentos!$H$2:$H$201,MATCH(1,INDEX((Equipamentos!$A$2:$A$201=B825)*(Equipamentos!$P$2:$P$201=A825),0),0)),"confira a data")))</f>
        <v/>
      </c>
      <c r="D825">
        <f>IF(B825="","",IFERROR(INDEX(Equipamentos!$C$2:$C$201,MATCH(B825,Equipamentos!$A$2:$A$201,0)),""))</f>
        <v/>
      </c>
      <c r="E825" s="55" t="n"/>
      <c r="F825" s="55" t="n"/>
      <c r="G825">
        <f>IF(B825="","",IFERROR(INDEX(Equipamentos!$N$2:$N$201,MATCH(B825,Equipamentos!$A$2:$A$201,0)),""))</f>
        <v/>
      </c>
      <c r="H825">
        <f>IF(B825="","",IFERROR(INDEX(Equipamentos!$L$2:$L$201,MATCH(B825,Equipamentos!$A$2:$A$201,0)),""))</f>
        <v/>
      </c>
      <c r="I825" s="57">
        <f>IF(OR(A825="",B825=""),"",IFERROR(INDEX(Equipamentos!$J$2:$J$201,MATCH(1,INDEX((Equipamentos!$A$2:$A$201=B825)*(Equipamentos!$P$2:$P$201=A825),0),0)),""))</f>
        <v/>
      </c>
    </row>
    <row r="826">
      <c r="A826" s="54" t="n"/>
      <c r="B826" s="55" t="n"/>
      <c r="C826" s="56">
        <f>IF(OR(A826="",B826=""),"",IF(COUNTIF(Equipamentos!$A$2:$A$201,B826)=0,"tag não encontrada",IFERROR(INDEX(Equipamentos!$H$2:$H$201,MATCH(1,INDEX((Equipamentos!$A$2:$A$201=B826)*(Equipamentos!$P$2:$P$201=A826),0),0)),"confira a data")))</f>
        <v/>
      </c>
      <c r="D826">
        <f>IF(B826="","",IFERROR(INDEX(Equipamentos!$C$2:$C$201,MATCH(B826,Equipamentos!$A$2:$A$201,0)),""))</f>
        <v/>
      </c>
      <c r="E826" s="55" t="n"/>
      <c r="F826" s="55" t="n"/>
      <c r="G826">
        <f>IF(B826="","",IFERROR(INDEX(Equipamentos!$N$2:$N$201,MATCH(B826,Equipamentos!$A$2:$A$201,0)),""))</f>
        <v/>
      </c>
      <c r="H826">
        <f>IF(B826="","",IFERROR(INDEX(Equipamentos!$L$2:$L$201,MATCH(B826,Equipamentos!$A$2:$A$201,0)),""))</f>
        <v/>
      </c>
      <c r="I826" s="57">
        <f>IF(OR(A826="",B826=""),"",IFERROR(INDEX(Equipamentos!$J$2:$J$201,MATCH(1,INDEX((Equipamentos!$A$2:$A$201=B826)*(Equipamentos!$P$2:$P$201=A826),0),0)),""))</f>
        <v/>
      </c>
    </row>
    <row r="827">
      <c r="A827" s="54" t="n"/>
      <c r="B827" s="55" t="n"/>
      <c r="C827" s="56">
        <f>IF(OR(A827="",B827=""),"",IF(COUNTIF(Equipamentos!$A$2:$A$201,B827)=0,"tag não encontrada",IFERROR(INDEX(Equipamentos!$H$2:$H$201,MATCH(1,INDEX((Equipamentos!$A$2:$A$201=B827)*(Equipamentos!$P$2:$P$201=A827),0),0)),"confira a data")))</f>
        <v/>
      </c>
      <c r="D827">
        <f>IF(B827="","",IFERROR(INDEX(Equipamentos!$C$2:$C$201,MATCH(B827,Equipamentos!$A$2:$A$201,0)),""))</f>
        <v/>
      </c>
      <c r="E827" s="55" t="n"/>
      <c r="F827" s="55" t="n"/>
      <c r="G827">
        <f>IF(B827="","",IFERROR(INDEX(Equipamentos!$N$2:$N$201,MATCH(B827,Equipamentos!$A$2:$A$201,0)),""))</f>
        <v/>
      </c>
      <c r="H827">
        <f>IF(B827="","",IFERROR(INDEX(Equipamentos!$L$2:$L$201,MATCH(B827,Equipamentos!$A$2:$A$201,0)),""))</f>
        <v/>
      </c>
      <c r="I827" s="57">
        <f>IF(OR(A827="",B827=""),"",IFERROR(INDEX(Equipamentos!$J$2:$J$201,MATCH(1,INDEX((Equipamentos!$A$2:$A$201=B827)*(Equipamentos!$P$2:$P$201=A827),0),0)),""))</f>
        <v/>
      </c>
    </row>
    <row r="828">
      <c r="A828" s="54" t="n"/>
      <c r="B828" s="55" t="n"/>
      <c r="C828" s="56">
        <f>IF(OR(A828="",B828=""),"",IF(COUNTIF(Equipamentos!$A$2:$A$201,B828)=0,"tag não encontrada",IFERROR(INDEX(Equipamentos!$H$2:$H$201,MATCH(1,INDEX((Equipamentos!$A$2:$A$201=B828)*(Equipamentos!$P$2:$P$201=A828),0),0)),"confira a data")))</f>
        <v/>
      </c>
      <c r="D828">
        <f>IF(B828="","",IFERROR(INDEX(Equipamentos!$C$2:$C$201,MATCH(B828,Equipamentos!$A$2:$A$201,0)),""))</f>
        <v/>
      </c>
      <c r="E828" s="55" t="n"/>
      <c r="F828" s="55" t="n"/>
      <c r="G828">
        <f>IF(B828="","",IFERROR(INDEX(Equipamentos!$N$2:$N$201,MATCH(B828,Equipamentos!$A$2:$A$201,0)),""))</f>
        <v/>
      </c>
      <c r="H828">
        <f>IF(B828="","",IFERROR(INDEX(Equipamentos!$L$2:$L$201,MATCH(B828,Equipamentos!$A$2:$A$201,0)),""))</f>
        <v/>
      </c>
      <c r="I828" s="57">
        <f>IF(OR(A828="",B828=""),"",IFERROR(INDEX(Equipamentos!$J$2:$J$201,MATCH(1,INDEX((Equipamentos!$A$2:$A$201=B828)*(Equipamentos!$P$2:$P$201=A828),0),0)),""))</f>
        <v/>
      </c>
    </row>
    <row r="829">
      <c r="A829" s="54" t="n"/>
      <c r="B829" s="55" t="n"/>
      <c r="C829" s="56">
        <f>IF(OR(A829="",B829=""),"",IF(COUNTIF(Equipamentos!$A$2:$A$201,B829)=0,"tag não encontrada",IFERROR(INDEX(Equipamentos!$H$2:$H$201,MATCH(1,INDEX((Equipamentos!$A$2:$A$201=B829)*(Equipamentos!$P$2:$P$201=A829),0),0)),"confira a data")))</f>
        <v/>
      </c>
      <c r="D829">
        <f>IF(B829="","",IFERROR(INDEX(Equipamentos!$C$2:$C$201,MATCH(B829,Equipamentos!$A$2:$A$201,0)),""))</f>
        <v/>
      </c>
      <c r="E829" s="55" t="n"/>
      <c r="F829" s="55" t="n"/>
      <c r="G829">
        <f>IF(B829="","",IFERROR(INDEX(Equipamentos!$N$2:$N$201,MATCH(B829,Equipamentos!$A$2:$A$201,0)),""))</f>
        <v/>
      </c>
      <c r="H829">
        <f>IF(B829="","",IFERROR(INDEX(Equipamentos!$L$2:$L$201,MATCH(B829,Equipamentos!$A$2:$A$201,0)),""))</f>
        <v/>
      </c>
      <c r="I829" s="57">
        <f>IF(OR(A829="",B829=""),"",IFERROR(INDEX(Equipamentos!$J$2:$J$201,MATCH(1,INDEX((Equipamentos!$A$2:$A$201=B829)*(Equipamentos!$P$2:$P$201=A829),0),0)),""))</f>
        <v/>
      </c>
    </row>
    <row r="830">
      <c r="A830" s="54" t="n"/>
      <c r="B830" s="55" t="n"/>
      <c r="C830" s="56">
        <f>IF(OR(A830="",B830=""),"",IF(COUNTIF(Equipamentos!$A$2:$A$201,B830)=0,"tag não encontrada",IFERROR(INDEX(Equipamentos!$H$2:$H$201,MATCH(1,INDEX((Equipamentos!$A$2:$A$201=B830)*(Equipamentos!$P$2:$P$201=A830),0),0)),"confira a data")))</f>
        <v/>
      </c>
      <c r="D830">
        <f>IF(B830="","",IFERROR(INDEX(Equipamentos!$C$2:$C$201,MATCH(B830,Equipamentos!$A$2:$A$201,0)),""))</f>
        <v/>
      </c>
      <c r="E830" s="55" t="n"/>
      <c r="F830" s="55" t="n"/>
      <c r="G830">
        <f>IF(B830="","",IFERROR(INDEX(Equipamentos!$N$2:$N$201,MATCH(B830,Equipamentos!$A$2:$A$201,0)),""))</f>
        <v/>
      </c>
      <c r="H830">
        <f>IF(B830="","",IFERROR(INDEX(Equipamentos!$L$2:$L$201,MATCH(B830,Equipamentos!$A$2:$A$201,0)),""))</f>
        <v/>
      </c>
      <c r="I830" s="57">
        <f>IF(OR(A830="",B830=""),"",IFERROR(INDEX(Equipamentos!$J$2:$J$201,MATCH(1,INDEX((Equipamentos!$A$2:$A$201=B830)*(Equipamentos!$P$2:$P$201=A830),0),0)),""))</f>
        <v/>
      </c>
    </row>
    <row r="831">
      <c r="A831" s="54" t="n"/>
      <c r="B831" s="55" t="n"/>
      <c r="C831" s="56">
        <f>IF(OR(A831="",B831=""),"",IF(COUNTIF(Equipamentos!$A$2:$A$201,B831)=0,"tag não encontrada",IFERROR(INDEX(Equipamentos!$H$2:$H$201,MATCH(1,INDEX((Equipamentos!$A$2:$A$201=B831)*(Equipamentos!$P$2:$P$201=A831),0),0)),"confira a data")))</f>
        <v/>
      </c>
      <c r="D831">
        <f>IF(B831="","",IFERROR(INDEX(Equipamentos!$C$2:$C$201,MATCH(B831,Equipamentos!$A$2:$A$201,0)),""))</f>
        <v/>
      </c>
      <c r="E831" s="55" t="n"/>
      <c r="F831" s="55" t="n"/>
      <c r="G831">
        <f>IF(B831="","",IFERROR(INDEX(Equipamentos!$N$2:$N$201,MATCH(B831,Equipamentos!$A$2:$A$201,0)),""))</f>
        <v/>
      </c>
      <c r="H831">
        <f>IF(B831="","",IFERROR(INDEX(Equipamentos!$L$2:$L$201,MATCH(B831,Equipamentos!$A$2:$A$201,0)),""))</f>
        <v/>
      </c>
      <c r="I831" s="57">
        <f>IF(OR(A831="",B831=""),"",IFERROR(INDEX(Equipamentos!$J$2:$J$201,MATCH(1,INDEX((Equipamentos!$A$2:$A$201=B831)*(Equipamentos!$P$2:$P$201=A831),0),0)),""))</f>
        <v/>
      </c>
    </row>
    <row r="832">
      <c r="A832" s="54" t="n"/>
      <c r="B832" s="55" t="n"/>
      <c r="C832" s="56">
        <f>IF(OR(A832="",B832=""),"",IF(COUNTIF(Equipamentos!$A$2:$A$201,B832)=0,"tag não encontrada",IFERROR(INDEX(Equipamentos!$H$2:$H$201,MATCH(1,INDEX((Equipamentos!$A$2:$A$201=B832)*(Equipamentos!$P$2:$P$201=A832),0),0)),"confira a data")))</f>
        <v/>
      </c>
      <c r="D832">
        <f>IF(B832="","",IFERROR(INDEX(Equipamentos!$C$2:$C$201,MATCH(B832,Equipamentos!$A$2:$A$201,0)),""))</f>
        <v/>
      </c>
      <c r="E832" s="55" t="n"/>
      <c r="F832" s="55" t="n"/>
      <c r="G832">
        <f>IF(B832="","",IFERROR(INDEX(Equipamentos!$N$2:$N$201,MATCH(B832,Equipamentos!$A$2:$A$201,0)),""))</f>
        <v/>
      </c>
      <c r="H832">
        <f>IF(B832="","",IFERROR(INDEX(Equipamentos!$L$2:$L$201,MATCH(B832,Equipamentos!$A$2:$A$201,0)),""))</f>
        <v/>
      </c>
      <c r="I832" s="57">
        <f>IF(OR(A832="",B832=""),"",IFERROR(INDEX(Equipamentos!$J$2:$J$201,MATCH(1,INDEX((Equipamentos!$A$2:$A$201=B832)*(Equipamentos!$P$2:$P$201=A832),0),0)),""))</f>
        <v/>
      </c>
    </row>
    <row r="833">
      <c r="A833" s="54" t="n"/>
      <c r="B833" s="55" t="n"/>
      <c r="C833" s="56">
        <f>IF(OR(A833="",B833=""),"",IF(COUNTIF(Equipamentos!$A$2:$A$201,B833)=0,"tag não encontrada",IFERROR(INDEX(Equipamentos!$H$2:$H$201,MATCH(1,INDEX((Equipamentos!$A$2:$A$201=B833)*(Equipamentos!$P$2:$P$201=A833),0),0)),"confira a data")))</f>
        <v/>
      </c>
      <c r="D833">
        <f>IF(B833="","",IFERROR(INDEX(Equipamentos!$C$2:$C$201,MATCH(B833,Equipamentos!$A$2:$A$201,0)),""))</f>
        <v/>
      </c>
      <c r="E833" s="55" t="n"/>
      <c r="F833" s="55" t="n"/>
      <c r="G833">
        <f>IF(B833="","",IFERROR(INDEX(Equipamentos!$N$2:$N$201,MATCH(B833,Equipamentos!$A$2:$A$201,0)),""))</f>
        <v/>
      </c>
      <c r="H833">
        <f>IF(B833="","",IFERROR(INDEX(Equipamentos!$L$2:$L$201,MATCH(B833,Equipamentos!$A$2:$A$201,0)),""))</f>
        <v/>
      </c>
      <c r="I833" s="57">
        <f>IF(OR(A833="",B833=""),"",IFERROR(INDEX(Equipamentos!$J$2:$J$201,MATCH(1,INDEX((Equipamentos!$A$2:$A$201=B833)*(Equipamentos!$P$2:$P$201=A833),0),0)),""))</f>
        <v/>
      </c>
    </row>
    <row r="834">
      <c r="A834" s="54" t="n"/>
      <c r="B834" s="55" t="n"/>
      <c r="C834" s="56">
        <f>IF(OR(A834="",B834=""),"",IF(COUNTIF(Equipamentos!$A$2:$A$201,B834)=0,"tag não encontrada",IFERROR(INDEX(Equipamentos!$H$2:$H$201,MATCH(1,INDEX((Equipamentos!$A$2:$A$201=B834)*(Equipamentos!$P$2:$P$201=A834),0),0)),"confira a data")))</f>
        <v/>
      </c>
      <c r="D834">
        <f>IF(B834="","",IFERROR(INDEX(Equipamentos!$C$2:$C$201,MATCH(B834,Equipamentos!$A$2:$A$201,0)),""))</f>
        <v/>
      </c>
      <c r="E834" s="55" t="n"/>
      <c r="F834" s="55" t="n"/>
      <c r="G834">
        <f>IF(B834="","",IFERROR(INDEX(Equipamentos!$N$2:$N$201,MATCH(B834,Equipamentos!$A$2:$A$201,0)),""))</f>
        <v/>
      </c>
      <c r="H834">
        <f>IF(B834="","",IFERROR(INDEX(Equipamentos!$L$2:$L$201,MATCH(B834,Equipamentos!$A$2:$A$201,0)),""))</f>
        <v/>
      </c>
      <c r="I834" s="57">
        <f>IF(OR(A834="",B834=""),"",IFERROR(INDEX(Equipamentos!$J$2:$J$201,MATCH(1,INDEX((Equipamentos!$A$2:$A$201=B834)*(Equipamentos!$P$2:$P$201=A834),0),0)),""))</f>
        <v/>
      </c>
    </row>
    <row r="835">
      <c r="A835" s="54" t="n"/>
      <c r="B835" s="55" t="n"/>
      <c r="C835" s="56">
        <f>IF(OR(A835="",B835=""),"",IF(COUNTIF(Equipamentos!$A$2:$A$201,B835)=0,"tag não encontrada",IFERROR(INDEX(Equipamentos!$H$2:$H$201,MATCH(1,INDEX((Equipamentos!$A$2:$A$201=B835)*(Equipamentos!$P$2:$P$201=A835),0),0)),"confira a data")))</f>
        <v/>
      </c>
      <c r="D835">
        <f>IF(B835="","",IFERROR(INDEX(Equipamentos!$C$2:$C$201,MATCH(B835,Equipamentos!$A$2:$A$201,0)),""))</f>
        <v/>
      </c>
      <c r="E835" s="55" t="n"/>
      <c r="F835" s="55" t="n"/>
      <c r="G835">
        <f>IF(B835="","",IFERROR(INDEX(Equipamentos!$N$2:$N$201,MATCH(B835,Equipamentos!$A$2:$A$201,0)),""))</f>
        <v/>
      </c>
      <c r="H835">
        <f>IF(B835="","",IFERROR(INDEX(Equipamentos!$L$2:$L$201,MATCH(B835,Equipamentos!$A$2:$A$201,0)),""))</f>
        <v/>
      </c>
      <c r="I835" s="57">
        <f>IF(OR(A835="",B835=""),"",IFERROR(INDEX(Equipamentos!$J$2:$J$201,MATCH(1,INDEX((Equipamentos!$A$2:$A$201=B835)*(Equipamentos!$P$2:$P$201=A835),0),0)),""))</f>
        <v/>
      </c>
    </row>
    <row r="836">
      <c r="A836" s="54" t="n"/>
      <c r="B836" s="55" t="n"/>
      <c r="C836" s="56">
        <f>IF(OR(A836="",B836=""),"",IF(COUNTIF(Equipamentos!$A$2:$A$201,B836)=0,"tag não encontrada",IFERROR(INDEX(Equipamentos!$H$2:$H$201,MATCH(1,INDEX((Equipamentos!$A$2:$A$201=B836)*(Equipamentos!$P$2:$P$201=A836),0),0)),"confira a data")))</f>
        <v/>
      </c>
      <c r="D836">
        <f>IF(B836="","",IFERROR(INDEX(Equipamentos!$C$2:$C$201,MATCH(B836,Equipamentos!$A$2:$A$201,0)),""))</f>
        <v/>
      </c>
      <c r="E836" s="55" t="n"/>
      <c r="F836" s="55" t="n"/>
      <c r="G836">
        <f>IF(B836="","",IFERROR(INDEX(Equipamentos!$N$2:$N$201,MATCH(B836,Equipamentos!$A$2:$A$201,0)),""))</f>
        <v/>
      </c>
      <c r="H836">
        <f>IF(B836="","",IFERROR(INDEX(Equipamentos!$L$2:$L$201,MATCH(B836,Equipamentos!$A$2:$A$201,0)),""))</f>
        <v/>
      </c>
      <c r="I836" s="57">
        <f>IF(OR(A836="",B836=""),"",IFERROR(INDEX(Equipamentos!$J$2:$J$201,MATCH(1,INDEX((Equipamentos!$A$2:$A$201=B836)*(Equipamentos!$P$2:$P$201=A836),0),0)),""))</f>
        <v/>
      </c>
    </row>
    <row r="837">
      <c r="A837" s="54" t="n"/>
      <c r="B837" s="55" t="n"/>
      <c r="C837" s="56">
        <f>IF(OR(A837="",B837=""),"",IF(COUNTIF(Equipamentos!$A$2:$A$201,B837)=0,"tag não encontrada",IFERROR(INDEX(Equipamentos!$H$2:$H$201,MATCH(1,INDEX((Equipamentos!$A$2:$A$201=B837)*(Equipamentos!$P$2:$P$201=A837),0),0)),"confira a data")))</f>
        <v/>
      </c>
      <c r="D837">
        <f>IF(B837="","",IFERROR(INDEX(Equipamentos!$C$2:$C$201,MATCH(B837,Equipamentos!$A$2:$A$201,0)),""))</f>
        <v/>
      </c>
      <c r="E837" s="55" t="n"/>
      <c r="F837" s="55" t="n"/>
      <c r="G837">
        <f>IF(B837="","",IFERROR(INDEX(Equipamentos!$N$2:$N$201,MATCH(B837,Equipamentos!$A$2:$A$201,0)),""))</f>
        <v/>
      </c>
      <c r="H837">
        <f>IF(B837="","",IFERROR(INDEX(Equipamentos!$L$2:$L$201,MATCH(B837,Equipamentos!$A$2:$A$201,0)),""))</f>
        <v/>
      </c>
      <c r="I837" s="57">
        <f>IF(OR(A837="",B837=""),"",IFERROR(INDEX(Equipamentos!$J$2:$J$201,MATCH(1,INDEX((Equipamentos!$A$2:$A$201=B837)*(Equipamentos!$P$2:$P$201=A837),0),0)),""))</f>
        <v/>
      </c>
    </row>
    <row r="838">
      <c r="A838" s="54" t="n"/>
      <c r="B838" s="55" t="n"/>
      <c r="C838" s="56">
        <f>IF(OR(A838="",B838=""),"",IF(COUNTIF(Equipamentos!$A$2:$A$201,B838)=0,"tag não encontrada",IFERROR(INDEX(Equipamentos!$H$2:$H$201,MATCH(1,INDEX((Equipamentos!$A$2:$A$201=B838)*(Equipamentos!$P$2:$P$201=A838),0),0)),"confira a data")))</f>
        <v/>
      </c>
      <c r="D838">
        <f>IF(B838="","",IFERROR(INDEX(Equipamentos!$C$2:$C$201,MATCH(B838,Equipamentos!$A$2:$A$201,0)),""))</f>
        <v/>
      </c>
      <c r="E838" s="55" t="n"/>
      <c r="F838" s="55" t="n"/>
      <c r="G838">
        <f>IF(B838="","",IFERROR(INDEX(Equipamentos!$N$2:$N$201,MATCH(B838,Equipamentos!$A$2:$A$201,0)),""))</f>
        <v/>
      </c>
      <c r="H838">
        <f>IF(B838="","",IFERROR(INDEX(Equipamentos!$L$2:$L$201,MATCH(B838,Equipamentos!$A$2:$A$201,0)),""))</f>
        <v/>
      </c>
      <c r="I838" s="57">
        <f>IF(OR(A838="",B838=""),"",IFERROR(INDEX(Equipamentos!$J$2:$J$201,MATCH(1,INDEX((Equipamentos!$A$2:$A$201=B838)*(Equipamentos!$P$2:$P$201=A838),0),0)),""))</f>
        <v/>
      </c>
    </row>
    <row r="839">
      <c r="A839" s="54" t="n"/>
      <c r="B839" s="55" t="n"/>
      <c r="C839" s="56">
        <f>IF(OR(A839="",B839=""),"",IF(COUNTIF(Equipamentos!$A$2:$A$201,B839)=0,"tag não encontrada",IFERROR(INDEX(Equipamentos!$H$2:$H$201,MATCH(1,INDEX((Equipamentos!$A$2:$A$201=B839)*(Equipamentos!$P$2:$P$201=A839),0),0)),"confira a data")))</f>
        <v/>
      </c>
      <c r="D839">
        <f>IF(B839="","",IFERROR(INDEX(Equipamentos!$C$2:$C$201,MATCH(B839,Equipamentos!$A$2:$A$201,0)),""))</f>
        <v/>
      </c>
      <c r="E839" s="55" t="n"/>
      <c r="F839" s="55" t="n"/>
      <c r="G839">
        <f>IF(B839="","",IFERROR(INDEX(Equipamentos!$N$2:$N$201,MATCH(B839,Equipamentos!$A$2:$A$201,0)),""))</f>
        <v/>
      </c>
      <c r="H839">
        <f>IF(B839="","",IFERROR(INDEX(Equipamentos!$L$2:$L$201,MATCH(B839,Equipamentos!$A$2:$A$201,0)),""))</f>
        <v/>
      </c>
      <c r="I839" s="57">
        <f>IF(OR(A839="",B839=""),"",IFERROR(INDEX(Equipamentos!$J$2:$J$201,MATCH(1,INDEX((Equipamentos!$A$2:$A$201=B839)*(Equipamentos!$P$2:$P$201=A839),0),0)),""))</f>
        <v/>
      </c>
    </row>
    <row r="840">
      <c r="A840" s="54" t="n"/>
      <c r="B840" s="55" t="n"/>
      <c r="C840" s="56">
        <f>IF(OR(A840="",B840=""),"",IF(COUNTIF(Equipamentos!$A$2:$A$201,B840)=0,"tag não encontrada",IFERROR(INDEX(Equipamentos!$H$2:$H$201,MATCH(1,INDEX((Equipamentos!$A$2:$A$201=B840)*(Equipamentos!$P$2:$P$201=A840),0),0)),"confira a data")))</f>
        <v/>
      </c>
      <c r="D840">
        <f>IF(B840="","",IFERROR(INDEX(Equipamentos!$C$2:$C$201,MATCH(B840,Equipamentos!$A$2:$A$201,0)),""))</f>
        <v/>
      </c>
      <c r="E840" s="55" t="n"/>
      <c r="F840" s="55" t="n"/>
      <c r="G840">
        <f>IF(B840="","",IFERROR(INDEX(Equipamentos!$N$2:$N$201,MATCH(B840,Equipamentos!$A$2:$A$201,0)),""))</f>
        <v/>
      </c>
      <c r="H840">
        <f>IF(B840="","",IFERROR(INDEX(Equipamentos!$L$2:$L$201,MATCH(B840,Equipamentos!$A$2:$A$201,0)),""))</f>
        <v/>
      </c>
      <c r="I840" s="57">
        <f>IF(OR(A840="",B840=""),"",IFERROR(INDEX(Equipamentos!$J$2:$J$201,MATCH(1,INDEX((Equipamentos!$A$2:$A$201=B840)*(Equipamentos!$P$2:$P$201=A840),0),0)),""))</f>
        <v/>
      </c>
    </row>
    <row r="841">
      <c r="A841" s="54" t="n"/>
      <c r="B841" s="55" t="n"/>
      <c r="C841" s="56">
        <f>IF(OR(A841="",B841=""),"",IF(COUNTIF(Equipamentos!$A$2:$A$201,B841)=0,"tag não encontrada",IFERROR(INDEX(Equipamentos!$H$2:$H$201,MATCH(1,INDEX((Equipamentos!$A$2:$A$201=B841)*(Equipamentos!$P$2:$P$201=A841),0),0)),"confira a data")))</f>
        <v/>
      </c>
      <c r="D841">
        <f>IF(B841="","",IFERROR(INDEX(Equipamentos!$C$2:$C$201,MATCH(B841,Equipamentos!$A$2:$A$201,0)),""))</f>
        <v/>
      </c>
      <c r="E841" s="55" t="n"/>
      <c r="F841" s="55" t="n"/>
      <c r="G841">
        <f>IF(B841="","",IFERROR(INDEX(Equipamentos!$N$2:$N$201,MATCH(B841,Equipamentos!$A$2:$A$201,0)),""))</f>
        <v/>
      </c>
      <c r="H841">
        <f>IF(B841="","",IFERROR(INDEX(Equipamentos!$L$2:$L$201,MATCH(B841,Equipamentos!$A$2:$A$201,0)),""))</f>
        <v/>
      </c>
      <c r="I841" s="57">
        <f>IF(OR(A841="",B841=""),"",IFERROR(INDEX(Equipamentos!$J$2:$J$201,MATCH(1,INDEX((Equipamentos!$A$2:$A$201=B841)*(Equipamentos!$P$2:$P$201=A841),0),0)),""))</f>
        <v/>
      </c>
    </row>
    <row r="842">
      <c r="A842" s="54" t="n"/>
      <c r="B842" s="55" t="n"/>
      <c r="C842" s="56">
        <f>IF(OR(A842="",B842=""),"",IF(COUNTIF(Equipamentos!$A$2:$A$201,B842)=0,"tag não encontrada",IFERROR(INDEX(Equipamentos!$H$2:$H$201,MATCH(1,INDEX((Equipamentos!$A$2:$A$201=B842)*(Equipamentos!$P$2:$P$201=A842),0),0)),"confira a data")))</f>
        <v/>
      </c>
      <c r="D842">
        <f>IF(B842="","",IFERROR(INDEX(Equipamentos!$C$2:$C$201,MATCH(B842,Equipamentos!$A$2:$A$201,0)),""))</f>
        <v/>
      </c>
      <c r="E842" s="55" t="n"/>
      <c r="F842" s="55" t="n"/>
      <c r="G842">
        <f>IF(B842="","",IFERROR(INDEX(Equipamentos!$N$2:$N$201,MATCH(B842,Equipamentos!$A$2:$A$201,0)),""))</f>
        <v/>
      </c>
      <c r="H842">
        <f>IF(B842="","",IFERROR(INDEX(Equipamentos!$L$2:$L$201,MATCH(B842,Equipamentos!$A$2:$A$201,0)),""))</f>
        <v/>
      </c>
      <c r="I842" s="57">
        <f>IF(OR(A842="",B842=""),"",IFERROR(INDEX(Equipamentos!$J$2:$J$201,MATCH(1,INDEX((Equipamentos!$A$2:$A$201=B842)*(Equipamentos!$P$2:$P$201=A842),0),0)),""))</f>
        <v/>
      </c>
    </row>
    <row r="843">
      <c r="A843" s="54" t="n"/>
      <c r="B843" s="55" t="n"/>
      <c r="C843" s="56">
        <f>IF(OR(A843="",B843=""),"",IF(COUNTIF(Equipamentos!$A$2:$A$201,B843)=0,"tag não encontrada",IFERROR(INDEX(Equipamentos!$H$2:$H$201,MATCH(1,INDEX((Equipamentos!$A$2:$A$201=B843)*(Equipamentos!$P$2:$P$201=A843),0),0)),"confira a data")))</f>
        <v/>
      </c>
      <c r="D843">
        <f>IF(B843="","",IFERROR(INDEX(Equipamentos!$C$2:$C$201,MATCH(B843,Equipamentos!$A$2:$A$201,0)),""))</f>
        <v/>
      </c>
      <c r="E843" s="55" t="n"/>
      <c r="F843" s="55" t="n"/>
      <c r="G843">
        <f>IF(B843="","",IFERROR(INDEX(Equipamentos!$N$2:$N$201,MATCH(B843,Equipamentos!$A$2:$A$201,0)),""))</f>
        <v/>
      </c>
      <c r="H843">
        <f>IF(B843="","",IFERROR(INDEX(Equipamentos!$L$2:$L$201,MATCH(B843,Equipamentos!$A$2:$A$201,0)),""))</f>
        <v/>
      </c>
      <c r="I843" s="57">
        <f>IF(OR(A843="",B843=""),"",IFERROR(INDEX(Equipamentos!$J$2:$J$201,MATCH(1,INDEX((Equipamentos!$A$2:$A$201=B843)*(Equipamentos!$P$2:$P$201=A843),0),0)),""))</f>
        <v/>
      </c>
    </row>
    <row r="844">
      <c r="A844" s="54" t="n"/>
      <c r="B844" s="55" t="n"/>
      <c r="C844" s="56">
        <f>IF(OR(A844="",B844=""),"",IF(COUNTIF(Equipamentos!$A$2:$A$201,B844)=0,"tag não encontrada",IFERROR(INDEX(Equipamentos!$H$2:$H$201,MATCH(1,INDEX((Equipamentos!$A$2:$A$201=B844)*(Equipamentos!$P$2:$P$201=A844),0),0)),"confira a data")))</f>
        <v/>
      </c>
      <c r="D844">
        <f>IF(B844="","",IFERROR(INDEX(Equipamentos!$C$2:$C$201,MATCH(B844,Equipamentos!$A$2:$A$201,0)),""))</f>
        <v/>
      </c>
      <c r="E844" s="55" t="n"/>
      <c r="F844" s="55" t="n"/>
      <c r="G844">
        <f>IF(B844="","",IFERROR(INDEX(Equipamentos!$N$2:$N$201,MATCH(B844,Equipamentos!$A$2:$A$201,0)),""))</f>
        <v/>
      </c>
      <c r="H844">
        <f>IF(B844="","",IFERROR(INDEX(Equipamentos!$L$2:$L$201,MATCH(B844,Equipamentos!$A$2:$A$201,0)),""))</f>
        <v/>
      </c>
      <c r="I844" s="57">
        <f>IF(OR(A844="",B844=""),"",IFERROR(INDEX(Equipamentos!$J$2:$J$201,MATCH(1,INDEX((Equipamentos!$A$2:$A$201=B844)*(Equipamentos!$P$2:$P$201=A844),0),0)),""))</f>
        <v/>
      </c>
    </row>
    <row r="845">
      <c r="A845" s="54" t="n"/>
      <c r="B845" s="55" t="n"/>
      <c r="C845" s="56">
        <f>IF(OR(A845="",B845=""),"",IF(COUNTIF(Equipamentos!$A$2:$A$201,B845)=0,"tag não encontrada",IFERROR(INDEX(Equipamentos!$H$2:$H$201,MATCH(1,INDEX((Equipamentos!$A$2:$A$201=B845)*(Equipamentos!$P$2:$P$201=A845),0),0)),"confira a data")))</f>
        <v/>
      </c>
      <c r="D845">
        <f>IF(B845="","",IFERROR(INDEX(Equipamentos!$C$2:$C$201,MATCH(B845,Equipamentos!$A$2:$A$201,0)),""))</f>
        <v/>
      </c>
      <c r="E845" s="55" t="n"/>
      <c r="F845" s="55" t="n"/>
      <c r="G845">
        <f>IF(B845="","",IFERROR(INDEX(Equipamentos!$N$2:$N$201,MATCH(B845,Equipamentos!$A$2:$A$201,0)),""))</f>
        <v/>
      </c>
      <c r="H845">
        <f>IF(B845="","",IFERROR(INDEX(Equipamentos!$L$2:$L$201,MATCH(B845,Equipamentos!$A$2:$A$201,0)),""))</f>
        <v/>
      </c>
      <c r="I845" s="57">
        <f>IF(OR(A845="",B845=""),"",IFERROR(INDEX(Equipamentos!$J$2:$J$201,MATCH(1,INDEX((Equipamentos!$A$2:$A$201=B845)*(Equipamentos!$P$2:$P$201=A845),0),0)),""))</f>
        <v/>
      </c>
    </row>
    <row r="846">
      <c r="A846" s="54" t="n"/>
      <c r="B846" s="55" t="n"/>
      <c r="C846" s="56">
        <f>IF(OR(A846="",B846=""),"",IF(COUNTIF(Equipamentos!$A$2:$A$201,B846)=0,"tag não encontrada",IFERROR(INDEX(Equipamentos!$H$2:$H$201,MATCH(1,INDEX((Equipamentos!$A$2:$A$201=B846)*(Equipamentos!$P$2:$P$201=A846),0),0)),"confira a data")))</f>
        <v/>
      </c>
      <c r="D846">
        <f>IF(B846="","",IFERROR(INDEX(Equipamentos!$C$2:$C$201,MATCH(B846,Equipamentos!$A$2:$A$201,0)),""))</f>
        <v/>
      </c>
      <c r="E846" s="55" t="n"/>
      <c r="F846" s="55" t="n"/>
      <c r="G846">
        <f>IF(B846="","",IFERROR(INDEX(Equipamentos!$N$2:$N$201,MATCH(B846,Equipamentos!$A$2:$A$201,0)),""))</f>
        <v/>
      </c>
      <c r="H846">
        <f>IF(B846="","",IFERROR(INDEX(Equipamentos!$L$2:$L$201,MATCH(B846,Equipamentos!$A$2:$A$201,0)),""))</f>
        <v/>
      </c>
      <c r="I846" s="57">
        <f>IF(OR(A846="",B846=""),"",IFERROR(INDEX(Equipamentos!$J$2:$J$201,MATCH(1,INDEX((Equipamentos!$A$2:$A$201=B846)*(Equipamentos!$P$2:$P$201=A846),0),0)),""))</f>
        <v/>
      </c>
    </row>
    <row r="847">
      <c r="A847" s="54" t="n"/>
      <c r="B847" s="55" t="n"/>
      <c r="C847" s="56">
        <f>IF(OR(A847="",B847=""),"",IF(COUNTIF(Equipamentos!$A$2:$A$201,B847)=0,"tag não encontrada",IFERROR(INDEX(Equipamentos!$H$2:$H$201,MATCH(1,INDEX((Equipamentos!$A$2:$A$201=B847)*(Equipamentos!$P$2:$P$201=A847),0),0)),"confira a data")))</f>
        <v/>
      </c>
      <c r="D847">
        <f>IF(B847="","",IFERROR(INDEX(Equipamentos!$C$2:$C$201,MATCH(B847,Equipamentos!$A$2:$A$201,0)),""))</f>
        <v/>
      </c>
      <c r="E847" s="55" t="n"/>
      <c r="F847" s="55" t="n"/>
      <c r="G847">
        <f>IF(B847="","",IFERROR(INDEX(Equipamentos!$N$2:$N$201,MATCH(B847,Equipamentos!$A$2:$A$201,0)),""))</f>
        <v/>
      </c>
      <c r="H847">
        <f>IF(B847="","",IFERROR(INDEX(Equipamentos!$L$2:$L$201,MATCH(B847,Equipamentos!$A$2:$A$201,0)),""))</f>
        <v/>
      </c>
      <c r="I847" s="57">
        <f>IF(OR(A847="",B847=""),"",IFERROR(INDEX(Equipamentos!$J$2:$J$201,MATCH(1,INDEX((Equipamentos!$A$2:$A$201=B847)*(Equipamentos!$P$2:$P$201=A847),0),0)),""))</f>
        <v/>
      </c>
    </row>
    <row r="848">
      <c r="A848" s="54" t="n"/>
      <c r="B848" s="55" t="n"/>
      <c r="C848" s="56">
        <f>IF(OR(A848="",B848=""),"",IF(COUNTIF(Equipamentos!$A$2:$A$201,B848)=0,"tag não encontrada",IFERROR(INDEX(Equipamentos!$H$2:$H$201,MATCH(1,INDEX((Equipamentos!$A$2:$A$201=B848)*(Equipamentos!$P$2:$P$201=A848),0),0)),"confira a data")))</f>
        <v/>
      </c>
      <c r="D848">
        <f>IF(B848="","",IFERROR(INDEX(Equipamentos!$C$2:$C$201,MATCH(B848,Equipamentos!$A$2:$A$201,0)),""))</f>
        <v/>
      </c>
      <c r="E848" s="55" t="n"/>
      <c r="F848" s="55" t="n"/>
      <c r="G848">
        <f>IF(B848="","",IFERROR(INDEX(Equipamentos!$N$2:$N$201,MATCH(B848,Equipamentos!$A$2:$A$201,0)),""))</f>
        <v/>
      </c>
      <c r="H848">
        <f>IF(B848="","",IFERROR(INDEX(Equipamentos!$L$2:$L$201,MATCH(B848,Equipamentos!$A$2:$A$201,0)),""))</f>
        <v/>
      </c>
      <c r="I848" s="57">
        <f>IF(OR(A848="",B848=""),"",IFERROR(INDEX(Equipamentos!$J$2:$J$201,MATCH(1,INDEX((Equipamentos!$A$2:$A$201=B848)*(Equipamentos!$P$2:$P$201=A848),0),0)),""))</f>
        <v/>
      </c>
    </row>
    <row r="849">
      <c r="A849" s="54" t="n"/>
      <c r="B849" s="55" t="n"/>
      <c r="C849" s="56">
        <f>IF(OR(A849="",B849=""),"",IF(COUNTIF(Equipamentos!$A$2:$A$201,B849)=0,"tag não encontrada",IFERROR(INDEX(Equipamentos!$H$2:$H$201,MATCH(1,INDEX((Equipamentos!$A$2:$A$201=B849)*(Equipamentos!$P$2:$P$201=A849),0),0)),"confira a data")))</f>
        <v/>
      </c>
      <c r="D849">
        <f>IF(B849="","",IFERROR(INDEX(Equipamentos!$C$2:$C$201,MATCH(B849,Equipamentos!$A$2:$A$201,0)),""))</f>
        <v/>
      </c>
      <c r="E849" s="55" t="n"/>
      <c r="F849" s="55" t="n"/>
      <c r="G849">
        <f>IF(B849="","",IFERROR(INDEX(Equipamentos!$N$2:$N$201,MATCH(B849,Equipamentos!$A$2:$A$201,0)),""))</f>
        <v/>
      </c>
      <c r="H849">
        <f>IF(B849="","",IFERROR(INDEX(Equipamentos!$L$2:$L$201,MATCH(B849,Equipamentos!$A$2:$A$201,0)),""))</f>
        <v/>
      </c>
      <c r="I849" s="57">
        <f>IF(OR(A849="",B849=""),"",IFERROR(INDEX(Equipamentos!$J$2:$J$201,MATCH(1,INDEX((Equipamentos!$A$2:$A$201=B849)*(Equipamentos!$P$2:$P$201=A849),0),0)),""))</f>
        <v/>
      </c>
    </row>
    <row r="850">
      <c r="A850" s="54" t="n"/>
      <c r="B850" s="55" t="n"/>
      <c r="C850" s="56">
        <f>IF(OR(A850="",B850=""),"",IF(COUNTIF(Equipamentos!$A$2:$A$201,B850)=0,"tag não encontrada",IFERROR(INDEX(Equipamentos!$H$2:$H$201,MATCH(1,INDEX((Equipamentos!$A$2:$A$201=B850)*(Equipamentos!$P$2:$P$201=A850),0),0)),"confira a data")))</f>
        <v/>
      </c>
      <c r="D850">
        <f>IF(B850="","",IFERROR(INDEX(Equipamentos!$C$2:$C$201,MATCH(B850,Equipamentos!$A$2:$A$201,0)),""))</f>
        <v/>
      </c>
      <c r="E850" s="55" t="n"/>
      <c r="F850" s="55" t="n"/>
      <c r="G850">
        <f>IF(B850="","",IFERROR(INDEX(Equipamentos!$N$2:$N$201,MATCH(B850,Equipamentos!$A$2:$A$201,0)),""))</f>
        <v/>
      </c>
      <c r="H850">
        <f>IF(B850="","",IFERROR(INDEX(Equipamentos!$L$2:$L$201,MATCH(B850,Equipamentos!$A$2:$A$201,0)),""))</f>
        <v/>
      </c>
      <c r="I850" s="57">
        <f>IF(OR(A850="",B850=""),"",IFERROR(INDEX(Equipamentos!$J$2:$J$201,MATCH(1,INDEX((Equipamentos!$A$2:$A$201=B850)*(Equipamentos!$P$2:$P$201=A850),0),0)),""))</f>
        <v/>
      </c>
    </row>
    <row r="851">
      <c r="A851" s="54" t="n"/>
      <c r="B851" s="55" t="n"/>
      <c r="C851" s="56">
        <f>IF(OR(A851="",B851=""),"",IF(COUNTIF(Equipamentos!$A$2:$A$201,B851)=0,"tag não encontrada",IFERROR(INDEX(Equipamentos!$H$2:$H$201,MATCH(1,INDEX((Equipamentos!$A$2:$A$201=B851)*(Equipamentos!$P$2:$P$201=A851),0),0)),"confira a data")))</f>
        <v/>
      </c>
      <c r="D851">
        <f>IF(B851="","",IFERROR(INDEX(Equipamentos!$C$2:$C$201,MATCH(B851,Equipamentos!$A$2:$A$201,0)),""))</f>
        <v/>
      </c>
      <c r="E851" s="55" t="n"/>
      <c r="F851" s="55" t="n"/>
      <c r="G851">
        <f>IF(B851="","",IFERROR(INDEX(Equipamentos!$N$2:$N$201,MATCH(B851,Equipamentos!$A$2:$A$201,0)),""))</f>
        <v/>
      </c>
      <c r="H851">
        <f>IF(B851="","",IFERROR(INDEX(Equipamentos!$L$2:$L$201,MATCH(B851,Equipamentos!$A$2:$A$201,0)),""))</f>
        <v/>
      </c>
      <c r="I851" s="57">
        <f>IF(OR(A851="",B851=""),"",IFERROR(INDEX(Equipamentos!$J$2:$J$201,MATCH(1,INDEX((Equipamentos!$A$2:$A$201=B851)*(Equipamentos!$P$2:$P$201=A851),0),0)),""))</f>
        <v/>
      </c>
    </row>
    <row r="852">
      <c r="A852" s="54" t="n"/>
      <c r="B852" s="55" t="n"/>
      <c r="C852" s="56">
        <f>IF(OR(A852="",B852=""),"",IF(COUNTIF(Equipamentos!$A$2:$A$201,B852)=0,"tag não encontrada",IFERROR(INDEX(Equipamentos!$H$2:$H$201,MATCH(1,INDEX((Equipamentos!$A$2:$A$201=B852)*(Equipamentos!$P$2:$P$201=A852),0),0)),"confira a data")))</f>
        <v/>
      </c>
      <c r="D852">
        <f>IF(B852="","",IFERROR(INDEX(Equipamentos!$C$2:$C$201,MATCH(B852,Equipamentos!$A$2:$A$201,0)),""))</f>
        <v/>
      </c>
      <c r="E852" s="55" t="n"/>
      <c r="F852" s="55" t="n"/>
      <c r="G852">
        <f>IF(B852="","",IFERROR(INDEX(Equipamentos!$N$2:$N$201,MATCH(B852,Equipamentos!$A$2:$A$201,0)),""))</f>
        <v/>
      </c>
      <c r="H852">
        <f>IF(B852="","",IFERROR(INDEX(Equipamentos!$L$2:$L$201,MATCH(B852,Equipamentos!$A$2:$A$201,0)),""))</f>
        <v/>
      </c>
      <c r="I852" s="57">
        <f>IF(OR(A852="",B852=""),"",IFERROR(INDEX(Equipamentos!$J$2:$J$201,MATCH(1,INDEX((Equipamentos!$A$2:$A$201=B852)*(Equipamentos!$P$2:$P$201=A852),0),0)),""))</f>
        <v/>
      </c>
    </row>
    <row r="853">
      <c r="A853" s="54" t="n"/>
      <c r="B853" s="55" t="n"/>
      <c r="C853" s="56">
        <f>IF(OR(A853="",B853=""),"",IF(COUNTIF(Equipamentos!$A$2:$A$201,B853)=0,"tag não encontrada",IFERROR(INDEX(Equipamentos!$H$2:$H$201,MATCH(1,INDEX((Equipamentos!$A$2:$A$201=B853)*(Equipamentos!$P$2:$P$201=A853),0),0)),"confira a data")))</f>
        <v/>
      </c>
      <c r="D853">
        <f>IF(B853="","",IFERROR(INDEX(Equipamentos!$C$2:$C$201,MATCH(B853,Equipamentos!$A$2:$A$201,0)),""))</f>
        <v/>
      </c>
      <c r="E853" s="55" t="n"/>
      <c r="F853" s="55" t="n"/>
      <c r="G853">
        <f>IF(B853="","",IFERROR(INDEX(Equipamentos!$N$2:$N$201,MATCH(B853,Equipamentos!$A$2:$A$201,0)),""))</f>
        <v/>
      </c>
      <c r="H853">
        <f>IF(B853="","",IFERROR(INDEX(Equipamentos!$L$2:$L$201,MATCH(B853,Equipamentos!$A$2:$A$201,0)),""))</f>
        <v/>
      </c>
      <c r="I853" s="57">
        <f>IF(OR(A853="",B853=""),"",IFERROR(INDEX(Equipamentos!$J$2:$J$201,MATCH(1,INDEX((Equipamentos!$A$2:$A$201=B853)*(Equipamentos!$P$2:$P$201=A853),0),0)),""))</f>
        <v/>
      </c>
    </row>
    <row r="854">
      <c r="A854" s="54" t="n"/>
      <c r="B854" s="55" t="n"/>
      <c r="C854" s="56">
        <f>IF(OR(A854="",B854=""),"",IF(COUNTIF(Equipamentos!$A$2:$A$201,B854)=0,"tag não encontrada",IFERROR(INDEX(Equipamentos!$H$2:$H$201,MATCH(1,INDEX((Equipamentos!$A$2:$A$201=B854)*(Equipamentos!$P$2:$P$201=A854),0),0)),"confira a data")))</f>
        <v/>
      </c>
      <c r="D854">
        <f>IF(B854="","",IFERROR(INDEX(Equipamentos!$C$2:$C$201,MATCH(B854,Equipamentos!$A$2:$A$201,0)),""))</f>
        <v/>
      </c>
      <c r="E854" s="55" t="n"/>
      <c r="F854" s="55" t="n"/>
      <c r="G854">
        <f>IF(B854="","",IFERROR(INDEX(Equipamentos!$N$2:$N$201,MATCH(B854,Equipamentos!$A$2:$A$201,0)),""))</f>
        <v/>
      </c>
      <c r="H854">
        <f>IF(B854="","",IFERROR(INDEX(Equipamentos!$L$2:$L$201,MATCH(B854,Equipamentos!$A$2:$A$201,0)),""))</f>
        <v/>
      </c>
      <c r="I854" s="57">
        <f>IF(OR(A854="",B854=""),"",IFERROR(INDEX(Equipamentos!$J$2:$J$201,MATCH(1,INDEX((Equipamentos!$A$2:$A$201=B854)*(Equipamentos!$P$2:$P$201=A854),0),0)),""))</f>
        <v/>
      </c>
    </row>
    <row r="855">
      <c r="A855" s="54" t="n"/>
      <c r="B855" s="55" t="n"/>
      <c r="C855" s="56">
        <f>IF(OR(A855="",B855=""),"",IF(COUNTIF(Equipamentos!$A$2:$A$201,B855)=0,"tag não encontrada",IFERROR(INDEX(Equipamentos!$H$2:$H$201,MATCH(1,INDEX((Equipamentos!$A$2:$A$201=B855)*(Equipamentos!$P$2:$P$201=A855),0),0)),"confira a data")))</f>
        <v/>
      </c>
      <c r="D855">
        <f>IF(B855="","",IFERROR(INDEX(Equipamentos!$C$2:$C$201,MATCH(B855,Equipamentos!$A$2:$A$201,0)),""))</f>
        <v/>
      </c>
      <c r="E855" s="55" t="n"/>
      <c r="F855" s="55" t="n"/>
      <c r="G855">
        <f>IF(B855="","",IFERROR(INDEX(Equipamentos!$N$2:$N$201,MATCH(B855,Equipamentos!$A$2:$A$201,0)),""))</f>
        <v/>
      </c>
      <c r="H855">
        <f>IF(B855="","",IFERROR(INDEX(Equipamentos!$L$2:$L$201,MATCH(B855,Equipamentos!$A$2:$A$201,0)),""))</f>
        <v/>
      </c>
      <c r="I855" s="57">
        <f>IF(OR(A855="",B855=""),"",IFERROR(INDEX(Equipamentos!$J$2:$J$201,MATCH(1,INDEX((Equipamentos!$A$2:$A$201=B855)*(Equipamentos!$P$2:$P$201=A855),0),0)),""))</f>
        <v/>
      </c>
    </row>
    <row r="856">
      <c r="A856" s="54" t="n"/>
      <c r="B856" s="55" t="n"/>
      <c r="C856" s="56">
        <f>IF(OR(A856="",B856=""),"",IF(COUNTIF(Equipamentos!$A$2:$A$201,B856)=0,"tag não encontrada",IFERROR(INDEX(Equipamentos!$H$2:$H$201,MATCH(1,INDEX((Equipamentos!$A$2:$A$201=B856)*(Equipamentos!$P$2:$P$201=A856),0),0)),"confira a data")))</f>
        <v/>
      </c>
      <c r="D856">
        <f>IF(B856="","",IFERROR(INDEX(Equipamentos!$C$2:$C$201,MATCH(B856,Equipamentos!$A$2:$A$201,0)),""))</f>
        <v/>
      </c>
      <c r="E856" s="55" t="n"/>
      <c r="F856" s="55" t="n"/>
      <c r="G856">
        <f>IF(B856="","",IFERROR(INDEX(Equipamentos!$N$2:$N$201,MATCH(B856,Equipamentos!$A$2:$A$201,0)),""))</f>
        <v/>
      </c>
      <c r="H856">
        <f>IF(B856="","",IFERROR(INDEX(Equipamentos!$L$2:$L$201,MATCH(B856,Equipamentos!$A$2:$A$201,0)),""))</f>
        <v/>
      </c>
      <c r="I856" s="57">
        <f>IF(OR(A856="",B856=""),"",IFERROR(INDEX(Equipamentos!$J$2:$J$201,MATCH(1,INDEX((Equipamentos!$A$2:$A$201=B856)*(Equipamentos!$P$2:$P$201=A856),0),0)),""))</f>
        <v/>
      </c>
    </row>
    <row r="857">
      <c r="A857" s="54" t="n"/>
      <c r="B857" s="55" t="n"/>
      <c r="C857" s="56">
        <f>IF(OR(A857="",B857=""),"",IF(COUNTIF(Equipamentos!$A$2:$A$201,B857)=0,"tag não encontrada",IFERROR(INDEX(Equipamentos!$H$2:$H$201,MATCH(1,INDEX((Equipamentos!$A$2:$A$201=B857)*(Equipamentos!$P$2:$P$201=A857),0),0)),"confira a data")))</f>
        <v/>
      </c>
      <c r="D857">
        <f>IF(B857="","",IFERROR(INDEX(Equipamentos!$C$2:$C$201,MATCH(B857,Equipamentos!$A$2:$A$201,0)),""))</f>
        <v/>
      </c>
      <c r="E857" s="55" t="n"/>
      <c r="F857" s="55" t="n"/>
      <c r="G857">
        <f>IF(B857="","",IFERROR(INDEX(Equipamentos!$N$2:$N$201,MATCH(B857,Equipamentos!$A$2:$A$201,0)),""))</f>
        <v/>
      </c>
      <c r="H857">
        <f>IF(B857="","",IFERROR(INDEX(Equipamentos!$L$2:$L$201,MATCH(B857,Equipamentos!$A$2:$A$201,0)),""))</f>
        <v/>
      </c>
      <c r="I857" s="57">
        <f>IF(OR(A857="",B857=""),"",IFERROR(INDEX(Equipamentos!$J$2:$J$201,MATCH(1,INDEX((Equipamentos!$A$2:$A$201=B857)*(Equipamentos!$P$2:$P$201=A857),0),0)),""))</f>
        <v/>
      </c>
    </row>
    <row r="858">
      <c r="A858" s="54" t="n"/>
      <c r="B858" s="55" t="n"/>
      <c r="C858" s="56">
        <f>IF(OR(A858="",B858=""),"",IF(COUNTIF(Equipamentos!$A$2:$A$201,B858)=0,"tag não encontrada",IFERROR(INDEX(Equipamentos!$H$2:$H$201,MATCH(1,INDEX((Equipamentos!$A$2:$A$201=B858)*(Equipamentos!$P$2:$P$201=A858),0),0)),"confira a data")))</f>
        <v/>
      </c>
      <c r="D858">
        <f>IF(B858="","",IFERROR(INDEX(Equipamentos!$C$2:$C$201,MATCH(B858,Equipamentos!$A$2:$A$201,0)),""))</f>
        <v/>
      </c>
      <c r="E858" s="55" t="n"/>
      <c r="F858" s="55" t="n"/>
      <c r="G858">
        <f>IF(B858="","",IFERROR(INDEX(Equipamentos!$N$2:$N$201,MATCH(B858,Equipamentos!$A$2:$A$201,0)),""))</f>
        <v/>
      </c>
      <c r="H858">
        <f>IF(B858="","",IFERROR(INDEX(Equipamentos!$L$2:$L$201,MATCH(B858,Equipamentos!$A$2:$A$201,0)),""))</f>
        <v/>
      </c>
      <c r="I858" s="57">
        <f>IF(OR(A858="",B858=""),"",IFERROR(INDEX(Equipamentos!$J$2:$J$201,MATCH(1,INDEX((Equipamentos!$A$2:$A$201=B858)*(Equipamentos!$P$2:$P$201=A858),0),0)),""))</f>
        <v/>
      </c>
    </row>
    <row r="859">
      <c r="A859" s="54" t="n"/>
      <c r="B859" s="55" t="n"/>
      <c r="C859" s="56">
        <f>IF(OR(A859="",B859=""),"",IF(COUNTIF(Equipamentos!$A$2:$A$201,B859)=0,"tag não encontrada",IFERROR(INDEX(Equipamentos!$H$2:$H$201,MATCH(1,INDEX((Equipamentos!$A$2:$A$201=B859)*(Equipamentos!$P$2:$P$201=A859),0),0)),"confira a data")))</f>
        <v/>
      </c>
      <c r="D859">
        <f>IF(B859="","",IFERROR(INDEX(Equipamentos!$C$2:$C$201,MATCH(B859,Equipamentos!$A$2:$A$201,0)),""))</f>
        <v/>
      </c>
      <c r="E859" s="55" t="n"/>
      <c r="F859" s="55" t="n"/>
      <c r="G859">
        <f>IF(B859="","",IFERROR(INDEX(Equipamentos!$N$2:$N$201,MATCH(B859,Equipamentos!$A$2:$A$201,0)),""))</f>
        <v/>
      </c>
      <c r="H859">
        <f>IF(B859="","",IFERROR(INDEX(Equipamentos!$L$2:$L$201,MATCH(B859,Equipamentos!$A$2:$A$201,0)),""))</f>
        <v/>
      </c>
      <c r="I859" s="57">
        <f>IF(OR(A859="",B859=""),"",IFERROR(INDEX(Equipamentos!$J$2:$J$201,MATCH(1,INDEX((Equipamentos!$A$2:$A$201=B859)*(Equipamentos!$P$2:$P$201=A859),0),0)),""))</f>
        <v/>
      </c>
    </row>
    <row r="860">
      <c r="A860" s="54" t="n"/>
      <c r="B860" s="55" t="n"/>
      <c r="C860" s="56">
        <f>IF(OR(A860="",B860=""),"",IF(COUNTIF(Equipamentos!$A$2:$A$201,B860)=0,"tag não encontrada",IFERROR(INDEX(Equipamentos!$H$2:$H$201,MATCH(1,INDEX((Equipamentos!$A$2:$A$201=B860)*(Equipamentos!$P$2:$P$201=A860),0),0)),"confira a data")))</f>
        <v/>
      </c>
      <c r="D860">
        <f>IF(B860="","",IFERROR(INDEX(Equipamentos!$C$2:$C$201,MATCH(B860,Equipamentos!$A$2:$A$201,0)),""))</f>
        <v/>
      </c>
      <c r="E860" s="55" t="n"/>
      <c r="F860" s="55" t="n"/>
      <c r="G860">
        <f>IF(B860="","",IFERROR(INDEX(Equipamentos!$N$2:$N$201,MATCH(B860,Equipamentos!$A$2:$A$201,0)),""))</f>
        <v/>
      </c>
      <c r="H860">
        <f>IF(B860="","",IFERROR(INDEX(Equipamentos!$L$2:$L$201,MATCH(B860,Equipamentos!$A$2:$A$201,0)),""))</f>
        <v/>
      </c>
      <c r="I860" s="57">
        <f>IF(OR(A860="",B860=""),"",IFERROR(INDEX(Equipamentos!$J$2:$J$201,MATCH(1,INDEX((Equipamentos!$A$2:$A$201=B860)*(Equipamentos!$P$2:$P$201=A860),0),0)),""))</f>
        <v/>
      </c>
    </row>
    <row r="861">
      <c r="A861" s="54" t="n"/>
      <c r="B861" s="55" t="n"/>
      <c r="C861" s="56">
        <f>IF(OR(A861="",B861=""),"",IF(COUNTIF(Equipamentos!$A$2:$A$201,B861)=0,"tag não encontrada",IFERROR(INDEX(Equipamentos!$H$2:$H$201,MATCH(1,INDEX((Equipamentos!$A$2:$A$201=B861)*(Equipamentos!$P$2:$P$201=A861),0),0)),"confira a data")))</f>
        <v/>
      </c>
      <c r="D861">
        <f>IF(B861="","",IFERROR(INDEX(Equipamentos!$C$2:$C$201,MATCH(B861,Equipamentos!$A$2:$A$201,0)),""))</f>
        <v/>
      </c>
      <c r="E861" s="55" t="n"/>
      <c r="F861" s="55" t="n"/>
      <c r="G861">
        <f>IF(B861="","",IFERROR(INDEX(Equipamentos!$N$2:$N$201,MATCH(B861,Equipamentos!$A$2:$A$201,0)),""))</f>
        <v/>
      </c>
      <c r="H861">
        <f>IF(B861="","",IFERROR(INDEX(Equipamentos!$L$2:$L$201,MATCH(B861,Equipamentos!$A$2:$A$201,0)),""))</f>
        <v/>
      </c>
      <c r="I861" s="57">
        <f>IF(OR(A861="",B861=""),"",IFERROR(INDEX(Equipamentos!$J$2:$J$201,MATCH(1,INDEX((Equipamentos!$A$2:$A$201=B861)*(Equipamentos!$P$2:$P$201=A861),0),0)),""))</f>
        <v/>
      </c>
    </row>
    <row r="862">
      <c r="A862" s="54" t="n"/>
      <c r="B862" s="55" t="n"/>
      <c r="C862" s="56">
        <f>IF(OR(A862="",B862=""),"",IF(COUNTIF(Equipamentos!$A$2:$A$201,B862)=0,"tag não encontrada",IFERROR(INDEX(Equipamentos!$H$2:$H$201,MATCH(1,INDEX((Equipamentos!$A$2:$A$201=B862)*(Equipamentos!$P$2:$P$201=A862),0),0)),"confira a data")))</f>
        <v/>
      </c>
      <c r="D862">
        <f>IF(B862="","",IFERROR(INDEX(Equipamentos!$C$2:$C$201,MATCH(B862,Equipamentos!$A$2:$A$201,0)),""))</f>
        <v/>
      </c>
      <c r="E862" s="55" t="n"/>
      <c r="F862" s="55" t="n"/>
      <c r="G862">
        <f>IF(B862="","",IFERROR(INDEX(Equipamentos!$N$2:$N$201,MATCH(B862,Equipamentos!$A$2:$A$201,0)),""))</f>
        <v/>
      </c>
      <c r="H862">
        <f>IF(B862="","",IFERROR(INDEX(Equipamentos!$L$2:$L$201,MATCH(B862,Equipamentos!$A$2:$A$201,0)),""))</f>
        <v/>
      </c>
      <c r="I862" s="57">
        <f>IF(OR(A862="",B862=""),"",IFERROR(INDEX(Equipamentos!$J$2:$J$201,MATCH(1,INDEX((Equipamentos!$A$2:$A$201=B862)*(Equipamentos!$P$2:$P$201=A862),0),0)),""))</f>
        <v/>
      </c>
    </row>
    <row r="863">
      <c r="A863" s="54" t="n"/>
      <c r="B863" s="55" t="n"/>
      <c r="C863" s="56">
        <f>IF(OR(A863="",B863=""),"",IF(COUNTIF(Equipamentos!$A$2:$A$201,B863)=0,"tag não encontrada",IFERROR(INDEX(Equipamentos!$H$2:$H$201,MATCH(1,INDEX((Equipamentos!$A$2:$A$201=B863)*(Equipamentos!$P$2:$P$201=A863),0),0)),"confira a data")))</f>
        <v/>
      </c>
      <c r="D863">
        <f>IF(B863="","",IFERROR(INDEX(Equipamentos!$C$2:$C$201,MATCH(B863,Equipamentos!$A$2:$A$201,0)),""))</f>
        <v/>
      </c>
      <c r="E863" s="55" t="n"/>
      <c r="F863" s="55" t="n"/>
      <c r="G863">
        <f>IF(B863="","",IFERROR(INDEX(Equipamentos!$N$2:$N$201,MATCH(B863,Equipamentos!$A$2:$A$201,0)),""))</f>
        <v/>
      </c>
      <c r="H863">
        <f>IF(B863="","",IFERROR(INDEX(Equipamentos!$L$2:$L$201,MATCH(B863,Equipamentos!$A$2:$A$201,0)),""))</f>
        <v/>
      </c>
      <c r="I863" s="57">
        <f>IF(OR(A863="",B863=""),"",IFERROR(INDEX(Equipamentos!$J$2:$J$201,MATCH(1,INDEX((Equipamentos!$A$2:$A$201=B863)*(Equipamentos!$P$2:$P$201=A863),0),0)),""))</f>
        <v/>
      </c>
    </row>
    <row r="864">
      <c r="A864" s="54" t="n"/>
      <c r="B864" s="55" t="n"/>
      <c r="C864" s="56">
        <f>IF(OR(A864="",B864=""),"",IF(COUNTIF(Equipamentos!$A$2:$A$201,B864)=0,"tag não encontrada",IFERROR(INDEX(Equipamentos!$H$2:$H$201,MATCH(1,INDEX((Equipamentos!$A$2:$A$201=B864)*(Equipamentos!$P$2:$P$201=A864),0),0)),"confira a data")))</f>
        <v/>
      </c>
      <c r="D864">
        <f>IF(B864="","",IFERROR(INDEX(Equipamentos!$C$2:$C$201,MATCH(B864,Equipamentos!$A$2:$A$201,0)),""))</f>
        <v/>
      </c>
      <c r="E864" s="55" t="n"/>
      <c r="F864" s="55" t="n"/>
      <c r="G864">
        <f>IF(B864="","",IFERROR(INDEX(Equipamentos!$N$2:$N$201,MATCH(B864,Equipamentos!$A$2:$A$201,0)),""))</f>
        <v/>
      </c>
      <c r="H864">
        <f>IF(B864="","",IFERROR(INDEX(Equipamentos!$L$2:$L$201,MATCH(B864,Equipamentos!$A$2:$A$201,0)),""))</f>
        <v/>
      </c>
      <c r="I864" s="57">
        <f>IF(OR(A864="",B864=""),"",IFERROR(INDEX(Equipamentos!$J$2:$J$201,MATCH(1,INDEX((Equipamentos!$A$2:$A$201=B864)*(Equipamentos!$P$2:$P$201=A864),0),0)),""))</f>
        <v/>
      </c>
    </row>
    <row r="865">
      <c r="A865" s="54" t="n"/>
      <c r="B865" s="55" t="n"/>
      <c r="C865" s="56">
        <f>IF(OR(A865="",B865=""),"",IF(COUNTIF(Equipamentos!$A$2:$A$201,B865)=0,"tag não encontrada",IFERROR(INDEX(Equipamentos!$H$2:$H$201,MATCH(1,INDEX((Equipamentos!$A$2:$A$201=B865)*(Equipamentos!$P$2:$P$201=A865),0),0)),"confira a data")))</f>
        <v/>
      </c>
      <c r="D865">
        <f>IF(B865="","",IFERROR(INDEX(Equipamentos!$C$2:$C$201,MATCH(B865,Equipamentos!$A$2:$A$201,0)),""))</f>
        <v/>
      </c>
      <c r="E865" s="55" t="n"/>
      <c r="F865" s="55" t="n"/>
      <c r="G865">
        <f>IF(B865="","",IFERROR(INDEX(Equipamentos!$N$2:$N$201,MATCH(B865,Equipamentos!$A$2:$A$201,0)),""))</f>
        <v/>
      </c>
      <c r="H865">
        <f>IF(B865="","",IFERROR(INDEX(Equipamentos!$L$2:$L$201,MATCH(B865,Equipamentos!$A$2:$A$201,0)),""))</f>
        <v/>
      </c>
      <c r="I865" s="57">
        <f>IF(OR(A865="",B865=""),"",IFERROR(INDEX(Equipamentos!$J$2:$J$201,MATCH(1,INDEX((Equipamentos!$A$2:$A$201=B865)*(Equipamentos!$P$2:$P$201=A865),0),0)),""))</f>
        <v/>
      </c>
    </row>
    <row r="866">
      <c r="A866" s="54" t="n"/>
      <c r="B866" s="55" t="n"/>
      <c r="C866" s="56">
        <f>IF(OR(A866="",B866=""),"",IF(COUNTIF(Equipamentos!$A$2:$A$201,B866)=0,"tag não encontrada",IFERROR(INDEX(Equipamentos!$H$2:$H$201,MATCH(1,INDEX((Equipamentos!$A$2:$A$201=B866)*(Equipamentos!$P$2:$P$201=A866),0),0)),"confira a data")))</f>
        <v/>
      </c>
      <c r="D866">
        <f>IF(B866="","",IFERROR(INDEX(Equipamentos!$C$2:$C$201,MATCH(B866,Equipamentos!$A$2:$A$201,0)),""))</f>
        <v/>
      </c>
      <c r="E866" s="55" t="n"/>
      <c r="F866" s="55" t="n"/>
      <c r="G866">
        <f>IF(B866="","",IFERROR(INDEX(Equipamentos!$N$2:$N$201,MATCH(B866,Equipamentos!$A$2:$A$201,0)),""))</f>
        <v/>
      </c>
      <c r="H866">
        <f>IF(B866="","",IFERROR(INDEX(Equipamentos!$L$2:$L$201,MATCH(B866,Equipamentos!$A$2:$A$201,0)),""))</f>
        <v/>
      </c>
      <c r="I866" s="57">
        <f>IF(OR(A866="",B866=""),"",IFERROR(INDEX(Equipamentos!$J$2:$J$201,MATCH(1,INDEX((Equipamentos!$A$2:$A$201=B866)*(Equipamentos!$P$2:$P$201=A866),0),0)),""))</f>
        <v/>
      </c>
    </row>
    <row r="867">
      <c r="A867" s="54" t="n"/>
      <c r="B867" s="55" t="n"/>
      <c r="C867" s="56">
        <f>IF(OR(A867="",B867=""),"",IF(COUNTIF(Equipamentos!$A$2:$A$201,B867)=0,"tag não encontrada",IFERROR(INDEX(Equipamentos!$H$2:$H$201,MATCH(1,INDEX((Equipamentos!$A$2:$A$201=B867)*(Equipamentos!$P$2:$P$201=A867),0),0)),"confira a data")))</f>
        <v/>
      </c>
      <c r="D867">
        <f>IF(B867="","",IFERROR(INDEX(Equipamentos!$C$2:$C$201,MATCH(B867,Equipamentos!$A$2:$A$201,0)),""))</f>
        <v/>
      </c>
      <c r="E867" s="55" t="n"/>
      <c r="F867" s="55" t="n"/>
      <c r="G867">
        <f>IF(B867="","",IFERROR(INDEX(Equipamentos!$N$2:$N$201,MATCH(B867,Equipamentos!$A$2:$A$201,0)),""))</f>
        <v/>
      </c>
      <c r="H867">
        <f>IF(B867="","",IFERROR(INDEX(Equipamentos!$L$2:$L$201,MATCH(B867,Equipamentos!$A$2:$A$201,0)),""))</f>
        <v/>
      </c>
      <c r="I867" s="57">
        <f>IF(OR(A867="",B867=""),"",IFERROR(INDEX(Equipamentos!$J$2:$J$201,MATCH(1,INDEX((Equipamentos!$A$2:$A$201=B867)*(Equipamentos!$P$2:$P$201=A867),0),0)),""))</f>
        <v/>
      </c>
    </row>
    <row r="868">
      <c r="A868" s="54" t="n"/>
      <c r="B868" s="55" t="n"/>
      <c r="C868" s="56">
        <f>IF(OR(A868="",B868=""),"",IF(COUNTIF(Equipamentos!$A$2:$A$201,B868)=0,"tag não encontrada",IFERROR(INDEX(Equipamentos!$H$2:$H$201,MATCH(1,INDEX((Equipamentos!$A$2:$A$201=B868)*(Equipamentos!$P$2:$P$201=A868),0),0)),"confira a data")))</f>
        <v/>
      </c>
      <c r="D868">
        <f>IF(B868="","",IFERROR(INDEX(Equipamentos!$C$2:$C$201,MATCH(B868,Equipamentos!$A$2:$A$201,0)),""))</f>
        <v/>
      </c>
      <c r="E868" s="55" t="n"/>
      <c r="F868" s="55" t="n"/>
      <c r="G868">
        <f>IF(B868="","",IFERROR(INDEX(Equipamentos!$N$2:$N$201,MATCH(B868,Equipamentos!$A$2:$A$201,0)),""))</f>
        <v/>
      </c>
      <c r="H868">
        <f>IF(B868="","",IFERROR(INDEX(Equipamentos!$L$2:$L$201,MATCH(B868,Equipamentos!$A$2:$A$201,0)),""))</f>
        <v/>
      </c>
      <c r="I868" s="57">
        <f>IF(OR(A868="",B868=""),"",IFERROR(INDEX(Equipamentos!$J$2:$J$201,MATCH(1,INDEX((Equipamentos!$A$2:$A$201=B868)*(Equipamentos!$P$2:$P$201=A868),0),0)),""))</f>
        <v/>
      </c>
    </row>
    <row r="869">
      <c r="A869" s="54" t="n"/>
      <c r="B869" s="55" t="n"/>
      <c r="C869" s="56">
        <f>IF(OR(A869="",B869=""),"",IF(COUNTIF(Equipamentos!$A$2:$A$201,B869)=0,"tag não encontrada",IFERROR(INDEX(Equipamentos!$H$2:$H$201,MATCH(1,INDEX((Equipamentos!$A$2:$A$201=B869)*(Equipamentos!$P$2:$P$201=A869),0),0)),"confira a data")))</f>
        <v/>
      </c>
      <c r="D869">
        <f>IF(B869="","",IFERROR(INDEX(Equipamentos!$C$2:$C$201,MATCH(B869,Equipamentos!$A$2:$A$201,0)),""))</f>
        <v/>
      </c>
      <c r="E869" s="55" t="n"/>
      <c r="F869" s="55" t="n"/>
      <c r="G869">
        <f>IF(B869="","",IFERROR(INDEX(Equipamentos!$N$2:$N$201,MATCH(B869,Equipamentos!$A$2:$A$201,0)),""))</f>
        <v/>
      </c>
      <c r="H869">
        <f>IF(B869="","",IFERROR(INDEX(Equipamentos!$L$2:$L$201,MATCH(B869,Equipamentos!$A$2:$A$201,0)),""))</f>
        <v/>
      </c>
      <c r="I869" s="57">
        <f>IF(OR(A869="",B869=""),"",IFERROR(INDEX(Equipamentos!$J$2:$J$201,MATCH(1,INDEX((Equipamentos!$A$2:$A$201=B869)*(Equipamentos!$P$2:$P$201=A869),0),0)),""))</f>
        <v/>
      </c>
    </row>
    <row r="870">
      <c r="A870" s="54" t="n"/>
      <c r="B870" s="55" t="n"/>
      <c r="C870" s="56">
        <f>IF(OR(A870="",B870=""),"",IF(COUNTIF(Equipamentos!$A$2:$A$201,B870)=0,"tag não encontrada",IFERROR(INDEX(Equipamentos!$H$2:$H$201,MATCH(1,INDEX((Equipamentos!$A$2:$A$201=B870)*(Equipamentos!$P$2:$P$201=A870),0),0)),"confira a data")))</f>
        <v/>
      </c>
      <c r="D870">
        <f>IF(B870="","",IFERROR(INDEX(Equipamentos!$C$2:$C$201,MATCH(B870,Equipamentos!$A$2:$A$201,0)),""))</f>
        <v/>
      </c>
      <c r="E870" s="55" t="n"/>
      <c r="F870" s="55" t="n"/>
      <c r="G870">
        <f>IF(B870="","",IFERROR(INDEX(Equipamentos!$N$2:$N$201,MATCH(B870,Equipamentos!$A$2:$A$201,0)),""))</f>
        <v/>
      </c>
      <c r="H870">
        <f>IF(B870="","",IFERROR(INDEX(Equipamentos!$L$2:$L$201,MATCH(B870,Equipamentos!$A$2:$A$201,0)),""))</f>
        <v/>
      </c>
      <c r="I870" s="57">
        <f>IF(OR(A870="",B870=""),"",IFERROR(INDEX(Equipamentos!$J$2:$J$201,MATCH(1,INDEX((Equipamentos!$A$2:$A$201=B870)*(Equipamentos!$P$2:$P$201=A870),0),0)),""))</f>
        <v/>
      </c>
    </row>
    <row r="871">
      <c r="A871" s="54" t="n"/>
      <c r="B871" s="55" t="n"/>
      <c r="C871" s="56">
        <f>IF(OR(A871="",B871=""),"",IF(COUNTIF(Equipamentos!$A$2:$A$201,B871)=0,"tag não encontrada",IFERROR(INDEX(Equipamentos!$H$2:$H$201,MATCH(1,INDEX((Equipamentos!$A$2:$A$201=B871)*(Equipamentos!$P$2:$P$201=A871),0),0)),"confira a data")))</f>
        <v/>
      </c>
      <c r="D871">
        <f>IF(B871="","",IFERROR(INDEX(Equipamentos!$C$2:$C$201,MATCH(B871,Equipamentos!$A$2:$A$201,0)),""))</f>
        <v/>
      </c>
      <c r="E871" s="55" t="n"/>
      <c r="F871" s="55" t="n"/>
      <c r="G871">
        <f>IF(B871="","",IFERROR(INDEX(Equipamentos!$N$2:$N$201,MATCH(B871,Equipamentos!$A$2:$A$201,0)),""))</f>
        <v/>
      </c>
      <c r="H871">
        <f>IF(B871="","",IFERROR(INDEX(Equipamentos!$L$2:$L$201,MATCH(B871,Equipamentos!$A$2:$A$201,0)),""))</f>
        <v/>
      </c>
      <c r="I871" s="57">
        <f>IF(OR(A871="",B871=""),"",IFERROR(INDEX(Equipamentos!$J$2:$J$201,MATCH(1,INDEX((Equipamentos!$A$2:$A$201=B871)*(Equipamentos!$P$2:$P$201=A871),0),0)),""))</f>
        <v/>
      </c>
    </row>
    <row r="872">
      <c r="A872" s="54" t="n"/>
      <c r="B872" s="55" t="n"/>
      <c r="C872" s="56">
        <f>IF(OR(A872="",B872=""),"",IF(COUNTIF(Equipamentos!$A$2:$A$201,B872)=0,"tag não encontrada",IFERROR(INDEX(Equipamentos!$H$2:$H$201,MATCH(1,INDEX((Equipamentos!$A$2:$A$201=B872)*(Equipamentos!$P$2:$P$201=A872),0),0)),"confira a data")))</f>
        <v/>
      </c>
      <c r="D872">
        <f>IF(B872="","",IFERROR(INDEX(Equipamentos!$C$2:$C$201,MATCH(B872,Equipamentos!$A$2:$A$201,0)),""))</f>
        <v/>
      </c>
      <c r="E872" s="55" t="n"/>
      <c r="F872" s="55" t="n"/>
      <c r="G872">
        <f>IF(B872="","",IFERROR(INDEX(Equipamentos!$N$2:$N$201,MATCH(B872,Equipamentos!$A$2:$A$201,0)),""))</f>
        <v/>
      </c>
      <c r="H872">
        <f>IF(B872="","",IFERROR(INDEX(Equipamentos!$L$2:$L$201,MATCH(B872,Equipamentos!$A$2:$A$201,0)),""))</f>
        <v/>
      </c>
      <c r="I872" s="57">
        <f>IF(OR(A872="",B872=""),"",IFERROR(INDEX(Equipamentos!$J$2:$J$201,MATCH(1,INDEX((Equipamentos!$A$2:$A$201=B872)*(Equipamentos!$P$2:$P$201=A872),0),0)),""))</f>
        <v/>
      </c>
    </row>
    <row r="873">
      <c r="A873" s="54" t="n"/>
      <c r="B873" s="55" t="n"/>
      <c r="C873" s="56">
        <f>IF(OR(A873="",B873=""),"",IF(COUNTIF(Equipamentos!$A$2:$A$201,B873)=0,"tag não encontrada",IFERROR(INDEX(Equipamentos!$H$2:$H$201,MATCH(1,INDEX((Equipamentos!$A$2:$A$201=B873)*(Equipamentos!$P$2:$P$201=A873),0),0)),"confira a data")))</f>
        <v/>
      </c>
      <c r="D873">
        <f>IF(B873="","",IFERROR(INDEX(Equipamentos!$C$2:$C$201,MATCH(B873,Equipamentos!$A$2:$A$201,0)),""))</f>
        <v/>
      </c>
      <c r="E873" s="55" t="n"/>
      <c r="F873" s="55" t="n"/>
      <c r="G873">
        <f>IF(B873="","",IFERROR(INDEX(Equipamentos!$N$2:$N$201,MATCH(B873,Equipamentos!$A$2:$A$201,0)),""))</f>
        <v/>
      </c>
      <c r="H873">
        <f>IF(B873="","",IFERROR(INDEX(Equipamentos!$L$2:$L$201,MATCH(B873,Equipamentos!$A$2:$A$201,0)),""))</f>
        <v/>
      </c>
      <c r="I873" s="57">
        <f>IF(OR(A873="",B873=""),"",IFERROR(INDEX(Equipamentos!$J$2:$J$201,MATCH(1,INDEX((Equipamentos!$A$2:$A$201=B873)*(Equipamentos!$P$2:$P$201=A873),0),0)),""))</f>
        <v/>
      </c>
    </row>
    <row r="874">
      <c r="A874" s="54" t="n"/>
      <c r="B874" s="55" t="n"/>
      <c r="C874" s="56">
        <f>IF(OR(A874="",B874=""),"",IF(COUNTIF(Equipamentos!$A$2:$A$201,B874)=0,"tag não encontrada",IFERROR(INDEX(Equipamentos!$H$2:$H$201,MATCH(1,INDEX((Equipamentos!$A$2:$A$201=B874)*(Equipamentos!$P$2:$P$201=A874),0),0)),"confira a data")))</f>
        <v/>
      </c>
      <c r="D874">
        <f>IF(B874="","",IFERROR(INDEX(Equipamentos!$C$2:$C$201,MATCH(B874,Equipamentos!$A$2:$A$201,0)),""))</f>
        <v/>
      </c>
      <c r="E874" s="55" t="n"/>
      <c r="F874" s="55" t="n"/>
      <c r="G874">
        <f>IF(B874="","",IFERROR(INDEX(Equipamentos!$N$2:$N$201,MATCH(B874,Equipamentos!$A$2:$A$201,0)),""))</f>
        <v/>
      </c>
      <c r="H874">
        <f>IF(B874="","",IFERROR(INDEX(Equipamentos!$L$2:$L$201,MATCH(B874,Equipamentos!$A$2:$A$201,0)),""))</f>
        <v/>
      </c>
      <c r="I874" s="57">
        <f>IF(OR(A874="",B874=""),"",IFERROR(INDEX(Equipamentos!$J$2:$J$201,MATCH(1,INDEX((Equipamentos!$A$2:$A$201=B874)*(Equipamentos!$P$2:$P$201=A874),0),0)),""))</f>
        <v/>
      </c>
    </row>
    <row r="875">
      <c r="A875" s="54" t="n"/>
      <c r="B875" s="55" t="n"/>
      <c r="C875" s="56">
        <f>IF(OR(A875="",B875=""),"",IF(COUNTIF(Equipamentos!$A$2:$A$201,B875)=0,"tag não encontrada",IFERROR(INDEX(Equipamentos!$H$2:$H$201,MATCH(1,INDEX((Equipamentos!$A$2:$A$201=B875)*(Equipamentos!$P$2:$P$201=A875),0),0)),"confira a data")))</f>
        <v/>
      </c>
      <c r="D875">
        <f>IF(B875="","",IFERROR(INDEX(Equipamentos!$C$2:$C$201,MATCH(B875,Equipamentos!$A$2:$A$201,0)),""))</f>
        <v/>
      </c>
      <c r="E875" s="55" t="n"/>
      <c r="F875" s="55" t="n"/>
      <c r="G875">
        <f>IF(B875="","",IFERROR(INDEX(Equipamentos!$N$2:$N$201,MATCH(B875,Equipamentos!$A$2:$A$201,0)),""))</f>
        <v/>
      </c>
      <c r="H875">
        <f>IF(B875="","",IFERROR(INDEX(Equipamentos!$L$2:$L$201,MATCH(B875,Equipamentos!$A$2:$A$201,0)),""))</f>
        <v/>
      </c>
      <c r="I875" s="57">
        <f>IF(OR(A875="",B875=""),"",IFERROR(INDEX(Equipamentos!$J$2:$J$201,MATCH(1,INDEX((Equipamentos!$A$2:$A$201=B875)*(Equipamentos!$P$2:$P$201=A875),0),0)),""))</f>
        <v/>
      </c>
    </row>
    <row r="876">
      <c r="A876" s="54" t="n"/>
      <c r="B876" s="55" t="n"/>
      <c r="C876" s="56">
        <f>IF(OR(A876="",B876=""),"",IF(COUNTIF(Equipamentos!$A$2:$A$201,B876)=0,"tag não encontrada",IFERROR(INDEX(Equipamentos!$H$2:$H$201,MATCH(1,INDEX((Equipamentos!$A$2:$A$201=B876)*(Equipamentos!$P$2:$P$201=A876),0),0)),"confira a data")))</f>
        <v/>
      </c>
      <c r="D876">
        <f>IF(B876="","",IFERROR(INDEX(Equipamentos!$C$2:$C$201,MATCH(B876,Equipamentos!$A$2:$A$201,0)),""))</f>
        <v/>
      </c>
      <c r="E876" s="55" t="n"/>
      <c r="F876" s="55" t="n"/>
      <c r="G876">
        <f>IF(B876="","",IFERROR(INDEX(Equipamentos!$N$2:$N$201,MATCH(B876,Equipamentos!$A$2:$A$201,0)),""))</f>
        <v/>
      </c>
      <c r="H876">
        <f>IF(B876="","",IFERROR(INDEX(Equipamentos!$L$2:$L$201,MATCH(B876,Equipamentos!$A$2:$A$201,0)),""))</f>
        <v/>
      </c>
      <c r="I876" s="57">
        <f>IF(OR(A876="",B876=""),"",IFERROR(INDEX(Equipamentos!$J$2:$J$201,MATCH(1,INDEX((Equipamentos!$A$2:$A$201=B876)*(Equipamentos!$P$2:$P$201=A876),0),0)),""))</f>
        <v/>
      </c>
    </row>
    <row r="877">
      <c r="A877" s="54" t="n"/>
      <c r="B877" s="55" t="n"/>
      <c r="C877" s="56">
        <f>IF(OR(A877="",B877=""),"",IF(COUNTIF(Equipamentos!$A$2:$A$201,B877)=0,"tag não encontrada",IFERROR(INDEX(Equipamentos!$H$2:$H$201,MATCH(1,INDEX((Equipamentos!$A$2:$A$201=B877)*(Equipamentos!$P$2:$P$201=A877),0),0)),"confira a data")))</f>
        <v/>
      </c>
      <c r="D877">
        <f>IF(B877="","",IFERROR(INDEX(Equipamentos!$C$2:$C$201,MATCH(B877,Equipamentos!$A$2:$A$201,0)),""))</f>
        <v/>
      </c>
      <c r="E877" s="55" t="n"/>
      <c r="F877" s="55" t="n"/>
      <c r="G877">
        <f>IF(B877="","",IFERROR(INDEX(Equipamentos!$N$2:$N$201,MATCH(B877,Equipamentos!$A$2:$A$201,0)),""))</f>
        <v/>
      </c>
      <c r="H877">
        <f>IF(B877="","",IFERROR(INDEX(Equipamentos!$L$2:$L$201,MATCH(B877,Equipamentos!$A$2:$A$201,0)),""))</f>
        <v/>
      </c>
      <c r="I877" s="57">
        <f>IF(OR(A877="",B877=""),"",IFERROR(INDEX(Equipamentos!$J$2:$J$201,MATCH(1,INDEX((Equipamentos!$A$2:$A$201=B877)*(Equipamentos!$P$2:$P$201=A877),0),0)),""))</f>
        <v/>
      </c>
    </row>
    <row r="878">
      <c r="A878" s="54" t="n"/>
      <c r="B878" s="55" t="n"/>
      <c r="C878" s="56">
        <f>IF(OR(A878="",B878=""),"",IF(COUNTIF(Equipamentos!$A$2:$A$201,B878)=0,"tag não encontrada",IFERROR(INDEX(Equipamentos!$H$2:$H$201,MATCH(1,INDEX((Equipamentos!$A$2:$A$201=B878)*(Equipamentos!$P$2:$P$201=A878),0),0)),"confira a data")))</f>
        <v/>
      </c>
      <c r="D878">
        <f>IF(B878="","",IFERROR(INDEX(Equipamentos!$C$2:$C$201,MATCH(B878,Equipamentos!$A$2:$A$201,0)),""))</f>
        <v/>
      </c>
      <c r="E878" s="55" t="n"/>
      <c r="F878" s="55" t="n"/>
      <c r="G878">
        <f>IF(B878="","",IFERROR(INDEX(Equipamentos!$N$2:$N$201,MATCH(B878,Equipamentos!$A$2:$A$201,0)),""))</f>
        <v/>
      </c>
      <c r="H878">
        <f>IF(B878="","",IFERROR(INDEX(Equipamentos!$L$2:$L$201,MATCH(B878,Equipamentos!$A$2:$A$201,0)),""))</f>
        <v/>
      </c>
      <c r="I878" s="57">
        <f>IF(OR(A878="",B878=""),"",IFERROR(INDEX(Equipamentos!$J$2:$J$201,MATCH(1,INDEX((Equipamentos!$A$2:$A$201=B878)*(Equipamentos!$P$2:$P$201=A878),0),0)),""))</f>
        <v/>
      </c>
    </row>
    <row r="879">
      <c r="A879" s="54" t="n"/>
      <c r="B879" s="55" t="n"/>
      <c r="C879" s="56">
        <f>IF(OR(A879="",B879=""),"",IF(COUNTIF(Equipamentos!$A$2:$A$201,B879)=0,"tag não encontrada",IFERROR(INDEX(Equipamentos!$H$2:$H$201,MATCH(1,INDEX((Equipamentos!$A$2:$A$201=B879)*(Equipamentos!$P$2:$P$201=A879),0),0)),"confira a data")))</f>
        <v/>
      </c>
      <c r="D879">
        <f>IF(B879="","",IFERROR(INDEX(Equipamentos!$C$2:$C$201,MATCH(B879,Equipamentos!$A$2:$A$201,0)),""))</f>
        <v/>
      </c>
      <c r="E879" s="55" t="n"/>
      <c r="F879" s="55" t="n"/>
      <c r="G879">
        <f>IF(B879="","",IFERROR(INDEX(Equipamentos!$N$2:$N$201,MATCH(B879,Equipamentos!$A$2:$A$201,0)),""))</f>
        <v/>
      </c>
      <c r="H879">
        <f>IF(B879="","",IFERROR(INDEX(Equipamentos!$L$2:$L$201,MATCH(B879,Equipamentos!$A$2:$A$201,0)),""))</f>
        <v/>
      </c>
      <c r="I879" s="57">
        <f>IF(OR(A879="",B879=""),"",IFERROR(INDEX(Equipamentos!$J$2:$J$201,MATCH(1,INDEX((Equipamentos!$A$2:$A$201=B879)*(Equipamentos!$P$2:$P$201=A879),0),0)),""))</f>
        <v/>
      </c>
    </row>
    <row r="880">
      <c r="A880" s="54" t="n"/>
      <c r="B880" s="55" t="n"/>
      <c r="C880" s="56">
        <f>IF(OR(A880="",B880=""),"",IF(COUNTIF(Equipamentos!$A$2:$A$201,B880)=0,"tag não encontrada",IFERROR(INDEX(Equipamentos!$H$2:$H$201,MATCH(1,INDEX((Equipamentos!$A$2:$A$201=B880)*(Equipamentos!$P$2:$P$201=A880),0),0)),"confira a data")))</f>
        <v/>
      </c>
      <c r="D880">
        <f>IF(B880="","",IFERROR(INDEX(Equipamentos!$C$2:$C$201,MATCH(B880,Equipamentos!$A$2:$A$201,0)),""))</f>
        <v/>
      </c>
      <c r="E880" s="55" t="n"/>
      <c r="F880" s="55" t="n"/>
      <c r="G880">
        <f>IF(B880="","",IFERROR(INDEX(Equipamentos!$N$2:$N$201,MATCH(B880,Equipamentos!$A$2:$A$201,0)),""))</f>
        <v/>
      </c>
      <c r="H880">
        <f>IF(B880="","",IFERROR(INDEX(Equipamentos!$L$2:$L$201,MATCH(B880,Equipamentos!$A$2:$A$201,0)),""))</f>
        <v/>
      </c>
      <c r="I880" s="57">
        <f>IF(OR(A880="",B880=""),"",IFERROR(INDEX(Equipamentos!$J$2:$J$201,MATCH(1,INDEX((Equipamentos!$A$2:$A$201=B880)*(Equipamentos!$P$2:$P$201=A880),0),0)),""))</f>
        <v/>
      </c>
    </row>
    <row r="881">
      <c r="A881" s="54" t="n"/>
      <c r="B881" s="55" t="n"/>
      <c r="C881" s="56">
        <f>IF(OR(A881="",B881=""),"",IF(COUNTIF(Equipamentos!$A$2:$A$201,B881)=0,"tag não encontrada",IFERROR(INDEX(Equipamentos!$H$2:$H$201,MATCH(1,INDEX((Equipamentos!$A$2:$A$201=B881)*(Equipamentos!$P$2:$P$201=A881),0),0)),"confira a data")))</f>
        <v/>
      </c>
      <c r="D881">
        <f>IF(B881="","",IFERROR(INDEX(Equipamentos!$C$2:$C$201,MATCH(B881,Equipamentos!$A$2:$A$201,0)),""))</f>
        <v/>
      </c>
      <c r="E881" s="55" t="n"/>
      <c r="F881" s="55" t="n"/>
      <c r="G881">
        <f>IF(B881="","",IFERROR(INDEX(Equipamentos!$N$2:$N$201,MATCH(B881,Equipamentos!$A$2:$A$201,0)),""))</f>
        <v/>
      </c>
      <c r="H881">
        <f>IF(B881="","",IFERROR(INDEX(Equipamentos!$L$2:$L$201,MATCH(B881,Equipamentos!$A$2:$A$201,0)),""))</f>
        <v/>
      </c>
      <c r="I881" s="57">
        <f>IF(OR(A881="",B881=""),"",IFERROR(INDEX(Equipamentos!$J$2:$J$201,MATCH(1,INDEX((Equipamentos!$A$2:$A$201=B881)*(Equipamentos!$P$2:$P$201=A881),0),0)),""))</f>
        <v/>
      </c>
    </row>
    <row r="882">
      <c r="A882" s="54" t="n"/>
      <c r="B882" s="55" t="n"/>
      <c r="C882" s="56">
        <f>IF(OR(A882="",B882=""),"",IF(COUNTIF(Equipamentos!$A$2:$A$201,B882)=0,"tag não encontrada",IFERROR(INDEX(Equipamentos!$H$2:$H$201,MATCH(1,INDEX((Equipamentos!$A$2:$A$201=B882)*(Equipamentos!$P$2:$P$201=A882),0),0)),"confira a data")))</f>
        <v/>
      </c>
      <c r="D882">
        <f>IF(B882="","",IFERROR(INDEX(Equipamentos!$C$2:$C$201,MATCH(B882,Equipamentos!$A$2:$A$201,0)),""))</f>
        <v/>
      </c>
      <c r="E882" s="55" t="n"/>
      <c r="F882" s="55" t="n"/>
      <c r="G882">
        <f>IF(B882="","",IFERROR(INDEX(Equipamentos!$N$2:$N$201,MATCH(B882,Equipamentos!$A$2:$A$201,0)),""))</f>
        <v/>
      </c>
      <c r="H882">
        <f>IF(B882="","",IFERROR(INDEX(Equipamentos!$L$2:$L$201,MATCH(B882,Equipamentos!$A$2:$A$201,0)),""))</f>
        <v/>
      </c>
      <c r="I882" s="57">
        <f>IF(OR(A882="",B882=""),"",IFERROR(INDEX(Equipamentos!$J$2:$J$201,MATCH(1,INDEX((Equipamentos!$A$2:$A$201=B882)*(Equipamentos!$P$2:$P$201=A882),0),0)),""))</f>
        <v/>
      </c>
    </row>
    <row r="883">
      <c r="A883" s="54" t="n"/>
      <c r="B883" s="55" t="n"/>
      <c r="C883" s="56">
        <f>IF(OR(A883="",B883=""),"",IF(COUNTIF(Equipamentos!$A$2:$A$201,B883)=0,"tag não encontrada",IFERROR(INDEX(Equipamentos!$H$2:$H$201,MATCH(1,INDEX((Equipamentos!$A$2:$A$201=B883)*(Equipamentos!$P$2:$P$201=A883),0),0)),"confira a data")))</f>
        <v/>
      </c>
      <c r="D883">
        <f>IF(B883="","",IFERROR(INDEX(Equipamentos!$C$2:$C$201,MATCH(B883,Equipamentos!$A$2:$A$201,0)),""))</f>
        <v/>
      </c>
      <c r="E883" s="55" t="n"/>
      <c r="F883" s="55" t="n"/>
      <c r="G883">
        <f>IF(B883="","",IFERROR(INDEX(Equipamentos!$N$2:$N$201,MATCH(B883,Equipamentos!$A$2:$A$201,0)),""))</f>
        <v/>
      </c>
      <c r="H883">
        <f>IF(B883="","",IFERROR(INDEX(Equipamentos!$L$2:$L$201,MATCH(B883,Equipamentos!$A$2:$A$201,0)),""))</f>
        <v/>
      </c>
      <c r="I883" s="57">
        <f>IF(OR(A883="",B883=""),"",IFERROR(INDEX(Equipamentos!$J$2:$J$201,MATCH(1,INDEX((Equipamentos!$A$2:$A$201=B883)*(Equipamentos!$P$2:$P$201=A883),0),0)),""))</f>
        <v/>
      </c>
    </row>
    <row r="884">
      <c r="A884" s="54" t="n"/>
      <c r="B884" s="55" t="n"/>
      <c r="C884" s="56">
        <f>IF(OR(A884="",B884=""),"",IF(COUNTIF(Equipamentos!$A$2:$A$201,B884)=0,"tag não encontrada",IFERROR(INDEX(Equipamentos!$H$2:$H$201,MATCH(1,INDEX((Equipamentos!$A$2:$A$201=B884)*(Equipamentos!$P$2:$P$201=A884),0),0)),"confira a data")))</f>
        <v/>
      </c>
      <c r="D884">
        <f>IF(B884="","",IFERROR(INDEX(Equipamentos!$C$2:$C$201,MATCH(B884,Equipamentos!$A$2:$A$201,0)),""))</f>
        <v/>
      </c>
      <c r="E884" s="55" t="n"/>
      <c r="F884" s="55" t="n"/>
      <c r="G884">
        <f>IF(B884="","",IFERROR(INDEX(Equipamentos!$N$2:$N$201,MATCH(B884,Equipamentos!$A$2:$A$201,0)),""))</f>
        <v/>
      </c>
      <c r="H884">
        <f>IF(B884="","",IFERROR(INDEX(Equipamentos!$L$2:$L$201,MATCH(B884,Equipamentos!$A$2:$A$201,0)),""))</f>
        <v/>
      </c>
      <c r="I884" s="57">
        <f>IF(OR(A884="",B884=""),"",IFERROR(INDEX(Equipamentos!$J$2:$J$201,MATCH(1,INDEX((Equipamentos!$A$2:$A$201=B884)*(Equipamentos!$P$2:$P$201=A884),0),0)),""))</f>
        <v/>
      </c>
    </row>
    <row r="885">
      <c r="A885" s="54" t="n"/>
      <c r="B885" s="55" t="n"/>
      <c r="C885" s="56">
        <f>IF(OR(A885="",B885=""),"",IF(COUNTIF(Equipamentos!$A$2:$A$201,B885)=0,"tag não encontrada",IFERROR(INDEX(Equipamentos!$H$2:$H$201,MATCH(1,INDEX((Equipamentos!$A$2:$A$201=B885)*(Equipamentos!$P$2:$P$201=A885),0),0)),"confira a data")))</f>
        <v/>
      </c>
      <c r="D885">
        <f>IF(B885="","",IFERROR(INDEX(Equipamentos!$C$2:$C$201,MATCH(B885,Equipamentos!$A$2:$A$201,0)),""))</f>
        <v/>
      </c>
      <c r="E885" s="55" t="n"/>
      <c r="F885" s="55" t="n"/>
      <c r="G885">
        <f>IF(B885="","",IFERROR(INDEX(Equipamentos!$N$2:$N$201,MATCH(B885,Equipamentos!$A$2:$A$201,0)),""))</f>
        <v/>
      </c>
      <c r="H885">
        <f>IF(B885="","",IFERROR(INDEX(Equipamentos!$L$2:$L$201,MATCH(B885,Equipamentos!$A$2:$A$201,0)),""))</f>
        <v/>
      </c>
      <c r="I885" s="57">
        <f>IF(OR(A885="",B885=""),"",IFERROR(INDEX(Equipamentos!$J$2:$J$201,MATCH(1,INDEX((Equipamentos!$A$2:$A$201=B885)*(Equipamentos!$P$2:$P$201=A885),0),0)),""))</f>
        <v/>
      </c>
    </row>
    <row r="886">
      <c r="A886" s="54" t="n"/>
      <c r="B886" s="55" t="n"/>
      <c r="C886" s="56">
        <f>IF(OR(A886="",B886=""),"",IF(COUNTIF(Equipamentos!$A$2:$A$201,B886)=0,"tag não encontrada",IFERROR(INDEX(Equipamentos!$H$2:$H$201,MATCH(1,INDEX((Equipamentos!$A$2:$A$201=B886)*(Equipamentos!$P$2:$P$201=A886),0),0)),"confira a data")))</f>
        <v/>
      </c>
      <c r="D886">
        <f>IF(B886="","",IFERROR(INDEX(Equipamentos!$C$2:$C$201,MATCH(B886,Equipamentos!$A$2:$A$201,0)),""))</f>
        <v/>
      </c>
      <c r="E886" s="55" t="n"/>
      <c r="F886" s="55" t="n"/>
      <c r="G886">
        <f>IF(B886="","",IFERROR(INDEX(Equipamentos!$N$2:$N$201,MATCH(B886,Equipamentos!$A$2:$A$201,0)),""))</f>
        <v/>
      </c>
      <c r="H886">
        <f>IF(B886="","",IFERROR(INDEX(Equipamentos!$L$2:$L$201,MATCH(B886,Equipamentos!$A$2:$A$201,0)),""))</f>
        <v/>
      </c>
      <c r="I886" s="57">
        <f>IF(OR(A886="",B886=""),"",IFERROR(INDEX(Equipamentos!$J$2:$J$201,MATCH(1,INDEX((Equipamentos!$A$2:$A$201=B886)*(Equipamentos!$P$2:$P$201=A886),0),0)),""))</f>
        <v/>
      </c>
    </row>
    <row r="887">
      <c r="A887" s="54" t="n"/>
      <c r="B887" s="55" t="n"/>
      <c r="C887" s="56">
        <f>IF(OR(A887="",B887=""),"",IF(COUNTIF(Equipamentos!$A$2:$A$201,B887)=0,"tag não encontrada",IFERROR(INDEX(Equipamentos!$H$2:$H$201,MATCH(1,INDEX((Equipamentos!$A$2:$A$201=B887)*(Equipamentos!$P$2:$P$201=A887),0),0)),"confira a data")))</f>
        <v/>
      </c>
      <c r="D887">
        <f>IF(B887="","",IFERROR(INDEX(Equipamentos!$C$2:$C$201,MATCH(B887,Equipamentos!$A$2:$A$201,0)),""))</f>
        <v/>
      </c>
      <c r="E887" s="55" t="n"/>
      <c r="F887" s="55" t="n"/>
      <c r="G887">
        <f>IF(B887="","",IFERROR(INDEX(Equipamentos!$N$2:$N$201,MATCH(B887,Equipamentos!$A$2:$A$201,0)),""))</f>
        <v/>
      </c>
      <c r="H887">
        <f>IF(B887="","",IFERROR(INDEX(Equipamentos!$L$2:$L$201,MATCH(B887,Equipamentos!$A$2:$A$201,0)),""))</f>
        <v/>
      </c>
      <c r="I887" s="57">
        <f>IF(OR(A887="",B887=""),"",IFERROR(INDEX(Equipamentos!$J$2:$J$201,MATCH(1,INDEX((Equipamentos!$A$2:$A$201=B887)*(Equipamentos!$P$2:$P$201=A887),0),0)),""))</f>
        <v/>
      </c>
    </row>
    <row r="888">
      <c r="A888" s="54" t="n"/>
      <c r="B888" s="55" t="n"/>
      <c r="C888" s="56">
        <f>IF(OR(A888="",B888=""),"",IF(COUNTIF(Equipamentos!$A$2:$A$201,B888)=0,"tag não encontrada",IFERROR(INDEX(Equipamentos!$H$2:$H$201,MATCH(1,INDEX((Equipamentos!$A$2:$A$201=B888)*(Equipamentos!$P$2:$P$201=A888),0),0)),"confira a data")))</f>
        <v/>
      </c>
      <c r="D888">
        <f>IF(B888="","",IFERROR(INDEX(Equipamentos!$C$2:$C$201,MATCH(B888,Equipamentos!$A$2:$A$201,0)),""))</f>
        <v/>
      </c>
      <c r="E888" s="55" t="n"/>
      <c r="F888" s="55" t="n"/>
      <c r="G888">
        <f>IF(B888="","",IFERROR(INDEX(Equipamentos!$N$2:$N$201,MATCH(B888,Equipamentos!$A$2:$A$201,0)),""))</f>
        <v/>
      </c>
      <c r="H888">
        <f>IF(B888="","",IFERROR(INDEX(Equipamentos!$L$2:$L$201,MATCH(B888,Equipamentos!$A$2:$A$201,0)),""))</f>
        <v/>
      </c>
      <c r="I888" s="57">
        <f>IF(OR(A888="",B888=""),"",IFERROR(INDEX(Equipamentos!$J$2:$J$201,MATCH(1,INDEX((Equipamentos!$A$2:$A$201=B888)*(Equipamentos!$P$2:$P$201=A888),0),0)),""))</f>
        <v/>
      </c>
    </row>
    <row r="889">
      <c r="A889" s="54" t="n"/>
      <c r="B889" s="55" t="n"/>
      <c r="C889" s="56">
        <f>IF(OR(A889="",B889=""),"",IF(COUNTIF(Equipamentos!$A$2:$A$201,B889)=0,"tag não encontrada",IFERROR(INDEX(Equipamentos!$H$2:$H$201,MATCH(1,INDEX((Equipamentos!$A$2:$A$201=B889)*(Equipamentos!$P$2:$P$201=A889),0),0)),"confira a data")))</f>
        <v/>
      </c>
      <c r="D889">
        <f>IF(B889="","",IFERROR(INDEX(Equipamentos!$C$2:$C$201,MATCH(B889,Equipamentos!$A$2:$A$201,0)),""))</f>
        <v/>
      </c>
      <c r="E889" s="55" t="n"/>
      <c r="F889" s="55" t="n"/>
      <c r="G889">
        <f>IF(B889="","",IFERROR(INDEX(Equipamentos!$N$2:$N$201,MATCH(B889,Equipamentos!$A$2:$A$201,0)),""))</f>
        <v/>
      </c>
      <c r="H889">
        <f>IF(B889="","",IFERROR(INDEX(Equipamentos!$L$2:$L$201,MATCH(B889,Equipamentos!$A$2:$A$201,0)),""))</f>
        <v/>
      </c>
      <c r="I889" s="57">
        <f>IF(OR(A889="",B889=""),"",IFERROR(INDEX(Equipamentos!$J$2:$J$201,MATCH(1,INDEX((Equipamentos!$A$2:$A$201=B889)*(Equipamentos!$P$2:$P$201=A889),0),0)),""))</f>
        <v/>
      </c>
    </row>
    <row r="890">
      <c r="A890" s="54" t="n"/>
      <c r="B890" s="55" t="n"/>
      <c r="C890" s="56">
        <f>IF(OR(A890="",B890=""),"",IF(COUNTIF(Equipamentos!$A$2:$A$201,B890)=0,"tag não encontrada",IFERROR(INDEX(Equipamentos!$H$2:$H$201,MATCH(1,INDEX((Equipamentos!$A$2:$A$201=B890)*(Equipamentos!$P$2:$P$201=A890),0),0)),"confira a data")))</f>
        <v/>
      </c>
      <c r="D890">
        <f>IF(B890="","",IFERROR(INDEX(Equipamentos!$C$2:$C$201,MATCH(B890,Equipamentos!$A$2:$A$201,0)),""))</f>
        <v/>
      </c>
      <c r="E890" s="55" t="n"/>
      <c r="F890" s="55" t="n"/>
      <c r="G890">
        <f>IF(B890="","",IFERROR(INDEX(Equipamentos!$N$2:$N$201,MATCH(B890,Equipamentos!$A$2:$A$201,0)),""))</f>
        <v/>
      </c>
      <c r="H890">
        <f>IF(B890="","",IFERROR(INDEX(Equipamentos!$L$2:$L$201,MATCH(B890,Equipamentos!$A$2:$A$201,0)),""))</f>
        <v/>
      </c>
      <c r="I890" s="57">
        <f>IF(OR(A890="",B890=""),"",IFERROR(INDEX(Equipamentos!$J$2:$J$201,MATCH(1,INDEX((Equipamentos!$A$2:$A$201=B890)*(Equipamentos!$P$2:$P$201=A890),0),0)),""))</f>
        <v/>
      </c>
    </row>
    <row r="891">
      <c r="A891" s="54" t="n"/>
      <c r="B891" s="55" t="n"/>
      <c r="C891" s="56">
        <f>IF(OR(A891="",B891=""),"",IF(COUNTIF(Equipamentos!$A$2:$A$201,B891)=0,"tag não encontrada",IFERROR(INDEX(Equipamentos!$H$2:$H$201,MATCH(1,INDEX((Equipamentos!$A$2:$A$201=B891)*(Equipamentos!$P$2:$P$201=A891),0),0)),"confira a data")))</f>
        <v/>
      </c>
      <c r="D891">
        <f>IF(B891="","",IFERROR(INDEX(Equipamentos!$C$2:$C$201,MATCH(B891,Equipamentos!$A$2:$A$201,0)),""))</f>
        <v/>
      </c>
      <c r="E891" s="55" t="n"/>
      <c r="F891" s="55" t="n"/>
      <c r="G891">
        <f>IF(B891="","",IFERROR(INDEX(Equipamentos!$N$2:$N$201,MATCH(B891,Equipamentos!$A$2:$A$201,0)),""))</f>
        <v/>
      </c>
      <c r="H891">
        <f>IF(B891="","",IFERROR(INDEX(Equipamentos!$L$2:$L$201,MATCH(B891,Equipamentos!$A$2:$A$201,0)),""))</f>
        <v/>
      </c>
      <c r="I891" s="57">
        <f>IF(OR(A891="",B891=""),"",IFERROR(INDEX(Equipamentos!$J$2:$J$201,MATCH(1,INDEX((Equipamentos!$A$2:$A$201=B891)*(Equipamentos!$P$2:$P$201=A891),0),0)),""))</f>
        <v/>
      </c>
    </row>
    <row r="892">
      <c r="A892" s="54" t="n"/>
      <c r="B892" s="55" t="n"/>
      <c r="C892" s="56">
        <f>IF(OR(A892="",B892=""),"",IF(COUNTIF(Equipamentos!$A$2:$A$201,B892)=0,"tag não encontrada",IFERROR(INDEX(Equipamentos!$H$2:$H$201,MATCH(1,INDEX((Equipamentos!$A$2:$A$201=B892)*(Equipamentos!$P$2:$P$201=A892),0),0)),"confira a data")))</f>
        <v/>
      </c>
      <c r="D892">
        <f>IF(B892="","",IFERROR(INDEX(Equipamentos!$C$2:$C$201,MATCH(B892,Equipamentos!$A$2:$A$201,0)),""))</f>
        <v/>
      </c>
      <c r="E892" s="55" t="n"/>
      <c r="F892" s="55" t="n"/>
      <c r="G892">
        <f>IF(B892="","",IFERROR(INDEX(Equipamentos!$N$2:$N$201,MATCH(B892,Equipamentos!$A$2:$A$201,0)),""))</f>
        <v/>
      </c>
      <c r="H892">
        <f>IF(B892="","",IFERROR(INDEX(Equipamentos!$L$2:$L$201,MATCH(B892,Equipamentos!$A$2:$A$201,0)),""))</f>
        <v/>
      </c>
      <c r="I892" s="57">
        <f>IF(OR(A892="",B892=""),"",IFERROR(INDEX(Equipamentos!$J$2:$J$201,MATCH(1,INDEX((Equipamentos!$A$2:$A$201=B892)*(Equipamentos!$P$2:$P$201=A892),0),0)),""))</f>
        <v/>
      </c>
    </row>
    <row r="893">
      <c r="A893" s="54" t="n"/>
      <c r="B893" s="55" t="n"/>
      <c r="C893" s="56">
        <f>IF(OR(A893="",B893=""),"",IF(COUNTIF(Equipamentos!$A$2:$A$201,B893)=0,"tag não encontrada",IFERROR(INDEX(Equipamentos!$H$2:$H$201,MATCH(1,INDEX((Equipamentos!$A$2:$A$201=B893)*(Equipamentos!$P$2:$P$201=A893),0),0)),"confira a data")))</f>
        <v/>
      </c>
      <c r="D893">
        <f>IF(B893="","",IFERROR(INDEX(Equipamentos!$C$2:$C$201,MATCH(B893,Equipamentos!$A$2:$A$201,0)),""))</f>
        <v/>
      </c>
      <c r="E893" s="55" t="n"/>
      <c r="F893" s="55" t="n"/>
      <c r="G893">
        <f>IF(B893="","",IFERROR(INDEX(Equipamentos!$N$2:$N$201,MATCH(B893,Equipamentos!$A$2:$A$201,0)),""))</f>
        <v/>
      </c>
      <c r="H893">
        <f>IF(B893="","",IFERROR(INDEX(Equipamentos!$L$2:$L$201,MATCH(B893,Equipamentos!$A$2:$A$201,0)),""))</f>
        <v/>
      </c>
      <c r="I893" s="57">
        <f>IF(OR(A893="",B893=""),"",IFERROR(INDEX(Equipamentos!$J$2:$J$201,MATCH(1,INDEX((Equipamentos!$A$2:$A$201=B893)*(Equipamentos!$P$2:$P$201=A893),0),0)),""))</f>
        <v/>
      </c>
    </row>
    <row r="894">
      <c r="A894" s="54" t="n"/>
      <c r="B894" s="55" t="n"/>
      <c r="C894" s="56">
        <f>IF(OR(A894="",B894=""),"",IF(COUNTIF(Equipamentos!$A$2:$A$201,B894)=0,"tag não encontrada",IFERROR(INDEX(Equipamentos!$H$2:$H$201,MATCH(1,INDEX((Equipamentos!$A$2:$A$201=B894)*(Equipamentos!$P$2:$P$201=A894),0),0)),"confira a data")))</f>
        <v/>
      </c>
      <c r="D894">
        <f>IF(B894="","",IFERROR(INDEX(Equipamentos!$C$2:$C$201,MATCH(B894,Equipamentos!$A$2:$A$201,0)),""))</f>
        <v/>
      </c>
      <c r="E894" s="55" t="n"/>
      <c r="F894" s="55" t="n"/>
      <c r="G894">
        <f>IF(B894="","",IFERROR(INDEX(Equipamentos!$N$2:$N$201,MATCH(B894,Equipamentos!$A$2:$A$201,0)),""))</f>
        <v/>
      </c>
      <c r="H894">
        <f>IF(B894="","",IFERROR(INDEX(Equipamentos!$L$2:$L$201,MATCH(B894,Equipamentos!$A$2:$A$201,0)),""))</f>
        <v/>
      </c>
      <c r="I894" s="57">
        <f>IF(OR(A894="",B894=""),"",IFERROR(INDEX(Equipamentos!$J$2:$J$201,MATCH(1,INDEX((Equipamentos!$A$2:$A$201=B894)*(Equipamentos!$P$2:$P$201=A894),0),0)),""))</f>
        <v/>
      </c>
    </row>
    <row r="895">
      <c r="A895" s="54" t="n"/>
      <c r="B895" s="55" t="n"/>
      <c r="C895" s="56">
        <f>IF(OR(A895="",B895=""),"",IF(COUNTIF(Equipamentos!$A$2:$A$201,B895)=0,"tag não encontrada",IFERROR(INDEX(Equipamentos!$H$2:$H$201,MATCH(1,INDEX((Equipamentos!$A$2:$A$201=B895)*(Equipamentos!$P$2:$P$201=A895),0),0)),"confira a data")))</f>
        <v/>
      </c>
      <c r="D895">
        <f>IF(B895="","",IFERROR(INDEX(Equipamentos!$C$2:$C$201,MATCH(B895,Equipamentos!$A$2:$A$201,0)),""))</f>
        <v/>
      </c>
      <c r="E895" s="55" t="n"/>
      <c r="F895" s="55" t="n"/>
      <c r="G895">
        <f>IF(B895="","",IFERROR(INDEX(Equipamentos!$N$2:$N$201,MATCH(B895,Equipamentos!$A$2:$A$201,0)),""))</f>
        <v/>
      </c>
      <c r="H895">
        <f>IF(B895="","",IFERROR(INDEX(Equipamentos!$L$2:$L$201,MATCH(B895,Equipamentos!$A$2:$A$201,0)),""))</f>
        <v/>
      </c>
      <c r="I895" s="57">
        <f>IF(OR(A895="",B895=""),"",IFERROR(INDEX(Equipamentos!$J$2:$J$201,MATCH(1,INDEX((Equipamentos!$A$2:$A$201=B895)*(Equipamentos!$P$2:$P$201=A895),0),0)),""))</f>
        <v/>
      </c>
    </row>
    <row r="896">
      <c r="A896" s="54" t="n"/>
      <c r="B896" s="55" t="n"/>
      <c r="C896" s="56">
        <f>IF(OR(A896="",B896=""),"",IF(COUNTIF(Equipamentos!$A$2:$A$201,B896)=0,"tag não encontrada",IFERROR(INDEX(Equipamentos!$H$2:$H$201,MATCH(1,INDEX((Equipamentos!$A$2:$A$201=B896)*(Equipamentos!$P$2:$P$201=A896),0),0)),"confira a data")))</f>
        <v/>
      </c>
      <c r="D896">
        <f>IF(B896="","",IFERROR(INDEX(Equipamentos!$C$2:$C$201,MATCH(B896,Equipamentos!$A$2:$A$201,0)),""))</f>
        <v/>
      </c>
      <c r="E896" s="55" t="n"/>
      <c r="F896" s="55" t="n"/>
      <c r="G896">
        <f>IF(B896="","",IFERROR(INDEX(Equipamentos!$N$2:$N$201,MATCH(B896,Equipamentos!$A$2:$A$201,0)),""))</f>
        <v/>
      </c>
      <c r="H896">
        <f>IF(B896="","",IFERROR(INDEX(Equipamentos!$L$2:$L$201,MATCH(B896,Equipamentos!$A$2:$A$201,0)),""))</f>
        <v/>
      </c>
      <c r="I896" s="57">
        <f>IF(OR(A896="",B896=""),"",IFERROR(INDEX(Equipamentos!$J$2:$J$201,MATCH(1,INDEX((Equipamentos!$A$2:$A$201=B896)*(Equipamentos!$P$2:$P$201=A896),0),0)),""))</f>
        <v/>
      </c>
    </row>
    <row r="897">
      <c r="A897" s="54" t="n"/>
      <c r="B897" s="55" t="n"/>
      <c r="C897" s="56">
        <f>IF(OR(A897="",B897=""),"",IF(COUNTIF(Equipamentos!$A$2:$A$201,B897)=0,"tag não encontrada",IFERROR(INDEX(Equipamentos!$H$2:$H$201,MATCH(1,INDEX((Equipamentos!$A$2:$A$201=B897)*(Equipamentos!$P$2:$P$201=A897),0),0)),"confira a data")))</f>
        <v/>
      </c>
      <c r="D897">
        <f>IF(B897="","",IFERROR(INDEX(Equipamentos!$C$2:$C$201,MATCH(B897,Equipamentos!$A$2:$A$201,0)),""))</f>
        <v/>
      </c>
      <c r="E897" s="55" t="n"/>
      <c r="F897" s="55" t="n"/>
      <c r="G897">
        <f>IF(B897="","",IFERROR(INDEX(Equipamentos!$N$2:$N$201,MATCH(B897,Equipamentos!$A$2:$A$201,0)),""))</f>
        <v/>
      </c>
      <c r="H897">
        <f>IF(B897="","",IFERROR(INDEX(Equipamentos!$L$2:$L$201,MATCH(B897,Equipamentos!$A$2:$A$201,0)),""))</f>
        <v/>
      </c>
      <c r="I897" s="57">
        <f>IF(OR(A897="",B897=""),"",IFERROR(INDEX(Equipamentos!$J$2:$J$201,MATCH(1,INDEX((Equipamentos!$A$2:$A$201=B897)*(Equipamentos!$P$2:$P$201=A897),0),0)),""))</f>
        <v/>
      </c>
    </row>
    <row r="898">
      <c r="A898" s="54" t="n"/>
      <c r="B898" s="55" t="n"/>
      <c r="C898" s="56">
        <f>IF(OR(A898="",B898=""),"",IF(COUNTIF(Equipamentos!$A$2:$A$201,B898)=0,"tag não encontrada",IFERROR(INDEX(Equipamentos!$H$2:$H$201,MATCH(1,INDEX((Equipamentos!$A$2:$A$201=B898)*(Equipamentos!$P$2:$P$201=A898),0),0)),"confira a data")))</f>
        <v/>
      </c>
      <c r="D898">
        <f>IF(B898="","",IFERROR(INDEX(Equipamentos!$C$2:$C$201,MATCH(B898,Equipamentos!$A$2:$A$201,0)),""))</f>
        <v/>
      </c>
      <c r="E898" s="55" t="n"/>
      <c r="F898" s="55" t="n"/>
      <c r="G898">
        <f>IF(B898="","",IFERROR(INDEX(Equipamentos!$N$2:$N$201,MATCH(B898,Equipamentos!$A$2:$A$201,0)),""))</f>
        <v/>
      </c>
      <c r="H898">
        <f>IF(B898="","",IFERROR(INDEX(Equipamentos!$L$2:$L$201,MATCH(B898,Equipamentos!$A$2:$A$201,0)),""))</f>
        <v/>
      </c>
      <c r="I898" s="57">
        <f>IF(OR(A898="",B898=""),"",IFERROR(INDEX(Equipamentos!$J$2:$J$201,MATCH(1,INDEX((Equipamentos!$A$2:$A$201=B898)*(Equipamentos!$P$2:$P$201=A898),0),0)),""))</f>
        <v/>
      </c>
    </row>
    <row r="899">
      <c r="A899" s="54" t="n"/>
      <c r="B899" s="55" t="n"/>
      <c r="C899" s="56">
        <f>IF(OR(A899="",B899=""),"",IF(COUNTIF(Equipamentos!$A$2:$A$201,B899)=0,"tag não encontrada",IFERROR(INDEX(Equipamentos!$H$2:$H$201,MATCH(1,INDEX((Equipamentos!$A$2:$A$201=B899)*(Equipamentos!$P$2:$P$201=A899),0),0)),"confira a data")))</f>
        <v/>
      </c>
      <c r="D899">
        <f>IF(B899="","",IFERROR(INDEX(Equipamentos!$C$2:$C$201,MATCH(B899,Equipamentos!$A$2:$A$201,0)),""))</f>
        <v/>
      </c>
      <c r="E899" s="55" t="n"/>
      <c r="F899" s="55" t="n"/>
      <c r="G899">
        <f>IF(B899="","",IFERROR(INDEX(Equipamentos!$N$2:$N$201,MATCH(B899,Equipamentos!$A$2:$A$201,0)),""))</f>
        <v/>
      </c>
      <c r="H899">
        <f>IF(B899="","",IFERROR(INDEX(Equipamentos!$L$2:$L$201,MATCH(B899,Equipamentos!$A$2:$A$201,0)),""))</f>
        <v/>
      </c>
      <c r="I899" s="57">
        <f>IF(OR(A899="",B899=""),"",IFERROR(INDEX(Equipamentos!$J$2:$J$201,MATCH(1,INDEX((Equipamentos!$A$2:$A$201=B899)*(Equipamentos!$P$2:$P$201=A899),0),0)),""))</f>
        <v/>
      </c>
    </row>
    <row r="900">
      <c r="A900" s="54" t="n"/>
      <c r="B900" s="55" t="n"/>
      <c r="C900" s="56">
        <f>IF(OR(A900="",B900=""),"",IF(COUNTIF(Equipamentos!$A$2:$A$201,B900)=0,"tag não encontrada",IFERROR(INDEX(Equipamentos!$H$2:$H$201,MATCH(1,INDEX((Equipamentos!$A$2:$A$201=B900)*(Equipamentos!$P$2:$P$201=A900),0),0)),"confira a data")))</f>
        <v/>
      </c>
      <c r="D900">
        <f>IF(B900="","",IFERROR(INDEX(Equipamentos!$C$2:$C$201,MATCH(B900,Equipamentos!$A$2:$A$201,0)),""))</f>
        <v/>
      </c>
      <c r="E900" s="55" t="n"/>
      <c r="F900" s="55" t="n"/>
      <c r="G900">
        <f>IF(B900="","",IFERROR(INDEX(Equipamentos!$N$2:$N$201,MATCH(B900,Equipamentos!$A$2:$A$201,0)),""))</f>
        <v/>
      </c>
      <c r="H900">
        <f>IF(B900="","",IFERROR(INDEX(Equipamentos!$L$2:$L$201,MATCH(B900,Equipamentos!$A$2:$A$201,0)),""))</f>
        <v/>
      </c>
      <c r="I900" s="57">
        <f>IF(OR(A900="",B900=""),"",IFERROR(INDEX(Equipamentos!$J$2:$J$201,MATCH(1,INDEX((Equipamentos!$A$2:$A$201=B900)*(Equipamentos!$P$2:$P$201=A900),0),0)),""))</f>
        <v/>
      </c>
    </row>
    <row r="901">
      <c r="A901" s="54" t="n"/>
      <c r="B901" s="55" t="n"/>
      <c r="C901" s="56">
        <f>IF(OR(A901="",B901=""),"",IF(COUNTIF(Equipamentos!$A$2:$A$201,B901)=0,"tag não encontrada",IFERROR(INDEX(Equipamentos!$H$2:$H$201,MATCH(1,INDEX((Equipamentos!$A$2:$A$201=B901)*(Equipamentos!$P$2:$P$201=A901),0),0)),"confira a data")))</f>
        <v/>
      </c>
      <c r="D901">
        <f>IF(B901="","",IFERROR(INDEX(Equipamentos!$C$2:$C$201,MATCH(B901,Equipamentos!$A$2:$A$201,0)),""))</f>
        <v/>
      </c>
      <c r="E901" s="55" t="n"/>
      <c r="F901" s="55" t="n"/>
      <c r="G901">
        <f>IF(B901="","",IFERROR(INDEX(Equipamentos!$N$2:$N$201,MATCH(B901,Equipamentos!$A$2:$A$201,0)),""))</f>
        <v/>
      </c>
      <c r="H901">
        <f>IF(B901="","",IFERROR(INDEX(Equipamentos!$L$2:$L$201,MATCH(B901,Equipamentos!$A$2:$A$201,0)),""))</f>
        <v/>
      </c>
      <c r="I901" s="57">
        <f>IF(OR(A901="",B901=""),"",IFERROR(INDEX(Equipamentos!$J$2:$J$201,MATCH(1,INDEX((Equipamentos!$A$2:$A$201=B901)*(Equipamentos!$P$2:$P$201=A901),0),0)),""))</f>
        <v/>
      </c>
    </row>
    <row r="902">
      <c r="A902" s="54" t="n"/>
      <c r="B902" s="55" t="n"/>
      <c r="C902" s="56">
        <f>IF(OR(A902="",B902=""),"",IF(COUNTIF(Equipamentos!$A$2:$A$201,B902)=0,"tag não encontrada",IFERROR(INDEX(Equipamentos!$H$2:$H$201,MATCH(1,INDEX((Equipamentos!$A$2:$A$201=B902)*(Equipamentos!$P$2:$P$201=A902),0),0)),"confira a data")))</f>
        <v/>
      </c>
      <c r="D902">
        <f>IF(B902="","",IFERROR(INDEX(Equipamentos!$C$2:$C$201,MATCH(B902,Equipamentos!$A$2:$A$201,0)),""))</f>
        <v/>
      </c>
      <c r="E902" s="55" t="n"/>
      <c r="F902" s="55" t="n"/>
      <c r="G902">
        <f>IF(B902="","",IFERROR(INDEX(Equipamentos!$N$2:$N$201,MATCH(B902,Equipamentos!$A$2:$A$201,0)),""))</f>
        <v/>
      </c>
      <c r="H902">
        <f>IF(B902="","",IFERROR(INDEX(Equipamentos!$L$2:$L$201,MATCH(B902,Equipamentos!$A$2:$A$201,0)),""))</f>
        <v/>
      </c>
      <c r="I902" s="57">
        <f>IF(OR(A902="",B902=""),"",IFERROR(INDEX(Equipamentos!$J$2:$J$201,MATCH(1,INDEX((Equipamentos!$A$2:$A$201=B902)*(Equipamentos!$P$2:$P$201=A902),0),0)),""))</f>
        <v/>
      </c>
    </row>
    <row r="903">
      <c r="A903" s="54" t="n"/>
      <c r="B903" s="55" t="n"/>
      <c r="C903" s="56">
        <f>IF(OR(A903="",B903=""),"",IF(COUNTIF(Equipamentos!$A$2:$A$201,B903)=0,"tag não encontrada",IFERROR(INDEX(Equipamentos!$H$2:$H$201,MATCH(1,INDEX((Equipamentos!$A$2:$A$201=B903)*(Equipamentos!$P$2:$P$201=A903),0),0)),"confira a data")))</f>
        <v/>
      </c>
      <c r="D903">
        <f>IF(B903="","",IFERROR(INDEX(Equipamentos!$C$2:$C$201,MATCH(B903,Equipamentos!$A$2:$A$201,0)),""))</f>
        <v/>
      </c>
      <c r="E903" s="55" t="n"/>
      <c r="F903" s="55" t="n"/>
      <c r="G903">
        <f>IF(B903="","",IFERROR(INDEX(Equipamentos!$N$2:$N$201,MATCH(B903,Equipamentos!$A$2:$A$201,0)),""))</f>
        <v/>
      </c>
      <c r="H903">
        <f>IF(B903="","",IFERROR(INDEX(Equipamentos!$L$2:$L$201,MATCH(B903,Equipamentos!$A$2:$A$201,0)),""))</f>
        <v/>
      </c>
      <c r="I903" s="57">
        <f>IF(OR(A903="",B903=""),"",IFERROR(INDEX(Equipamentos!$J$2:$J$201,MATCH(1,INDEX((Equipamentos!$A$2:$A$201=B903)*(Equipamentos!$P$2:$P$201=A903),0),0)),""))</f>
        <v/>
      </c>
    </row>
    <row r="904">
      <c r="A904" s="54" t="n"/>
      <c r="B904" s="55" t="n"/>
      <c r="C904" s="56">
        <f>IF(OR(A904="",B904=""),"",IF(COUNTIF(Equipamentos!$A$2:$A$201,B904)=0,"tag não encontrada",IFERROR(INDEX(Equipamentos!$H$2:$H$201,MATCH(1,INDEX((Equipamentos!$A$2:$A$201=B904)*(Equipamentos!$P$2:$P$201=A904),0),0)),"confira a data")))</f>
        <v/>
      </c>
      <c r="D904">
        <f>IF(B904="","",IFERROR(INDEX(Equipamentos!$C$2:$C$201,MATCH(B904,Equipamentos!$A$2:$A$201,0)),""))</f>
        <v/>
      </c>
      <c r="E904" s="55" t="n"/>
      <c r="F904" s="55" t="n"/>
      <c r="G904">
        <f>IF(B904="","",IFERROR(INDEX(Equipamentos!$N$2:$N$201,MATCH(B904,Equipamentos!$A$2:$A$201,0)),""))</f>
        <v/>
      </c>
      <c r="H904">
        <f>IF(B904="","",IFERROR(INDEX(Equipamentos!$L$2:$L$201,MATCH(B904,Equipamentos!$A$2:$A$201,0)),""))</f>
        <v/>
      </c>
      <c r="I904" s="57">
        <f>IF(OR(A904="",B904=""),"",IFERROR(INDEX(Equipamentos!$J$2:$J$201,MATCH(1,INDEX((Equipamentos!$A$2:$A$201=B904)*(Equipamentos!$P$2:$P$201=A904),0),0)),""))</f>
        <v/>
      </c>
    </row>
    <row r="905">
      <c r="A905" s="54" t="n"/>
      <c r="B905" s="55" t="n"/>
      <c r="C905" s="56">
        <f>IF(OR(A905="",B905=""),"",IF(COUNTIF(Equipamentos!$A$2:$A$201,B905)=0,"tag não encontrada",IFERROR(INDEX(Equipamentos!$H$2:$H$201,MATCH(1,INDEX((Equipamentos!$A$2:$A$201=B905)*(Equipamentos!$P$2:$P$201=A905),0),0)),"confira a data")))</f>
        <v/>
      </c>
      <c r="D905">
        <f>IF(B905="","",IFERROR(INDEX(Equipamentos!$C$2:$C$201,MATCH(B905,Equipamentos!$A$2:$A$201,0)),""))</f>
        <v/>
      </c>
      <c r="E905" s="55" t="n"/>
      <c r="F905" s="55" t="n"/>
      <c r="G905">
        <f>IF(B905="","",IFERROR(INDEX(Equipamentos!$N$2:$N$201,MATCH(B905,Equipamentos!$A$2:$A$201,0)),""))</f>
        <v/>
      </c>
      <c r="H905">
        <f>IF(B905="","",IFERROR(INDEX(Equipamentos!$L$2:$L$201,MATCH(B905,Equipamentos!$A$2:$A$201,0)),""))</f>
        <v/>
      </c>
      <c r="I905" s="57">
        <f>IF(OR(A905="",B905=""),"",IFERROR(INDEX(Equipamentos!$J$2:$J$201,MATCH(1,INDEX((Equipamentos!$A$2:$A$201=B905)*(Equipamentos!$P$2:$P$201=A905),0),0)),""))</f>
        <v/>
      </c>
    </row>
    <row r="906">
      <c r="A906" s="54" t="n"/>
      <c r="B906" s="55" t="n"/>
      <c r="C906" s="56">
        <f>IF(OR(A906="",B906=""),"",IF(COUNTIF(Equipamentos!$A$2:$A$201,B906)=0,"tag não encontrada",IFERROR(INDEX(Equipamentos!$H$2:$H$201,MATCH(1,INDEX((Equipamentos!$A$2:$A$201=B906)*(Equipamentos!$P$2:$P$201=A906),0),0)),"confira a data")))</f>
        <v/>
      </c>
      <c r="D906">
        <f>IF(B906="","",IFERROR(INDEX(Equipamentos!$C$2:$C$201,MATCH(B906,Equipamentos!$A$2:$A$201,0)),""))</f>
        <v/>
      </c>
      <c r="E906" s="55" t="n"/>
      <c r="F906" s="55" t="n"/>
      <c r="G906">
        <f>IF(B906="","",IFERROR(INDEX(Equipamentos!$N$2:$N$201,MATCH(B906,Equipamentos!$A$2:$A$201,0)),""))</f>
        <v/>
      </c>
      <c r="H906">
        <f>IF(B906="","",IFERROR(INDEX(Equipamentos!$L$2:$L$201,MATCH(B906,Equipamentos!$A$2:$A$201,0)),""))</f>
        <v/>
      </c>
      <c r="I906" s="57">
        <f>IF(OR(A906="",B906=""),"",IFERROR(INDEX(Equipamentos!$J$2:$J$201,MATCH(1,INDEX((Equipamentos!$A$2:$A$201=B906)*(Equipamentos!$P$2:$P$201=A906),0),0)),""))</f>
        <v/>
      </c>
    </row>
    <row r="907">
      <c r="A907" s="54" t="n"/>
      <c r="B907" s="55" t="n"/>
      <c r="C907" s="56">
        <f>IF(OR(A907="",B907=""),"",IF(COUNTIF(Equipamentos!$A$2:$A$201,B907)=0,"tag não encontrada",IFERROR(INDEX(Equipamentos!$H$2:$H$201,MATCH(1,INDEX((Equipamentos!$A$2:$A$201=B907)*(Equipamentos!$P$2:$P$201=A907),0),0)),"confira a data")))</f>
        <v/>
      </c>
      <c r="D907">
        <f>IF(B907="","",IFERROR(INDEX(Equipamentos!$C$2:$C$201,MATCH(B907,Equipamentos!$A$2:$A$201,0)),""))</f>
        <v/>
      </c>
      <c r="E907" s="55" t="n"/>
      <c r="F907" s="55" t="n"/>
      <c r="G907">
        <f>IF(B907="","",IFERROR(INDEX(Equipamentos!$N$2:$N$201,MATCH(B907,Equipamentos!$A$2:$A$201,0)),""))</f>
        <v/>
      </c>
      <c r="H907">
        <f>IF(B907="","",IFERROR(INDEX(Equipamentos!$L$2:$L$201,MATCH(B907,Equipamentos!$A$2:$A$201,0)),""))</f>
        <v/>
      </c>
      <c r="I907" s="57">
        <f>IF(OR(A907="",B907=""),"",IFERROR(INDEX(Equipamentos!$J$2:$J$201,MATCH(1,INDEX((Equipamentos!$A$2:$A$201=B907)*(Equipamentos!$P$2:$P$201=A907),0),0)),""))</f>
        <v/>
      </c>
    </row>
    <row r="908">
      <c r="A908" s="54" t="n"/>
      <c r="B908" s="55" t="n"/>
      <c r="C908" s="56">
        <f>IF(OR(A908="",B908=""),"",IF(COUNTIF(Equipamentos!$A$2:$A$201,B908)=0,"tag não encontrada",IFERROR(INDEX(Equipamentos!$H$2:$H$201,MATCH(1,INDEX((Equipamentos!$A$2:$A$201=B908)*(Equipamentos!$P$2:$P$201=A908),0),0)),"confira a data")))</f>
        <v/>
      </c>
      <c r="D908">
        <f>IF(B908="","",IFERROR(INDEX(Equipamentos!$C$2:$C$201,MATCH(B908,Equipamentos!$A$2:$A$201,0)),""))</f>
        <v/>
      </c>
      <c r="E908" s="55" t="n"/>
      <c r="F908" s="55" t="n"/>
      <c r="G908">
        <f>IF(B908="","",IFERROR(INDEX(Equipamentos!$N$2:$N$201,MATCH(B908,Equipamentos!$A$2:$A$201,0)),""))</f>
        <v/>
      </c>
      <c r="H908">
        <f>IF(B908="","",IFERROR(INDEX(Equipamentos!$L$2:$L$201,MATCH(B908,Equipamentos!$A$2:$A$201,0)),""))</f>
        <v/>
      </c>
      <c r="I908" s="57">
        <f>IF(OR(A908="",B908=""),"",IFERROR(INDEX(Equipamentos!$J$2:$J$201,MATCH(1,INDEX((Equipamentos!$A$2:$A$201=B908)*(Equipamentos!$P$2:$P$201=A908),0),0)),""))</f>
        <v/>
      </c>
    </row>
    <row r="909">
      <c r="A909" s="54" t="n"/>
      <c r="B909" s="55" t="n"/>
      <c r="C909" s="56">
        <f>IF(OR(A909="",B909=""),"",IF(COUNTIF(Equipamentos!$A$2:$A$201,B909)=0,"tag não encontrada",IFERROR(INDEX(Equipamentos!$H$2:$H$201,MATCH(1,INDEX((Equipamentos!$A$2:$A$201=B909)*(Equipamentos!$P$2:$P$201=A909),0),0)),"confira a data")))</f>
        <v/>
      </c>
      <c r="D909">
        <f>IF(B909="","",IFERROR(INDEX(Equipamentos!$C$2:$C$201,MATCH(B909,Equipamentos!$A$2:$A$201,0)),""))</f>
        <v/>
      </c>
      <c r="E909" s="55" t="n"/>
      <c r="F909" s="55" t="n"/>
      <c r="G909">
        <f>IF(B909="","",IFERROR(INDEX(Equipamentos!$N$2:$N$201,MATCH(B909,Equipamentos!$A$2:$A$201,0)),""))</f>
        <v/>
      </c>
      <c r="H909">
        <f>IF(B909="","",IFERROR(INDEX(Equipamentos!$L$2:$L$201,MATCH(B909,Equipamentos!$A$2:$A$201,0)),""))</f>
        <v/>
      </c>
      <c r="I909" s="57">
        <f>IF(OR(A909="",B909=""),"",IFERROR(INDEX(Equipamentos!$J$2:$J$201,MATCH(1,INDEX((Equipamentos!$A$2:$A$201=B909)*(Equipamentos!$P$2:$P$201=A909),0),0)),""))</f>
        <v/>
      </c>
    </row>
    <row r="910">
      <c r="A910" s="54" t="n"/>
      <c r="B910" s="55" t="n"/>
      <c r="C910" s="56">
        <f>IF(OR(A910="",B910=""),"",IF(COUNTIF(Equipamentos!$A$2:$A$201,B910)=0,"tag não encontrada",IFERROR(INDEX(Equipamentos!$H$2:$H$201,MATCH(1,INDEX((Equipamentos!$A$2:$A$201=B910)*(Equipamentos!$P$2:$P$201=A910),0),0)),"confira a data")))</f>
        <v/>
      </c>
      <c r="D910">
        <f>IF(B910="","",IFERROR(INDEX(Equipamentos!$C$2:$C$201,MATCH(B910,Equipamentos!$A$2:$A$201,0)),""))</f>
        <v/>
      </c>
      <c r="E910" s="55" t="n"/>
      <c r="F910" s="55" t="n"/>
      <c r="G910">
        <f>IF(B910="","",IFERROR(INDEX(Equipamentos!$N$2:$N$201,MATCH(B910,Equipamentos!$A$2:$A$201,0)),""))</f>
        <v/>
      </c>
      <c r="H910">
        <f>IF(B910="","",IFERROR(INDEX(Equipamentos!$L$2:$L$201,MATCH(B910,Equipamentos!$A$2:$A$201,0)),""))</f>
        <v/>
      </c>
      <c r="I910" s="57">
        <f>IF(OR(A910="",B910=""),"",IFERROR(INDEX(Equipamentos!$J$2:$J$201,MATCH(1,INDEX((Equipamentos!$A$2:$A$201=B910)*(Equipamentos!$P$2:$P$201=A910),0),0)),""))</f>
        <v/>
      </c>
    </row>
    <row r="911">
      <c r="A911" s="54" t="n"/>
      <c r="B911" s="55" t="n"/>
      <c r="C911" s="56">
        <f>IF(OR(A911="",B911=""),"",IF(COUNTIF(Equipamentos!$A$2:$A$201,B911)=0,"tag não encontrada",IFERROR(INDEX(Equipamentos!$H$2:$H$201,MATCH(1,INDEX((Equipamentos!$A$2:$A$201=B911)*(Equipamentos!$P$2:$P$201=A911),0),0)),"confira a data")))</f>
        <v/>
      </c>
      <c r="D911">
        <f>IF(B911="","",IFERROR(INDEX(Equipamentos!$C$2:$C$201,MATCH(B911,Equipamentos!$A$2:$A$201,0)),""))</f>
        <v/>
      </c>
      <c r="E911" s="55" t="n"/>
      <c r="F911" s="55" t="n"/>
      <c r="G911">
        <f>IF(B911="","",IFERROR(INDEX(Equipamentos!$N$2:$N$201,MATCH(B911,Equipamentos!$A$2:$A$201,0)),""))</f>
        <v/>
      </c>
      <c r="H911">
        <f>IF(B911="","",IFERROR(INDEX(Equipamentos!$L$2:$L$201,MATCH(B911,Equipamentos!$A$2:$A$201,0)),""))</f>
        <v/>
      </c>
      <c r="I911" s="57">
        <f>IF(OR(A911="",B911=""),"",IFERROR(INDEX(Equipamentos!$J$2:$J$201,MATCH(1,INDEX((Equipamentos!$A$2:$A$201=B911)*(Equipamentos!$P$2:$P$201=A911),0),0)),""))</f>
        <v/>
      </c>
    </row>
    <row r="912">
      <c r="A912" s="54" t="n"/>
      <c r="B912" s="55" t="n"/>
      <c r="C912" s="56">
        <f>IF(OR(A912="",B912=""),"",IF(COUNTIF(Equipamentos!$A$2:$A$201,B912)=0,"tag não encontrada",IFERROR(INDEX(Equipamentos!$H$2:$H$201,MATCH(1,INDEX((Equipamentos!$A$2:$A$201=B912)*(Equipamentos!$P$2:$P$201=A912),0),0)),"confira a data")))</f>
        <v/>
      </c>
      <c r="D912">
        <f>IF(B912="","",IFERROR(INDEX(Equipamentos!$C$2:$C$201,MATCH(B912,Equipamentos!$A$2:$A$201,0)),""))</f>
        <v/>
      </c>
      <c r="E912" s="55" t="n"/>
      <c r="F912" s="55" t="n"/>
      <c r="G912">
        <f>IF(B912="","",IFERROR(INDEX(Equipamentos!$N$2:$N$201,MATCH(B912,Equipamentos!$A$2:$A$201,0)),""))</f>
        <v/>
      </c>
      <c r="H912">
        <f>IF(B912="","",IFERROR(INDEX(Equipamentos!$L$2:$L$201,MATCH(B912,Equipamentos!$A$2:$A$201,0)),""))</f>
        <v/>
      </c>
      <c r="I912" s="57">
        <f>IF(OR(A912="",B912=""),"",IFERROR(INDEX(Equipamentos!$J$2:$J$201,MATCH(1,INDEX((Equipamentos!$A$2:$A$201=B912)*(Equipamentos!$P$2:$P$201=A912),0),0)),""))</f>
        <v/>
      </c>
    </row>
    <row r="913">
      <c r="A913" s="54" t="n"/>
      <c r="B913" s="55" t="n"/>
      <c r="C913" s="56">
        <f>IF(OR(A913="",B913=""),"",IF(COUNTIF(Equipamentos!$A$2:$A$201,B913)=0,"tag não encontrada",IFERROR(INDEX(Equipamentos!$H$2:$H$201,MATCH(1,INDEX((Equipamentos!$A$2:$A$201=B913)*(Equipamentos!$P$2:$P$201=A913),0),0)),"confira a data")))</f>
        <v/>
      </c>
      <c r="D913">
        <f>IF(B913="","",IFERROR(INDEX(Equipamentos!$C$2:$C$201,MATCH(B913,Equipamentos!$A$2:$A$201,0)),""))</f>
        <v/>
      </c>
      <c r="E913" s="55" t="n"/>
      <c r="F913" s="55" t="n"/>
      <c r="G913">
        <f>IF(B913="","",IFERROR(INDEX(Equipamentos!$N$2:$N$201,MATCH(B913,Equipamentos!$A$2:$A$201,0)),""))</f>
        <v/>
      </c>
      <c r="H913">
        <f>IF(B913="","",IFERROR(INDEX(Equipamentos!$L$2:$L$201,MATCH(B913,Equipamentos!$A$2:$A$201,0)),""))</f>
        <v/>
      </c>
      <c r="I913" s="57">
        <f>IF(OR(A913="",B913=""),"",IFERROR(INDEX(Equipamentos!$J$2:$J$201,MATCH(1,INDEX((Equipamentos!$A$2:$A$201=B913)*(Equipamentos!$P$2:$P$201=A913),0),0)),""))</f>
        <v/>
      </c>
    </row>
    <row r="914">
      <c r="A914" s="54" t="n"/>
      <c r="B914" s="55" t="n"/>
      <c r="C914" s="56">
        <f>IF(OR(A914="",B914=""),"",IF(COUNTIF(Equipamentos!$A$2:$A$201,B914)=0,"tag não encontrada",IFERROR(INDEX(Equipamentos!$H$2:$H$201,MATCH(1,INDEX((Equipamentos!$A$2:$A$201=B914)*(Equipamentos!$P$2:$P$201=A914),0),0)),"confira a data")))</f>
        <v/>
      </c>
      <c r="D914">
        <f>IF(B914="","",IFERROR(INDEX(Equipamentos!$C$2:$C$201,MATCH(B914,Equipamentos!$A$2:$A$201,0)),""))</f>
        <v/>
      </c>
      <c r="E914" s="55" t="n"/>
      <c r="F914" s="55" t="n"/>
      <c r="G914">
        <f>IF(B914="","",IFERROR(INDEX(Equipamentos!$N$2:$N$201,MATCH(B914,Equipamentos!$A$2:$A$201,0)),""))</f>
        <v/>
      </c>
      <c r="H914">
        <f>IF(B914="","",IFERROR(INDEX(Equipamentos!$L$2:$L$201,MATCH(B914,Equipamentos!$A$2:$A$201,0)),""))</f>
        <v/>
      </c>
      <c r="I914" s="57">
        <f>IF(OR(A914="",B914=""),"",IFERROR(INDEX(Equipamentos!$J$2:$J$201,MATCH(1,INDEX((Equipamentos!$A$2:$A$201=B914)*(Equipamentos!$P$2:$P$201=A914),0),0)),""))</f>
        <v/>
      </c>
    </row>
    <row r="915">
      <c r="A915" s="54" t="n"/>
      <c r="B915" s="55" t="n"/>
      <c r="C915" s="56">
        <f>IF(OR(A915="",B915=""),"",IF(COUNTIF(Equipamentos!$A$2:$A$201,B915)=0,"tag não encontrada",IFERROR(INDEX(Equipamentos!$H$2:$H$201,MATCH(1,INDEX((Equipamentos!$A$2:$A$201=B915)*(Equipamentos!$P$2:$P$201=A915),0),0)),"confira a data")))</f>
        <v/>
      </c>
      <c r="D915">
        <f>IF(B915="","",IFERROR(INDEX(Equipamentos!$C$2:$C$201,MATCH(B915,Equipamentos!$A$2:$A$201,0)),""))</f>
        <v/>
      </c>
      <c r="E915" s="55" t="n"/>
      <c r="F915" s="55" t="n"/>
      <c r="G915">
        <f>IF(B915="","",IFERROR(INDEX(Equipamentos!$N$2:$N$201,MATCH(B915,Equipamentos!$A$2:$A$201,0)),""))</f>
        <v/>
      </c>
      <c r="H915">
        <f>IF(B915="","",IFERROR(INDEX(Equipamentos!$L$2:$L$201,MATCH(B915,Equipamentos!$A$2:$A$201,0)),""))</f>
        <v/>
      </c>
      <c r="I915" s="57">
        <f>IF(OR(A915="",B915=""),"",IFERROR(INDEX(Equipamentos!$J$2:$J$201,MATCH(1,INDEX((Equipamentos!$A$2:$A$201=B915)*(Equipamentos!$P$2:$P$201=A915),0),0)),""))</f>
        <v/>
      </c>
    </row>
    <row r="916">
      <c r="A916" s="54" t="n"/>
      <c r="B916" s="55" t="n"/>
      <c r="C916" s="56">
        <f>IF(OR(A916="",B916=""),"",IF(COUNTIF(Equipamentos!$A$2:$A$201,B916)=0,"tag não encontrada",IFERROR(INDEX(Equipamentos!$H$2:$H$201,MATCH(1,INDEX((Equipamentos!$A$2:$A$201=B916)*(Equipamentos!$P$2:$P$201=A916),0),0)),"confira a data")))</f>
        <v/>
      </c>
      <c r="D916">
        <f>IF(B916="","",IFERROR(INDEX(Equipamentos!$C$2:$C$201,MATCH(B916,Equipamentos!$A$2:$A$201,0)),""))</f>
        <v/>
      </c>
      <c r="E916" s="55" t="n"/>
      <c r="F916" s="55" t="n"/>
      <c r="G916">
        <f>IF(B916="","",IFERROR(INDEX(Equipamentos!$N$2:$N$201,MATCH(B916,Equipamentos!$A$2:$A$201,0)),""))</f>
        <v/>
      </c>
      <c r="H916">
        <f>IF(B916="","",IFERROR(INDEX(Equipamentos!$L$2:$L$201,MATCH(B916,Equipamentos!$A$2:$A$201,0)),""))</f>
        <v/>
      </c>
      <c r="I916" s="57">
        <f>IF(OR(A916="",B916=""),"",IFERROR(INDEX(Equipamentos!$J$2:$J$201,MATCH(1,INDEX((Equipamentos!$A$2:$A$201=B916)*(Equipamentos!$P$2:$P$201=A916),0),0)),""))</f>
        <v/>
      </c>
    </row>
    <row r="917">
      <c r="A917" s="54" t="n"/>
      <c r="B917" s="55" t="n"/>
      <c r="C917" s="56">
        <f>IF(OR(A917="",B917=""),"",IF(COUNTIF(Equipamentos!$A$2:$A$201,B917)=0,"tag não encontrada",IFERROR(INDEX(Equipamentos!$H$2:$H$201,MATCH(1,INDEX((Equipamentos!$A$2:$A$201=B917)*(Equipamentos!$P$2:$P$201=A917),0),0)),"confira a data")))</f>
        <v/>
      </c>
      <c r="D917">
        <f>IF(B917="","",IFERROR(INDEX(Equipamentos!$C$2:$C$201,MATCH(B917,Equipamentos!$A$2:$A$201,0)),""))</f>
        <v/>
      </c>
      <c r="E917" s="55" t="n"/>
      <c r="F917" s="55" t="n"/>
      <c r="G917">
        <f>IF(B917="","",IFERROR(INDEX(Equipamentos!$N$2:$N$201,MATCH(B917,Equipamentos!$A$2:$A$201,0)),""))</f>
        <v/>
      </c>
      <c r="H917">
        <f>IF(B917="","",IFERROR(INDEX(Equipamentos!$L$2:$L$201,MATCH(B917,Equipamentos!$A$2:$A$201,0)),""))</f>
        <v/>
      </c>
      <c r="I917" s="57">
        <f>IF(OR(A917="",B917=""),"",IFERROR(INDEX(Equipamentos!$J$2:$J$201,MATCH(1,INDEX((Equipamentos!$A$2:$A$201=B917)*(Equipamentos!$P$2:$P$201=A917),0),0)),""))</f>
        <v/>
      </c>
    </row>
    <row r="918">
      <c r="A918" s="54" t="n"/>
      <c r="B918" s="55" t="n"/>
      <c r="C918" s="56">
        <f>IF(OR(A918="",B918=""),"",IF(COUNTIF(Equipamentos!$A$2:$A$201,B918)=0,"tag não encontrada",IFERROR(INDEX(Equipamentos!$H$2:$H$201,MATCH(1,INDEX((Equipamentos!$A$2:$A$201=B918)*(Equipamentos!$P$2:$P$201=A918),0),0)),"confira a data")))</f>
        <v/>
      </c>
      <c r="D918">
        <f>IF(B918="","",IFERROR(INDEX(Equipamentos!$C$2:$C$201,MATCH(B918,Equipamentos!$A$2:$A$201,0)),""))</f>
        <v/>
      </c>
      <c r="E918" s="55" t="n"/>
      <c r="F918" s="55" t="n"/>
      <c r="G918">
        <f>IF(B918="","",IFERROR(INDEX(Equipamentos!$N$2:$N$201,MATCH(B918,Equipamentos!$A$2:$A$201,0)),""))</f>
        <v/>
      </c>
      <c r="H918">
        <f>IF(B918="","",IFERROR(INDEX(Equipamentos!$L$2:$L$201,MATCH(B918,Equipamentos!$A$2:$A$201,0)),""))</f>
        <v/>
      </c>
      <c r="I918" s="57">
        <f>IF(OR(A918="",B918=""),"",IFERROR(INDEX(Equipamentos!$J$2:$J$201,MATCH(1,INDEX((Equipamentos!$A$2:$A$201=B918)*(Equipamentos!$P$2:$P$201=A918),0),0)),""))</f>
        <v/>
      </c>
    </row>
    <row r="919">
      <c r="A919" s="54" t="n"/>
      <c r="B919" s="55" t="n"/>
      <c r="C919" s="56">
        <f>IF(OR(A919="",B919=""),"",IF(COUNTIF(Equipamentos!$A$2:$A$201,B919)=0,"tag não encontrada",IFERROR(INDEX(Equipamentos!$H$2:$H$201,MATCH(1,INDEX((Equipamentos!$A$2:$A$201=B919)*(Equipamentos!$P$2:$P$201=A919),0),0)),"confira a data")))</f>
        <v/>
      </c>
      <c r="D919">
        <f>IF(B919="","",IFERROR(INDEX(Equipamentos!$C$2:$C$201,MATCH(B919,Equipamentos!$A$2:$A$201,0)),""))</f>
        <v/>
      </c>
      <c r="E919" s="55" t="n"/>
      <c r="F919" s="55" t="n"/>
      <c r="G919">
        <f>IF(B919="","",IFERROR(INDEX(Equipamentos!$N$2:$N$201,MATCH(B919,Equipamentos!$A$2:$A$201,0)),""))</f>
        <v/>
      </c>
      <c r="H919">
        <f>IF(B919="","",IFERROR(INDEX(Equipamentos!$L$2:$L$201,MATCH(B919,Equipamentos!$A$2:$A$201,0)),""))</f>
        <v/>
      </c>
      <c r="I919" s="57">
        <f>IF(OR(A919="",B919=""),"",IFERROR(INDEX(Equipamentos!$J$2:$J$201,MATCH(1,INDEX((Equipamentos!$A$2:$A$201=B919)*(Equipamentos!$P$2:$P$201=A919),0),0)),""))</f>
        <v/>
      </c>
    </row>
    <row r="920">
      <c r="A920" s="54" t="n"/>
      <c r="B920" s="55" t="n"/>
      <c r="C920" s="56">
        <f>IF(OR(A920="",B920=""),"",IF(COUNTIF(Equipamentos!$A$2:$A$201,B920)=0,"tag não encontrada",IFERROR(INDEX(Equipamentos!$H$2:$H$201,MATCH(1,INDEX((Equipamentos!$A$2:$A$201=B920)*(Equipamentos!$P$2:$P$201=A920),0),0)),"confira a data")))</f>
        <v/>
      </c>
      <c r="D920">
        <f>IF(B920="","",IFERROR(INDEX(Equipamentos!$C$2:$C$201,MATCH(B920,Equipamentos!$A$2:$A$201,0)),""))</f>
        <v/>
      </c>
      <c r="E920" s="55" t="n"/>
      <c r="F920" s="55" t="n"/>
      <c r="G920">
        <f>IF(B920="","",IFERROR(INDEX(Equipamentos!$N$2:$N$201,MATCH(B920,Equipamentos!$A$2:$A$201,0)),""))</f>
        <v/>
      </c>
      <c r="H920">
        <f>IF(B920="","",IFERROR(INDEX(Equipamentos!$L$2:$L$201,MATCH(B920,Equipamentos!$A$2:$A$201,0)),""))</f>
        <v/>
      </c>
      <c r="I920" s="57">
        <f>IF(OR(A920="",B920=""),"",IFERROR(INDEX(Equipamentos!$J$2:$J$201,MATCH(1,INDEX((Equipamentos!$A$2:$A$201=B920)*(Equipamentos!$P$2:$P$201=A920),0),0)),""))</f>
        <v/>
      </c>
    </row>
    <row r="921">
      <c r="A921" s="54" t="n"/>
      <c r="B921" s="55" t="n"/>
      <c r="C921" s="56">
        <f>IF(OR(A921="",B921=""),"",IF(COUNTIF(Equipamentos!$A$2:$A$201,B921)=0,"tag não encontrada",IFERROR(INDEX(Equipamentos!$H$2:$H$201,MATCH(1,INDEX((Equipamentos!$A$2:$A$201=B921)*(Equipamentos!$P$2:$P$201=A921),0),0)),"confira a data")))</f>
        <v/>
      </c>
      <c r="D921">
        <f>IF(B921="","",IFERROR(INDEX(Equipamentos!$C$2:$C$201,MATCH(B921,Equipamentos!$A$2:$A$201,0)),""))</f>
        <v/>
      </c>
      <c r="E921" s="55" t="n"/>
      <c r="F921" s="55" t="n"/>
      <c r="G921">
        <f>IF(B921="","",IFERROR(INDEX(Equipamentos!$N$2:$N$201,MATCH(B921,Equipamentos!$A$2:$A$201,0)),""))</f>
        <v/>
      </c>
      <c r="H921">
        <f>IF(B921="","",IFERROR(INDEX(Equipamentos!$L$2:$L$201,MATCH(B921,Equipamentos!$A$2:$A$201,0)),""))</f>
        <v/>
      </c>
      <c r="I921" s="57">
        <f>IF(OR(A921="",B921=""),"",IFERROR(INDEX(Equipamentos!$J$2:$J$201,MATCH(1,INDEX((Equipamentos!$A$2:$A$201=B921)*(Equipamentos!$P$2:$P$201=A921),0),0)),""))</f>
        <v/>
      </c>
    </row>
    <row r="922">
      <c r="A922" s="54" t="n"/>
      <c r="B922" s="55" t="n"/>
      <c r="C922" s="56">
        <f>IF(OR(A922="",B922=""),"",IF(COUNTIF(Equipamentos!$A$2:$A$201,B922)=0,"tag não encontrada",IFERROR(INDEX(Equipamentos!$H$2:$H$201,MATCH(1,INDEX((Equipamentos!$A$2:$A$201=B922)*(Equipamentos!$P$2:$P$201=A922),0),0)),"confira a data")))</f>
        <v/>
      </c>
      <c r="D922">
        <f>IF(B922="","",IFERROR(INDEX(Equipamentos!$C$2:$C$201,MATCH(B922,Equipamentos!$A$2:$A$201,0)),""))</f>
        <v/>
      </c>
      <c r="E922" s="55" t="n"/>
      <c r="F922" s="55" t="n"/>
      <c r="G922">
        <f>IF(B922="","",IFERROR(INDEX(Equipamentos!$N$2:$N$201,MATCH(B922,Equipamentos!$A$2:$A$201,0)),""))</f>
        <v/>
      </c>
      <c r="H922">
        <f>IF(B922="","",IFERROR(INDEX(Equipamentos!$L$2:$L$201,MATCH(B922,Equipamentos!$A$2:$A$201,0)),""))</f>
        <v/>
      </c>
      <c r="I922" s="57">
        <f>IF(OR(A922="",B922=""),"",IFERROR(INDEX(Equipamentos!$J$2:$J$201,MATCH(1,INDEX((Equipamentos!$A$2:$A$201=B922)*(Equipamentos!$P$2:$P$201=A922),0),0)),""))</f>
        <v/>
      </c>
    </row>
    <row r="923">
      <c r="A923" s="54" t="n"/>
      <c r="B923" s="55" t="n"/>
      <c r="C923" s="56">
        <f>IF(OR(A923="",B923=""),"",IF(COUNTIF(Equipamentos!$A$2:$A$201,B923)=0,"tag não encontrada",IFERROR(INDEX(Equipamentos!$H$2:$H$201,MATCH(1,INDEX((Equipamentos!$A$2:$A$201=B923)*(Equipamentos!$P$2:$P$201=A923),0),0)),"confira a data")))</f>
        <v/>
      </c>
      <c r="D923">
        <f>IF(B923="","",IFERROR(INDEX(Equipamentos!$C$2:$C$201,MATCH(B923,Equipamentos!$A$2:$A$201,0)),""))</f>
        <v/>
      </c>
      <c r="E923" s="55" t="n"/>
      <c r="F923" s="55" t="n"/>
      <c r="G923">
        <f>IF(B923="","",IFERROR(INDEX(Equipamentos!$N$2:$N$201,MATCH(B923,Equipamentos!$A$2:$A$201,0)),""))</f>
        <v/>
      </c>
      <c r="H923">
        <f>IF(B923="","",IFERROR(INDEX(Equipamentos!$L$2:$L$201,MATCH(B923,Equipamentos!$A$2:$A$201,0)),""))</f>
        <v/>
      </c>
      <c r="I923" s="57">
        <f>IF(OR(A923="",B923=""),"",IFERROR(INDEX(Equipamentos!$J$2:$J$201,MATCH(1,INDEX((Equipamentos!$A$2:$A$201=B923)*(Equipamentos!$P$2:$P$201=A923),0),0)),""))</f>
        <v/>
      </c>
    </row>
    <row r="924">
      <c r="A924" s="54" t="n"/>
      <c r="B924" s="55" t="n"/>
      <c r="C924" s="56">
        <f>IF(OR(A924="",B924=""),"",IF(COUNTIF(Equipamentos!$A$2:$A$201,B924)=0,"tag não encontrada",IFERROR(INDEX(Equipamentos!$H$2:$H$201,MATCH(1,INDEX((Equipamentos!$A$2:$A$201=B924)*(Equipamentos!$P$2:$P$201=A924),0),0)),"confira a data")))</f>
        <v/>
      </c>
      <c r="D924">
        <f>IF(B924="","",IFERROR(INDEX(Equipamentos!$C$2:$C$201,MATCH(B924,Equipamentos!$A$2:$A$201,0)),""))</f>
        <v/>
      </c>
      <c r="E924" s="55" t="n"/>
      <c r="F924" s="55" t="n"/>
      <c r="G924">
        <f>IF(B924="","",IFERROR(INDEX(Equipamentos!$N$2:$N$201,MATCH(B924,Equipamentos!$A$2:$A$201,0)),""))</f>
        <v/>
      </c>
      <c r="H924">
        <f>IF(B924="","",IFERROR(INDEX(Equipamentos!$L$2:$L$201,MATCH(B924,Equipamentos!$A$2:$A$201,0)),""))</f>
        <v/>
      </c>
      <c r="I924" s="57">
        <f>IF(OR(A924="",B924=""),"",IFERROR(INDEX(Equipamentos!$J$2:$J$201,MATCH(1,INDEX((Equipamentos!$A$2:$A$201=B924)*(Equipamentos!$P$2:$P$201=A924),0),0)),""))</f>
        <v/>
      </c>
    </row>
    <row r="925">
      <c r="A925" s="54" t="n"/>
      <c r="B925" s="55" t="n"/>
      <c r="C925" s="56">
        <f>IF(OR(A925="",B925=""),"",IF(COUNTIF(Equipamentos!$A$2:$A$201,B925)=0,"tag não encontrada",IFERROR(INDEX(Equipamentos!$H$2:$H$201,MATCH(1,INDEX((Equipamentos!$A$2:$A$201=B925)*(Equipamentos!$P$2:$P$201=A925),0),0)),"confira a data")))</f>
        <v/>
      </c>
      <c r="D925">
        <f>IF(B925="","",IFERROR(INDEX(Equipamentos!$C$2:$C$201,MATCH(B925,Equipamentos!$A$2:$A$201,0)),""))</f>
        <v/>
      </c>
      <c r="E925" s="55" t="n"/>
      <c r="F925" s="55" t="n"/>
      <c r="G925">
        <f>IF(B925="","",IFERROR(INDEX(Equipamentos!$N$2:$N$201,MATCH(B925,Equipamentos!$A$2:$A$201,0)),""))</f>
        <v/>
      </c>
      <c r="H925">
        <f>IF(B925="","",IFERROR(INDEX(Equipamentos!$L$2:$L$201,MATCH(B925,Equipamentos!$A$2:$A$201,0)),""))</f>
        <v/>
      </c>
      <c r="I925" s="57">
        <f>IF(OR(A925="",B925=""),"",IFERROR(INDEX(Equipamentos!$J$2:$J$201,MATCH(1,INDEX((Equipamentos!$A$2:$A$201=B925)*(Equipamentos!$P$2:$P$201=A925),0),0)),""))</f>
        <v/>
      </c>
    </row>
    <row r="926">
      <c r="A926" s="54" t="n"/>
      <c r="B926" s="55" t="n"/>
      <c r="C926" s="56">
        <f>IF(OR(A926="",B926=""),"",IF(COUNTIF(Equipamentos!$A$2:$A$201,B926)=0,"tag não encontrada",IFERROR(INDEX(Equipamentos!$H$2:$H$201,MATCH(1,INDEX((Equipamentos!$A$2:$A$201=B926)*(Equipamentos!$P$2:$P$201=A926),0),0)),"confira a data")))</f>
        <v/>
      </c>
      <c r="D926">
        <f>IF(B926="","",IFERROR(INDEX(Equipamentos!$C$2:$C$201,MATCH(B926,Equipamentos!$A$2:$A$201,0)),""))</f>
        <v/>
      </c>
      <c r="E926" s="55" t="n"/>
      <c r="F926" s="55" t="n"/>
      <c r="G926">
        <f>IF(B926="","",IFERROR(INDEX(Equipamentos!$N$2:$N$201,MATCH(B926,Equipamentos!$A$2:$A$201,0)),""))</f>
        <v/>
      </c>
      <c r="H926">
        <f>IF(B926="","",IFERROR(INDEX(Equipamentos!$L$2:$L$201,MATCH(B926,Equipamentos!$A$2:$A$201,0)),""))</f>
        <v/>
      </c>
      <c r="I926" s="57">
        <f>IF(OR(A926="",B926=""),"",IFERROR(INDEX(Equipamentos!$J$2:$J$201,MATCH(1,INDEX((Equipamentos!$A$2:$A$201=B926)*(Equipamentos!$P$2:$P$201=A926),0),0)),""))</f>
        <v/>
      </c>
    </row>
    <row r="927">
      <c r="A927" s="54" t="n"/>
      <c r="B927" s="55" t="n"/>
      <c r="C927" s="56">
        <f>IF(OR(A927="",B927=""),"",IF(COUNTIF(Equipamentos!$A$2:$A$201,B927)=0,"tag não encontrada",IFERROR(INDEX(Equipamentos!$H$2:$H$201,MATCH(1,INDEX((Equipamentos!$A$2:$A$201=B927)*(Equipamentos!$P$2:$P$201=A927),0),0)),"confira a data")))</f>
        <v/>
      </c>
      <c r="D927">
        <f>IF(B927="","",IFERROR(INDEX(Equipamentos!$C$2:$C$201,MATCH(B927,Equipamentos!$A$2:$A$201,0)),""))</f>
        <v/>
      </c>
      <c r="E927" s="55" t="n"/>
      <c r="F927" s="55" t="n"/>
      <c r="G927">
        <f>IF(B927="","",IFERROR(INDEX(Equipamentos!$N$2:$N$201,MATCH(B927,Equipamentos!$A$2:$A$201,0)),""))</f>
        <v/>
      </c>
      <c r="H927">
        <f>IF(B927="","",IFERROR(INDEX(Equipamentos!$L$2:$L$201,MATCH(B927,Equipamentos!$A$2:$A$201,0)),""))</f>
        <v/>
      </c>
      <c r="I927" s="57">
        <f>IF(OR(A927="",B927=""),"",IFERROR(INDEX(Equipamentos!$J$2:$J$201,MATCH(1,INDEX((Equipamentos!$A$2:$A$201=B927)*(Equipamentos!$P$2:$P$201=A927),0),0)),""))</f>
        <v/>
      </c>
    </row>
    <row r="928">
      <c r="A928" s="54" t="n"/>
      <c r="B928" s="55" t="n"/>
      <c r="C928" s="56">
        <f>IF(OR(A928="",B928=""),"",IF(COUNTIF(Equipamentos!$A$2:$A$201,B928)=0,"tag não encontrada",IFERROR(INDEX(Equipamentos!$H$2:$H$201,MATCH(1,INDEX((Equipamentos!$A$2:$A$201=B928)*(Equipamentos!$P$2:$P$201=A928),0),0)),"confira a data")))</f>
        <v/>
      </c>
      <c r="D928">
        <f>IF(B928="","",IFERROR(INDEX(Equipamentos!$C$2:$C$201,MATCH(B928,Equipamentos!$A$2:$A$201,0)),""))</f>
        <v/>
      </c>
      <c r="E928" s="55" t="n"/>
      <c r="F928" s="55" t="n"/>
      <c r="G928">
        <f>IF(B928="","",IFERROR(INDEX(Equipamentos!$N$2:$N$201,MATCH(B928,Equipamentos!$A$2:$A$201,0)),""))</f>
        <v/>
      </c>
      <c r="H928">
        <f>IF(B928="","",IFERROR(INDEX(Equipamentos!$L$2:$L$201,MATCH(B928,Equipamentos!$A$2:$A$201,0)),""))</f>
        <v/>
      </c>
      <c r="I928" s="57">
        <f>IF(OR(A928="",B928=""),"",IFERROR(INDEX(Equipamentos!$J$2:$J$201,MATCH(1,INDEX((Equipamentos!$A$2:$A$201=B928)*(Equipamentos!$P$2:$P$201=A928),0),0)),""))</f>
        <v/>
      </c>
    </row>
    <row r="929">
      <c r="A929" s="54" t="n"/>
      <c r="B929" s="55" t="n"/>
      <c r="C929" s="56">
        <f>IF(OR(A929="",B929=""),"",IF(COUNTIF(Equipamentos!$A$2:$A$201,B929)=0,"tag não encontrada",IFERROR(INDEX(Equipamentos!$H$2:$H$201,MATCH(1,INDEX((Equipamentos!$A$2:$A$201=B929)*(Equipamentos!$P$2:$P$201=A929),0),0)),"confira a data")))</f>
        <v/>
      </c>
      <c r="D929">
        <f>IF(B929="","",IFERROR(INDEX(Equipamentos!$C$2:$C$201,MATCH(B929,Equipamentos!$A$2:$A$201,0)),""))</f>
        <v/>
      </c>
      <c r="E929" s="55" t="n"/>
      <c r="F929" s="55" t="n"/>
      <c r="G929">
        <f>IF(B929="","",IFERROR(INDEX(Equipamentos!$N$2:$N$201,MATCH(B929,Equipamentos!$A$2:$A$201,0)),""))</f>
        <v/>
      </c>
      <c r="H929">
        <f>IF(B929="","",IFERROR(INDEX(Equipamentos!$L$2:$L$201,MATCH(B929,Equipamentos!$A$2:$A$201,0)),""))</f>
        <v/>
      </c>
      <c r="I929" s="57">
        <f>IF(OR(A929="",B929=""),"",IFERROR(INDEX(Equipamentos!$J$2:$J$201,MATCH(1,INDEX((Equipamentos!$A$2:$A$201=B929)*(Equipamentos!$P$2:$P$201=A929),0),0)),""))</f>
        <v/>
      </c>
    </row>
    <row r="930">
      <c r="A930" s="54" t="n"/>
      <c r="B930" s="55" t="n"/>
      <c r="C930" s="56">
        <f>IF(OR(A930="",B930=""),"",IF(COUNTIF(Equipamentos!$A$2:$A$201,B930)=0,"tag não encontrada",IFERROR(INDEX(Equipamentos!$H$2:$H$201,MATCH(1,INDEX((Equipamentos!$A$2:$A$201=B930)*(Equipamentos!$P$2:$P$201=A930),0),0)),"confira a data")))</f>
        <v/>
      </c>
      <c r="D930">
        <f>IF(B930="","",IFERROR(INDEX(Equipamentos!$C$2:$C$201,MATCH(B930,Equipamentos!$A$2:$A$201,0)),""))</f>
        <v/>
      </c>
      <c r="E930" s="55" t="n"/>
      <c r="F930" s="55" t="n"/>
      <c r="G930">
        <f>IF(B930="","",IFERROR(INDEX(Equipamentos!$N$2:$N$201,MATCH(B930,Equipamentos!$A$2:$A$201,0)),""))</f>
        <v/>
      </c>
      <c r="H930">
        <f>IF(B930="","",IFERROR(INDEX(Equipamentos!$L$2:$L$201,MATCH(B930,Equipamentos!$A$2:$A$201,0)),""))</f>
        <v/>
      </c>
      <c r="I930" s="57">
        <f>IF(OR(A930="",B930=""),"",IFERROR(INDEX(Equipamentos!$J$2:$J$201,MATCH(1,INDEX((Equipamentos!$A$2:$A$201=B930)*(Equipamentos!$P$2:$P$201=A930),0),0)),""))</f>
        <v/>
      </c>
    </row>
    <row r="931">
      <c r="A931" s="54" t="n"/>
      <c r="B931" s="55" t="n"/>
      <c r="C931" s="56">
        <f>IF(OR(A931="",B931=""),"",IF(COUNTIF(Equipamentos!$A$2:$A$201,B931)=0,"tag não encontrada",IFERROR(INDEX(Equipamentos!$H$2:$H$201,MATCH(1,INDEX((Equipamentos!$A$2:$A$201=B931)*(Equipamentos!$P$2:$P$201=A931),0),0)),"confira a data")))</f>
        <v/>
      </c>
      <c r="D931">
        <f>IF(B931="","",IFERROR(INDEX(Equipamentos!$C$2:$C$201,MATCH(B931,Equipamentos!$A$2:$A$201,0)),""))</f>
        <v/>
      </c>
      <c r="E931" s="55" t="n"/>
      <c r="F931" s="55" t="n"/>
      <c r="G931">
        <f>IF(B931="","",IFERROR(INDEX(Equipamentos!$N$2:$N$201,MATCH(B931,Equipamentos!$A$2:$A$201,0)),""))</f>
        <v/>
      </c>
      <c r="H931">
        <f>IF(B931="","",IFERROR(INDEX(Equipamentos!$L$2:$L$201,MATCH(B931,Equipamentos!$A$2:$A$201,0)),""))</f>
        <v/>
      </c>
      <c r="I931" s="57">
        <f>IF(OR(A931="",B931=""),"",IFERROR(INDEX(Equipamentos!$J$2:$J$201,MATCH(1,INDEX((Equipamentos!$A$2:$A$201=B931)*(Equipamentos!$P$2:$P$201=A931),0),0)),""))</f>
        <v/>
      </c>
    </row>
    <row r="932">
      <c r="A932" s="54" t="n"/>
      <c r="B932" s="55" t="n"/>
      <c r="C932" s="56">
        <f>IF(OR(A932="",B932=""),"",IF(COUNTIF(Equipamentos!$A$2:$A$201,B932)=0,"tag não encontrada",IFERROR(INDEX(Equipamentos!$H$2:$H$201,MATCH(1,INDEX((Equipamentos!$A$2:$A$201=B932)*(Equipamentos!$P$2:$P$201=A932),0),0)),"confira a data")))</f>
        <v/>
      </c>
      <c r="D932">
        <f>IF(B932="","",IFERROR(INDEX(Equipamentos!$C$2:$C$201,MATCH(B932,Equipamentos!$A$2:$A$201,0)),""))</f>
        <v/>
      </c>
      <c r="E932" s="55" t="n"/>
      <c r="F932" s="55" t="n"/>
      <c r="G932">
        <f>IF(B932="","",IFERROR(INDEX(Equipamentos!$N$2:$N$201,MATCH(B932,Equipamentos!$A$2:$A$201,0)),""))</f>
        <v/>
      </c>
      <c r="H932">
        <f>IF(B932="","",IFERROR(INDEX(Equipamentos!$L$2:$L$201,MATCH(B932,Equipamentos!$A$2:$A$201,0)),""))</f>
        <v/>
      </c>
      <c r="I932" s="57">
        <f>IF(OR(A932="",B932=""),"",IFERROR(INDEX(Equipamentos!$J$2:$J$201,MATCH(1,INDEX((Equipamentos!$A$2:$A$201=B932)*(Equipamentos!$P$2:$P$201=A932),0),0)),""))</f>
        <v/>
      </c>
    </row>
    <row r="933">
      <c r="A933" s="54" t="n"/>
      <c r="B933" s="55" t="n"/>
      <c r="C933" s="56">
        <f>IF(OR(A933="",B933=""),"",IF(COUNTIF(Equipamentos!$A$2:$A$201,B933)=0,"tag não encontrada",IFERROR(INDEX(Equipamentos!$H$2:$H$201,MATCH(1,INDEX((Equipamentos!$A$2:$A$201=B933)*(Equipamentos!$P$2:$P$201=A933),0),0)),"confira a data")))</f>
        <v/>
      </c>
      <c r="D933">
        <f>IF(B933="","",IFERROR(INDEX(Equipamentos!$C$2:$C$201,MATCH(B933,Equipamentos!$A$2:$A$201,0)),""))</f>
        <v/>
      </c>
      <c r="E933" s="55" t="n"/>
      <c r="F933" s="55" t="n"/>
      <c r="G933">
        <f>IF(B933="","",IFERROR(INDEX(Equipamentos!$N$2:$N$201,MATCH(B933,Equipamentos!$A$2:$A$201,0)),""))</f>
        <v/>
      </c>
      <c r="H933">
        <f>IF(B933="","",IFERROR(INDEX(Equipamentos!$L$2:$L$201,MATCH(B933,Equipamentos!$A$2:$A$201,0)),""))</f>
        <v/>
      </c>
      <c r="I933" s="57">
        <f>IF(OR(A933="",B933=""),"",IFERROR(INDEX(Equipamentos!$J$2:$J$201,MATCH(1,INDEX((Equipamentos!$A$2:$A$201=B933)*(Equipamentos!$P$2:$P$201=A933),0),0)),""))</f>
        <v/>
      </c>
    </row>
    <row r="934">
      <c r="A934" s="54" t="n"/>
      <c r="B934" s="55" t="n"/>
      <c r="C934" s="56">
        <f>IF(OR(A934="",B934=""),"",IF(COUNTIF(Equipamentos!$A$2:$A$201,B934)=0,"tag não encontrada",IFERROR(INDEX(Equipamentos!$H$2:$H$201,MATCH(1,INDEX((Equipamentos!$A$2:$A$201=B934)*(Equipamentos!$P$2:$P$201=A934),0),0)),"confira a data")))</f>
        <v/>
      </c>
      <c r="D934">
        <f>IF(B934="","",IFERROR(INDEX(Equipamentos!$C$2:$C$201,MATCH(B934,Equipamentos!$A$2:$A$201,0)),""))</f>
        <v/>
      </c>
      <c r="E934" s="55" t="n"/>
      <c r="F934" s="55" t="n"/>
      <c r="G934">
        <f>IF(B934="","",IFERROR(INDEX(Equipamentos!$N$2:$N$201,MATCH(B934,Equipamentos!$A$2:$A$201,0)),""))</f>
        <v/>
      </c>
      <c r="H934">
        <f>IF(B934="","",IFERROR(INDEX(Equipamentos!$L$2:$L$201,MATCH(B934,Equipamentos!$A$2:$A$201,0)),""))</f>
        <v/>
      </c>
      <c r="I934" s="57">
        <f>IF(OR(A934="",B934=""),"",IFERROR(INDEX(Equipamentos!$J$2:$J$201,MATCH(1,INDEX((Equipamentos!$A$2:$A$201=B934)*(Equipamentos!$P$2:$P$201=A934),0),0)),""))</f>
        <v/>
      </c>
    </row>
    <row r="935">
      <c r="A935" s="54" t="n"/>
      <c r="B935" s="55" t="n"/>
      <c r="C935" s="56">
        <f>IF(OR(A935="",B935=""),"",IF(COUNTIF(Equipamentos!$A$2:$A$201,B935)=0,"tag não encontrada",IFERROR(INDEX(Equipamentos!$H$2:$H$201,MATCH(1,INDEX((Equipamentos!$A$2:$A$201=B935)*(Equipamentos!$P$2:$P$201=A935),0),0)),"confira a data")))</f>
        <v/>
      </c>
      <c r="D935">
        <f>IF(B935="","",IFERROR(INDEX(Equipamentos!$C$2:$C$201,MATCH(B935,Equipamentos!$A$2:$A$201,0)),""))</f>
        <v/>
      </c>
      <c r="E935" s="55" t="n"/>
      <c r="F935" s="55" t="n"/>
      <c r="G935">
        <f>IF(B935="","",IFERROR(INDEX(Equipamentos!$N$2:$N$201,MATCH(B935,Equipamentos!$A$2:$A$201,0)),""))</f>
        <v/>
      </c>
      <c r="H935">
        <f>IF(B935="","",IFERROR(INDEX(Equipamentos!$L$2:$L$201,MATCH(B935,Equipamentos!$A$2:$A$201,0)),""))</f>
        <v/>
      </c>
      <c r="I935" s="57">
        <f>IF(OR(A935="",B935=""),"",IFERROR(INDEX(Equipamentos!$J$2:$J$201,MATCH(1,INDEX((Equipamentos!$A$2:$A$201=B935)*(Equipamentos!$P$2:$P$201=A935),0),0)),""))</f>
        <v/>
      </c>
    </row>
    <row r="936">
      <c r="A936" s="54" t="n"/>
      <c r="B936" s="55" t="n"/>
      <c r="C936" s="56">
        <f>IF(OR(A936="",B936=""),"",IF(COUNTIF(Equipamentos!$A$2:$A$201,B936)=0,"tag não encontrada",IFERROR(INDEX(Equipamentos!$H$2:$H$201,MATCH(1,INDEX((Equipamentos!$A$2:$A$201=B936)*(Equipamentos!$P$2:$P$201=A936),0),0)),"confira a data")))</f>
        <v/>
      </c>
      <c r="D936">
        <f>IF(B936="","",IFERROR(INDEX(Equipamentos!$C$2:$C$201,MATCH(B936,Equipamentos!$A$2:$A$201,0)),""))</f>
        <v/>
      </c>
      <c r="E936" s="55" t="n"/>
      <c r="F936" s="55" t="n"/>
      <c r="G936">
        <f>IF(B936="","",IFERROR(INDEX(Equipamentos!$N$2:$N$201,MATCH(B936,Equipamentos!$A$2:$A$201,0)),""))</f>
        <v/>
      </c>
      <c r="H936">
        <f>IF(B936="","",IFERROR(INDEX(Equipamentos!$L$2:$L$201,MATCH(B936,Equipamentos!$A$2:$A$201,0)),""))</f>
        <v/>
      </c>
      <c r="I936" s="57">
        <f>IF(OR(A936="",B936=""),"",IFERROR(INDEX(Equipamentos!$J$2:$J$201,MATCH(1,INDEX((Equipamentos!$A$2:$A$201=B936)*(Equipamentos!$P$2:$P$201=A936),0),0)),""))</f>
        <v/>
      </c>
    </row>
    <row r="937">
      <c r="A937" s="54" t="n"/>
      <c r="B937" s="55" t="n"/>
      <c r="C937" s="56">
        <f>IF(OR(A937="",B937=""),"",IF(COUNTIF(Equipamentos!$A$2:$A$201,B937)=0,"tag não encontrada",IFERROR(INDEX(Equipamentos!$H$2:$H$201,MATCH(1,INDEX((Equipamentos!$A$2:$A$201=B937)*(Equipamentos!$P$2:$P$201=A937),0),0)),"confira a data")))</f>
        <v/>
      </c>
      <c r="D937">
        <f>IF(B937="","",IFERROR(INDEX(Equipamentos!$C$2:$C$201,MATCH(B937,Equipamentos!$A$2:$A$201,0)),""))</f>
        <v/>
      </c>
      <c r="E937" s="55" t="n"/>
      <c r="F937" s="55" t="n"/>
      <c r="G937">
        <f>IF(B937="","",IFERROR(INDEX(Equipamentos!$N$2:$N$201,MATCH(B937,Equipamentos!$A$2:$A$201,0)),""))</f>
        <v/>
      </c>
      <c r="H937">
        <f>IF(B937="","",IFERROR(INDEX(Equipamentos!$L$2:$L$201,MATCH(B937,Equipamentos!$A$2:$A$201,0)),""))</f>
        <v/>
      </c>
      <c r="I937" s="57">
        <f>IF(OR(A937="",B937=""),"",IFERROR(INDEX(Equipamentos!$J$2:$J$201,MATCH(1,INDEX((Equipamentos!$A$2:$A$201=B937)*(Equipamentos!$P$2:$P$201=A937),0),0)),""))</f>
        <v/>
      </c>
    </row>
    <row r="938">
      <c r="A938" s="54" t="n"/>
      <c r="B938" s="55" t="n"/>
      <c r="C938" s="56">
        <f>IF(OR(A938="",B938=""),"",IF(COUNTIF(Equipamentos!$A$2:$A$201,B938)=0,"tag não encontrada",IFERROR(INDEX(Equipamentos!$H$2:$H$201,MATCH(1,INDEX((Equipamentos!$A$2:$A$201=B938)*(Equipamentos!$P$2:$P$201=A938),0),0)),"confira a data")))</f>
        <v/>
      </c>
      <c r="D938">
        <f>IF(B938="","",IFERROR(INDEX(Equipamentos!$C$2:$C$201,MATCH(B938,Equipamentos!$A$2:$A$201,0)),""))</f>
        <v/>
      </c>
      <c r="E938" s="55" t="n"/>
      <c r="F938" s="55" t="n"/>
      <c r="G938">
        <f>IF(B938="","",IFERROR(INDEX(Equipamentos!$N$2:$N$201,MATCH(B938,Equipamentos!$A$2:$A$201,0)),""))</f>
        <v/>
      </c>
      <c r="H938">
        <f>IF(B938="","",IFERROR(INDEX(Equipamentos!$L$2:$L$201,MATCH(B938,Equipamentos!$A$2:$A$201,0)),""))</f>
        <v/>
      </c>
      <c r="I938" s="57">
        <f>IF(OR(A938="",B938=""),"",IFERROR(INDEX(Equipamentos!$J$2:$J$201,MATCH(1,INDEX((Equipamentos!$A$2:$A$201=B938)*(Equipamentos!$P$2:$P$201=A938),0),0)),""))</f>
        <v/>
      </c>
    </row>
    <row r="939">
      <c r="A939" s="54" t="n"/>
      <c r="B939" s="55" t="n"/>
      <c r="C939" s="56">
        <f>IF(OR(A939="",B939=""),"",IF(COUNTIF(Equipamentos!$A$2:$A$201,B939)=0,"tag não encontrada",IFERROR(INDEX(Equipamentos!$H$2:$H$201,MATCH(1,INDEX((Equipamentos!$A$2:$A$201=B939)*(Equipamentos!$P$2:$P$201=A939),0),0)),"confira a data")))</f>
        <v/>
      </c>
      <c r="D939">
        <f>IF(B939="","",IFERROR(INDEX(Equipamentos!$C$2:$C$201,MATCH(B939,Equipamentos!$A$2:$A$201,0)),""))</f>
        <v/>
      </c>
      <c r="E939" s="55" t="n"/>
      <c r="F939" s="55" t="n"/>
      <c r="G939">
        <f>IF(B939="","",IFERROR(INDEX(Equipamentos!$N$2:$N$201,MATCH(B939,Equipamentos!$A$2:$A$201,0)),""))</f>
        <v/>
      </c>
      <c r="H939">
        <f>IF(B939="","",IFERROR(INDEX(Equipamentos!$L$2:$L$201,MATCH(B939,Equipamentos!$A$2:$A$201,0)),""))</f>
        <v/>
      </c>
      <c r="I939" s="57">
        <f>IF(OR(A939="",B939=""),"",IFERROR(INDEX(Equipamentos!$J$2:$J$201,MATCH(1,INDEX((Equipamentos!$A$2:$A$201=B939)*(Equipamentos!$P$2:$P$201=A939),0),0)),""))</f>
        <v/>
      </c>
    </row>
    <row r="940">
      <c r="A940" s="54" t="n"/>
      <c r="B940" s="55" t="n"/>
      <c r="C940" s="56">
        <f>IF(OR(A940="",B940=""),"",IF(COUNTIF(Equipamentos!$A$2:$A$201,B940)=0,"tag não encontrada",IFERROR(INDEX(Equipamentos!$H$2:$H$201,MATCH(1,INDEX((Equipamentos!$A$2:$A$201=B940)*(Equipamentos!$P$2:$P$201=A940),0),0)),"confira a data")))</f>
        <v/>
      </c>
      <c r="D940">
        <f>IF(B940="","",IFERROR(INDEX(Equipamentos!$C$2:$C$201,MATCH(B940,Equipamentos!$A$2:$A$201,0)),""))</f>
        <v/>
      </c>
      <c r="E940" s="55" t="n"/>
      <c r="F940" s="55" t="n"/>
      <c r="G940">
        <f>IF(B940="","",IFERROR(INDEX(Equipamentos!$N$2:$N$201,MATCH(B940,Equipamentos!$A$2:$A$201,0)),""))</f>
        <v/>
      </c>
      <c r="H940">
        <f>IF(B940="","",IFERROR(INDEX(Equipamentos!$L$2:$L$201,MATCH(B940,Equipamentos!$A$2:$A$201,0)),""))</f>
        <v/>
      </c>
      <c r="I940" s="57">
        <f>IF(OR(A940="",B940=""),"",IFERROR(INDEX(Equipamentos!$J$2:$J$201,MATCH(1,INDEX((Equipamentos!$A$2:$A$201=B940)*(Equipamentos!$P$2:$P$201=A940),0),0)),""))</f>
        <v/>
      </c>
    </row>
    <row r="941">
      <c r="A941" s="54" t="n"/>
      <c r="B941" s="55" t="n"/>
      <c r="C941" s="56">
        <f>IF(OR(A941="",B941=""),"",IF(COUNTIF(Equipamentos!$A$2:$A$201,B941)=0,"tag não encontrada",IFERROR(INDEX(Equipamentos!$H$2:$H$201,MATCH(1,INDEX((Equipamentos!$A$2:$A$201=B941)*(Equipamentos!$P$2:$P$201=A941),0),0)),"confira a data")))</f>
        <v/>
      </c>
      <c r="D941">
        <f>IF(B941="","",IFERROR(INDEX(Equipamentos!$C$2:$C$201,MATCH(B941,Equipamentos!$A$2:$A$201,0)),""))</f>
        <v/>
      </c>
      <c r="E941" s="55" t="n"/>
      <c r="F941" s="55" t="n"/>
      <c r="G941">
        <f>IF(B941="","",IFERROR(INDEX(Equipamentos!$N$2:$N$201,MATCH(B941,Equipamentos!$A$2:$A$201,0)),""))</f>
        <v/>
      </c>
      <c r="H941">
        <f>IF(B941="","",IFERROR(INDEX(Equipamentos!$L$2:$L$201,MATCH(B941,Equipamentos!$A$2:$A$201,0)),""))</f>
        <v/>
      </c>
      <c r="I941" s="57">
        <f>IF(OR(A941="",B941=""),"",IFERROR(INDEX(Equipamentos!$J$2:$J$201,MATCH(1,INDEX((Equipamentos!$A$2:$A$201=B941)*(Equipamentos!$P$2:$P$201=A941),0),0)),""))</f>
        <v/>
      </c>
    </row>
    <row r="942">
      <c r="A942" s="54" t="n"/>
      <c r="B942" s="55" t="n"/>
      <c r="C942" s="56">
        <f>IF(OR(A942="",B942=""),"",IF(COUNTIF(Equipamentos!$A$2:$A$201,B942)=0,"tag não encontrada",IFERROR(INDEX(Equipamentos!$H$2:$H$201,MATCH(1,INDEX((Equipamentos!$A$2:$A$201=B942)*(Equipamentos!$P$2:$P$201=A942),0),0)),"confira a data")))</f>
        <v/>
      </c>
      <c r="D942">
        <f>IF(B942="","",IFERROR(INDEX(Equipamentos!$C$2:$C$201,MATCH(B942,Equipamentos!$A$2:$A$201,0)),""))</f>
        <v/>
      </c>
      <c r="E942" s="55" t="n"/>
      <c r="F942" s="55" t="n"/>
      <c r="G942">
        <f>IF(B942="","",IFERROR(INDEX(Equipamentos!$N$2:$N$201,MATCH(B942,Equipamentos!$A$2:$A$201,0)),""))</f>
        <v/>
      </c>
      <c r="H942">
        <f>IF(B942="","",IFERROR(INDEX(Equipamentos!$L$2:$L$201,MATCH(B942,Equipamentos!$A$2:$A$201,0)),""))</f>
        <v/>
      </c>
      <c r="I942" s="57">
        <f>IF(OR(A942="",B942=""),"",IFERROR(INDEX(Equipamentos!$J$2:$J$201,MATCH(1,INDEX((Equipamentos!$A$2:$A$201=B942)*(Equipamentos!$P$2:$P$201=A942),0),0)),""))</f>
        <v/>
      </c>
    </row>
    <row r="943">
      <c r="A943" s="54" t="n"/>
      <c r="B943" s="55" t="n"/>
      <c r="C943" s="56">
        <f>IF(OR(A943="",B943=""),"",IF(COUNTIF(Equipamentos!$A$2:$A$201,B943)=0,"tag não encontrada",IFERROR(INDEX(Equipamentos!$H$2:$H$201,MATCH(1,INDEX((Equipamentos!$A$2:$A$201=B943)*(Equipamentos!$P$2:$P$201=A943),0),0)),"confira a data")))</f>
        <v/>
      </c>
      <c r="D943">
        <f>IF(B943="","",IFERROR(INDEX(Equipamentos!$C$2:$C$201,MATCH(B943,Equipamentos!$A$2:$A$201,0)),""))</f>
        <v/>
      </c>
      <c r="E943" s="55" t="n"/>
      <c r="F943" s="55" t="n"/>
      <c r="G943">
        <f>IF(B943="","",IFERROR(INDEX(Equipamentos!$N$2:$N$201,MATCH(B943,Equipamentos!$A$2:$A$201,0)),""))</f>
        <v/>
      </c>
      <c r="H943">
        <f>IF(B943="","",IFERROR(INDEX(Equipamentos!$L$2:$L$201,MATCH(B943,Equipamentos!$A$2:$A$201,0)),""))</f>
        <v/>
      </c>
      <c r="I943" s="57">
        <f>IF(OR(A943="",B943=""),"",IFERROR(INDEX(Equipamentos!$J$2:$J$201,MATCH(1,INDEX((Equipamentos!$A$2:$A$201=B943)*(Equipamentos!$P$2:$P$201=A943),0),0)),""))</f>
        <v/>
      </c>
    </row>
    <row r="944">
      <c r="A944" s="54" t="n"/>
      <c r="B944" s="55" t="n"/>
      <c r="C944" s="56">
        <f>IF(OR(A944="",B944=""),"",IF(COUNTIF(Equipamentos!$A$2:$A$201,B944)=0,"tag não encontrada",IFERROR(INDEX(Equipamentos!$H$2:$H$201,MATCH(1,INDEX((Equipamentos!$A$2:$A$201=B944)*(Equipamentos!$P$2:$P$201=A944),0),0)),"confira a data")))</f>
        <v/>
      </c>
      <c r="D944">
        <f>IF(B944="","",IFERROR(INDEX(Equipamentos!$C$2:$C$201,MATCH(B944,Equipamentos!$A$2:$A$201,0)),""))</f>
        <v/>
      </c>
      <c r="E944" s="55" t="n"/>
      <c r="F944" s="55" t="n"/>
      <c r="G944">
        <f>IF(B944="","",IFERROR(INDEX(Equipamentos!$N$2:$N$201,MATCH(B944,Equipamentos!$A$2:$A$201,0)),""))</f>
        <v/>
      </c>
      <c r="H944">
        <f>IF(B944="","",IFERROR(INDEX(Equipamentos!$L$2:$L$201,MATCH(B944,Equipamentos!$A$2:$A$201,0)),""))</f>
        <v/>
      </c>
      <c r="I944" s="57">
        <f>IF(OR(A944="",B944=""),"",IFERROR(INDEX(Equipamentos!$J$2:$J$201,MATCH(1,INDEX((Equipamentos!$A$2:$A$201=B944)*(Equipamentos!$P$2:$P$201=A944),0),0)),""))</f>
        <v/>
      </c>
    </row>
    <row r="945">
      <c r="A945" s="54" t="n"/>
      <c r="B945" s="55" t="n"/>
      <c r="C945" s="56">
        <f>IF(OR(A945="",B945=""),"",IF(COUNTIF(Equipamentos!$A$2:$A$201,B945)=0,"tag não encontrada",IFERROR(INDEX(Equipamentos!$H$2:$H$201,MATCH(1,INDEX((Equipamentos!$A$2:$A$201=B945)*(Equipamentos!$P$2:$P$201=A945),0),0)),"confira a data")))</f>
        <v/>
      </c>
      <c r="D945">
        <f>IF(B945="","",IFERROR(INDEX(Equipamentos!$C$2:$C$201,MATCH(B945,Equipamentos!$A$2:$A$201,0)),""))</f>
        <v/>
      </c>
      <c r="E945" s="55" t="n"/>
      <c r="F945" s="55" t="n"/>
      <c r="G945">
        <f>IF(B945="","",IFERROR(INDEX(Equipamentos!$N$2:$N$201,MATCH(B945,Equipamentos!$A$2:$A$201,0)),""))</f>
        <v/>
      </c>
      <c r="H945">
        <f>IF(B945="","",IFERROR(INDEX(Equipamentos!$L$2:$L$201,MATCH(B945,Equipamentos!$A$2:$A$201,0)),""))</f>
        <v/>
      </c>
      <c r="I945" s="57">
        <f>IF(OR(A945="",B945=""),"",IFERROR(INDEX(Equipamentos!$J$2:$J$201,MATCH(1,INDEX((Equipamentos!$A$2:$A$201=B945)*(Equipamentos!$P$2:$P$201=A945),0),0)),""))</f>
        <v/>
      </c>
    </row>
    <row r="946">
      <c r="A946" s="54" t="n"/>
      <c r="B946" s="55" t="n"/>
      <c r="C946" s="56">
        <f>IF(OR(A946="",B946=""),"",IF(COUNTIF(Equipamentos!$A$2:$A$201,B946)=0,"tag não encontrada",IFERROR(INDEX(Equipamentos!$H$2:$H$201,MATCH(1,INDEX((Equipamentos!$A$2:$A$201=B946)*(Equipamentos!$P$2:$P$201=A946),0),0)),"confira a data")))</f>
        <v/>
      </c>
      <c r="D946">
        <f>IF(B946="","",IFERROR(INDEX(Equipamentos!$C$2:$C$201,MATCH(B946,Equipamentos!$A$2:$A$201,0)),""))</f>
        <v/>
      </c>
      <c r="E946" s="55" t="n"/>
      <c r="F946" s="55" t="n"/>
      <c r="G946">
        <f>IF(B946="","",IFERROR(INDEX(Equipamentos!$N$2:$N$201,MATCH(B946,Equipamentos!$A$2:$A$201,0)),""))</f>
        <v/>
      </c>
      <c r="H946">
        <f>IF(B946="","",IFERROR(INDEX(Equipamentos!$L$2:$L$201,MATCH(B946,Equipamentos!$A$2:$A$201,0)),""))</f>
        <v/>
      </c>
      <c r="I946" s="57">
        <f>IF(OR(A946="",B946=""),"",IFERROR(INDEX(Equipamentos!$J$2:$J$201,MATCH(1,INDEX((Equipamentos!$A$2:$A$201=B946)*(Equipamentos!$P$2:$P$201=A946),0),0)),""))</f>
        <v/>
      </c>
    </row>
    <row r="947">
      <c r="A947" s="54" t="n"/>
      <c r="B947" s="55" t="n"/>
      <c r="C947" s="56">
        <f>IF(OR(A947="",B947=""),"",IF(COUNTIF(Equipamentos!$A$2:$A$201,B947)=0,"tag não encontrada",IFERROR(INDEX(Equipamentos!$H$2:$H$201,MATCH(1,INDEX((Equipamentos!$A$2:$A$201=B947)*(Equipamentos!$P$2:$P$201=A947),0),0)),"confira a data")))</f>
        <v/>
      </c>
      <c r="D947">
        <f>IF(B947="","",IFERROR(INDEX(Equipamentos!$C$2:$C$201,MATCH(B947,Equipamentos!$A$2:$A$201,0)),""))</f>
        <v/>
      </c>
      <c r="E947" s="55" t="n"/>
      <c r="F947" s="55" t="n"/>
      <c r="G947">
        <f>IF(B947="","",IFERROR(INDEX(Equipamentos!$N$2:$N$201,MATCH(B947,Equipamentos!$A$2:$A$201,0)),""))</f>
        <v/>
      </c>
      <c r="H947">
        <f>IF(B947="","",IFERROR(INDEX(Equipamentos!$L$2:$L$201,MATCH(B947,Equipamentos!$A$2:$A$201,0)),""))</f>
        <v/>
      </c>
      <c r="I947" s="57">
        <f>IF(OR(A947="",B947=""),"",IFERROR(INDEX(Equipamentos!$J$2:$J$201,MATCH(1,INDEX((Equipamentos!$A$2:$A$201=B947)*(Equipamentos!$P$2:$P$201=A947),0),0)),""))</f>
        <v/>
      </c>
    </row>
    <row r="948">
      <c r="A948" s="54" t="n"/>
      <c r="B948" s="55" t="n"/>
      <c r="C948" s="56">
        <f>IF(OR(A948="",B948=""),"",IF(COUNTIF(Equipamentos!$A$2:$A$201,B948)=0,"tag não encontrada",IFERROR(INDEX(Equipamentos!$H$2:$H$201,MATCH(1,INDEX((Equipamentos!$A$2:$A$201=B948)*(Equipamentos!$P$2:$P$201=A948),0),0)),"confira a data")))</f>
        <v/>
      </c>
      <c r="D948">
        <f>IF(B948="","",IFERROR(INDEX(Equipamentos!$C$2:$C$201,MATCH(B948,Equipamentos!$A$2:$A$201,0)),""))</f>
        <v/>
      </c>
      <c r="E948" s="55" t="n"/>
      <c r="F948" s="55" t="n"/>
      <c r="G948">
        <f>IF(B948="","",IFERROR(INDEX(Equipamentos!$N$2:$N$201,MATCH(B948,Equipamentos!$A$2:$A$201,0)),""))</f>
        <v/>
      </c>
      <c r="H948">
        <f>IF(B948="","",IFERROR(INDEX(Equipamentos!$L$2:$L$201,MATCH(B948,Equipamentos!$A$2:$A$201,0)),""))</f>
        <v/>
      </c>
      <c r="I948" s="57">
        <f>IF(OR(A948="",B948=""),"",IFERROR(INDEX(Equipamentos!$J$2:$J$201,MATCH(1,INDEX((Equipamentos!$A$2:$A$201=B948)*(Equipamentos!$P$2:$P$201=A948),0),0)),""))</f>
        <v/>
      </c>
    </row>
    <row r="949">
      <c r="A949" s="54" t="n"/>
      <c r="B949" s="55" t="n"/>
      <c r="C949" s="56">
        <f>IF(OR(A949="",B949=""),"",IF(COUNTIF(Equipamentos!$A$2:$A$201,B949)=0,"tag não encontrada",IFERROR(INDEX(Equipamentos!$H$2:$H$201,MATCH(1,INDEX((Equipamentos!$A$2:$A$201=B949)*(Equipamentos!$P$2:$P$201=A949),0),0)),"confira a data")))</f>
        <v/>
      </c>
      <c r="D949">
        <f>IF(B949="","",IFERROR(INDEX(Equipamentos!$C$2:$C$201,MATCH(B949,Equipamentos!$A$2:$A$201,0)),""))</f>
        <v/>
      </c>
      <c r="E949" s="55" t="n"/>
      <c r="F949" s="55" t="n"/>
      <c r="G949">
        <f>IF(B949="","",IFERROR(INDEX(Equipamentos!$N$2:$N$201,MATCH(B949,Equipamentos!$A$2:$A$201,0)),""))</f>
        <v/>
      </c>
      <c r="H949">
        <f>IF(B949="","",IFERROR(INDEX(Equipamentos!$L$2:$L$201,MATCH(B949,Equipamentos!$A$2:$A$201,0)),""))</f>
        <v/>
      </c>
      <c r="I949" s="57">
        <f>IF(OR(A949="",B949=""),"",IFERROR(INDEX(Equipamentos!$J$2:$J$201,MATCH(1,INDEX((Equipamentos!$A$2:$A$201=B949)*(Equipamentos!$P$2:$P$201=A949),0),0)),""))</f>
        <v/>
      </c>
    </row>
    <row r="950">
      <c r="A950" s="54" t="n"/>
      <c r="B950" s="55" t="n"/>
      <c r="C950" s="56">
        <f>IF(OR(A950="",B950=""),"",IF(COUNTIF(Equipamentos!$A$2:$A$201,B950)=0,"tag não encontrada",IFERROR(INDEX(Equipamentos!$H$2:$H$201,MATCH(1,INDEX((Equipamentos!$A$2:$A$201=B950)*(Equipamentos!$P$2:$P$201=A950),0),0)),"confira a data")))</f>
        <v/>
      </c>
      <c r="D950">
        <f>IF(B950="","",IFERROR(INDEX(Equipamentos!$C$2:$C$201,MATCH(B950,Equipamentos!$A$2:$A$201,0)),""))</f>
        <v/>
      </c>
      <c r="E950" s="55" t="n"/>
      <c r="F950" s="55" t="n"/>
      <c r="G950">
        <f>IF(B950="","",IFERROR(INDEX(Equipamentos!$N$2:$N$201,MATCH(B950,Equipamentos!$A$2:$A$201,0)),""))</f>
        <v/>
      </c>
      <c r="H950">
        <f>IF(B950="","",IFERROR(INDEX(Equipamentos!$L$2:$L$201,MATCH(B950,Equipamentos!$A$2:$A$201,0)),""))</f>
        <v/>
      </c>
      <c r="I950" s="57">
        <f>IF(OR(A950="",B950=""),"",IFERROR(INDEX(Equipamentos!$J$2:$J$201,MATCH(1,INDEX((Equipamentos!$A$2:$A$201=B950)*(Equipamentos!$P$2:$P$201=A950),0),0)),""))</f>
        <v/>
      </c>
    </row>
    <row r="951">
      <c r="A951" s="54" t="n"/>
      <c r="B951" s="55" t="n"/>
      <c r="C951" s="56">
        <f>IF(OR(A951="",B951=""),"",IF(COUNTIF(Equipamentos!$A$2:$A$201,B951)=0,"tag não encontrada",IFERROR(INDEX(Equipamentos!$H$2:$H$201,MATCH(1,INDEX((Equipamentos!$A$2:$A$201=B951)*(Equipamentos!$P$2:$P$201=A951),0),0)),"confira a data")))</f>
        <v/>
      </c>
      <c r="D951">
        <f>IF(B951="","",IFERROR(INDEX(Equipamentos!$C$2:$C$201,MATCH(B951,Equipamentos!$A$2:$A$201,0)),""))</f>
        <v/>
      </c>
      <c r="E951" s="55" t="n"/>
      <c r="F951" s="55" t="n"/>
      <c r="G951">
        <f>IF(B951="","",IFERROR(INDEX(Equipamentos!$N$2:$N$201,MATCH(B951,Equipamentos!$A$2:$A$201,0)),""))</f>
        <v/>
      </c>
      <c r="H951">
        <f>IF(B951="","",IFERROR(INDEX(Equipamentos!$L$2:$L$201,MATCH(B951,Equipamentos!$A$2:$A$201,0)),""))</f>
        <v/>
      </c>
      <c r="I951" s="57">
        <f>IF(OR(A951="",B951=""),"",IFERROR(INDEX(Equipamentos!$J$2:$J$201,MATCH(1,INDEX((Equipamentos!$A$2:$A$201=B951)*(Equipamentos!$P$2:$P$201=A951),0),0)),""))</f>
        <v/>
      </c>
    </row>
    <row r="952">
      <c r="A952" s="54" t="n"/>
      <c r="B952" s="55" t="n"/>
      <c r="C952" s="56">
        <f>IF(OR(A952="",B952=""),"",IF(COUNTIF(Equipamentos!$A$2:$A$201,B952)=0,"tag não encontrada",IFERROR(INDEX(Equipamentos!$H$2:$H$201,MATCH(1,INDEX((Equipamentos!$A$2:$A$201=B952)*(Equipamentos!$P$2:$P$201=A952),0),0)),"confira a data")))</f>
        <v/>
      </c>
      <c r="D952">
        <f>IF(B952="","",IFERROR(INDEX(Equipamentos!$C$2:$C$201,MATCH(B952,Equipamentos!$A$2:$A$201,0)),""))</f>
        <v/>
      </c>
      <c r="E952" s="55" t="n"/>
      <c r="F952" s="55" t="n"/>
      <c r="G952">
        <f>IF(B952="","",IFERROR(INDEX(Equipamentos!$N$2:$N$201,MATCH(B952,Equipamentos!$A$2:$A$201,0)),""))</f>
        <v/>
      </c>
      <c r="H952">
        <f>IF(B952="","",IFERROR(INDEX(Equipamentos!$L$2:$L$201,MATCH(B952,Equipamentos!$A$2:$A$201,0)),""))</f>
        <v/>
      </c>
      <c r="I952" s="57">
        <f>IF(OR(A952="",B952=""),"",IFERROR(INDEX(Equipamentos!$J$2:$J$201,MATCH(1,INDEX((Equipamentos!$A$2:$A$201=B952)*(Equipamentos!$P$2:$P$201=A952),0),0)),""))</f>
        <v/>
      </c>
    </row>
    <row r="953">
      <c r="A953" s="54" t="n"/>
      <c r="B953" s="55" t="n"/>
      <c r="C953" s="56">
        <f>IF(OR(A953="",B953=""),"",IF(COUNTIF(Equipamentos!$A$2:$A$201,B953)=0,"tag não encontrada",IFERROR(INDEX(Equipamentos!$H$2:$H$201,MATCH(1,INDEX((Equipamentos!$A$2:$A$201=B953)*(Equipamentos!$P$2:$P$201=A953),0),0)),"confira a data")))</f>
        <v/>
      </c>
      <c r="D953">
        <f>IF(B953="","",IFERROR(INDEX(Equipamentos!$C$2:$C$201,MATCH(B953,Equipamentos!$A$2:$A$201,0)),""))</f>
        <v/>
      </c>
      <c r="E953" s="55" t="n"/>
      <c r="F953" s="55" t="n"/>
      <c r="G953">
        <f>IF(B953="","",IFERROR(INDEX(Equipamentos!$N$2:$N$201,MATCH(B953,Equipamentos!$A$2:$A$201,0)),""))</f>
        <v/>
      </c>
      <c r="H953">
        <f>IF(B953="","",IFERROR(INDEX(Equipamentos!$L$2:$L$201,MATCH(B953,Equipamentos!$A$2:$A$201,0)),""))</f>
        <v/>
      </c>
      <c r="I953" s="57">
        <f>IF(OR(A953="",B953=""),"",IFERROR(INDEX(Equipamentos!$J$2:$J$201,MATCH(1,INDEX((Equipamentos!$A$2:$A$201=B953)*(Equipamentos!$P$2:$P$201=A953),0),0)),""))</f>
        <v/>
      </c>
    </row>
    <row r="954">
      <c r="A954" s="54" t="n"/>
      <c r="B954" s="55" t="n"/>
      <c r="C954" s="56">
        <f>IF(OR(A954="",B954=""),"",IF(COUNTIF(Equipamentos!$A$2:$A$201,B954)=0,"tag não encontrada",IFERROR(INDEX(Equipamentos!$H$2:$H$201,MATCH(1,INDEX((Equipamentos!$A$2:$A$201=B954)*(Equipamentos!$P$2:$P$201=A954),0),0)),"confira a data")))</f>
        <v/>
      </c>
      <c r="D954">
        <f>IF(B954="","",IFERROR(INDEX(Equipamentos!$C$2:$C$201,MATCH(B954,Equipamentos!$A$2:$A$201,0)),""))</f>
        <v/>
      </c>
      <c r="E954" s="55" t="n"/>
      <c r="F954" s="55" t="n"/>
      <c r="G954">
        <f>IF(B954="","",IFERROR(INDEX(Equipamentos!$N$2:$N$201,MATCH(B954,Equipamentos!$A$2:$A$201,0)),""))</f>
        <v/>
      </c>
      <c r="H954">
        <f>IF(B954="","",IFERROR(INDEX(Equipamentos!$L$2:$L$201,MATCH(B954,Equipamentos!$A$2:$A$201,0)),""))</f>
        <v/>
      </c>
      <c r="I954" s="57">
        <f>IF(OR(A954="",B954=""),"",IFERROR(INDEX(Equipamentos!$J$2:$J$201,MATCH(1,INDEX((Equipamentos!$A$2:$A$201=B954)*(Equipamentos!$P$2:$P$201=A954),0),0)),""))</f>
        <v/>
      </c>
    </row>
    <row r="955">
      <c r="A955" s="54" t="n"/>
      <c r="B955" s="55" t="n"/>
      <c r="C955" s="56">
        <f>IF(OR(A955="",B955=""),"",IF(COUNTIF(Equipamentos!$A$2:$A$201,B955)=0,"tag não encontrada",IFERROR(INDEX(Equipamentos!$H$2:$H$201,MATCH(1,INDEX((Equipamentos!$A$2:$A$201=B955)*(Equipamentos!$P$2:$P$201=A955),0),0)),"confira a data")))</f>
        <v/>
      </c>
      <c r="D955">
        <f>IF(B955="","",IFERROR(INDEX(Equipamentos!$C$2:$C$201,MATCH(B955,Equipamentos!$A$2:$A$201,0)),""))</f>
        <v/>
      </c>
      <c r="E955" s="55" t="n"/>
      <c r="F955" s="55" t="n"/>
      <c r="G955">
        <f>IF(B955="","",IFERROR(INDEX(Equipamentos!$N$2:$N$201,MATCH(B955,Equipamentos!$A$2:$A$201,0)),""))</f>
        <v/>
      </c>
      <c r="H955">
        <f>IF(B955="","",IFERROR(INDEX(Equipamentos!$L$2:$L$201,MATCH(B955,Equipamentos!$A$2:$A$201,0)),""))</f>
        <v/>
      </c>
      <c r="I955" s="57">
        <f>IF(OR(A955="",B955=""),"",IFERROR(INDEX(Equipamentos!$J$2:$J$201,MATCH(1,INDEX((Equipamentos!$A$2:$A$201=B955)*(Equipamentos!$P$2:$P$201=A955),0),0)),""))</f>
        <v/>
      </c>
    </row>
    <row r="956">
      <c r="A956" s="54" t="n"/>
      <c r="B956" s="55" t="n"/>
      <c r="C956" s="56">
        <f>IF(OR(A956="",B956=""),"",IF(COUNTIF(Equipamentos!$A$2:$A$201,B956)=0,"tag não encontrada",IFERROR(INDEX(Equipamentos!$H$2:$H$201,MATCH(1,INDEX((Equipamentos!$A$2:$A$201=B956)*(Equipamentos!$P$2:$P$201=A956),0),0)),"confira a data")))</f>
        <v/>
      </c>
      <c r="D956">
        <f>IF(B956="","",IFERROR(INDEX(Equipamentos!$C$2:$C$201,MATCH(B956,Equipamentos!$A$2:$A$201,0)),""))</f>
        <v/>
      </c>
      <c r="E956" s="55" t="n"/>
      <c r="F956" s="55" t="n"/>
      <c r="G956">
        <f>IF(B956="","",IFERROR(INDEX(Equipamentos!$N$2:$N$201,MATCH(B956,Equipamentos!$A$2:$A$201,0)),""))</f>
        <v/>
      </c>
      <c r="H956">
        <f>IF(B956="","",IFERROR(INDEX(Equipamentos!$L$2:$L$201,MATCH(B956,Equipamentos!$A$2:$A$201,0)),""))</f>
        <v/>
      </c>
      <c r="I956" s="57">
        <f>IF(OR(A956="",B956=""),"",IFERROR(INDEX(Equipamentos!$J$2:$J$201,MATCH(1,INDEX((Equipamentos!$A$2:$A$201=B956)*(Equipamentos!$P$2:$P$201=A956),0),0)),""))</f>
        <v/>
      </c>
    </row>
    <row r="957">
      <c r="A957" s="54" t="n"/>
      <c r="B957" s="55" t="n"/>
      <c r="C957" s="56">
        <f>IF(OR(A957="",B957=""),"",IF(COUNTIF(Equipamentos!$A$2:$A$201,B957)=0,"tag não encontrada",IFERROR(INDEX(Equipamentos!$H$2:$H$201,MATCH(1,INDEX((Equipamentos!$A$2:$A$201=B957)*(Equipamentos!$P$2:$P$201=A957),0),0)),"confira a data")))</f>
        <v/>
      </c>
      <c r="D957">
        <f>IF(B957="","",IFERROR(INDEX(Equipamentos!$C$2:$C$201,MATCH(B957,Equipamentos!$A$2:$A$201,0)),""))</f>
        <v/>
      </c>
      <c r="E957" s="55" t="n"/>
      <c r="F957" s="55" t="n"/>
      <c r="G957">
        <f>IF(B957="","",IFERROR(INDEX(Equipamentos!$N$2:$N$201,MATCH(B957,Equipamentos!$A$2:$A$201,0)),""))</f>
        <v/>
      </c>
      <c r="H957">
        <f>IF(B957="","",IFERROR(INDEX(Equipamentos!$L$2:$L$201,MATCH(B957,Equipamentos!$A$2:$A$201,0)),""))</f>
        <v/>
      </c>
      <c r="I957" s="57">
        <f>IF(OR(A957="",B957=""),"",IFERROR(INDEX(Equipamentos!$J$2:$J$201,MATCH(1,INDEX((Equipamentos!$A$2:$A$201=B957)*(Equipamentos!$P$2:$P$201=A957),0),0)),""))</f>
        <v/>
      </c>
    </row>
    <row r="958">
      <c r="A958" s="54" t="n"/>
      <c r="B958" s="55" t="n"/>
      <c r="C958" s="56">
        <f>IF(OR(A958="",B958=""),"",IF(COUNTIF(Equipamentos!$A$2:$A$201,B958)=0,"tag não encontrada",IFERROR(INDEX(Equipamentos!$H$2:$H$201,MATCH(1,INDEX((Equipamentos!$A$2:$A$201=B958)*(Equipamentos!$P$2:$P$201=A958),0),0)),"confira a data")))</f>
        <v/>
      </c>
      <c r="D958">
        <f>IF(B958="","",IFERROR(INDEX(Equipamentos!$C$2:$C$201,MATCH(B958,Equipamentos!$A$2:$A$201,0)),""))</f>
        <v/>
      </c>
      <c r="E958" s="55" t="n"/>
      <c r="F958" s="55" t="n"/>
      <c r="G958">
        <f>IF(B958="","",IFERROR(INDEX(Equipamentos!$N$2:$N$201,MATCH(B958,Equipamentos!$A$2:$A$201,0)),""))</f>
        <v/>
      </c>
      <c r="H958">
        <f>IF(B958="","",IFERROR(INDEX(Equipamentos!$L$2:$L$201,MATCH(B958,Equipamentos!$A$2:$A$201,0)),""))</f>
        <v/>
      </c>
      <c r="I958" s="57">
        <f>IF(OR(A958="",B958=""),"",IFERROR(INDEX(Equipamentos!$J$2:$J$201,MATCH(1,INDEX((Equipamentos!$A$2:$A$201=B958)*(Equipamentos!$P$2:$P$201=A958),0),0)),""))</f>
        <v/>
      </c>
    </row>
    <row r="959">
      <c r="A959" s="54" t="n"/>
      <c r="B959" s="55" t="n"/>
      <c r="C959" s="56">
        <f>IF(OR(A959="",B959=""),"",IF(COUNTIF(Equipamentos!$A$2:$A$201,B959)=0,"tag não encontrada",IFERROR(INDEX(Equipamentos!$H$2:$H$201,MATCH(1,INDEX((Equipamentos!$A$2:$A$201=B959)*(Equipamentos!$P$2:$P$201=A959),0),0)),"confira a data")))</f>
        <v/>
      </c>
      <c r="D959">
        <f>IF(B959="","",IFERROR(INDEX(Equipamentos!$C$2:$C$201,MATCH(B959,Equipamentos!$A$2:$A$201,0)),""))</f>
        <v/>
      </c>
      <c r="E959" s="55" t="n"/>
      <c r="F959" s="55" t="n"/>
      <c r="G959">
        <f>IF(B959="","",IFERROR(INDEX(Equipamentos!$N$2:$N$201,MATCH(B959,Equipamentos!$A$2:$A$201,0)),""))</f>
        <v/>
      </c>
      <c r="H959">
        <f>IF(B959="","",IFERROR(INDEX(Equipamentos!$L$2:$L$201,MATCH(B959,Equipamentos!$A$2:$A$201,0)),""))</f>
        <v/>
      </c>
      <c r="I959" s="57">
        <f>IF(OR(A959="",B959=""),"",IFERROR(INDEX(Equipamentos!$J$2:$J$201,MATCH(1,INDEX((Equipamentos!$A$2:$A$201=B959)*(Equipamentos!$P$2:$P$201=A959),0),0)),""))</f>
        <v/>
      </c>
    </row>
    <row r="960">
      <c r="A960" s="54" t="n"/>
      <c r="B960" s="55" t="n"/>
      <c r="C960" s="56">
        <f>IF(OR(A960="",B960=""),"",IF(COUNTIF(Equipamentos!$A$2:$A$201,B960)=0,"tag não encontrada",IFERROR(INDEX(Equipamentos!$H$2:$H$201,MATCH(1,INDEX((Equipamentos!$A$2:$A$201=B960)*(Equipamentos!$P$2:$P$201=A960),0),0)),"confira a data")))</f>
        <v/>
      </c>
      <c r="D960">
        <f>IF(B960="","",IFERROR(INDEX(Equipamentos!$C$2:$C$201,MATCH(B960,Equipamentos!$A$2:$A$201,0)),""))</f>
        <v/>
      </c>
      <c r="E960" s="55" t="n"/>
      <c r="F960" s="55" t="n"/>
      <c r="G960">
        <f>IF(B960="","",IFERROR(INDEX(Equipamentos!$N$2:$N$201,MATCH(B960,Equipamentos!$A$2:$A$201,0)),""))</f>
        <v/>
      </c>
      <c r="H960">
        <f>IF(B960="","",IFERROR(INDEX(Equipamentos!$L$2:$L$201,MATCH(B960,Equipamentos!$A$2:$A$201,0)),""))</f>
        <v/>
      </c>
      <c r="I960" s="57">
        <f>IF(OR(A960="",B960=""),"",IFERROR(INDEX(Equipamentos!$J$2:$J$201,MATCH(1,INDEX((Equipamentos!$A$2:$A$201=B960)*(Equipamentos!$P$2:$P$201=A960),0),0)),""))</f>
        <v/>
      </c>
    </row>
    <row r="961">
      <c r="A961" s="54" t="n"/>
      <c r="B961" s="55" t="n"/>
      <c r="C961" s="56">
        <f>IF(OR(A961="",B961=""),"",IF(COUNTIF(Equipamentos!$A$2:$A$201,B961)=0,"tag não encontrada",IFERROR(INDEX(Equipamentos!$H$2:$H$201,MATCH(1,INDEX((Equipamentos!$A$2:$A$201=B961)*(Equipamentos!$P$2:$P$201=A961),0),0)),"confira a data")))</f>
        <v/>
      </c>
      <c r="D961">
        <f>IF(B961="","",IFERROR(INDEX(Equipamentos!$C$2:$C$201,MATCH(B961,Equipamentos!$A$2:$A$201,0)),""))</f>
        <v/>
      </c>
      <c r="E961" s="55" t="n"/>
      <c r="F961" s="55" t="n"/>
      <c r="G961">
        <f>IF(B961="","",IFERROR(INDEX(Equipamentos!$N$2:$N$201,MATCH(B961,Equipamentos!$A$2:$A$201,0)),""))</f>
        <v/>
      </c>
      <c r="H961">
        <f>IF(B961="","",IFERROR(INDEX(Equipamentos!$L$2:$L$201,MATCH(B961,Equipamentos!$A$2:$A$201,0)),""))</f>
        <v/>
      </c>
      <c r="I961" s="57">
        <f>IF(OR(A961="",B961=""),"",IFERROR(INDEX(Equipamentos!$J$2:$J$201,MATCH(1,INDEX((Equipamentos!$A$2:$A$201=B961)*(Equipamentos!$P$2:$P$201=A961),0),0)),""))</f>
        <v/>
      </c>
    </row>
    <row r="962">
      <c r="A962" s="54" t="n"/>
      <c r="B962" s="55" t="n"/>
      <c r="C962" s="56">
        <f>IF(OR(A962="",B962=""),"",IF(COUNTIF(Equipamentos!$A$2:$A$201,B962)=0,"tag não encontrada",IFERROR(INDEX(Equipamentos!$H$2:$H$201,MATCH(1,INDEX((Equipamentos!$A$2:$A$201=B962)*(Equipamentos!$P$2:$P$201=A962),0),0)),"confira a data")))</f>
        <v/>
      </c>
      <c r="D962">
        <f>IF(B962="","",IFERROR(INDEX(Equipamentos!$C$2:$C$201,MATCH(B962,Equipamentos!$A$2:$A$201,0)),""))</f>
        <v/>
      </c>
      <c r="E962" s="55" t="n"/>
      <c r="F962" s="55" t="n"/>
      <c r="G962">
        <f>IF(B962="","",IFERROR(INDEX(Equipamentos!$N$2:$N$201,MATCH(B962,Equipamentos!$A$2:$A$201,0)),""))</f>
        <v/>
      </c>
      <c r="H962">
        <f>IF(B962="","",IFERROR(INDEX(Equipamentos!$L$2:$L$201,MATCH(B962,Equipamentos!$A$2:$A$201,0)),""))</f>
        <v/>
      </c>
      <c r="I962" s="57">
        <f>IF(OR(A962="",B962=""),"",IFERROR(INDEX(Equipamentos!$J$2:$J$201,MATCH(1,INDEX((Equipamentos!$A$2:$A$201=B962)*(Equipamentos!$P$2:$P$201=A962),0),0)),""))</f>
        <v/>
      </c>
    </row>
    <row r="963">
      <c r="A963" s="54" t="n"/>
      <c r="B963" s="55" t="n"/>
      <c r="C963" s="56">
        <f>IF(OR(A963="",B963=""),"",IF(COUNTIF(Equipamentos!$A$2:$A$201,B963)=0,"tag não encontrada",IFERROR(INDEX(Equipamentos!$H$2:$H$201,MATCH(1,INDEX((Equipamentos!$A$2:$A$201=B963)*(Equipamentos!$P$2:$P$201=A963),0),0)),"confira a data")))</f>
        <v/>
      </c>
      <c r="D963">
        <f>IF(B963="","",IFERROR(INDEX(Equipamentos!$C$2:$C$201,MATCH(B963,Equipamentos!$A$2:$A$201,0)),""))</f>
        <v/>
      </c>
      <c r="E963" s="55" t="n"/>
      <c r="F963" s="55" t="n"/>
      <c r="G963">
        <f>IF(B963="","",IFERROR(INDEX(Equipamentos!$N$2:$N$201,MATCH(B963,Equipamentos!$A$2:$A$201,0)),""))</f>
        <v/>
      </c>
      <c r="H963">
        <f>IF(B963="","",IFERROR(INDEX(Equipamentos!$L$2:$L$201,MATCH(B963,Equipamentos!$A$2:$A$201,0)),""))</f>
        <v/>
      </c>
      <c r="I963" s="57">
        <f>IF(OR(A963="",B963=""),"",IFERROR(INDEX(Equipamentos!$J$2:$J$201,MATCH(1,INDEX((Equipamentos!$A$2:$A$201=B963)*(Equipamentos!$P$2:$P$201=A963),0),0)),""))</f>
        <v/>
      </c>
    </row>
    <row r="964">
      <c r="A964" s="54" t="n"/>
      <c r="B964" s="55" t="n"/>
      <c r="C964" s="56">
        <f>IF(OR(A964="",B964=""),"",IF(COUNTIF(Equipamentos!$A$2:$A$201,B964)=0,"tag não encontrada",IFERROR(INDEX(Equipamentos!$H$2:$H$201,MATCH(1,INDEX((Equipamentos!$A$2:$A$201=B964)*(Equipamentos!$P$2:$P$201=A964),0),0)),"confira a data")))</f>
        <v/>
      </c>
      <c r="D964">
        <f>IF(B964="","",IFERROR(INDEX(Equipamentos!$C$2:$C$201,MATCH(B964,Equipamentos!$A$2:$A$201,0)),""))</f>
        <v/>
      </c>
      <c r="E964" s="55" t="n"/>
      <c r="F964" s="55" t="n"/>
      <c r="G964">
        <f>IF(B964="","",IFERROR(INDEX(Equipamentos!$N$2:$N$201,MATCH(B964,Equipamentos!$A$2:$A$201,0)),""))</f>
        <v/>
      </c>
      <c r="H964">
        <f>IF(B964="","",IFERROR(INDEX(Equipamentos!$L$2:$L$201,MATCH(B964,Equipamentos!$A$2:$A$201,0)),""))</f>
        <v/>
      </c>
      <c r="I964" s="57">
        <f>IF(OR(A964="",B964=""),"",IFERROR(INDEX(Equipamentos!$J$2:$J$201,MATCH(1,INDEX((Equipamentos!$A$2:$A$201=B964)*(Equipamentos!$P$2:$P$201=A964),0),0)),""))</f>
        <v/>
      </c>
    </row>
    <row r="965">
      <c r="A965" s="54" t="n"/>
      <c r="B965" s="55" t="n"/>
      <c r="C965" s="56">
        <f>IF(OR(A965="",B965=""),"",IF(COUNTIF(Equipamentos!$A$2:$A$201,B965)=0,"tag não encontrada",IFERROR(INDEX(Equipamentos!$H$2:$H$201,MATCH(1,INDEX((Equipamentos!$A$2:$A$201=B965)*(Equipamentos!$P$2:$P$201=A965),0),0)),"confira a data")))</f>
        <v/>
      </c>
      <c r="D965">
        <f>IF(B965="","",IFERROR(INDEX(Equipamentos!$C$2:$C$201,MATCH(B965,Equipamentos!$A$2:$A$201,0)),""))</f>
        <v/>
      </c>
      <c r="E965" s="55" t="n"/>
      <c r="F965" s="55" t="n"/>
      <c r="G965">
        <f>IF(B965="","",IFERROR(INDEX(Equipamentos!$N$2:$N$201,MATCH(B965,Equipamentos!$A$2:$A$201,0)),""))</f>
        <v/>
      </c>
      <c r="H965">
        <f>IF(B965="","",IFERROR(INDEX(Equipamentos!$L$2:$L$201,MATCH(B965,Equipamentos!$A$2:$A$201,0)),""))</f>
        <v/>
      </c>
      <c r="I965" s="57">
        <f>IF(OR(A965="",B965=""),"",IFERROR(INDEX(Equipamentos!$J$2:$J$201,MATCH(1,INDEX((Equipamentos!$A$2:$A$201=B965)*(Equipamentos!$P$2:$P$201=A965),0),0)),""))</f>
        <v/>
      </c>
    </row>
    <row r="966">
      <c r="A966" s="54" t="n"/>
      <c r="B966" s="55" t="n"/>
      <c r="C966" s="56">
        <f>IF(OR(A966="",B966=""),"",IF(COUNTIF(Equipamentos!$A$2:$A$201,B966)=0,"tag não encontrada",IFERROR(INDEX(Equipamentos!$H$2:$H$201,MATCH(1,INDEX((Equipamentos!$A$2:$A$201=B966)*(Equipamentos!$P$2:$P$201=A966),0),0)),"confira a data")))</f>
        <v/>
      </c>
      <c r="D966">
        <f>IF(B966="","",IFERROR(INDEX(Equipamentos!$C$2:$C$201,MATCH(B966,Equipamentos!$A$2:$A$201,0)),""))</f>
        <v/>
      </c>
      <c r="E966" s="55" t="n"/>
      <c r="F966" s="55" t="n"/>
      <c r="G966">
        <f>IF(B966="","",IFERROR(INDEX(Equipamentos!$N$2:$N$201,MATCH(B966,Equipamentos!$A$2:$A$201,0)),""))</f>
        <v/>
      </c>
      <c r="H966">
        <f>IF(B966="","",IFERROR(INDEX(Equipamentos!$L$2:$L$201,MATCH(B966,Equipamentos!$A$2:$A$201,0)),""))</f>
        <v/>
      </c>
      <c r="I966" s="57">
        <f>IF(OR(A966="",B966=""),"",IFERROR(INDEX(Equipamentos!$J$2:$J$201,MATCH(1,INDEX((Equipamentos!$A$2:$A$201=B966)*(Equipamentos!$P$2:$P$201=A966),0),0)),""))</f>
        <v/>
      </c>
    </row>
    <row r="967">
      <c r="A967" s="54" t="n"/>
      <c r="B967" s="55" t="n"/>
      <c r="C967" s="56">
        <f>IF(OR(A967="",B967=""),"",IF(COUNTIF(Equipamentos!$A$2:$A$201,B967)=0,"tag não encontrada",IFERROR(INDEX(Equipamentos!$H$2:$H$201,MATCH(1,INDEX((Equipamentos!$A$2:$A$201=B967)*(Equipamentos!$P$2:$P$201=A967),0),0)),"confira a data")))</f>
        <v/>
      </c>
      <c r="D967">
        <f>IF(B967="","",IFERROR(INDEX(Equipamentos!$C$2:$C$201,MATCH(B967,Equipamentos!$A$2:$A$201,0)),""))</f>
        <v/>
      </c>
      <c r="E967" s="55" t="n"/>
      <c r="F967" s="55" t="n"/>
      <c r="G967">
        <f>IF(B967="","",IFERROR(INDEX(Equipamentos!$N$2:$N$201,MATCH(B967,Equipamentos!$A$2:$A$201,0)),""))</f>
        <v/>
      </c>
      <c r="H967">
        <f>IF(B967="","",IFERROR(INDEX(Equipamentos!$L$2:$L$201,MATCH(B967,Equipamentos!$A$2:$A$201,0)),""))</f>
        <v/>
      </c>
      <c r="I967" s="57">
        <f>IF(OR(A967="",B967=""),"",IFERROR(INDEX(Equipamentos!$J$2:$J$201,MATCH(1,INDEX((Equipamentos!$A$2:$A$201=B967)*(Equipamentos!$P$2:$P$201=A967),0),0)),""))</f>
        <v/>
      </c>
    </row>
    <row r="968">
      <c r="A968" s="54" t="n"/>
      <c r="B968" s="55" t="n"/>
      <c r="C968" s="56">
        <f>IF(OR(A968="",B968=""),"",IF(COUNTIF(Equipamentos!$A$2:$A$201,B968)=0,"tag não encontrada",IFERROR(INDEX(Equipamentos!$H$2:$H$201,MATCH(1,INDEX((Equipamentos!$A$2:$A$201=B968)*(Equipamentos!$P$2:$P$201=A968),0),0)),"confira a data")))</f>
        <v/>
      </c>
      <c r="D968">
        <f>IF(B968="","",IFERROR(INDEX(Equipamentos!$C$2:$C$201,MATCH(B968,Equipamentos!$A$2:$A$201,0)),""))</f>
        <v/>
      </c>
      <c r="E968" s="55" t="n"/>
      <c r="F968" s="55" t="n"/>
      <c r="G968">
        <f>IF(B968="","",IFERROR(INDEX(Equipamentos!$N$2:$N$201,MATCH(B968,Equipamentos!$A$2:$A$201,0)),""))</f>
        <v/>
      </c>
      <c r="H968">
        <f>IF(B968="","",IFERROR(INDEX(Equipamentos!$L$2:$L$201,MATCH(B968,Equipamentos!$A$2:$A$201,0)),""))</f>
        <v/>
      </c>
      <c r="I968" s="57">
        <f>IF(OR(A968="",B968=""),"",IFERROR(INDEX(Equipamentos!$J$2:$J$201,MATCH(1,INDEX((Equipamentos!$A$2:$A$201=B968)*(Equipamentos!$P$2:$P$201=A968),0),0)),""))</f>
        <v/>
      </c>
    </row>
    <row r="969">
      <c r="A969" s="54" t="n"/>
      <c r="B969" s="55" t="n"/>
      <c r="C969" s="56">
        <f>IF(OR(A969="",B969=""),"",IF(COUNTIF(Equipamentos!$A$2:$A$201,B969)=0,"tag não encontrada",IFERROR(INDEX(Equipamentos!$H$2:$H$201,MATCH(1,INDEX((Equipamentos!$A$2:$A$201=B969)*(Equipamentos!$P$2:$P$201=A969),0),0)),"confira a data")))</f>
        <v/>
      </c>
      <c r="D969">
        <f>IF(B969="","",IFERROR(INDEX(Equipamentos!$C$2:$C$201,MATCH(B969,Equipamentos!$A$2:$A$201,0)),""))</f>
        <v/>
      </c>
      <c r="E969" s="55" t="n"/>
      <c r="F969" s="55" t="n"/>
      <c r="G969">
        <f>IF(B969="","",IFERROR(INDEX(Equipamentos!$N$2:$N$201,MATCH(B969,Equipamentos!$A$2:$A$201,0)),""))</f>
        <v/>
      </c>
      <c r="H969">
        <f>IF(B969="","",IFERROR(INDEX(Equipamentos!$L$2:$L$201,MATCH(B969,Equipamentos!$A$2:$A$201,0)),""))</f>
        <v/>
      </c>
      <c r="I969" s="57">
        <f>IF(OR(A969="",B969=""),"",IFERROR(INDEX(Equipamentos!$J$2:$J$201,MATCH(1,INDEX((Equipamentos!$A$2:$A$201=B969)*(Equipamentos!$P$2:$P$201=A969),0),0)),""))</f>
        <v/>
      </c>
    </row>
    <row r="970">
      <c r="A970" s="54" t="n"/>
      <c r="B970" s="55" t="n"/>
      <c r="C970" s="56">
        <f>IF(OR(A970="",B970=""),"",IF(COUNTIF(Equipamentos!$A$2:$A$201,B970)=0,"tag não encontrada",IFERROR(INDEX(Equipamentos!$H$2:$H$201,MATCH(1,INDEX((Equipamentos!$A$2:$A$201=B970)*(Equipamentos!$P$2:$P$201=A970),0),0)),"confira a data")))</f>
        <v/>
      </c>
      <c r="D970">
        <f>IF(B970="","",IFERROR(INDEX(Equipamentos!$C$2:$C$201,MATCH(B970,Equipamentos!$A$2:$A$201,0)),""))</f>
        <v/>
      </c>
      <c r="E970" s="55" t="n"/>
      <c r="F970" s="55" t="n"/>
      <c r="G970">
        <f>IF(B970="","",IFERROR(INDEX(Equipamentos!$N$2:$N$201,MATCH(B970,Equipamentos!$A$2:$A$201,0)),""))</f>
        <v/>
      </c>
      <c r="H970">
        <f>IF(B970="","",IFERROR(INDEX(Equipamentos!$L$2:$L$201,MATCH(B970,Equipamentos!$A$2:$A$201,0)),""))</f>
        <v/>
      </c>
      <c r="I970" s="57">
        <f>IF(OR(A970="",B970=""),"",IFERROR(INDEX(Equipamentos!$J$2:$J$201,MATCH(1,INDEX((Equipamentos!$A$2:$A$201=B970)*(Equipamentos!$P$2:$P$201=A970),0),0)),""))</f>
        <v/>
      </c>
    </row>
    <row r="971">
      <c r="A971" s="54" t="n"/>
      <c r="B971" s="55" t="n"/>
      <c r="C971" s="56">
        <f>IF(OR(A971="",B971=""),"",IF(COUNTIF(Equipamentos!$A$2:$A$201,B971)=0,"tag não encontrada",IFERROR(INDEX(Equipamentos!$H$2:$H$201,MATCH(1,INDEX((Equipamentos!$A$2:$A$201=B971)*(Equipamentos!$P$2:$P$201=A971),0),0)),"confira a data")))</f>
        <v/>
      </c>
      <c r="D971">
        <f>IF(B971="","",IFERROR(INDEX(Equipamentos!$C$2:$C$201,MATCH(B971,Equipamentos!$A$2:$A$201,0)),""))</f>
        <v/>
      </c>
      <c r="E971" s="55" t="n"/>
      <c r="F971" s="55" t="n"/>
      <c r="G971">
        <f>IF(B971="","",IFERROR(INDEX(Equipamentos!$N$2:$N$201,MATCH(B971,Equipamentos!$A$2:$A$201,0)),""))</f>
        <v/>
      </c>
      <c r="H971">
        <f>IF(B971="","",IFERROR(INDEX(Equipamentos!$L$2:$L$201,MATCH(B971,Equipamentos!$A$2:$A$201,0)),""))</f>
        <v/>
      </c>
      <c r="I971" s="57">
        <f>IF(OR(A971="",B971=""),"",IFERROR(INDEX(Equipamentos!$J$2:$J$201,MATCH(1,INDEX((Equipamentos!$A$2:$A$201=B971)*(Equipamentos!$P$2:$P$201=A971),0),0)),""))</f>
        <v/>
      </c>
    </row>
    <row r="972">
      <c r="A972" s="54" t="n"/>
      <c r="B972" s="55" t="n"/>
      <c r="C972" s="56">
        <f>IF(OR(A972="",B972=""),"",IF(COUNTIF(Equipamentos!$A$2:$A$201,B972)=0,"tag não encontrada",IFERROR(INDEX(Equipamentos!$H$2:$H$201,MATCH(1,INDEX((Equipamentos!$A$2:$A$201=B972)*(Equipamentos!$P$2:$P$201=A972),0),0)),"confira a data")))</f>
        <v/>
      </c>
      <c r="D972">
        <f>IF(B972="","",IFERROR(INDEX(Equipamentos!$C$2:$C$201,MATCH(B972,Equipamentos!$A$2:$A$201,0)),""))</f>
        <v/>
      </c>
      <c r="E972" s="55" t="n"/>
      <c r="F972" s="55" t="n"/>
      <c r="G972">
        <f>IF(B972="","",IFERROR(INDEX(Equipamentos!$N$2:$N$201,MATCH(B972,Equipamentos!$A$2:$A$201,0)),""))</f>
        <v/>
      </c>
      <c r="H972">
        <f>IF(B972="","",IFERROR(INDEX(Equipamentos!$L$2:$L$201,MATCH(B972,Equipamentos!$A$2:$A$201,0)),""))</f>
        <v/>
      </c>
      <c r="I972" s="57">
        <f>IF(OR(A972="",B972=""),"",IFERROR(INDEX(Equipamentos!$J$2:$J$201,MATCH(1,INDEX((Equipamentos!$A$2:$A$201=B972)*(Equipamentos!$P$2:$P$201=A972),0),0)),""))</f>
        <v/>
      </c>
    </row>
    <row r="973">
      <c r="A973" s="54" t="n"/>
      <c r="B973" s="55" t="n"/>
      <c r="C973" s="56">
        <f>IF(OR(A973="",B973=""),"",IF(COUNTIF(Equipamentos!$A$2:$A$201,B973)=0,"tag não encontrada",IFERROR(INDEX(Equipamentos!$H$2:$H$201,MATCH(1,INDEX((Equipamentos!$A$2:$A$201=B973)*(Equipamentos!$P$2:$P$201=A973),0),0)),"confira a data")))</f>
        <v/>
      </c>
      <c r="D973">
        <f>IF(B973="","",IFERROR(INDEX(Equipamentos!$C$2:$C$201,MATCH(B973,Equipamentos!$A$2:$A$201,0)),""))</f>
        <v/>
      </c>
      <c r="E973" s="55" t="n"/>
      <c r="F973" s="55" t="n"/>
      <c r="G973">
        <f>IF(B973="","",IFERROR(INDEX(Equipamentos!$N$2:$N$201,MATCH(B973,Equipamentos!$A$2:$A$201,0)),""))</f>
        <v/>
      </c>
      <c r="H973">
        <f>IF(B973="","",IFERROR(INDEX(Equipamentos!$L$2:$L$201,MATCH(B973,Equipamentos!$A$2:$A$201,0)),""))</f>
        <v/>
      </c>
      <c r="I973" s="57">
        <f>IF(OR(A973="",B973=""),"",IFERROR(INDEX(Equipamentos!$J$2:$J$201,MATCH(1,INDEX((Equipamentos!$A$2:$A$201=B973)*(Equipamentos!$P$2:$P$201=A973),0),0)),""))</f>
        <v/>
      </c>
    </row>
    <row r="974">
      <c r="A974" s="54" t="n"/>
      <c r="B974" s="55" t="n"/>
      <c r="C974" s="56">
        <f>IF(OR(A974="",B974=""),"",IF(COUNTIF(Equipamentos!$A$2:$A$201,B974)=0,"tag não encontrada",IFERROR(INDEX(Equipamentos!$H$2:$H$201,MATCH(1,INDEX((Equipamentos!$A$2:$A$201=B974)*(Equipamentos!$P$2:$P$201=A974),0),0)),"confira a data")))</f>
        <v/>
      </c>
      <c r="D974">
        <f>IF(B974="","",IFERROR(INDEX(Equipamentos!$C$2:$C$201,MATCH(B974,Equipamentos!$A$2:$A$201,0)),""))</f>
        <v/>
      </c>
      <c r="E974" s="55" t="n"/>
      <c r="F974" s="55" t="n"/>
      <c r="G974">
        <f>IF(B974="","",IFERROR(INDEX(Equipamentos!$N$2:$N$201,MATCH(B974,Equipamentos!$A$2:$A$201,0)),""))</f>
        <v/>
      </c>
      <c r="H974">
        <f>IF(B974="","",IFERROR(INDEX(Equipamentos!$L$2:$L$201,MATCH(B974,Equipamentos!$A$2:$A$201,0)),""))</f>
        <v/>
      </c>
      <c r="I974" s="57">
        <f>IF(OR(A974="",B974=""),"",IFERROR(INDEX(Equipamentos!$J$2:$J$201,MATCH(1,INDEX((Equipamentos!$A$2:$A$201=B974)*(Equipamentos!$P$2:$P$201=A974),0),0)),""))</f>
        <v/>
      </c>
    </row>
    <row r="975">
      <c r="A975" s="54" t="n"/>
      <c r="B975" s="55" t="n"/>
      <c r="C975" s="56">
        <f>IF(OR(A975="",B975=""),"",IF(COUNTIF(Equipamentos!$A$2:$A$201,B975)=0,"tag não encontrada",IFERROR(INDEX(Equipamentos!$H$2:$H$201,MATCH(1,INDEX((Equipamentos!$A$2:$A$201=B975)*(Equipamentos!$P$2:$P$201=A975),0),0)),"confira a data")))</f>
        <v/>
      </c>
      <c r="D975">
        <f>IF(B975="","",IFERROR(INDEX(Equipamentos!$C$2:$C$201,MATCH(B975,Equipamentos!$A$2:$A$201,0)),""))</f>
        <v/>
      </c>
      <c r="E975" s="55" t="n"/>
      <c r="F975" s="55" t="n"/>
      <c r="G975">
        <f>IF(B975="","",IFERROR(INDEX(Equipamentos!$N$2:$N$201,MATCH(B975,Equipamentos!$A$2:$A$201,0)),""))</f>
        <v/>
      </c>
      <c r="H975">
        <f>IF(B975="","",IFERROR(INDEX(Equipamentos!$L$2:$L$201,MATCH(B975,Equipamentos!$A$2:$A$201,0)),""))</f>
        <v/>
      </c>
      <c r="I975" s="57">
        <f>IF(OR(A975="",B975=""),"",IFERROR(INDEX(Equipamentos!$J$2:$J$201,MATCH(1,INDEX((Equipamentos!$A$2:$A$201=B975)*(Equipamentos!$P$2:$P$201=A975),0),0)),""))</f>
        <v/>
      </c>
    </row>
    <row r="976">
      <c r="A976" s="54" t="n"/>
      <c r="B976" s="55" t="n"/>
      <c r="C976" s="56">
        <f>IF(OR(A976="",B976=""),"",IF(COUNTIF(Equipamentos!$A$2:$A$201,B976)=0,"tag não encontrada",IFERROR(INDEX(Equipamentos!$H$2:$H$201,MATCH(1,INDEX((Equipamentos!$A$2:$A$201=B976)*(Equipamentos!$P$2:$P$201=A976),0),0)),"confira a data")))</f>
        <v/>
      </c>
      <c r="D976">
        <f>IF(B976="","",IFERROR(INDEX(Equipamentos!$C$2:$C$201,MATCH(B976,Equipamentos!$A$2:$A$201,0)),""))</f>
        <v/>
      </c>
      <c r="E976" s="55" t="n"/>
      <c r="F976" s="55" t="n"/>
      <c r="G976">
        <f>IF(B976="","",IFERROR(INDEX(Equipamentos!$N$2:$N$201,MATCH(B976,Equipamentos!$A$2:$A$201,0)),""))</f>
        <v/>
      </c>
      <c r="H976">
        <f>IF(B976="","",IFERROR(INDEX(Equipamentos!$L$2:$L$201,MATCH(B976,Equipamentos!$A$2:$A$201,0)),""))</f>
        <v/>
      </c>
      <c r="I976" s="57">
        <f>IF(OR(A976="",B976=""),"",IFERROR(INDEX(Equipamentos!$J$2:$J$201,MATCH(1,INDEX((Equipamentos!$A$2:$A$201=B976)*(Equipamentos!$P$2:$P$201=A976),0),0)),""))</f>
        <v/>
      </c>
    </row>
    <row r="977">
      <c r="A977" s="54" t="n"/>
      <c r="B977" s="55" t="n"/>
      <c r="C977" s="56">
        <f>IF(OR(A977="",B977=""),"",IF(COUNTIF(Equipamentos!$A$2:$A$201,B977)=0,"tag não encontrada",IFERROR(INDEX(Equipamentos!$H$2:$H$201,MATCH(1,INDEX((Equipamentos!$A$2:$A$201=B977)*(Equipamentos!$P$2:$P$201=A977),0),0)),"confira a data")))</f>
        <v/>
      </c>
      <c r="D977">
        <f>IF(B977="","",IFERROR(INDEX(Equipamentos!$C$2:$C$201,MATCH(B977,Equipamentos!$A$2:$A$201,0)),""))</f>
        <v/>
      </c>
      <c r="E977" s="55" t="n"/>
      <c r="F977" s="55" t="n"/>
      <c r="G977">
        <f>IF(B977="","",IFERROR(INDEX(Equipamentos!$N$2:$N$201,MATCH(B977,Equipamentos!$A$2:$A$201,0)),""))</f>
        <v/>
      </c>
      <c r="H977">
        <f>IF(B977="","",IFERROR(INDEX(Equipamentos!$L$2:$L$201,MATCH(B977,Equipamentos!$A$2:$A$201,0)),""))</f>
        <v/>
      </c>
      <c r="I977" s="57">
        <f>IF(OR(A977="",B977=""),"",IFERROR(INDEX(Equipamentos!$J$2:$J$201,MATCH(1,INDEX((Equipamentos!$A$2:$A$201=B977)*(Equipamentos!$P$2:$P$201=A977),0),0)),""))</f>
        <v/>
      </c>
    </row>
    <row r="978">
      <c r="A978" s="54" t="n"/>
      <c r="B978" s="55" t="n"/>
      <c r="C978" s="56">
        <f>IF(OR(A978="",B978=""),"",IF(COUNTIF(Equipamentos!$A$2:$A$201,B978)=0,"tag não encontrada",IFERROR(INDEX(Equipamentos!$H$2:$H$201,MATCH(1,INDEX((Equipamentos!$A$2:$A$201=B978)*(Equipamentos!$P$2:$P$201=A978),0),0)),"confira a data")))</f>
        <v/>
      </c>
      <c r="D978">
        <f>IF(B978="","",IFERROR(INDEX(Equipamentos!$C$2:$C$201,MATCH(B978,Equipamentos!$A$2:$A$201,0)),""))</f>
        <v/>
      </c>
      <c r="E978" s="55" t="n"/>
      <c r="F978" s="55" t="n"/>
      <c r="G978">
        <f>IF(B978="","",IFERROR(INDEX(Equipamentos!$N$2:$N$201,MATCH(B978,Equipamentos!$A$2:$A$201,0)),""))</f>
        <v/>
      </c>
      <c r="H978">
        <f>IF(B978="","",IFERROR(INDEX(Equipamentos!$L$2:$L$201,MATCH(B978,Equipamentos!$A$2:$A$201,0)),""))</f>
        <v/>
      </c>
      <c r="I978" s="57">
        <f>IF(OR(A978="",B978=""),"",IFERROR(INDEX(Equipamentos!$J$2:$J$201,MATCH(1,INDEX((Equipamentos!$A$2:$A$201=B978)*(Equipamentos!$P$2:$P$201=A978),0),0)),""))</f>
        <v/>
      </c>
    </row>
    <row r="979">
      <c r="A979" s="54" t="n"/>
      <c r="B979" s="55" t="n"/>
      <c r="C979" s="56">
        <f>IF(OR(A979="",B979=""),"",IF(COUNTIF(Equipamentos!$A$2:$A$201,B979)=0,"tag não encontrada",IFERROR(INDEX(Equipamentos!$H$2:$H$201,MATCH(1,INDEX((Equipamentos!$A$2:$A$201=B979)*(Equipamentos!$P$2:$P$201=A979),0),0)),"confira a data")))</f>
        <v/>
      </c>
      <c r="D979">
        <f>IF(B979="","",IFERROR(INDEX(Equipamentos!$C$2:$C$201,MATCH(B979,Equipamentos!$A$2:$A$201,0)),""))</f>
        <v/>
      </c>
      <c r="E979" s="55" t="n"/>
      <c r="F979" s="55" t="n"/>
      <c r="G979">
        <f>IF(B979="","",IFERROR(INDEX(Equipamentos!$N$2:$N$201,MATCH(B979,Equipamentos!$A$2:$A$201,0)),""))</f>
        <v/>
      </c>
      <c r="H979">
        <f>IF(B979="","",IFERROR(INDEX(Equipamentos!$L$2:$L$201,MATCH(B979,Equipamentos!$A$2:$A$201,0)),""))</f>
        <v/>
      </c>
      <c r="I979" s="57">
        <f>IF(OR(A979="",B979=""),"",IFERROR(INDEX(Equipamentos!$J$2:$J$201,MATCH(1,INDEX((Equipamentos!$A$2:$A$201=B979)*(Equipamentos!$P$2:$P$201=A979),0),0)),""))</f>
        <v/>
      </c>
    </row>
    <row r="980">
      <c r="A980" s="54" t="n"/>
      <c r="B980" s="55" t="n"/>
      <c r="C980" s="56">
        <f>IF(OR(A980="",B980=""),"",IF(COUNTIF(Equipamentos!$A$2:$A$201,B980)=0,"tag não encontrada",IFERROR(INDEX(Equipamentos!$H$2:$H$201,MATCH(1,INDEX((Equipamentos!$A$2:$A$201=B980)*(Equipamentos!$P$2:$P$201=A980),0),0)),"confira a data")))</f>
        <v/>
      </c>
      <c r="D980">
        <f>IF(B980="","",IFERROR(INDEX(Equipamentos!$C$2:$C$201,MATCH(B980,Equipamentos!$A$2:$A$201,0)),""))</f>
        <v/>
      </c>
      <c r="E980" s="55" t="n"/>
      <c r="F980" s="55" t="n"/>
      <c r="G980">
        <f>IF(B980="","",IFERROR(INDEX(Equipamentos!$N$2:$N$201,MATCH(B980,Equipamentos!$A$2:$A$201,0)),""))</f>
        <v/>
      </c>
      <c r="H980">
        <f>IF(B980="","",IFERROR(INDEX(Equipamentos!$L$2:$L$201,MATCH(B980,Equipamentos!$A$2:$A$201,0)),""))</f>
        <v/>
      </c>
      <c r="I980" s="57">
        <f>IF(OR(A980="",B980=""),"",IFERROR(INDEX(Equipamentos!$J$2:$J$201,MATCH(1,INDEX((Equipamentos!$A$2:$A$201=B980)*(Equipamentos!$P$2:$P$201=A980),0),0)),""))</f>
        <v/>
      </c>
    </row>
    <row r="981">
      <c r="A981" s="54" t="n"/>
      <c r="B981" s="55" t="n"/>
      <c r="C981" s="56">
        <f>IF(OR(A981="",B981=""),"",IF(COUNTIF(Equipamentos!$A$2:$A$201,B981)=0,"tag não encontrada",IFERROR(INDEX(Equipamentos!$H$2:$H$201,MATCH(1,INDEX((Equipamentos!$A$2:$A$201=B981)*(Equipamentos!$P$2:$P$201=A981),0),0)),"confira a data")))</f>
        <v/>
      </c>
      <c r="D981">
        <f>IF(B981="","",IFERROR(INDEX(Equipamentos!$C$2:$C$201,MATCH(B981,Equipamentos!$A$2:$A$201,0)),""))</f>
        <v/>
      </c>
      <c r="E981" s="55" t="n"/>
      <c r="F981" s="55" t="n"/>
      <c r="G981">
        <f>IF(B981="","",IFERROR(INDEX(Equipamentos!$N$2:$N$201,MATCH(B981,Equipamentos!$A$2:$A$201,0)),""))</f>
        <v/>
      </c>
      <c r="H981">
        <f>IF(B981="","",IFERROR(INDEX(Equipamentos!$L$2:$L$201,MATCH(B981,Equipamentos!$A$2:$A$201,0)),""))</f>
        <v/>
      </c>
      <c r="I981" s="57">
        <f>IF(OR(A981="",B981=""),"",IFERROR(INDEX(Equipamentos!$J$2:$J$201,MATCH(1,INDEX((Equipamentos!$A$2:$A$201=B981)*(Equipamentos!$P$2:$P$201=A981),0),0)),""))</f>
        <v/>
      </c>
    </row>
    <row r="982">
      <c r="A982" s="54" t="n"/>
      <c r="B982" s="55" t="n"/>
      <c r="C982" s="56">
        <f>IF(OR(A982="",B982=""),"",IF(COUNTIF(Equipamentos!$A$2:$A$201,B982)=0,"tag não encontrada",IFERROR(INDEX(Equipamentos!$H$2:$H$201,MATCH(1,INDEX((Equipamentos!$A$2:$A$201=B982)*(Equipamentos!$P$2:$P$201=A982),0),0)),"confira a data")))</f>
        <v/>
      </c>
      <c r="D982">
        <f>IF(B982="","",IFERROR(INDEX(Equipamentos!$C$2:$C$201,MATCH(B982,Equipamentos!$A$2:$A$201,0)),""))</f>
        <v/>
      </c>
      <c r="E982" s="55" t="n"/>
      <c r="F982" s="55" t="n"/>
      <c r="G982">
        <f>IF(B982="","",IFERROR(INDEX(Equipamentos!$N$2:$N$201,MATCH(B982,Equipamentos!$A$2:$A$201,0)),""))</f>
        <v/>
      </c>
      <c r="H982">
        <f>IF(B982="","",IFERROR(INDEX(Equipamentos!$L$2:$L$201,MATCH(B982,Equipamentos!$A$2:$A$201,0)),""))</f>
        <v/>
      </c>
      <c r="I982" s="57">
        <f>IF(OR(A982="",B982=""),"",IFERROR(INDEX(Equipamentos!$J$2:$J$201,MATCH(1,INDEX((Equipamentos!$A$2:$A$201=B982)*(Equipamentos!$P$2:$P$201=A982),0),0)),""))</f>
        <v/>
      </c>
    </row>
    <row r="983">
      <c r="A983" s="54" t="n"/>
      <c r="B983" s="55" t="n"/>
      <c r="C983" s="56">
        <f>IF(OR(A983="",B983=""),"",IF(COUNTIF(Equipamentos!$A$2:$A$201,B983)=0,"tag não encontrada",IFERROR(INDEX(Equipamentos!$H$2:$H$201,MATCH(1,INDEX((Equipamentos!$A$2:$A$201=B983)*(Equipamentos!$P$2:$P$201=A983),0),0)),"confira a data")))</f>
        <v/>
      </c>
      <c r="D983">
        <f>IF(B983="","",IFERROR(INDEX(Equipamentos!$C$2:$C$201,MATCH(B983,Equipamentos!$A$2:$A$201,0)),""))</f>
        <v/>
      </c>
      <c r="E983" s="55" t="n"/>
      <c r="F983" s="55" t="n"/>
      <c r="G983">
        <f>IF(B983="","",IFERROR(INDEX(Equipamentos!$N$2:$N$201,MATCH(B983,Equipamentos!$A$2:$A$201,0)),""))</f>
        <v/>
      </c>
      <c r="H983">
        <f>IF(B983="","",IFERROR(INDEX(Equipamentos!$L$2:$L$201,MATCH(B983,Equipamentos!$A$2:$A$201,0)),""))</f>
        <v/>
      </c>
      <c r="I983" s="57">
        <f>IF(OR(A983="",B983=""),"",IFERROR(INDEX(Equipamentos!$J$2:$J$201,MATCH(1,INDEX((Equipamentos!$A$2:$A$201=B983)*(Equipamentos!$P$2:$P$201=A983),0),0)),""))</f>
        <v/>
      </c>
    </row>
    <row r="984">
      <c r="A984" s="54" t="n"/>
      <c r="B984" s="55" t="n"/>
      <c r="C984" s="56">
        <f>IF(OR(A984="",B984=""),"",IF(COUNTIF(Equipamentos!$A$2:$A$201,B984)=0,"tag não encontrada",IFERROR(INDEX(Equipamentos!$H$2:$H$201,MATCH(1,INDEX((Equipamentos!$A$2:$A$201=B984)*(Equipamentos!$P$2:$P$201=A984),0),0)),"confira a data")))</f>
        <v/>
      </c>
      <c r="D984">
        <f>IF(B984="","",IFERROR(INDEX(Equipamentos!$C$2:$C$201,MATCH(B984,Equipamentos!$A$2:$A$201,0)),""))</f>
        <v/>
      </c>
      <c r="E984" s="55" t="n"/>
      <c r="F984" s="55" t="n"/>
      <c r="G984">
        <f>IF(B984="","",IFERROR(INDEX(Equipamentos!$N$2:$N$201,MATCH(B984,Equipamentos!$A$2:$A$201,0)),""))</f>
        <v/>
      </c>
      <c r="H984">
        <f>IF(B984="","",IFERROR(INDEX(Equipamentos!$L$2:$L$201,MATCH(B984,Equipamentos!$A$2:$A$201,0)),""))</f>
        <v/>
      </c>
      <c r="I984" s="57">
        <f>IF(OR(A984="",B984=""),"",IFERROR(INDEX(Equipamentos!$J$2:$J$201,MATCH(1,INDEX((Equipamentos!$A$2:$A$201=B984)*(Equipamentos!$P$2:$P$201=A984),0),0)),""))</f>
        <v/>
      </c>
    </row>
    <row r="985">
      <c r="A985" s="54" t="n"/>
      <c r="B985" s="55" t="n"/>
      <c r="C985" s="56">
        <f>IF(OR(A985="",B985=""),"",IF(COUNTIF(Equipamentos!$A$2:$A$201,B985)=0,"tag não encontrada",IFERROR(INDEX(Equipamentos!$H$2:$H$201,MATCH(1,INDEX((Equipamentos!$A$2:$A$201=B985)*(Equipamentos!$P$2:$P$201=A985),0),0)),"confira a data")))</f>
        <v/>
      </c>
      <c r="D985">
        <f>IF(B985="","",IFERROR(INDEX(Equipamentos!$C$2:$C$201,MATCH(B985,Equipamentos!$A$2:$A$201,0)),""))</f>
        <v/>
      </c>
      <c r="E985" s="55" t="n"/>
      <c r="F985" s="55" t="n"/>
      <c r="G985">
        <f>IF(B985="","",IFERROR(INDEX(Equipamentos!$N$2:$N$201,MATCH(B985,Equipamentos!$A$2:$A$201,0)),""))</f>
        <v/>
      </c>
      <c r="H985">
        <f>IF(B985="","",IFERROR(INDEX(Equipamentos!$L$2:$L$201,MATCH(B985,Equipamentos!$A$2:$A$201,0)),""))</f>
        <v/>
      </c>
      <c r="I985" s="57">
        <f>IF(OR(A985="",B985=""),"",IFERROR(INDEX(Equipamentos!$J$2:$J$201,MATCH(1,INDEX((Equipamentos!$A$2:$A$201=B985)*(Equipamentos!$P$2:$P$201=A985),0),0)),""))</f>
        <v/>
      </c>
    </row>
    <row r="986">
      <c r="A986" s="54" t="n"/>
      <c r="B986" s="55" t="n"/>
      <c r="C986" s="56">
        <f>IF(OR(A986="",B986=""),"",IF(COUNTIF(Equipamentos!$A$2:$A$201,B986)=0,"tag não encontrada",IFERROR(INDEX(Equipamentos!$H$2:$H$201,MATCH(1,INDEX((Equipamentos!$A$2:$A$201=B986)*(Equipamentos!$P$2:$P$201=A986),0),0)),"confira a data")))</f>
        <v/>
      </c>
      <c r="D986">
        <f>IF(B986="","",IFERROR(INDEX(Equipamentos!$C$2:$C$201,MATCH(B986,Equipamentos!$A$2:$A$201,0)),""))</f>
        <v/>
      </c>
      <c r="E986" s="55" t="n"/>
      <c r="F986" s="55" t="n"/>
      <c r="G986">
        <f>IF(B986="","",IFERROR(INDEX(Equipamentos!$N$2:$N$201,MATCH(B986,Equipamentos!$A$2:$A$201,0)),""))</f>
        <v/>
      </c>
      <c r="H986">
        <f>IF(B986="","",IFERROR(INDEX(Equipamentos!$L$2:$L$201,MATCH(B986,Equipamentos!$A$2:$A$201,0)),""))</f>
        <v/>
      </c>
      <c r="I986" s="57">
        <f>IF(OR(A986="",B986=""),"",IFERROR(INDEX(Equipamentos!$J$2:$J$201,MATCH(1,INDEX((Equipamentos!$A$2:$A$201=B986)*(Equipamentos!$P$2:$P$201=A986),0),0)),""))</f>
        <v/>
      </c>
    </row>
    <row r="987">
      <c r="A987" s="54" t="n"/>
      <c r="B987" s="55" t="n"/>
      <c r="C987" s="56">
        <f>IF(OR(A987="",B987=""),"",IF(COUNTIF(Equipamentos!$A$2:$A$201,B987)=0,"tag não encontrada",IFERROR(INDEX(Equipamentos!$H$2:$H$201,MATCH(1,INDEX((Equipamentos!$A$2:$A$201=B987)*(Equipamentos!$P$2:$P$201=A987),0),0)),"confira a data")))</f>
        <v/>
      </c>
      <c r="D987">
        <f>IF(B987="","",IFERROR(INDEX(Equipamentos!$C$2:$C$201,MATCH(B987,Equipamentos!$A$2:$A$201,0)),""))</f>
        <v/>
      </c>
      <c r="E987" s="55" t="n"/>
      <c r="F987" s="55" t="n"/>
      <c r="G987">
        <f>IF(B987="","",IFERROR(INDEX(Equipamentos!$N$2:$N$201,MATCH(B987,Equipamentos!$A$2:$A$201,0)),""))</f>
        <v/>
      </c>
      <c r="H987">
        <f>IF(B987="","",IFERROR(INDEX(Equipamentos!$L$2:$L$201,MATCH(B987,Equipamentos!$A$2:$A$201,0)),""))</f>
        <v/>
      </c>
      <c r="I987" s="57">
        <f>IF(OR(A987="",B987=""),"",IFERROR(INDEX(Equipamentos!$J$2:$J$201,MATCH(1,INDEX((Equipamentos!$A$2:$A$201=B987)*(Equipamentos!$P$2:$P$201=A987),0),0)),""))</f>
        <v/>
      </c>
    </row>
    <row r="988">
      <c r="A988" s="54" t="n"/>
      <c r="B988" s="55" t="n"/>
      <c r="C988" s="56">
        <f>IF(OR(A988="",B988=""),"",IF(COUNTIF(Equipamentos!$A$2:$A$201,B988)=0,"tag não encontrada",IFERROR(INDEX(Equipamentos!$H$2:$H$201,MATCH(1,INDEX((Equipamentos!$A$2:$A$201=B988)*(Equipamentos!$P$2:$P$201=A988),0),0)),"confira a data")))</f>
        <v/>
      </c>
      <c r="D988">
        <f>IF(B988="","",IFERROR(INDEX(Equipamentos!$C$2:$C$201,MATCH(B988,Equipamentos!$A$2:$A$201,0)),""))</f>
        <v/>
      </c>
      <c r="E988" s="55" t="n"/>
      <c r="F988" s="55" t="n"/>
      <c r="G988">
        <f>IF(B988="","",IFERROR(INDEX(Equipamentos!$N$2:$N$201,MATCH(B988,Equipamentos!$A$2:$A$201,0)),""))</f>
        <v/>
      </c>
      <c r="H988">
        <f>IF(B988="","",IFERROR(INDEX(Equipamentos!$L$2:$L$201,MATCH(B988,Equipamentos!$A$2:$A$201,0)),""))</f>
        <v/>
      </c>
      <c r="I988" s="57">
        <f>IF(OR(A988="",B988=""),"",IFERROR(INDEX(Equipamentos!$J$2:$J$201,MATCH(1,INDEX((Equipamentos!$A$2:$A$201=B988)*(Equipamentos!$P$2:$P$201=A988),0),0)),""))</f>
        <v/>
      </c>
    </row>
    <row r="989">
      <c r="A989" s="54" t="n"/>
      <c r="B989" s="55" t="n"/>
      <c r="C989" s="56">
        <f>IF(OR(A989="",B989=""),"",IF(COUNTIF(Equipamentos!$A$2:$A$201,B989)=0,"tag não encontrada",IFERROR(INDEX(Equipamentos!$H$2:$H$201,MATCH(1,INDEX((Equipamentos!$A$2:$A$201=B989)*(Equipamentos!$P$2:$P$201=A989),0),0)),"confira a data")))</f>
        <v/>
      </c>
      <c r="D989">
        <f>IF(B989="","",IFERROR(INDEX(Equipamentos!$C$2:$C$201,MATCH(B989,Equipamentos!$A$2:$A$201,0)),""))</f>
        <v/>
      </c>
      <c r="E989" s="55" t="n"/>
      <c r="F989" s="55" t="n"/>
      <c r="G989">
        <f>IF(B989="","",IFERROR(INDEX(Equipamentos!$N$2:$N$201,MATCH(B989,Equipamentos!$A$2:$A$201,0)),""))</f>
        <v/>
      </c>
      <c r="H989">
        <f>IF(B989="","",IFERROR(INDEX(Equipamentos!$L$2:$L$201,MATCH(B989,Equipamentos!$A$2:$A$201,0)),""))</f>
        <v/>
      </c>
      <c r="I989" s="57">
        <f>IF(OR(A989="",B989=""),"",IFERROR(INDEX(Equipamentos!$J$2:$J$201,MATCH(1,INDEX((Equipamentos!$A$2:$A$201=B989)*(Equipamentos!$P$2:$P$201=A989),0),0)),""))</f>
        <v/>
      </c>
    </row>
    <row r="990">
      <c r="A990" s="54" t="n"/>
      <c r="B990" s="55" t="n"/>
      <c r="C990" s="56">
        <f>IF(OR(A990="",B990=""),"",IF(COUNTIF(Equipamentos!$A$2:$A$201,B990)=0,"tag não encontrada",IFERROR(INDEX(Equipamentos!$H$2:$H$201,MATCH(1,INDEX((Equipamentos!$A$2:$A$201=B990)*(Equipamentos!$P$2:$P$201=A990),0),0)),"confira a data")))</f>
        <v/>
      </c>
      <c r="D990">
        <f>IF(B990="","",IFERROR(INDEX(Equipamentos!$C$2:$C$201,MATCH(B990,Equipamentos!$A$2:$A$201,0)),""))</f>
        <v/>
      </c>
      <c r="E990" s="55" t="n"/>
      <c r="F990" s="55" t="n"/>
      <c r="G990">
        <f>IF(B990="","",IFERROR(INDEX(Equipamentos!$N$2:$N$201,MATCH(B990,Equipamentos!$A$2:$A$201,0)),""))</f>
        <v/>
      </c>
      <c r="H990">
        <f>IF(B990="","",IFERROR(INDEX(Equipamentos!$L$2:$L$201,MATCH(B990,Equipamentos!$A$2:$A$201,0)),""))</f>
        <v/>
      </c>
      <c r="I990" s="57">
        <f>IF(OR(A990="",B990=""),"",IFERROR(INDEX(Equipamentos!$J$2:$J$201,MATCH(1,INDEX((Equipamentos!$A$2:$A$201=B990)*(Equipamentos!$P$2:$P$201=A990),0),0)),""))</f>
        <v/>
      </c>
    </row>
    <row r="991">
      <c r="A991" s="54" t="n"/>
      <c r="B991" s="55" t="n"/>
      <c r="C991" s="56">
        <f>IF(OR(A991="",B991=""),"",IF(COUNTIF(Equipamentos!$A$2:$A$201,B991)=0,"tag não encontrada",IFERROR(INDEX(Equipamentos!$H$2:$H$201,MATCH(1,INDEX((Equipamentos!$A$2:$A$201=B991)*(Equipamentos!$P$2:$P$201=A991),0),0)),"confira a data")))</f>
        <v/>
      </c>
      <c r="D991">
        <f>IF(B991="","",IFERROR(INDEX(Equipamentos!$C$2:$C$201,MATCH(B991,Equipamentos!$A$2:$A$201,0)),""))</f>
        <v/>
      </c>
      <c r="E991" s="55" t="n"/>
      <c r="F991" s="55" t="n"/>
      <c r="G991">
        <f>IF(B991="","",IFERROR(INDEX(Equipamentos!$N$2:$N$201,MATCH(B991,Equipamentos!$A$2:$A$201,0)),""))</f>
        <v/>
      </c>
      <c r="H991">
        <f>IF(B991="","",IFERROR(INDEX(Equipamentos!$L$2:$L$201,MATCH(B991,Equipamentos!$A$2:$A$201,0)),""))</f>
        <v/>
      </c>
      <c r="I991" s="57">
        <f>IF(OR(A991="",B991=""),"",IFERROR(INDEX(Equipamentos!$J$2:$J$201,MATCH(1,INDEX((Equipamentos!$A$2:$A$201=B991)*(Equipamentos!$P$2:$P$201=A991),0),0)),""))</f>
        <v/>
      </c>
    </row>
    <row r="992">
      <c r="A992" s="54" t="n"/>
      <c r="B992" s="55" t="n"/>
      <c r="C992" s="56">
        <f>IF(OR(A992="",B992=""),"",IF(COUNTIF(Equipamentos!$A$2:$A$201,B992)=0,"tag não encontrada",IFERROR(INDEX(Equipamentos!$H$2:$H$201,MATCH(1,INDEX((Equipamentos!$A$2:$A$201=B992)*(Equipamentos!$P$2:$P$201=A992),0),0)),"confira a data")))</f>
        <v/>
      </c>
      <c r="D992">
        <f>IF(B992="","",IFERROR(INDEX(Equipamentos!$C$2:$C$201,MATCH(B992,Equipamentos!$A$2:$A$201,0)),""))</f>
        <v/>
      </c>
      <c r="E992" s="55" t="n"/>
      <c r="F992" s="55" t="n"/>
      <c r="G992">
        <f>IF(B992="","",IFERROR(INDEX(Equipamentos!$N$2:$N$201,MATCH(B992,Equipamentos!$A$2:$A$201,0)),""))</f>
        <v/>
      </c>
      <c r="H992">
        <f>IF(B992="","",IFERROR(INDEX(Equipamentos!$L$2:$L$201,MATCH(B992,Equipamentos!$A$2:$A$201,0)),""))</f>
        <v/>
      </c>
      <c r="I992" s="57">
        <f>IF(OR(A992="",B992=""),"",IFERROR(INDEX(Equipamentos!$J$2:$J$201,MATCH(1,INDEX((Equipamentos!$A$2:$A$201=B992)*(Equipamentos!$P$2:$P$201=A992),0),0)),""))</f>
        <v/>
      </c>
    </row>
    <row r="993">
      <c r="A993" s="54" t="n"/>
      <c r="B993" s="55" t="n"/>
      <c r="C993" s="56">
        <f>IF(OR(A993="",B993=""),"",IF(COUNTIF(Equipamentos!$A$2:$A$201,B993)=0,"tag não encontrada",IFERROR(INDEX(Equipamentos!$H$2:$H$201,MATCH(1,INDEX((Equipamentos!$A$2:$A$201=B993)*(Equipamentos!$P$2:$P$201=A993),0),0)),"confira a data")))</f>
        <v/>
      </c>
      <c r="D993">
        <f>IF(B993="","",IFERROR(INDEX(Equipamentos!$C$2:$C$201,MATCH(B993,Equipamentos!$A$2:$A$201,0)),""))</f>
        <v/>
      </c>
      <c r="E993" s="55" t="n"/>
      <c r="F993" s="55" t="n"/>
      <c r="G993">
        <f>IF(B993="","",IFERROR(INDEX(Equipamentos!$N$2:$N$201,MATCH(B993,Equipamentos!$A$2:$A$201,0)),""))</f>
        <v/>
      </c>
      <c r="H993">
        <f>IF(B993="","",IFERROR(INDEX(Equipamentos!$L$2:$L$201,MATCH(B993,Equipamentos!$A$2:$A$201,0)),""))</f>
        <v/>
      </c>
      <c r="I993" s="57">
        <f>IF(OR(A993="",B993=""),"",IFERROR(INDEX(Equipamentos!$J$2:$J$201,MATCH(1,INDEX((Equipamentos!$A$2:$A$201=B993)*(Equipamentos!$P$2:$P$201=A993),0),0)),""))</f>
        <v/>
      </c>
    </row>
    <row r="994">
      <c r="A994" s="54" t="n"/>
      <c r="B994" s="55" t="n"/>
      <c r="C994" s="56">
        <f>IF(OR(A994="",B994=""),"",IF(COUNTIF(Equipamentos!$A$2:$A$201,B994)=0,"tag não encontrada",IFERROR(INDEX(Equipamentos!$H$2:$H$201,MATCH(1,INDEX((Equipamentos!$A$2:$A$201=B994)*(Equipamentos!$P$2:$P$201=A994),0),0)),"confira a data")))</f>
        <v/>
      </c>
      <c r="D994">
        <f>IF(B994="","",IFERROR(INDEX(Equipamentos!$C$2:$C$201,MATCH(B994,Equipamentos!$A$2:$A$201,0)),""))</f>
        <v/>
      </c>
      <c r="E994" s="55" t="n"/>
      <c r="F994" s="55" t="n"/>
      <c r="G994">
        <f>IF(B994="","",IFERROR(INDEX(Equipamentos!$N$2:$N$201,MATCH(B994,Equipamentos!$A$2:$A$201,0)),""))</f>
        <v/>
      </c>
      <c r="H994">
        <f>IF(B994="","",IFERROR(INDEX(Equipamentos!$L$2:$L$201,MATCH(B994,Equipamentos!$A$2:$A$201,0)),""))</f>
        <v/>
      </c>
      <c r="I994" s="57">
        <f>IF(OR(A994="",B994=""),"",IFERROR(INDEX(Equipamentos!$J$2:$J$201,MATCH(1,INDEX((Equipamentos!$A$2:$A$201=B994)*(Equipamentos!$P$2:$P$201=A994),0),0)),""))</f>
        <v/>
      </c>
    </row>
    <row r="995">
      <c r="A995" s="54" t="n"/>
      <c r="B995" s="55" t="n"/>
      <c r="C995" s="56">
        <f>IF(OR(A995="",B995=""),"",IF(COUNTIF(Equipamentos!$A$2:$A$201,B995)=0,"tag não encontrada",IFERROR(INDEX(Equipamentos!$H$2:$H$201,MATCH(1,INDEX((Equipamentos!$A$2:$A$201=B995)*(Equipamentos!$P$2:$P$201=A995),0),0)),"confira a data")))</f>
        <v/>
      </c>
      <c r="D995">
        <f>IF(B995="","",IFERROR(INDEX(Equipamentos!$C$2:$C$201,MATCH(B995,Equipamentos!$A$2:$A$201,0)),""))</f>
        <v/>
      </c>
      <c r="E995" s="55" t="n"/>
      <c r="F995" s="55" t="n"/>
      <c r="G995">
        <f>IF(B995="","",IFERROR(INDEX(Equipamentos!$N$2:$N$201,MATCH(B995,Equipamentos!$A$2:$A$201,0)),""))</f>
        <v/>
      </c>
      <c r="H995">
        <f>IF(B995="","",IFERROR(INDEX(Equipamentos!$L$2:$L$201,MATCH(B995,Equipamentos!$A$2:$A$201,0)),""))</f>
        <v/>
      </c>
      <c r="I995" s="57">
        <f>IF(OR(A995="",B995=""),"",IFERROR(INDEX(Equipamentos!$J$2:$J$201,MATCH(1,INDEX((Equipamentos!$A$2:$A$201=B995)*(Equipamentos!$P$2:$P$201=A995),0),0)),""))</f>
        <v/>
      </c>
    </row>
    <row r="996">
      <c r="A996" s="54" t="n"/>
      <c r="B996" s="55" t="n"/>
      <c r="C996" s="56">
        <f>IF(OR(A996="",B996=""),"",IF(COUNTIF(Equipamentos!$A$2:$A$201,B996)=0,"tag não encontrada",IFERROR(INDEX(Equipamentos!$H$2:$H$201,MATCH(1,INDEX((Equipamentos!$A$2:$A$201=B996)*(Equipamentos!$P$2:$P$201=A996),0),0)),"confira a data")))</f>
        <v/>
      </c>
      <c r="D996">
        <f>IF(B996="","",IFERROR(INDEX(Equipamentos!$C$2:$C$201,MATCH(B996,Equipamentos!$A$2:$A$201,0)),""))</f>
        <v/>
      </c>
      <c r="E996" s="55" t="n"/>
      <c r="F996" s="55" t="n"/>
      <c r="G996">
        <f>IF(B996="","",IFERROR(INDEX(Equipamentos!$N$2:$N$201,MATCH(B996,Equipamentos!$A$2:$A$201,0)),""))</f>
        <v/>
      </c>
      <c r="H996">
        <f>IF(B996="","",IFERROR(INDEX(Equipamentos!$L$2:$L$201,MATCH(B996,Equipamentos!$A$2:$A$201,0)),""))</f>
        <v/>
      </c>
      <c r="I996" s="57">
        <f>IF(OR(A996="",B996=""),"",IFERROR(INDEX(Equipamentos!$J$2:$J$201,MATCH(1,INDEX((Equipamentos!$A$2:$A$201=B996)*(Equipamentos!$P$2:$P$201=A996),0),0)),""))</f>
        <v/>
      </c>
    </row>
    <row r="997">
      <c r="A997" s="54" t="n"/>
      <c r="B997" s="55" t="n"/>
      <c r="C997" s="56">
        <f>IF(OR(A997="",B997=""),"",IF(COUNTIF(Equipamentos!$A$2:$A$201,B997)=0,"tag não encontrada",IFERROR(INDEX(Equipamentos!$H$2:$H$201,MATCH(1,INDEX((Equipamentos!$A$2:$A$201=B997)*(Equipamentos!$P$2:$P$201=A997),0),0)),"confira a data")))</f>
        <v/>
      </c>
      <c r="D997">
        <f>IF(B997="","",IFERROR(INDEX(Equipamentos!$C$2:$C$201,MATCH(B997,Equipamentos!$A$2:$A$201,0)),""))</f>
        <v/>
      </c>
      <c r="E997" s="55" t="n"/>
      <c r="F997" s="55" t="n"/>
      <c r="G997">
        <f>IF(B997="","",IFERROR(INDEX(Equipamentos!$N$2:$N$201,MATCH(B997,Equipamentos!$A$2:$A$201,0)),""))</f>
        <v/>
      </c>
      <c r="H997">
        <f>IF(B997="","",IFERROR(INDEX(Equipamentos!$L$2:$L$201,MATCH(B997,Equipamentos!$A$2:$A$201,0)),""))</f>
        <v/>
      </c>
      <c r="I997" s="57">
        <f>IF(OR(A997="",B997=""),"",IFERROR(INDEX(Equipamentos!$J$2:$J$201,MATCH(1,INDEX((Equipamentos!$A$2:$A$201=B997)*(Equipamentos!$P$2:$P$201=A997),0),0)),""))</f>
        <v/>
      </c>
    </row>
    <row r="998">
      <c r="A998" s="54" t="n"/>
      <c r="B998" s="55" t="n"/>
      <c r="C998" s="56">
        <f>IF(OR(A998="",B998=""),"",IF(COUNTIF(Equipamentos!$A$2:$A$201,B998)=0,"tag não encontrada",IFERROR(INDEX(Equipamentos!$H$2:$H$201,MATCH(1,INDEX((Equipamentos!$A$2:$A$201=B998)*(Equipamentos!$P$2:$P$201=A998),0),0)),"confira a data")))</f>
        <v/>
      </c>
      <c r="D998">
        <f>IF(B998="","",IFERROR(INDEX(Equipamentos!$C$2:$C$201,MATCH(B998,Equipamentos!$A$2:$A$201,0)),""))</f>
        <v/>
      </c>
      <c r="E998" s="55" t="n"/>
      <c r="F998" s="55" t="n"/>
      <c r="G998">
        <f>IF(B998="","",IFERROR(INDEX(Equipamentos!$N$2:$N$201,MATCH(B998,Equipamentos!$A$2:$A$201,0)),""))</f>
        <v/>
      </c>
      <c r="H998">
        <f>IF(B998="","",IFERROR(INDEX(Equipamentos!$L$2:$L$201,MATCH(B998,Equipamentos!$A$2:$A$201,0)),""))</f>
        <v/>
      </c>
      <c r="I998" s="57">
        <f>IF(OR(A998="",B998=""),"",IFERROR(INDEX(Equipamentos!$J$2:$J$201,MATCH(1,INDEX((Equipamentos!$A$2:$A$201=B998)*(Equipamentos!$P$2:$P$201=A998),0),0)),""))</f>
        <v/>
      </c>
    </row>
    <row r="999">
      <c r="A999" s="54" t="n"/>
      <c r="B999" s="55" t="n"/>
      <c r="C999" s="56">
        <f>IF(OR(A999="",B999=""),"",IF(COUNTIF(Equipamentos!$A$2:$A$201,B999)=0,"tag não encontrada",IFERROR(INDEX(Equipamentos!$H$2:$H$201,MATCH(1,INDEX((Equipamentos!$A$2:$A$201=B999)*(Equipamentos!$P$2:$P$201=A999),0),0)),"confira a data")))</f>
        <v/>
      </c>
      <c r="D999">
        <f>IF(B999="","",IFERROR(INDEX(Equipamentos!$C$2:$C$201,MATCH(B999,Equipamentos!$A$2:$A$201,0)),""))</f>
        <v/>
      </c>
      <c r="E999" s="55" t="n"/>
      <c r="F999" s="55" t="n"/>
      <c r="G999">
        <f>IF(B999="","",IFERROR(INDEX(Equipamentos!$N$2:$N$201,MATCH(B999,Equipamentos!$A$2:$A$201,0)),""))</f>
        <v/>
      </c>
      <c r="H999">
        <f>IF(B999="","",IFERROR(INDEX(Equipamentos!$L$2:$L$201,MATCH(B999,Equipamentos!$A$2:$A$201,0)),""))</f>
        <v/>
      </c>
      <c r="I999" s="57">
        <f>IF(OR(A999="",B999=""),"",IFERROR(INDEX(Equipamentos!$J$2:$J$201,MATCH(1,INDEX((Equipamentos!$A$2:$A$201=B999)*(Equipamentos!$P$2:$P$201=A999),0),0)),""))</f>
        <v/>
      </c>
    </row>
    <row r="1000">
      <c r="A1000" s="54" t="n"/>
      <c r="B1000" s="55" t="n"/>
      <c r="C1000" s="56">
        <f>IF(OR(A1000="",B1000=""),"",IF(COUNTIF(Equipamentos!$A$2:$A$201,B1000)=0,"tag não encontrada",IFERROR(INDEX(Equipamentos!$H$2:$H$201,MATCH(1,INDEX((Equipamentos!$A$2:$A$201=B1000)*(Equipamentos!$P$2:$P$201=A1000),0),0)),"confira a data")))</f>
        <v/>
      </c>
      <c r="D1000">
        <f>IF(B1000="","",IFERROR(INDEX(Equipamentos!$C$2:$C$201,MATCH(B1000,Equipamentos!$A$2:$A$201,0)),""))</f>
        <v/>
      </c>
      <c r="E1000" s="55" t="n"/>
      <c r="F1000" s="55" t="n"/>
      <c r="G1000">
        <f>IF(B1000="","",IFERROR(INDEX(Equipamentos!$N$2:$N$201,MATCH(B1000,Equipamentos!$A$2:$A$201,0)),""))</f>
        <v/>
      </c>
      <c r="H1000">
        <f>IF(B1000="","",IFERROR(INDEX(Equipamentos!$L$2:$L$201,MATCH(B1000,Equipamentos!$A$2:$A$201,0)),""))</f>
        <v/>
      </c>
      <c r="I1000" s="57">
        <f>IF(OR(A1000="",B1000=""),"",IFERROR(INDEX(Equipamentos!$J$2:$J$201,MATCH(1,INDEX((Equipamentos!$A$2:$A$201=B1000)*(Equipamentos!$P$2:$P$201=A1000),0),0)),""))</f>
        <v/>
      </c>
    </row>
  </sheetData>
  <autoFilter ref="A1:I5000"/>
  <dataValidations count="2">
    <dataValidation sqref="B2:B1000" showDropDown="0" showInputMessage="0" showErrorMessage="0" allowBlank="1" type="list">
      <formula1>=Equipamentos!$A$2:$A$201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3" t="inlineStr">
        <is>
          <t>Início</t>
        </is>
      </c>
      <c r="B1" s="53" t="inlineStr">
        <is>
          <t>Fim</t>
        </is>
      </c>
      <c r="C1" s="53" t="inlineStr">
        <is>
          <t>Veio / equipamento</t>
        </is>
      </c>
      <c r="D1" s="53" t="inlineStr">
        <is>
          <t>Motivo</t>
        </is>
      </c>
      <c r="E1" s="53" t="inlineStr">
        <is>
          <t>Dias parado</t>
        </is>
      </c>
      <c r="F1" s="53" t="inlineStr">
        <is>
          <t>Observação</t>
        </is>
      </c>
    </row>
    <row r="2">
      <c r="A2" s="54" t="n"/>
      <c r="B2" s="54" t="n"/>
      <c r="C2" s="55" t="n"/>
      <c r="D2" s="55" t="n"/>
      <c r="E2">
        <f>IF(OR(A2="",B2=""),"",B2-A2)</f>
        <v/>
      </c>
      <c r="F2" s="55" t="n"/>
    </row>
    <row r="3">
      <c r="A3" s="54" t="n"/>
      <c r="B3" s="54" t="n"/>
      <c r="C3" s="55" t="n"/>
      <c r="D3" s="55" t="n"/>
      <c r="E3">
        <f>IF(OR(A3="",B3=""),"",B3-A3)</f>
        <v/>
      </c>
      <c r="F3" s="55" t="n"/>
    </row>
    <row r="4">
      <c r="A4" s="54" t="n"/>
      <c r="B4" s="54" t="n"/>
      <c r="C4" s="55" t="n"/>
      <c r="D4" s="55" t="n"/>
      <c r="E4">
        <f>IF(OR(A4="",B4=""),"",B4-A4)</f>
        <v/>
      </c>
      <c r="F4" s="55" t="n"/>
    </row>
    <row r="5">
      <c r="A5" s="54" t="n"/>
      <c r="B5" s="54" t="n"/>
      <c r="C5" s="55" t="n"/>
      <c r="D5" s="55" t="n"/>
      <c r="E5">
        <f>IF(OR(A5="",B5=""),"",B5-A5)</f>
        <v/>
      </c>
      <c r="F5" s="55" t="n"/>
    </row>
    <row r="6">
      <c r="A6" s="54" t="n"/>
      <c r="B6" s="54" t="n"/>
      <c r="C6" s="55" t="n"/>
      <c r="D6" s="55" t="n"/>
      <c r="E6">
        <f>IF(OR(A6="",B6=""),"",B6-A6)</f>
        <v/>
      </c>
      <c r="F6" s="55" t="n"/>
    </row>
    <row r="7">
      <c r="A7" s="54" t="n"/>
      <c r="B7" s="54" t="n"/>
      <c r="C7" s="55" t="n"/>
      <c r="D7" s="55" t="n"/>
      <c r="E7">
        <f>IF(OR(A7="",B7=""),"",B7-A7)</f>
        <v/>
      </c>
      <c r="F7" s="55" t="n"/>
    </row>
    <row r="8">
      <c r="A8" s="54" t="n"/>
      <c r="B8" s="54" t="n"/>
      <c r="C8" s="55" t="n"/>
      <c r="D8" s="55" t="n"/>
      <c r="E8">
        <f>IF(OR(A8="",B8=""),"",B8-A8)</f>
        <v/>
      </c>
      <c r="F8" s="55" t="n"/>
    </row>
    <row r="9">
      <c r="A9" s="54" t="n"/>
      <c r="B9" s="54" t="n"/>
      <c r="C9" s="55" t="n"/>
      <c r="D9" s="55" t="n"/>
      <c r="E9">
        <f>IF(OR(A9="",B9=""),"",B9-A9)</f>
        <v/>
      </c>
      <c r="F9" s="55" t="n"/>
    </row>
    <row r="10">
      <c r="A10" s="54" t="n"/>
      <c r="B10" s="54" t="n"/>
      <c r="C10" s="55" t="n"/>
      <c r="D10" s="55" t="n"/>
      <c r="E10">
        <f>IF(OR(A10="",B10=""),"",B10-A10)</f>
        <v/>
      </c>
      <c r="F10" s="55" t="n"/>
    </row>
    <row r="11">
      <c r="A11" s="54" t="n"/>
      <c r="B11" s="54" t="n"/>
      <c r="C11" s="55" t="n"/>
      <c r="D11" s="55" t="n"/>
      <c r="E11">
        <f>IF(OR(A11="",B11=""),"",B11-A11)</f>
        <v/>
      </c>
      <c r="F11" s="55" t="n"/>
    </row>
    <row r="12">
      <c r="A12" s="54" t="n"/>
      <c r="B12" s="54" t="n"/>
      <c r="C12" s="55" t="n"/>
      <c r="D12" s="55" t="n"/>
      <c r="E12">
        <f>IF(OR(A12="",B12=""),"",B12-A12)</f>
        <v/>
      </c>
      <c r="F12" s="55" t="n"/>
    </row>
    <row r="13">
      <c r="A13" s="54" t="n"/>
      <c r="B13" s="54" t="n"/>
      <c r="C13" s="55" t="n"/>
      <c r="D13" s="55" t="n"/>
      <c r="E13">
        <f>IF(OR(A13="",B13=""),"",B13-A13)</f>
        <v/>
      </c>
      <c r="F13" s="55" t="n"/>
    </row>
    <row r="14">
      <c r="A14" s="54" t="n"/>
      <c r="B14" s="54" t="n"/>
      <c r="C14" s="55" t="n"/>
      <c r="D14" s="55" t="n"/>
      <c r="E14">
        <f>IF(OR(A14="",B14=""),"",B14-A14)</f>
        <v/>
      </c>
      <c r="F14" s="55" t="n"/>
    </row>
    <row r="15">
      <c r="A15" s="54" t="n"/>
      <c r="B15" s="54" t="n"/>
      <c r="C15" s="55" t="n"/>
      <c r="D15" s="55" t="n"/>
      <c r="E15">
        <f>IF(OR(A15="",B15=""),"",B15-A15)</f>
        <v/>
      </c>
      <c r="F15" s="55" t="n"/>
    </row>
    <row r="16">
      <c r="A16" s="54" t="n"/>
      <c r="B16" s="54" t="n"/>
      <c r="C16" s="55" t="n"/>
      <c r="D16" s="55" t="n"/>
      <c r="E16">
        <f>IF(OR(A16="",B16=""),"",B16-A16)</f>
        <v/>
      </c>
      <c r="F16" s="55" t="n"/>
    </row>
    <row r="17">
      <c r="A17" s="54" t="n"/>
      <c r="B17" s="54" t="n"/>
      <c r="C17" s="55" t="n"/>
      <c r="D17" s="55" t="n"/>
      <c r="E17">
        <f>IF(OR(A17="",B17=""),"",B17-A17)</f>
        <v/>
      </c>
      <c r="F17" s="55" t="n"/>
    </row>
    <row r="18">
      <c r="A18" s="54" t="n"/>
      <c r="B18" s="54" t="n"/>
      <c r="C18" s="55" t="n"/>
      <c r="D18" s="55" t="n"/>
      <c r="E18">
        <f>IF(OR(A18="",B18=""),"",B18-A18)</f>
        <v/>
      </c>
      <c r="F18" s="55" t="n"/>
    </row>
    <row r="19">
      <c r="A19" s="54" t="n"/>
      <c r="B19" s="54" t="n"/>
      <c r="C19" s="55" t="n"/>
      <c r="D19" s="55" t="n"/>
      <c r="E19">
        <f>IF(OR(A19="",B19=""),"",B19-A19)</f>
        <v/>
      </c>
      <c r="F19" s="55" t="n"/>
    </row>
    <row r="20">
      <c r="A20" s="54" t="n"/>
      <c r="B20" s="54" t="n"/>
      <c r="C20" s="55" t="n"/>
      <c r="D20" s="55" t="n"/>
      <c r="E20">
        <f>IF(OR(A20="",B20=""),"",B20-A20)</f>
        <v/>
      </c>
      <c r="F20" s="55" t="n"/>
    </row>
    <row r="21">
      <c r="A21" s="54" t="n"/>
      <c r="B21" s="54" t="n"/>
      <c r="C21" s="55" t="n"/>
      <c r="D21" s="55" t="n"/>
      <c r="E21">
        <f>IF(OR(A21="",B21=""),"",B21-A21)</f>
        <v/>
      </c>
      <c r="F21" s="55" t="n"/>
    </row>
    <row r="22">
      <c r="A22" s="54" t="n"/>
      <c r="B22" s="54" t="n"/>
      <c r="C22" s="55" t="n"/>
      <c r="D22" s="55" t="n"/>
      <c r="E22">
        <f>IF(OR(A22="",B22=""),"",B22-A22)</f>
        <v/>
      </c>
      <c r="F22" s="55" t="n"/>
    </row>
    <row r="23">
      <c r="A23" s="54" t="n"/>
      <c r="B23" s="54" t="n"/>
      <c r="C23" s="55" t="n"/>
      <c r="D23" s="55" t="n"/>
      <c r="E23">
        <f>IF(OR(A23="",B23=""),"",B23-A23)</f>
        <v/>
      </c>
      <c r="F23" s="55" t="n"/>
    </row>
    <row r="24">
      <c r="A24" s="54" t="n"/>
      <c r="B24" s="54" t="n"/>
      <c r="C24" s="55" t="n"/>
      <c r="D24" s="55" t="n"/>
      <c r="E24">
        <f>IF(OR(A24="",B24=""),"",B24-A24)</f>
        <v/>
      </c>
      <c r="F24" s="55" t="n"/>
    </row>
    <row r="25">
      <c r="A25" s="54" t="n"/>
      <c r="B25" s="54" t="n"/>
      <c r="C25" s="55" t="n"/>
      <c r="D25" s="55" t="n"/>
      <c r="E25">
        <f>IF(OR(A25="",B25=""),"",B25-A25)</f>
        <v/>
      </c>
      <c r="F25" s="55" t="n"/>
    </row>
    <row r="26">
      <c r="A26" s="54" t="n"/>
      <c r="B26" s="54" t="n"/>
      <c r="C26" s="55" t="n"/>
      <c r="D26" s="55" t="n"/>
      <c r="E26">
        <f>IF(OR(A26="",B26=""),"",B26-A26)</f>
        <v/>
      </c>
      <c r="F26" s="55" t="n"/>
    </row>
    <row r="27">
      <c r="A27" s="54" t="n"/>
      <c r="B27" s="54" t="n"/>
      <c r="C27" s="55" t="n"/>
      <c r="D27" s="55" t="n"/>
      <c r="E27">
        <f>IF(OR(A27="",B27=""),"",B27-A27)</f>
        <v/>
      </c>
      <c r="F27" s="55" t="n"/>
    </row>
    <row r="28">
      <c r="A28" s="54" t="n"/>
      <c r="B28" s="54" t="n"/>
      <c r="C28" s="55" t="n"/>
      <c r="D28" s="55" t="n"/>
      <c r="E28">
        <f>IF(OR(A28="",B28=""),"",B28-A28)</f>
        <v/>
      </c>
      <c r="F28" s="55" t="n"/>
    </row>
    <row r="29">
      <c r="A29" s="54" t="n"/>
      <c r="B29" s="54" t="n"/>
      <c r="C29" s="55" t="n"/>
      <c r="D29" s="55" t="n"/>
      <c r="E29">
        <f>IF(OR(A29="",B29=""),"",B29-A29)</f>
        <v/>
      </c>
      <c r="F29" s="55" t="n"/>
    </row>
    <row r="30">
      <c r="A30" s="54" t="n"/>
      <c r="B30" s="54" t="n"/>
      <c r="C30" s="55" t="n"/>
      <c r="D30" s="55" t="n"/>
      <c r="E30">
        <f>IF(OR(A30="",B30=""),"",B30-A30)</f>
        <v/>
      </c>
      <c r="F30" s="55" t="n"/>
    </row>
    <row r="31">
      <c r="A31" s="54" t="n"/>
      <c r="B31" s="54" t="n"/>
      <c r="C31" s="55" t="n"/>
      <c r="D31" s="55" t="n"/>
      <c r="E31">
        <f>IF(OR(A31="",B31=""),"",B31-A31)</f>
        <v/>
      </c>
      <c r="F31" s="55" t="n"/>
    </row>
    <row r="32">
      <c r="A32" s="54" t="n"/>
      <c r="B32" s="54" t="n"/>
      <c r="C32" s="55" t="n"/>
      <c r="D32" s="55" t="n"/>
      <c r="E32">
        <f>IF(OR(A32="",B32=""),"",B32-A32)</f>
        <v/>
      </c>
      <c r="F32" s="55" t="n"/>
    </row>
    <row r="33">
      <c r="A33" s="54" t="n"/>
      <c r="B33" s="54" t="n"/>
      <c r="C33" s="55" t="n"/>
      <c r="D33" s="55" t="n"/>
      <c r="E33">
        <f>IF(OR(A33="",B33=""),"",B33-A33)</f>
        <v/>
      </c>
      <c r="F33" s="55" t="n"/>
    </row>
    <row r="34">
      <c r="A34" s="54" t="n"/>
      <c r="B34" s="54" t="n"/>
      <c r="C34" s="55" t="n"/>
      <c r="D34" s="55" t="n"/>
      <c r="E34">
        <f>IF(OR(A34="",B34=""),"",B34-A34)</f>
        <v/>
      </c>
      <c r="F34" s="55" t="n"/>
    </row>
    <row r="35">
      <c r="A35" s="54" t="n"/>
      <c r="B35" s="54" t="n"/>
      <c r="C35" s="55" t="n"/>
      <c r="D35" s="55" t="n"/>
      <c r="E35">
        <f>IF(OR(A35="",B35=""),"",B35-A35)</f>
        <v/>
      </c>
      <c r="F35" s="55" t="n"/>
    </row>
    <row r="36">
      <c r="A36" s="54" t="n"/>
      <c r="B36" s="54" t="n"/>
      <c r="C36" s="55" t="n"/>
      <c r="D36" s="55" t="n"/>
      <c r="E36">
        <f>IF(OR(A36="",B36=""),"",B36-A36)</f>
        <v/>
      </c>
      <c r="F36" s="55" t="n"/>
    </row>
    <row r="37">
      <c r="A37" s="54" t="n"/>
      <c r="B37" s="54" t="n"/>
      <c r="C37" s="55" t="n"/>
      <c r="D37" s="55" t="n"/>
      <c r="E37">
        <f>IF(OR(A37="",B37=""),"",B37-A37)</f>
        <v/>
      </c>
      <c r="F37" s="55" t="n"/>
    </row>
    <row r="38">
      <c r="A38" s="54" t="n"/>
      <c r="B38" s="54" t="n"/>
      <c r="C38" s="55" t="n"/>
      <c r="D38" s="55" t="n"/>
      <c r="E38">
        <f>IF(OR(A38="",B38=""),"",B38-A38)</f>
        <v/>
      </c>
      <c r="F38" s="55" t="n"/>
    </row>
    <row r="39">
      <c r="A39" s="54" t="n"/>
      <c r="B39" s="54" t="n"/>
      <c r="C39" s="55" t="n"/>
      <c r="D39" s="55" t="n"/>
      <c r="E39">
        <f>IF(OR(A39="",B39=""),"",B39-A39)</f>
        <v/>
      </c>
      <c r="F39" s="55" t="n"/>
    </row>
    <row r="40">
      <c r="A40" s="54" t="n"/>
      <c r="B40" s="54" t="n"/>
      <c r="C40" s="55" t="n"/>
      <c r="D40" s="55" t="n"/>
      <c r="E40">
        <f>IF(OR(A40="",B40=""),"",B40-A40)</f>
        <v/>
      </c>
      <c r="F40" s="55" t="n"/>
    </row>
    <row r="41">
      <c r="A41" s="54" t="n"/>
      <c r="B41" s="54" t="n"/>
      <c r="C41" s="55" t="n"/>
      <c r="D41" s="55" t="n"/>
      <c r="E41">
        <f>IF(OR(A41="",B41=""),"",B41-A41)</f>
        <v/>
      </c>
      <c r="F41" s="55" t="n"/>
    </row>
    <row r="42">
      <c r="A42" s="54" t="n"/>
      <c r="B42" s="54" t="n"/>
      <c r="C42" s="55" t="n"/>
      <c r="D42" s="55" t="n"/>
      <c r="E42">
        <f>IF(OR(A42="",B42=""),"",B42-A42)</f>
        <v/>
      </c>
      <c r="F42" s="55" t="n"/>
    </row>
    <row r="43">
      <c r="A43" s="54" t="n"/>
      <c r="B43" s="54" t="n"/>
      <c r="C43" s="55" t="n"/>
      <c r="D43" s="55" t="n"/>
      <c r="E43">
        <f>IF(OR(A43="",B43=""),"",B43-A43)</f>
        <v/>
      </c>
      <c r="F43" s="55" t="n"/>
    </row>
    <row r="44">
      <c r="A44" s="54" t="n"/>
      <c r="B44" s="54" t="n"/>
      <c r="C44" s="55" t="n"/>
      <c r="D44" s="55" t="n"/>
      <c r="E44">
        <f>IF(OR(A44="",B44=""),"",B44-A44)</f>
        <v/>
      </c>
      <c r="F44" s="55" t="n"/>
    </row>
    <row r="45">
      <c r="A45" s="54" t="n"/>
      <c r="B45" s="54" t="n"/>
      <c r="C45" s="55" t="n"/>
      <c r="D45" s="55" t="n"/>
      <c r="E45">
        <f>IF(OR(A45="",B45=""),"",B45-A45)</f>
        <v/>
      </c>
      <c r="F45" s="55" t="n"/>
    </row>
    <row r="46">
      <c r="A46" s="54" t="n"/>
      <c r="B46" s="54" t="n"/>
      <c r="C46" s="55" t="n"/>
      <c r="D46" s="55" t="n"/>
      <c r="E46">
        <f>IF(OR(A46="",B46=""),"",B46-A46)</f>
        <v/>
      </c>
      <c r="F46" s="55" t="n"/>
    </row>
    <row r="47">
      <c r="A47" s="54" t="n"/>
      <c r="B47" s="54" t="n"/>
      <c r="C47" s="55" t="n"/>
      <c r="D47" s="55" t="n"/>
      <c r="E47">
        <f>IF(OR(A47="",B47=""),"",B47-A47)</f>
        <v/>
      </c>
      <c r="F47" s="55" t="n"/>
    </row>
    <row r="48">
      <c r="A48" s="54" t="n"/>
      <c r="B48" s="54" t="n"/>
      <c r="C48" s="55" t="n"/>
      <c r="D48" s="55" t="n"/>
      <c r="E48">
        <f>IF(OR(A48="",B48=""),"",B48-A48)</f>
        <v/>
      </c>
      <c r="F48" s="55" t="n"/>
    </row>
    <row r="49">
      <c r="A49" s="54" t="n"/>
      <c r="B49" s="54" t="n"/>
      <c r="C49" s="55" t="n"/>
      <c r="D49" s="55" t="n"/>
      <c r="E49">
        <f>IF(OR(A49="",B49=""),"",B49-A49)</f>
        <v/>
      </c>
      <c r="F49" s="55" t="n"/>
    </row>
    <row r="50">
      <c r="A50" s="54" t="n"/>
      <c r="B50" s="54" t="n"/>
      <c r="C50" s="55" t="n"/>
      <c r="D50" s="55" t="n"/>
      <c r="E50">
        <f>IF(OR(A50="",B50=""),"",B50-A50)</f>
        <v/>
      </c>
      <c r="F50" s="55" t="n"/>
    </row>
    <row r="51">
      <c r="A51" s="54" t="n"/>
      <c r="B51" s="54" t="n"/>
      <c r="C51" s="55" t="n"/>
      <c r="D51" s="55" t="n"/>
      <c r="E51">
        <f>IF(OR(A51="",B51=""),"",B51-A51)</f>
        <v/>
      </c>
      <c r="F51" s="55" t="n"/>
    </row>
    <row r="52">
      <c r="A52" s="54" t="n"/>
      <c r="B52" s="54" t="n"/>
      <c r="C52" s="55" t="n"/>
      <c r="D52" s="55" t="n"/>
      <c r="E52">
        <f>IF(OR(A52="",B52=""),"",B52-A52)</f>
        <v/>
      </c>
      <c r="F52" s="55" t="n"/>
    </row>
    <row r="53">
      <c r="A53" s="54" t="n"/>
      <c r="B53" s="54" t="n"/>
      <c r="C53" s="55" t="n"/>
      <c r="D53" s="55" t="n"/>
      <c r="E53">
        <f>IF(OR(A53="",B53=""),"",B53-A53)</f>
        <v/>
      </c>
      <c r="F53" s="55" t="n"/>
    </row>
    <row r="54">
      <c r="A54" s="54" t="n"/>
      <c r="B54" s="54" t="n"/>
      <c r="C54" s="55" t="n"/>
      <c r="D54" s="55" t="n"/>
      <c r="E54">
        <f>IF(OR(A54="",B54=""),"",B54-A54)</f>
        <v/>
      </c>
      <c r="F54" s="55" t="n"/>
    </row>
    <row r="55">
      <c r="A55" s="54" t="n"/>
      <c r="B55" s="54" t="n"/>
      <c r="C55" s="55" t="n"/>
      <c r="D55" s="55" t="n"/>
      <c r="E55">
        <f>IF(OR(A55="",B55=""),"",B55-A55)</f>
        <v/>
      </c>
      <c r="F55" s="55" t="n"/>
    </row>
    <row r="56">
      <c r="A56" s="54" t="n"/>
      <c r="B56" s="54" t="n"/>
      <c r="C56" s="55" t="n"/>
      <c r="D56" s="55" t="n"/>
      <c r="E56">
        <f>IF(OR(A56="",B56=""),"",B56-A56)</f>
        <v/>
      </c>
      <c r="F56" s="55" t="n"/>
    </row>
    <row r="57">
      <c r="A57" s="54" t="n"/>
      <c r="B57" s="54" t="n"/>
      <c r="C57" s="55" t="n"/>
      <c r="D57" s="55" t="n"/>
      <c r="E57">
        <f>IF(OR(A57="",B57=""),"",B57-A57)</f>
        <v/>
      </c>
      <c r="F57" s="55" t="n"/>
    </row>
    <row r="58">
      <c r="A58" s="54" t="n"/>
      <c r="B58" s="54" t="n"/>
      <c r="C58" s="55" t="n"/>
      <c r="D58" s="55" t="n"/>
      <c r="E58">
        <f>IF(OR(A58="",B58=""),"",B58-A58)</f>
        <v/>
      </c>
      <c r="F58" s="55" t="n"/>
    </row>
    <row r="59">
      <c r="A59" s="54" t="n"/>
      <c r="B59" s="54" t="n"/>
      <c r="C59" s="55" t="n"/>
      <c r="D59" s="55" t="n"/>
      <c r="E59">
        <f>IF(OR(A59="",B59=""),"",B59-A59)</f>
        <v/>
      </c>
      <c r="F59" s="55" t="n"/>
    </row>
    <row r="60">
      <c r="A60" s="54" t="n"/>
      <c r="B60" s="54" t="n"/>
      <c r="C60" s="55" t="n"/>
      <c r="D60" s="55" t="n"/>
      <c r="E60">
        <f>IF(OR(A60="",B60=""),"",B60-A60)</f>
        <v/>
      </c>
      <c r="F60" s="55" t="n"/>
    </row>
    <row r="61">
      <c r="A61" s="54" t="n"/>
      <c r="B61" s="54" t="n"/>
      <c r="C61" s="55" t="n"/>
      <c r="D61" s="55" t="n"/>
      <c r="E61">
        <f>IF(OR(A61="",B61=""),"",B61-A61)</f>
        <v/>
      </c>
      <c r="F61" s="55" t="n"/>
    </row>
    <row r="62">
      <c r="A62" s="54" t="n"/>
      <c r="B62" s="54" t="n"/>
      <c r="C62" s="55" t="n"/>
      <c r="D62" s="55" t="n"/>
      <c r="E62">
        <f>IF(OR(A62="",B62=""),"",B62-A62)</f>
        <v/>
      </c>
      <c r="F62" s="55" t="n"/>
    </row>
    <row r="63">
      <c r="A63" s="54" t="n"/>
      <c r="B63" s="54" t="n"/>
      <c r="C63" s="55" t="n"/>
      <c r="D63" s="55" t="n"/>
      <c r="E63">
        <f>IF(OR(A63="",B63=""),"",B63-A63)</f>
        <v/>
      </c>
      <c r="F63" s="55" t="n"/>
    </row>
    <row r="64">
      <c r="A64" s="54" t="n"/>
      <c r="B64" s="54" t="n"/>
      <c r="C64" s="55" t="n"/>
      <c r="D64" s="55" t="n"/>
      <c r="E64">
        <f>IF(OR(A64="",B64=""),"",B64-A64)</f>
        <v/>
      </c>
      <c r="F64" s="55" t="n"/>
    </row>
    <row r="65">
      <c r="A65" s="54" t="n"/>
      <c r="B65" s="54" t="n"/>
      <c r="C65" s="55" t="n"/>
      <c r="D65" s="55" t="n"/>
      <c r="E65">
        <f>IF(OR(A65="",B65=""),"",B65-A65)</f>
        <v/>
      </c>
      <c r="F65" s="55" t="n"/>
    </row>
    <row r="66">
      <c r="A66" s="54" t="n"/>
      <c r="B66" s="54" t="n"/>
      <c r="C66" s="55" t="n"/>
      <c r="D66" s="55" t="n"/>
      <c r="E66">
        <f>IF(OR(A66="",B66=""),"",B66-A66)</f>
        <v/>
      </c>
      <c r="F66" s="55" t="n"/>
    </row>
    <row r="67">
      <c r="A67" s="54" t="n"/>
      <c r="B67" s="54" t="n"/>
      <c r="C67" s="55" t="n"/>
      <c r="D67" s="55" t="n"/>
      <c r="E67">
        <f>IF(OR(A67="",B67=""),"",B67-A67)</f>
        <v/>
      </c>
      <c r="F67" s="55" t="n"/>
    </row>
    <row r="68">
      <c r="A68" s="54" t="n"/>
      <c r="B68" s="54" t="n"/>
      <c r="C68" s="55" t="n"/>
      <c r="D68" s="55" t="n"/>
      <c r="E68">
        <f>IF(OR(A68="",B68=""),"",B68-A68)</f>
        <v/>
      </c>
      <c r="F68" s="55" t="n"/>
    </row>
    <row r="69">
      <c r="A69" s="54" t="n"/>
      <c r="B69" s="54" t="n"/>
      <c r="C69" s="55" t="n"/>
      <c r="D69" s="55" t="n"/>
      <c r="E69">
        <f>IF(OR(A69="",B69=""),"",B69-A69)</f>
        <v/>
      </c>
      <c r="F69" s="55" t="n"/>
    </row>
    <row r="70">
      <c r="A70" s="54" t="n"/>
      <c r="B70" s="54" t="n"/>
      <c r="C70" s="55" t="n"/>
      <c r="D70" s="55" t="n"/>
      <c r="E70">
        <f>IF(OR(A70="",B70=""),"",B70-A70)</f>
        <v/>
      </c>
      <c r="F70" s="55" t="n"/>
    </row>
    <row r="71">
      <c r="A71" s="54" t="n"/>
      <c r="B71" s="54" t="n"/>
      <c r="C71" s="55" t="n"/>
      <c r="D71" s="55" t="n"/>
      <c r="E71">
        <f>IF(OR(A71="",B71=""),"",B71-A71)</f>
        <v/>
      </c>
      <c r="F71" s="55" t="n"/>
    </row>
    <row r="72">
      <c r="A72" s="54" t="n"/>
      <c r="B72" s="54" t="n"/>
      <c r="C72" s="55" t="n"/>
      <c r="D72" s="55" t="n"/>
      <c r="E72">
        <f>IF(OR(A72="",B72=""),"",B72-A72)</f>
        <v/>
      </c>
      <c r="F72" s="55" t="n"/>
    </row>
    <row r="73">
      <c r="A73" s="54" t="n"/>
      <c r="B73" s="54" t="n"/>
      <c r="C73" s="55" t="n"/>
      <c r="D73" s="55" t="n"/>
      <c r="E73">
        <f>IF(OR(A73="",B73=""),"",B73-A73)</f>
        <v/>
      </c>
      <c r="F73" s="55" t="n"/>
    </row>
    <row r="74">
      <c r="A74" s="54" t="n"/>
      <c r="B74" s="54" t="n"/>
      <c r="C74" s="55" t="n"/>
      <c r="D74" s="55" t="n"/>
      <c r="E74">
        <f>IF(OR(A74="",B74=""),"",B74-A74)</f>
        <v/>
      </c>
      <c r="F74" s="55" t="n"/>
    </row>
    <row r="75">
      <c r="A75" s="54" t="n"/>
      <c r="B75" s="54" t="n"/>
      <c r="C75" s="55" t="n"/>
      <c r="D75" s="55" t="n"/>
      <c r="E75">
        <f>IF(OR(A75="",B75=""),"",B75-A75)</f>
        <v/>
      </c>
      <c r="F75" s="55" t="n"/>
    </row>
    <row r="76">
      <c r="A76" s="54" t="n"/>
      <c r="B76" s="54" t="n"/>
      <c r="C76" s="55" t="n"/>
      <c r="D76" s="55" t="n"/>
      <c r="E76">
        <f>IF(OR(A76="",B76=""),"",B76-A76)</f>
        <v/>
      </c>
      <c r="F76" s="55" t="n"/>
    </row>
    <row r="77">
      <c r="A77" s="54" t="n"/>
      <c r="B77" s="54" t="n"/>
      <c r="C77" s="55" t="n"/>
      <c r="D77" s="55" t="n"/>
      <c r="E77">
        <f>IF(OR(A77="",B77=""),"",B77-A77)</f>
        <v/>
      </c>
      <c r="F77" s="55" t="n"/>
    </row>
    <row r="78">
      <c r="A78" s="54" t="n"/>
      <c r="B78" s="54" t="n"/>
      <c r="C78" s="55" t="n"/>
      <c r="D78" s="55" t="n"/>
      <c r="E78">
        <f>IF(OR(A78="",B78=""),"",B78-A78)</f>
        <v/>
      </c>
      <c r="F78" s="55" t="n"/>
    </row>
    <row r="79">
      <c r="A79" s="54" t="n"/>
      <c r="B79" s="54" t="n"/>
      <c r="C79" s="55" t="n"/>
      <c r="D79" s="55" t="n"/>
      <c r="E79">
        <f>IF(OR(A79="",B79=""),"",B79-A79)</f>
        <v/>
      </c>
      <c r="F79" s="55" t="n"/>
    </row>
    <row r="80">
      <c r="A80" s="54" t="n"/>
      <c r="B80" s="54" t="n"/>
      <c r="C80" s="55" t="n"/>
      <c r="D80" s="55" t="n"/>
      <c r="E80">
        <f>IF(OR(A80="",B80=""),"",B80-A80)</f>
        <v/>
      </c>
      <c r="F80" s="55" t="n"/>
    </row>
    <row r="81">
      <c r="A81" s="54" t="n"/>
      <c r="B81" s="54" t="n"/>
      <c r="C81" s="55" t="n"/>
      <c r="D81" s="55" t="n"/>
      <c r="E81">
        <f>IF(OR(A81="",B81=""),"",B81-A81)</f>
        <v/>
      </c>
      <c r="F81" s="55" t="n"/>
    </row>
    <row r="82">
      <c r="A82" s="54" t="n"/>
      <c r="B82" s="54" t="n"/>
      <c r="C82" s="55" t="n"/>
      <c r="D82" s="55" t="n"/>
      <c r="E82">
        <f>IF(OR(A82="",B82=""),"",B82-A82)</f>
        <v/>
      </c>
      <c r="F82" s="55" t="n"/>
    </row>
    <row r="83">
      <c r="A83" s="54" t="n"/>
      <c r="B83" s="54" t="n"/>
      <c r="C83" s="55" t="n"/>
      <c r="D83" s="55" t="n"/>
      <c r="E83">
        <f>IF(OR(A83="",B83=""),"",B83-A83)</f>
        <v/>
      </c>
      <c r="F83" s="55" t="n"/>
    </row>
    <row r="84">
      <c r="A84" s="54" t="n"/>
      <c r="B84" s="54" t="n"/>
      <c r="C84" s="55" t="n"/>
      <c r="D84" s="55" t="n"/>
      <c r="E84">
        <f>IF(OR(A84="",B84=""),"",B84-A84)</f>
        <v/>
      </c>
      <c r="F84" s="55" t="n"/>
    </row>
    <row r="85">
      <c r="A85" s="54" t="n"/>
      <c r="B85" s="54" t="n"/>
      <c r="C85" s="55" t="n"/>
      <c r="D85" s="55" t="n"/>
      <c r="E85">
        <f>IF(OR(A85="",B85=""),"",B85-A85)</f>
        <v/>
      </c>
      <c r="F85" s="55" t="n"/>
    </row>
    <row r="86">
      <c r="A86" s="54" t="n"/>
      <c r="B86" s="54" t="n"/>
      <c r="C86" s="55" t="n"/>
      <c r="D86" s="55" t="n"/>
      <c r="E86">
        <f>IF(OR(A86="",B86=""),"",B86-A86)</f>
        <v/>
      </c>
      <c r="F86" s="55" t="n"/>
    </row>
    <row r="87">
      <c r="A87" s="54" t="n"/>
      <c r="B87" s="54" t="n"/>
      <c r="C87" s="55" t="n"/>
      <c r="D87" s="55" t="n"/>
      <c r="E87">
        <f>IF(OR(A87="",B87=""),"",B87-A87)</f>
        <v/>
      </c>
      <c r="F87" s="55" t="n"/>
    </row>
    <row r="88">
      <c r="A88" s="54" t="n"/>
      <c r="B88" s="54" t="n"/>
      <c r="C88" s="55" t="n"/>
      <c r="D88" s="55" t="n"/>
      <c r="E88">
        <f>IF(OR(A88="",B88=""),"",B88-A88)</f>
        <v/>
      </c>
      <c r="F88" s="55" t="n"/>
    </row>
    <row r="89">
      <c r="A89" s="54" t="n"/>
      <c r="B89" s="54" t="n"/>
      <c r="C89" s="55" t="n"/>
      <c r="D89" s="55" t="n"/>
      <c r="E89">
        <f>IF(OR(A89="",B89=""),"",B89-A89)</f>
        <v/>
      </c>
      <c r="F89" s="55" t="n"/>
    </row>
    <row r="90">
      <c r="A90" s="54" t="n"/>
      <c r="B90" s="54" t="n"/>
      <c r="C90" s="55" t="n"/>
      <c r="D90" s="55" t="n"/>
      <c r="E90">
        <f>IF(OR(A90="",B90=""),"",B90-A90)</f>
        <v/>
      </c>
      <c r="F90" s="55" t="n"/>
    </row>
    <row r="91">
      <c r="A91" s="54" t="n"/>
      <c r="B91" s="54" t="n"/>
      <c r="C91" s="55" t="n"/>
      <c r="D91" s="55" t="n"/>
      <c r="E91">
        <f>IF(OR(A91="",B91=""),"",B91-A91)</f>
        <v/>
      </c>
      <c r="F91" s="55" t="n"/>
    </row>
    <row r="92">
      <c r="A92" s="54" t="n"/>
      <c r="B92" s="54" t="n"/>
      <c r="C92" s="55" t="n"/>
      <c r="D92" s="55" t="n"/>
      <c r="E92">
        <f>IF(OR(A92="",B92=""),"",B92-A92)</f>
        <v/>
      </c>
      <c r="F92" s="55" t="n"/>
    </row>
    <row r="93">
      <c r="A93" s="54" t="n"/>
      <c r="B93" s="54" t="n"/>
      <c r="C93" s="55" t="n"/>
      <c r="D93" s="55" t="n"/>
      <c r="E93">
        <f>IF(OR(A93="",B93=""),"",B93-A93)</f>
        <v/>
      </c>
      <c r="F93" s="55" t="n"/>
    </row>
    <row r="94">
      <c r="A94" s="54" t="n"/>
      <c r="B94" s="54" t="n"/>
      <c r="C94" s="55" t="n"/>
      <c r="D94" s="55" t="n"/>
      <c r="E94">
        <f>IF(OR(A94="",B94=""),"",B94-A94)</f>
        <v/>
      </c>
      <c r="F94" s="55" t="n"/>
    </row>
    <row r="95">
      <c r="A95" s="54" t="n"/>
      <c r="B95" s="54" t="n"/>
      <c r="C95" s="55" t="n"/>
      <c r="D95" s="55" t="n"/>
      <c r="E95">
        <f>IF(OR(A95="",B95=""),"",B95-A95)</f>
        <v/>
      </c>
      <c r="F95" s="55" t="n"/>
    </row>
    <row r="96">
      <c r="A96" s="54" t="n"/>
      <c r="B96" s="54" t="n"/>
      <c r="C96" s="55" t="n"/>
      <c r="D96" s="55" t="n"/>
      <c r="E96">
        <f>IF(OR(A96="",B96=""),"",B96-A96)</f>
        <v/>
      </c>
      <c r="F96" s="55" t="n"/>
    </row>
    <row r="97">
      <c r="A97" s="54" t="n"/>
      <c r="B97" s="54" t="n"/>
      <c r="C97" s="55" t="n"/>
      <c r="D97" s="55" t="n"/>
      <c r="E97">
        <f>IF(OR(A97="",B97=""),"",B97-A97)</f>
        <v/>
      </c>
      <c r="F97" s="55" t="n"/>
    </row>
    <row r="98">
      <c r="A98" s="54" t="n"/>
      <c r="B98" s="54" t="n"/>
      <c r="C98" s="55" t="n"/>
      <c r="D98" s="55" t="n"/>
      <c r="E98">
        <f>IF(OR(A98="",B98=""),"",B98-A98)</f>
        <v/>
      </c>
      <c r="F98" s="55" t="n"/>
    </row>
    <row r="99">
      <c r="A99" s="54" t="n"/>
      <c r="B99" s="54" t="n"/>
      <c r="C99" s="55" t="n"/>
      <c r="D99" s="55" t="n"/>
      <c r="E99">
        <f>IF(OR(A99="",B99=""),"",B99-A99)</f>
        <v/>
      </c>
      <c r="F99" s="55" t="n"/>
    </row>
    <row r="100">
      <c r="A100" s="54" t="n"/>
      <c r="B100" s="54" t="n"/>
      <c r="C100" s="55" t="n"/>
      <c r="D100" s="55" t="n"/>
      <c r="E100">
        <f>IF(OR(A100="",B100=""),"",B100-A100)</f>
        <v/>
      </c>
      <c r="F100" s="55" t="n"/>
    </row>
    <row r="101">
      <c r="A101" s="54" t="n"/>
      <c r="B101" s="54" t="n"/>
      <c r="C101" s="55" t="n"/>
      <c r="D101" s="55" t="n"/>
      <c r="E101">
        <f>IF(OR(A101="",B101=""),"",B101-A101)</f>
        <v/>
      </c>
      <c r="F101" s="55" t="n"/>
    </row>
    <row r="102">
      <c r="A102" s="54" t="n"/>
      <c r="B102" s="54" t="n"/>
      <c r="C102" s="55" t="n"/>
      <c r="D102" s="55" t="n"/>
      <c r="E102">
        <f>IF(OR(A102="",B102=""),"",B102-A102)</f>
        <v/>
      </c>
      <c r="F102" s="55" t="n"/>
    </row>
    <row r="103">
      <c r="A103" s="54" t="n"/>
      <c r="B103" s="54" t="n"/>
      <c r="C103" s="55" t="n"/>
      <c r="D103" s="55" t="n"/>
      <c r="E103">
        <f>IF(OR(A103="",B103=""),"",B103-A103)</f>
        <v/>
      </c>
      <c r="F103" s="55" t="n"/>
    </row>
    <row r="104">
      <c r="A104" s="54" t="n"/>
      <c r="B104" s="54" t="n"/>
      <c r="C104" s="55" t="n"/>
      <c r="D104" s="55" t="n"/>
      <c r="E104">
        <f>IF(OR(A104="",B104=""),"",B104-A104)</f>
        <v/>
      </c>
      <c r="F104" s="55" t="n"/>
    </row>
    <row r="105">
      <c r="A105" s="54" t="n"/>
      <c r="B105" s="54" t="n"/>
      <c r="C105" s="55" t="n"/>
      <c r="D105" s="55" t="n"/>
      <c r="E105">
        <f>IF(OR(A105="",B105=""),"",B105-A105)</f>
        <v/>
      </c>
      <c r="F105" s="55" t="n"/>
    </row>
    <row r="106">
      <c r="A106" s="54" t="n"/>
      <c r="B106" s="54" t="n"/>
      <c r="C106" s="55" t="n"/>
      <c r="D106" s="55" t="n"/>
      <c r="E106">
        <f>IF(OR(A106="",B106=""),"",B106-A106)</f>
        <v/>
      </c>
      <c r="F106" s="55" t="n"/>
    </row>
    <row r="107">
      <c r="A107" s="54" t="n"/>
      <c r="B107" s="54" t="n"/>
      <c r="C107" s="55" t="n"/>
      <c r="D107" s="55" t="n"/>
      <c r="E107">
        <f>IF(OR(A107="",B107=""),"",B107-A107)</f>
        <v/>
      </c>
      <c r="F107" s="55" t="n"/>
    </row>
    <row r="108">
      <c r="A108" s="54" t="n"/>
      <c r="B108" s="54" t="n"/>
      <c r="C108" s="55" t="n"/>
      <c r="D108" s="55" t="n"/>
      <c r="E108">
        <f>IF(OR(A108="",B108=""),"",B108-A108)</f>
        <v/>
      </c>
      <c r="F108" s="55" t="n"/>
    </row>
    <row r="109">
      <c r="A109" s="54" t="n"/>
      <c r="B109" s="54" t="n"/>
      <c r="C109" s="55" t="n"/>
      <c r="D109" s="55" t="n"/>
      <c r="E109">
        <f>IF(OR(A109="",B109=""),"",B109-A109)</f>
        <v/>
      </c>
      <c r="F109" s="55" t="n"/>
    </row>
    <row r="110">
      <c r="A110" s="54" t="n"/>
      <c r="B110" s="54" t="n"/>
      <c r="C110" s="55" t="n"/>
      <c r="D110" s="55" t="n"/>
      <c r="E110">
        <f>IF(OR(A110="",B110=""),"",B110-A110)</f>
        <v/>
      </c>
      <c r="F110" s="55" t="n"/>
    </row>
    <row r="111">
      <c r="A111" s="54" t="n"/>
      <c r="B111" s="54" t="n"/>
      <c r="C111" s="55" t="n"/>
      <c r="D111" s="55" t="n"/>
      <c r="E111">
        <f>IF(OR(A111="",B111=""),"",B111-A111)</f>
        <v/>
      </c>
      <c r="F111" s="55" t="n"/>
    </row>
    <row r="112">
      <c r="A112" s="54" t="n"/>
      <c r="B112" s="54" t="n"/>
      <c r="C112" s="55" t="n"/>
      <c r="D112" s="55" t="n"/>
      <c r="E112">
        <f>IF(OR(A112="",B112=""),"",B112-A112)</f>
        <v/>
      </c>
      <c r="F112" s="55" t="n"/>
    </row>
    <row r="113">
      <c r="A113" s="54" t="n"/>
      <c r="B113" s="54" t="n"/>
      <c r="C113" s="55" t="n"/>
      <c r="D113" s="55" t="n"/>
      <c r="E113">
        <f>IF(OR(A113="",B113=""),"",B113-A113)</f>
        <v/>
      </c>
      <c r="F113" s="55" t="n"/>
    </row>
    <row r="114">
      <c r="A114" s="54" t="n"/>
      <c r="B114" s="54" t="n"/>
      <c r="C114" s="55" t="n"/>
      <c r="D114" s="55" t="n"/>
      <c r="E114">
        <f>IF(OR(A114="",B114=""),"",B114-A114)</f>
        <v/>
      </c>
      <c r="F114" s="55" t="n"/>
    </row>
    <row r="115">
      <c r="A115" s="54" t="n"/>
      <c r="B115" s="54" t="n"/>
      <c r="C115" s="55" t="n"/>
      <c r="D115" s="55" t="n"/>
      <c r="E115">
        <f>IF(OR(A115="",B115=""),"",B115-A115)</f>
        <v/>
      </c>
      <c r="F115" s="55" t="n"/>
    </row>
    <row r="116">
      <c r="A116" s="54" t="n"/>
      <c r="B116" s="54" t="n"/>
      <c r="C116" s="55" t="n"/>
      <c r="D116" s="55" t="n"/>
      <c r="E116">
        <f>IF(OR(A116="",B116=""),"",B116-A116)</f>
        <v/>
      </c>
      <c r="F116" s="55" t="n"/>
    </row>
    <row r="117">
      <c r="A117" s="54" t="n"/>
      <c r="B117" s="54" t="n"/>
      <c r="C117" s="55" t="n"/>
      <c r="D117" s="55" t="n"/>
      <c r="E117">
        <f>IF(OR(A117="",B117=""),"",B117-A117)</f>
        <v/>
      </c>
      <c r="F117" s="55" t="n"/>
    </row>
    <row r="118">
      <c r="A118" s="54" t="n"/>
      <c r="B118" s="54" t="n"/>
      <c r="C118" s="55" t="n"/>
      <c r="D118" s="55" t="n"/>
      <c r="E118">
        <f>IF(OR(A118="",B118=""),"",B118-A118)</f>
        <v/>
      </c>
      <c r="F118" s="55" t="n"/>
    </row>
    <row r="119">
      <c r="A119" s="54" t="n"/>
      <c r="B119" s="54" t="n"/>
      <c r="C119" s="55" t="n"/>
      <c r="D119" s="55" t="n"/>
      <c r="E119">
        <f>IF(OR(A119="",B119=""),"",B119-A119)</f>
        <v/>
      </c>
      <c r="F119" s="55" t="n"/>
    </row>
    <row r="120">
      <c r="A120" s="54" t="n"/>
      <c r="B120" s="54" t="n"/>
      <c r="C120" s="55" t="n"/>
      <c r="D120" s="55" t="n"/>
      <c r="E120">
        <f>IF(OR(A120="",B120=""),"",B120-A120)</f>
        <v/>
      </c>
      <c r="F120" s="55" t="n"/>
    </row>
    <row r="121">
      <c r="A121" s="54" t="n"/>
      <c r="B121" s="54" t="n"/>
      <c r="C121" s="55" t="n"/>
      <c r="D121" s="55" t="n"/>
      <c r="E121">
        <f>IF(OR(A121="",B121=""),"",B121-A121)</f>
        <v/>
      </c>
      <c r="F121" s="55" t="n"/>
    </row>
    <row r="122">
      <c r="A122" s="54" t="n"/>
      <c r="B122" s="54" t="n"/>
      <c r="C122" s="55" t="n"/>
      <c r="D122" s="55" t="n"/>
      <c r="E122">
        <f>IF(OR(A122="",B122=""),"",B122-A122)</f>
        <v/>
      </c>
      <c r="F122" s="55" t="n"/>
    </row>
    <row r="123">
      <c r="A123" s="54" t="n"/>
      <c r="B123" s="54" t="n"/>
      <c r="C123" s="55" t="n"/>
      <c r="D123" s="55" t="n"/>
      <c r="E123">
        <f>IF(OR(A123="",B123=""),"",B123-A123)</f>
        <v/>
      </c>
      <c r="F123" s="55" t="n"/>
    </row>
    <row r="124">
      <c r="A124" s="54" t="n"/>
      <c r="B124" s="54" t="n"/>
      <c r="C124" s="55" t="n"/>
      <c r="D124" s="55" t="n"/>
      <c r="E124">
        <f>IF(OR(A124="",B124=""),"",B124-A124)</f>
        <v/>
      </c>
      <c r="F124" s="55" t="n"/>
    </row>
    <row r="125">
      <c r="A125" s="54" t="n"/>
      <c r="B125" s="54" t="n"/>
      <c r="C125" s="55" t="n"/>
      <c r="D125" s="55" t="n"/>
      <c r="E125">
        <f>IF(OR(A125="",B125=""),"",B125-A125)</f>
        <v/>
      </c>
      <c r="F125" s="55" t="n"/>
    </row>
    <row r="126">
      <c r="A126" s="54" t="n"/>
      <c r="B126" s="54" t="n"/>
      <c r="C126" s="55" t="n"/>
      <c r="D126" s="55" t="n"/>
      <c r="E126">
        <f>IF(OR(A126="",B126=""),"",B126-A126)</f>
        <v/>
      </c>
      <c r="F126" s="55" t="n"/>
    </row>
    <row r="127">
      <c r="A127" s="54" t="n"/>
      <c r="B127" s="54" t="n"/>
      <c r="C127" s="55" t="n"/>
      <c r="D127" s="55" t="n"/>
      <c r="E127">
        <f>IF(OR(A127="",B127=""),"",B127-A127)</f>
        <v/>
      </c>
      <c r="F127" s="55" t="n"/>
    </row>
    <row r="128">
      <c r="A128" s="54" t="n"/>
      <c r="B128" s="54" t="n"/>
      <c r="C128" s="55" t="n"/>
      <c r="D128" s="55" t="n"/>
      <c r="E128">
        <f>IF(OR(A128="",B128=""),"",B128-A128)</f>
        <v/>
      </c>
      <c r="F128" s="55" t="n"/>
    </row>
    <row r="129">
      <c r="A129" s="54" t="n"/>
      <c r="B129" s="54" t="n"/>
      <c r="C129" s="55" t="n"/>
      <c r="D129" s="55" t="n"/>
      <c r="E129">
        <f>IF(OR(A129="",B129=""),"",B129-A129)</f>
        <v/>
      </c>
      <c r="F129" s="55" t="n"/>
    </row>
    <row r="130">
      <c r="A130" s="54" t="n"/>
      <c r="B130" s="54" t="n"/>
      <c r="C130" s="55" t="n"/>
      <c r="D130" s="55" t="n"/>
      <c r="E130">
        <f>IF(OR(A130="",B130=""),"",B130-A130)</f>
        <v/>
      </c>
      <c r="F130" s="55" t="n"/>
    </row>
    <row r="131">
      <c r="A131" s="54" t="n"/>
      <c r="B131" s="54" t="n"/>
      <c r="C131" s="55" t="n"/>
      <c r="D131" s="55" t="n"/>
      <c r="E131">
        <f>IF(OR(A131="",B131=""),"",B131-A131)</f>
        <v/>
      </c>
      <c r="F131" s="55" t="n"/>
    </row>
    <row r="132">
      <c r="A132" s="54" t="n"/>
      <c r="B132" s="54" t="n"/>
      <c r="C132" s="55" t="n"/>
      <c r="D132" s="55" t="n"/>
      <c r="E132">
        <f>IF(OR(A132="",B132=""),"",B132-A132)</f>
        <v/>
      </c>
      <c r="F132" s="55" t="n"/>
    </row>
    <row r="133">
      <c r="A133" s="54" t="n"/>
      <c r="B133" s="54" t="n"/>
      <c r="C133" s="55" t="n"/>
      <c r="D133" s="55" t="n"/>
      <c r="E133">
        <f>IF(OR(A133="",B133=""),"",B133-A133)</f>
        <v/>
      </c>
      <c r="F133" s="55" t="n"/>
    </row>
    <row r="134">
      <c r="A134" s="54" t="n"/>
      <c r="B134" s="54" t="n"/>
      <c r="C134" s="55" t="n"/>
      <c r="D134" s="55" t="n"/>
      <c r="E134">
        <f>IF(OR(A134="",B134=""),"",B134-A134)</f>
        <v/>
      </c>
      <c r="F134" s="55" t="n"/>
    </row>
    <row r="135">
      <c r="A135" s="54" t="n"/>
      <c r="B135" s="54" t="n"/>
      <c r="C135" s="55" t="n"/>
      <c r="D135" s="55" t="n"/>
      <c r="E135">
        <f>IF(OR(A135="",B135=""),"",B135-A135)</f>
        <v/>
      </c>
      <c r="F135" s="55" t="n"/>
    </row>
    <row r="136">
      <c r="A136" s="54" t="n"/>
      <c r="B136" s="54" t="n"/>
      <c r="C136" s="55" t="n"/>
      <c r="D136" s="55" t="n"/>
      <c r="E136">
        <f>IF(OR(A136="",B136=""),"",B136-A136)</f>
        <v/>
      </c>
      <c r="F136" s="55" t="n"/>
    </row>
    <row r="137">
      <c r="A137" s="54" t="n"/>
      <c r="B137" s="54" t="n"/>
      <c r="C137" s="55" t="n"/>
      <c r="D137" s="55" t="n"/>
      <c r="E137">
        <f>IF(OR(A137="",B137=""),"",B137-A137)</f>
        <v/>
      </c>
      <c r="F137" s="55" t="n"/>
    </row>
    <row r="138">
      <c r="A138" s="54" t="n"/>
      <c r="B138" s="54" t="n"/>
      <c r="C138" s="55" t="n"/>
      <c r="D138" s="55" t="n"/>
      <c r="E138">
        <f>IF(OR(A138="",B138=""),"",B138-A138)</f>
        <v/>
      </c>
      <c r="F138" s="55" t="n"/>
    </row>
    <row r="139">
      <c r="A139" s="54" t="n"/>
      <c r="B139" s="54" t="n"/>
      <c r="C139" s="55" t="n"/>
      <c r="D139" s="55" t="n"/>
      <c r="E139">
        <f>IF(OR(A139="",B139=""),"",B139-A139)</f>
        <v/>
      </c>
      <c r="F139" s="55" t="n"/>
    </row>
    <row r="140">
      <c r="A140" s="54" t="n"/>
      <c r="B140" s="54" t="n"/>
      <c r="C140" s="55" t="n"/>
      <c r="D140" s="55" t="n"/>
      <c r="E140">
        <f>IF(OR(A140="",B140=""),"",B140-A140)</f>
        <v/>
      </c>
      <c r="F140" s="55" t="n"/>
    </row>
    <row r="141">
      <c r="A141" s="54" t="n"/>
      <c r="B141" s="54" t="n"/>
      <c r="C141" s="55" t="n"/>
      <c r="D141" s="55" t="n"/>
      <c r="E141">
        <f>IF(OR(A141="",B141=""),"",B141-A141)</f>
        <v/>
      </c>
      <c r="F141" s="55" t="n"/>
    </row>
    <row r="142">
      <c r="A142" s="54" t="n"/>
      <c r="B142" s="54" t="n"/>
      <c r="C142" s="55" t="n"/>
      <c r="D142" s="55" t="n"/>
      <c r="E142">
        <f>IF(OR(A142="",B142=""),"",B142-A142)</f>
        <v/>
      </c>
      <c r="F142" s="55" t="n"/>
    </row>
    <row r="143">
      <c r="A143" s="54" t="n"/>
      <c r="B143" s="54" t="n"/>
      <c r="C143" s="55" t="n"/>
      <c r="D143" s="55" t="n"/>
      <c r="E143">
        <f>IF(OR(A143="",B143=""),"",B143-A143)</f>
        <v/>
      </c>
      <c r="F143" s="55" t="n"/>
    </row>
    <row r="144">
      <c r="A144" s="54" t="n"/>
      <c r="B144" s="54" t="n"/>
      <c r="C144" s="55" t="n"/>
      <c r="D144" s="55" t="n"/>
      <c r="E144">
        <f>IF(OR(A144="",B144=""),"",B144-A144)</f>
        <v/>
      </c>
      <c r="F144" s="55" t="n"/>
    </row>
    <row r="145">
      <c r="A145" s="54" t="n"/>
      <c r="B145" s="54" t="n"/>
      <c r="C145" s="55" t="n"/>
      <c r="D145" s="55" t="n"/>
      <c r="E145">
        <f>IF(OR(A145="",B145=""),"",B145-A145)</f>
        <v/>
      </c>
      <c r="F145" s="55" t="n"/>
    </row>
    <row r="146">
      <c r="A146" s="54" t="n"/>
      <c r="B146" s="54" t="n"/>
      <c r="C146" s="55" t="n"/>
      <c r="D146" s="55" t="n"/>
      <c r="E146">
        <f>IF(OR(A146="",B146=""),"",B146-A146)</f>
        <v/>
      </c>
      <c r="F146" s="55" t="n"/>
    </row>
    <row r="147">
      <c r="A147" s="54" t="n"/>
      <c r="B147" s="54" t="n"/>
      <c r="C147" s="55" t="n"/>
      <c r="D147" s="55" t="n"/>
      <c r="E147">
        <f>IF(OR(A147="",B147=""),"",B147-A147)</f>
        <v/>
      </c>
      <c r="F147" s="55" t="n"/>
    </row>
    <row r="148">
      <c r="A148" s="54" t="n"/>
      <c r="B148" s="54" t="n"/>
      <c r="C148" s="55" t="n"/>
      <c r="D148" s="55" t="n"/>
      <c r="E148">
        <f>IF(OR(A148="",B148=""),"",B148-A148)</f>
        <v/>
      </c>
      <c r="F148" s="55" t="n"/>
    </row>
    <row r="149">
      <c r="A149" s="54" t="n"/>
      <c r="B149" s="54" t="n"/>
      <c r="C149" s="55" t="n"/>
      <c r="D149" s="55" t="n"/>
      <c r="E149">
        <f>IF(OR(A149="",B149=""),"",B149-A149)</f>
        <v/>
      </c>
      <c r="F149" s="55" t="n"/>
    </row>
    <row r="150">
      <c r="A150" s="54" t="n"/>
      <c r="B150" s="54" t="n"/>
      <c r="C150" s="55" t="n"/>
      <c r="D150" s="55" t="n"/>
      <c r="E150">
        <f>IF(OR(A150="",B150=""),"",B150-A150)</f>
        <v/>
      </c>
      <c r="F150" s="55" t="n"/>
    </row>
    <row r="151">
      <c r="A151" s="54" t="n"/>
      <c r="B151" s="54" t="n"/>
      <c r="C151" s="55" t="n"/>
      <c r="D151" s="55" t="n"/>
      <c r="E151">
        <f>IF(OR(A151="",B151=""),"",B151-A151)</f>
        <v/>
      </c>
      <c r="F151" s="55" t="n"/>
    </row>
    <row r="152">
      <c r="A152" s="54" t="n"/>
      <c r="B152" s="54" t="n"/>
      <c r="C152" s="55" t="n"/>
      <c r="D152" s="55" t="n"/>
      <c r="E152">
        <f>IF(OR(A152="",B152=""),"",B152-A152)</f>
        <v/>
      </c>
      <c r="F152" s="55" t="n"/>
    </row>
    <row r="153">
      <c r="A153" s="54" t="n"/>
      <c r="B153" s="54" t="n"/>
      <c r="C153" s="55" t="n"/>
      <c r="D153" s="55" t="n"/>
      <c r="E153">
        <f>IF(OR(A153="",B153=""),"",B153-A153)</f>
        <v/>
      </c>
      <c r="F153" s="55" t="n"/>
    </row>
    <row r="154">
      <c r="A154" s="54" t="n"/>
      <c r="B154" s="54" t="n"/>
      <c r="C154" s="55" t="n"/>
      <c r="D154" s="55" t="n"/>
      <c r="E154">
        <f>IF(OR(A154="",B154=""),"",B154-A154)</f>
        <v/>
      </c>
      <c r="F154" s="55" t="n"/>
    </row>
    <row r="155">
      <c r="A155" s="54" t="n"/>
      <c r="B155" s="54" t="n"/>
      <c r="C155" s="55" t="n"/>
      <c r="D155" s="55" t="n"/>
      <c r="E155">
        <f>IF(OR(A155="",B155=""),"",B155-A155)</f>
        <v/>
      </c>
      <c r="F155" s="55" t="n"/>
    </row>
    <row r="156">
      <c r="A156" s="54" t="n"/>
      <c r="B156" s="54" t="n"/>
      <c r="C156" s="55" t="n"/>
      <c r="D156" s="55" t="n"/>
      <c r="E156">
        <f>IF(OR(A156="",B156=""),"",B156-A156)</f>
        <v/>
      </c>
      <c r="F156" s="55" t="n"/>
    </row>
    <row r="157">
      <c r="A157" s="54" t="n"/>
      <c r="B157" s="54" t="n"/>
      <c r="C157" s="55" t="n"/>
      <c r="D157" s="55" t="n"/>
      <c r="E157">
        <f>IF(OR(A157="",B157=""),"",B157-A157)</f>
        <v/>
      </c>
      <c r="F157" s="55" t="n"/>
    </row>
    <row r="158">
      <c r="A158" s="54" t="n"/>
      <c r="B158" s="54" t="n"/>
      <c r="C158" s="55" t="n"/>
      <c r="D158" s="55" t="n"/>
      <c r="E158">
        <f>IF(OR(A158="",B158=""),"",B158-A158)</f>
        <v/>
      </c>
      <c r="F158" s="55" t="n"/>
    </row>
    <row r="159">
      <c r="A159" s="54" t="n"/>
      <c r="B159" s="54" t="n"/>
      <c r="C159" s="55" t="n"/>
      <c r="D159" s="55" t="n"/>
      <c r="E159">
        <f>IF(OR(A159="",B159=""),"",B159-A159)</f>
        <v/>
      </c>
      <c r="F159" s="55" t="n"/>
    </row>
    <row r="160">
      <c r="A160" s="54" t="n"/>
      <c r="B160" s="54" t="n"/>
      <c r="C160" s="55" t="n"/>
      <c r="D160" s="55" t="n"/>
      <c r="E160">
        <f>IF(OR(A160="",B160=""),"",B160-A160)</f>
        <v/>
      </c>
      <c r="F160" s="55" t="n"/>
    </row>
    <row r="161">
      <c r="A161" s="54" t="n"/>
      <c r="B161" s="54" t="n"/>
      <c r="C161" s="55" t="n"/>
      <c r="D161" s="55" t="n"/>
      <c r="E161">
        <f>IF(OR(A161="",B161=""),"",B161-A161)</f>
        <v/>
      </c>
      <c r="F161" s="55" t="n"/>
    </row>
    <row r="162">
      <c r="A162" s="54" t="n"/>
      <c r="B162" s="54" t="n"/>
      <c r="C162" s="55" t="n"/>
      <c r="D162" s="55" t="n"/>
      <c r="E162">
        <f>IF(OR(A162="",B162=""),"",B162-A162)</f>
        <v/>
      </c>
      <c r="F162" s="55" t="n"/>
    </row>
    <row r="163">
      <c r="A163" s="54" t="n"/>
      <c r="B163" s="54" t="n"/>
      <c r="C163" s="55" t="n"/>
      <c r="D163" s="55" t="n"/>
      <c r="E163">
        <f>IF(OR(A163="",B163=""),"",B163-A163)</f>
        <v/>
      </c>
      <c r="F163" s="55" t="n"/>
    </row>
    <row r="164">
      <c r="A164" s="54" t="n"/>
      <c r="B164" s="54" t="n"/>
      <c r="C164" s="55" t="n"/>
      <c r="D164" s="55" t="n"/>
      <c r="E164">
        <f>IF(OR(A164="",B164=""),"",B164-A164)</f>
        <v/>
      </c>
      <c r="F164" s="55" t="n"/>
    </row>
    <row r="165">
      <c r="A165" s="54" t="n"/>
      <c r="B165" s="54" t="n"/>
      <c r="C165" s="55" t="n"/>
      <c r="D165" s="55" t="n"/>
      <c r="E165">
        <f>IF(OR(A165="",B165=""),"",B165-A165)</f>
        <v/>
      </c>
      <c r="F165" s="55" t="n"/>
    </row>
    <row r="166">
      <c r="A166" s="54" t="n"/>
      <c r="B166" s="54" t="n"/>
      <c r="C166" s="55" t="n"/>
      <c r="D166" s="55" t="n"/>
      <c r="E166">
        <f>IF(OR(A166="",B166=""),"",B166-A166)</f>
        <v/>
      </c>
      <c r="F166" s="55" t="n"/>
    </row>
    <row r="167">
      <c r="A167" s="54" t="n"/>
      <c r="B167" s="54" t="n"/>
      <c r="C167" s="55" t="n"/>
      <c r="D167" s="55" t="n"/>
      <c r="E167">
        <f>IF(OR(A167="",B167=""),"",B167-A167)</f>
        <v/>
      </c>
      <c r="F167" s="55" t="n"/>
    </row>
    <row r="168">
      <c r="A168" s="54" t="n"/>
      <c r="B168" s="54" t="n"/>
      <c r="C168" s="55" t="n"/>
      <c r="D168" s="55" t="n"/>
      <c r="E168">
        <f>IF(OR(A168="",B168=""),"",B168-A168)</f>
        <v/>
      </c>
      <c r="F168" s="55" t="n"/>
    </row>
    <row r="169">
      <c r="A169" s="54" t="n"/>
      <c r="B169" s="54" t="n"/>
      <c r="C169" s="55" t="n"/>
      <c r="D169" s="55" t="n"/>
      <c r="E169">
        <f>IF(OR(A169="",B169=""),"",B169-A169)</f>
        <v/>
      </c>
      <c r="F169" s="55" t="n"/>
    </row>
    <row r="170">
      <c r="A170" s="54" t="n"/>
      <c r="B170" s="54" t="n"/>
      <c r="C170" s="55" t="n"/>
      <c r="D170" s="55" t="n"/>
      <c r="E170">
        <f>IF(OR(A170="",B170=""),"",B170-A170)</f>
        <v/>
      </c>
      <c r="F170" s="55" t="n"/>
    </row>
    <row r="171">
      <c r="A171" s="54" t="n"/>
      <c r="B171" s="54" t="n"/>
      <c r="C171" s="55" t="n"/>
      <c r="D171" s="55" t="n"/>
      <c r="E171">
        <f>IF(OR(A171="",B171=""),"",B171-A171)</f>
        <v/>
      </c>
      <c r="F171" s="55" t="n"/>
    </row>
    <row r="172">
      <c r="A172" s="54" t="n"/>
      <c r="B172" s="54" t="n"/>
      <c r="C172" s="55" t="n"/>
      <c r="D172" s="55" t="n"/>
      <c r="E172">
        <f>IF(OR(A172="",B172=""),"",B172-A172)</f>
        <v/>
      </c>
      <c r="F172" s="55" t="n"/>
    </row>
    <row r="173">
      <c r="A173" s="54" t="n"/>
      <c r="B173" s="54" t="n"/>
      <c r="C173" s="55" t="n"/>
      <c r="D173" s="55" t="n"/>
      <c r="E173">
        <f>IF(OR(A173="",B173=""),"",B173-A173)</f>
        <v/>
      </c>
      <c r="F173" s="55" t="n"/>
    </row>
    <row r="174">
      <c r="A174" s="54" t="n"/>
      <c r="B174" s="54" t="n"/>
      <c r="C174" s="55" t="n"/>
      <c r="D174" s="55" t="n"/>
      <c r="E174">
        <f>IF(OR(A174="",B174=""),"",B174-A174)</f>
        <v/>
      </c>
      <c r="F174" s="55" t="n"/>
    </row>
    <row r="175">
      <c r="A175" s="54" t="n"/>
      <c r="B175" s="54" t="n"/>
      <c r="C175" s="55" t="n"/>
      <c r="D175" s="55" t="n"/>
      <c r="E175">
        <f>IF(OR(A175="",B175=""),"",B175-A175)</f>
        <v/>
      </c>
      <c r="F175" s="55" t="n"/>
    </row>
    <row r="176">
      <c r="A176" s="54" t="n"/>
      <c r="B176" s="54" t="n"/>
      <c r="C176" s="55" t="n"/>
      <c r="D176" s="55" t="n"/>
      <c r="E176">
        <f>IF(OR(A176="",B176=""),"",B176-A176)</f>
        <v/>
      </c>
      <c r="F176" s="55" t="n"/>
    </row>
    <row r="177">
      <c r="A177" s="54" t="n"/>
      <c r="B177" s="54" t="n"/>
      <c r="C177" s="55" t="n"/>
      <c r="D177" s="55" t="n"/>
      <c r="E177">
        <f>IF(OR(A177="",B177=""),"",B177-A177)</f>
        <v/>
      </c>
      <c r="F177" s="55" t="n"/>
    </row>
    <row r="178">
      <c r="A178" s="54" t="n"/>
      <c r="B178" s="54" t="n"/>
      <c r="C178" s="55" t="n"/>
      <c r="D178" s="55" t="n"/>
      <c r="E178">
        <f>IF(OR(A178="",B178=""),"",B178-A178)</f>
        <v/>
      </c>
      <c r="F178" s="55" t="n"/>
    </row>
    <row r="179">
      <c r="A179" s="54" t="n"/>
      <c r="B179" s="54" t="n"/>
      <c r="C179" s="55" t="n"/>
      <c r="D179" s="55" t="n"/>
      <c r="E179">
        <f>IF(OR(A179="",B179=""),"",B179-A179)</f>
        <v/>
      </c>
      <c r="F179" s="55" t="n"/>
    </row>
    <row r="180">
      <c r="A180" s="54" t="n"/>
      <c r="B180" s="54" t="n"/>
      <c r="C180" s="55" t="n"/>
      <c r="D180" s="55" t="n"/>
      <c r="E180">
        <f>IF(OR(A180="",B180=""),"",B180-A180)</f>
        <v/>
      </c>
      <c r="F180" s="55" t="n"/>
    </row>
    <row r="181">
      <c r="A181" s="54" t="n"/>
      <c r="B181" s="54" t="n"/>
      <c r="C181" s="55" t="n"/>
      <c r="D181" s="55" t="n"/>
      <c r="E181">
        <f>IF(OR(A181="",B181=""),"",B181-A181)</f>
        <v/>
      </c>
      <c r="F181" s="55" t="n"/>
    </row>
    <row r="182">
      <c r="A182" s="54" t="n"/>
      <c r="B182" s="54" t="n"/>
      <c r="C182" s="55" t="n"/>
      <c r="D182" s="55" t="n"/>
      <c r="E182">
        <f>IF(OR(A182="",B182=""),"",B182-A182)</f>
        <v/>
      </c>
      <c r="F182" s="55" t="n"/>
    </row>
    <row r="183">
      <c r="A183" s="54" t="n"/>
      <c r="B183" s="54" t="n"/>
      <c r="C183" s="55" t="n"/>
      <c r="D183" s="55" t="n"/>
      <c r="E183">
        <f>IF(OR(A183="",B183=""),"",B183-A183)</f>
        <v/>
      </c>
      <c r="F183" s="55" t="n"/>
    </row>
    <row r="184">
      <c r="A184" s="54" t="n"/>
      <c r="B184" s="54" t="n"/>
      <c r="C184" s="55" t="n"/>
      <c r="D184" s="55" t="n"/>
      <c r="E184">
        <f>IF(OR(A184="",B184=""),"",B184-A184)</f>
        <v/>
      </c>
      <c r="F184" s="55" t="n"/>
    </row>
    <row r="185">
      <c r="A185" s="54" t="n"/>
      <c r="B185" s="54" t="n"/>
      <c r="C185" s="55" t="n"/>
      <c r="D185" s="55" t="n"/>
      <c r="E185">
        <f>IF(OR(A185="",B185=""),"",B185-A185)</f>
        <v/>
      </c>
      <c r="F185" s="55" t="n"/>
    </row>
    <row r="186">
      <c r="A186" s="54" t="n"/>
      <c r="B186" s="54" t="n"/>
      <c r="C186" s="55" t="n"/>
      <c r="D186" s="55" t="n"/>
      <c r="E186">
        <f>IF(OR(A186="",B186=""),"",B186-A186)</f>
        <v/>
      </c>
      <c r="F186" s="55" t="n"/>
    </row>
    <row r="187">
      <c r="A187" s="54" t="n"/>
      <c r="B187" s="54" t="n"/>
      <c r="C187" s="55" t="n"/>
      <c r="D187" s="55" t="n"/>
      <c r="E187">
        <f>IF(OR(A187="",B187=""),"",B187-A187)</f>
        <v/>
      </c>
      <c r="F187" s="55" t="n"/>
    </row>
    <row r="188">
      <c r="A188" s="54" t="n"/>
      <c r="B188" s="54" t="n"/>
      <c r="C188" s="55" t="n"/>
      <c r="D188" s="55" t="n"/>
      <c r="E188">
        <f>IF(OR(A188="",B188=""),"",B188-A188)</f>
        <v/>
      </c>
      <c r="F188" s="55" t="n"/>
    </row>
    <row r="189">
      <c r="A189" s="54" t="n"/>
      <c r="B189" s="54" t="n"/>
      <c r="C189" s="55" t="n"/>
      <c r="D189" s="55" t="n"/>
      <c r="E189">
        <f>IF(OR(A189="",B189=""),"",B189-A189)</f>
        <v/>
      </c>
      <c r="F189" s="55" t="n"/>
    </row>
    <row r="190">
      <c r="A190" s="54" t="n"/>
      <c r="B190" s="54" t="n"/>
      <c r="C190" s="55" t="n"/>
      <c r="D190" s="55" t="n"/>
      <c r="E190">
        <f>IF(OR(A190="",B190=""),"",B190-A190)</f>
        <v/>
      </c>
      <c r="F190" s="55" t="n"/>
    </row>
    <row r="191">
      <c r="A191" s="54" t="n"/>
      <c r="B191" s="54" t="n"/>
      <c r="C191" s="55" t="n"/>
      <c r="D191" s="55" t="n"/>
      <c r="E191">
        <f>IF(OR(A191="",B191=""),"",B191-A191)</f>
        <v/>
      </c>
      <c r="F191" s="55" t="n"/>
    </row>
    <row r="192">
      <c r="A192" s="54" t="n"/>
      <c r="B192" s="54" t="n"/>
      <c r="C192" s="55" t="n"/>
      <c r="D192" s="55" t="n"/>
      <c r="E192">
        <f>IF(OR(A192="",B192=""),"",B192-A192)</f>
        <v/>
      </c>
      <c r="F192" s="55" t="n"/>
    </row>
    <row r="193">
      <c r="A193" s="54" t="n"/>
      <c r="B193" s="54" t="n"/>
      <c r="C193" s="55" t="n"/>
      <c r="D193" s="55" t="n"/>
      <c r="E193">
        <f>IF(OR(A193="",B193=""),"",B193-A193)</f>
        <v/>
      </c>
      <c r="F193" s="55" t="n"/>
    </row>
    <row r="194">
      <c r="A194" s="54" t="n"/>
      <c r="B194" s="54" t="n"/>
      <c r="C194" s="55" t="n"/>
      <c r="D194" s="55" t="n"/>
      <c r="E194">
        <f>IF(OR(A194="",B194=""),"",B194-A194)</f>
        <v/>
      </c>
      <c r="F194" s="55" t="n"/>
    </row>
    <row r="195">
      <c r="A195" s="54" t="n"/>
      <c r="B195" s="54" t="n"/>
      <c r="C195" s="55" t="n"/>
      <c r="D195" s="55" t="n"/>
      <c r="E195">
        <f>IF(OR(A195="",B195=""),"",B195-A195)</f>
        <v/>
      </c>
      <c r="F195" s="55" t="n"/>
    </row>
    <row r="196">
      <c r="A196" s="54" t="n"/>
      <c r="B196" s="54" t="n"/>
      <c r="C196" s="55" t="n"/>
      <c r="D196" s="55" t="n"/>
      <c r="E196">
        <f>IF(OR(A196="",B196=""),"",B196-A196)</f>
        <v/>
      </c>
      <c r="F196" s="55" t="n"/>
    </row>
    <row r="197">
      <c r="A197" s="54" t="n"/>
      <c r="B197" s="54" t="n"/>
      <c r="C197" s="55" t="n"/>
      <c r="D197" s="55" t="n"/>
      <c r="E197">
        <f>IF(OR(A197="",B197=""),"",B197-A197)</f>
        <v/>
      </c>
      <c r="F197" s="55" t="n"/>
    </row>
    <row r="198">
      <c r="A198" s="54" t="n"/>
      <c r="B198" s="54" t="n"/>
      <c r="C198" s="55" t="n"/>
      <c r="D198" s="55" t="n"/>
      <c r="E198">
        <f>IF(OR(A198="",B198=""),"",B198-A198)</f>
        <v/>
      </c>
      <c r="F198" s="55" t="n"/>
    </row>
    <row r="199">
      <c r="A199" s="54" t="n"/>
      <c r="B199" s="54" t="n"/>
      <c r="C199" s="55" t="n"/>
      <c r="D199" s="55" t="n"/>
      <c r="E199">
        <f>IF(OR(A199="",B199=""),"",B199-A199)</f>
        <v/>
      </c>
      <c r="F199" s="55" t="n"/>
    </row>
    <row r="200">
      <c r="A200" s="54" t="n"/>
      <c r="B200" s="54" t="n"/>
      <c r="C200" s="55" t="n"/>
      <c r="D200" s="55" t="n"/>
      <c r="E200">
        <f>IF(OR(A200="",B200=""),"",B200-A200)</f>
        <v/>
      </c>
      <c r="F200" s="55" t="n"/>
    </row>
    <row r="201">
      <c r="A201" s="54" t="n"/>
      <c r="B201" s="54" t="n"/>
      <c r="C201" s="55" t="n"/>
      <c r="D201" s="55" t="n"/>
      <c r="E201">
        <f>IF(OR(A201="",B201=""),"",B201-A201)</f>
        <v/>
      </c>
      <c r="F201" s="55" t="n"/>
    </row>
    <row r="202">
      <c r="A202" s="54" t="n"/>
      <c r="B202" s="54" t="n"/>
      <c r="C202" s="55" t="n"/>
      <c r="D202" s="55" t="n"/>
      <c r="E202">
        <f>IF(OR(A202="",B202=""),"",B202-A202)</f>
        <v/>
      </c>
      <c r="F202" s="55" t="n"/>
    </row>
    <row r="203">
      <c r="A203" s="54" t="n"/>
      <c r="B203" s="54" t="n"/>
      <c r="C203" s="55" t="n"/>
      <c r="D203" s="55" t="n"/>
      <c r="E203">
        <f>IF(OR(A203="",B203=""),"",B203-A203)</f>
        <v/>
      </c>
      <c r="F203" s="55" t="n"/>
    </row>
    <row r="204">
      <c r="A204" s="54" t="n"/>
      <c r="B204" s="54" t="n"/>
      <c r="C204" s="55" t="n"/>
      <c r="D204" s="55" t="n"/>
      <c r="E204">
        <f>IF(OR(A204="",B204=""),"",B204-A204)</f>
        <v/>
      </c>
      <c r="F204" s="55" t="n"/>
    </row>
    <row r="205">
      <c r="A205" s="54" t="n"/>
      <c r="B205" s="54" t="n"/>
      <c r="C205" s="55" t="n"/>
      <c r="D205" s="55" t="n"/>
      <c r="E205">
        <f>IF(OR(A205="",B205=""),"",B205-A205)</f>
        <v/>
      </c>
      <c r="F205" s="55" t="n"/>
    </row>
    <row r="206">
      <c r="A206" s="54" t="n"/>
      <c r="B206" s="54" t="n"/>
      <c r="C206" s="55" t="n"/>
      <c r="D206" s="55" t="n"/>
      <c r="E206">
        <f>IF(OR(A206="",B206=""),"",B206-A206)</f>
        <v/>
      </c>
      <c r="F206" s="55" t="n"/>
    </row>
    <row r="207">
      <c r="A207" s="54" t="n"/>
      <c r="B207" s="54" t="n"/>
      <c r="C207" s="55" t="n"/>
      <c r="D207" s="55" t="n"/>
      <c r="E207">
        <f>IF(OR(A207="",B207=""),"",B207-A207)</f>
        <v/>
      </c>
      <c r="F207" s="55" t="n"/>
    </row>
    <row r="208">
      <c r="A208" s="54" t="n"/>
      <c r="B208" s="54" t="n"/>
      <c r="C208" s="55" t="n"/>
      <c r="D208" s="55" t="n"/>
      <c r="E208">
        <f>IF(OR(A208="",B208=""),"",B208-A208)</f>
        <v/>
      </c>
      <c r="F208" s="55" t="n"/>
    </row>
    <row r="209">
      <c r="A209" s="54" t="n"/>
      <c r="B209" s="54" t="n"/>
      <c r="C209" s="55" t="n"/>
      <c r="D209" s="55" t="n"/>
      <c r="E209">
        <f>IF(OR(A209="",B209=""),"",B209-A209)</f>
        <v/>
      </c>
      <c r="F209" s="55" t="n"/>
    </row>
    <row r="210">
      <c r="A210" s="54" t="n"/>
      <c r="B210" s="54" t="n"/>
      <c r="C210" s="55" t="n"/>
      <c r="D210" s="55" t="n"/>
      <c r="E210">
        <f>IF(OR(A210="",B210=""),"",B210-A210)</f>
        <v/>
      </c>
      <c r="F210" s="55" t="n"/>
    </row>
    <row r="211">
      <c r="A211" s="54" t="n"/>
      <c r="B211" s="54" t="n"/>
      <c r="C211" s="55" t="n"/>
      <c r="D211" s="55" t="n"/>
      <c r="E211">
        <f>IF(OR(A211="",B211=""),"",B211-A211)</f>
        <v/>
      </c>
      <c r="F211" s="55" t="n"/>
    </row>
    <row r="212">
      <c r="A212" s="54" t="n"/>
      <c r="B212" s="54" t="n"/>
      <c r="C212" s="55" t="n"/>
      <c r="D212" s="55" t="n"/>
      <c r="E212">
        <f>IF(OR(A212="",B212=""),"",B212-A212)</f>
        <v/>
      </c>
      <c r="F212" s="55" t="n"/>
    </row>
    <row r="213">
      <c r="A213" s="54" t="n"/>
      <c r="B213" s="54" t="n"/>
      <c r="C213" s="55" t="n"/>
      <c r="D213" s="55" t="n"/>
      <c r="E213">
        <f>IF(OR(A213="",B213=""),"",B213-A213)</f>
        <v/>
      </c>
      <c r="F213" s="55" t="n"/>
    </row>
    <row r="214">
      <c r="A214" s="54" t="n"/>
      <c r="B214" s="54" t="n"/>
      <c r="C214" s="55" t="n"/>
      <c r="D214" s="55" t="n"/>
      <c r="E214">
        <f>IF(OR(A214="",B214=""),"",B214-A214)</f>
        <v/>
      </c>
      <c r="F214" s="55" t="n"/>
    </row>
    <row r="215">
      <c r="A215" s="54" t="n"/>
      <c r="B215" s="54" t="n"/>
      <c r="C215" s="55" t="n"/>
      <c r="D215" s="55" t="n"/>
      <c r="E215">
        <f>IF(OR(A215="",B215=""),"",B215-A215)</f>
        <v/>
      </c>
      <c r="F215" s="55" t="n"/>
    </row>
    <row r="216">
      <c r="A216" s="54" t="n"/>
      <c r="B216" s="54" t="n"/>
      <c r="C216" s="55" t="n"/>
      <c r="D216" s="55" t="n"/>
      <c r="E216">
        <f>IF(OR(A216="",B216=""),"",B216-A216)</f>
        <v/>
      </c>
      <c r="F216" s="55" t="n"/>
    </row>
    <row r="217">
      <c r="A217" s="54" t="n"/>
      <c r="B217" s="54" t="n"/>
      <c r="C217" s="55" t="n"/>
      <c r="D217" s="55" t="n"/>
      <c r="E217">
        <f>IF(OR(A217="",B217=""),"",B217-A217)</f>
        <v/>
      </c>
      <c r="F217" s="55" t="n"/>
    </row>
    <row r="218">
      <c r="A218" s="54" t="n"/>
      <c r="B218" s="54" t="n"/>
      <c r="C218" s="55" t="n"/>
      <c r="D218" s="55" t="n"/>
      <c r="E218">
        <f>IF(OR(A218="",B218=""),"",B218-A218)</f>
        <v/>
      </c>
      <c r="F218" s="55" t="n"/>
    </row>
    <row r="219">
      <c r="A219" s="54" t="n"/>
      <c r="B219" s="54" t="n"/>
      <c r="C219" s="55" t="n"/>
      <c r="D219" s="55" t="n"/>
      <c r="E219">
        <f>IF(OR(A219="",B219=""),"",B219-A219)</f>
        <v/>
      </c>
      <c r="F219" s="55" t="n"/>
    </row>
    <row r="220">
      <c r="A220" s="54" t="n"/>
      <c r="B220" s="54" t="n"/>
      <c r="C220" s="55" t="n"/>
      <c r="D220" s="55" t="n"/>
      <c r="E220">
        <f>IF(OR(A220="",B220=""),"",B220-A220)</f>
        <v/>
      </c>
      <c r="F220" s="55" t="n"/>
    </row>
    <row r="221">
      <c r="A221" s="54" t="n"/>
      <c r="B221" s="54" t="n"/>
      <c r="C221" s="55" t="n"/>
      <c r="D221" s="55" t="n"/>
      <c r="E221">
        <f>IF(OR(A221="",B221=""),"",B221-A221)</f>
        <v/>
      </c>
      <c r="F221" s="55" t="n"/>
    </row>
    <row r="222">
      <c r="A222" s="54" t="n"/>
      <c r="B222" s="54" t="n"/>
      <c r="C222" s="55" t="n"/>
      <c r="D222" s="55" t="n"/>
      <c r="E222">
        <f>IF(OR(A222="",B222=""),"",B222-A222)</f>
        <v/>
      </c>
      <c r="F222" s="55" t="n"/>
    </row>
    <row r="223">
      <c r="A223" s="54" t="n"/>
      <c r="B223" s="54" t="n"/>
      <c r="C223" s="55" t="n"/>
      <c r="D223" s="55" t="n"/>
      <c r="E223">
        <f>IF(OR(A223="",B223=""),"",B223-A223)</f>
        <v/>
      </c>
      <c r="F223" s="55" t="n"/>
    </row>
    <row r="224">
      <c r="A224" s="54" t="n"/>
      <c r="B224" s="54" t="n"/>
      <c r="C224" s="55" t="n"/>
      <c r="D224" s="55" t="n"/>
      <c r="E224">
        <f>IF(OR(A224="",B224=""),"",B224-A224)</f>
        <v/>
      </c>
      <c r="F224" s="55" t="n"/>
    </row>
    <row r="225">
      <c r="A225" s="54" t="n"/>
      <c r="B225" s="54" t="n"/>
      <c r="C225" s="55" t="n"/>
      <c r="D225" s="55" t="n"/>
      <c r="E225">
        <f>IF(OR(A225="",B225=""),"",B225-A225)</f>
        <v/>
      </c>
      <c r="F225" s="55" t="n"/>
    </row>
    <row r="226">
      <c r="A226" s="54" t="n"/>
      <c r="B226" s="54" t="n"/>
      <c r="C226" s="55" t="n"/>
      <c r="D226" s="55" t="n"/>
      <c r="E226">
        <f>IF(OR(A226="",B226=""),"",B226-A226)</f>
        <v/>
      </c>
      <c r="F226" s="55" t="n"/>
    </row>
    <row r="227">
      <c r="A227" s="54" t="n"/>
      <c r="B227" s="54" t="n"/>
      <c r="C227" s="55" t="n"/>
      <c r="D227" s="55" t="n"/>
      <c r="E227">
        <f>IF(OR(A227="",B227=""),"",B227-A227)</f>
        <v/>
      </c>
      <c r="F227" s="55" t="n"/>
    </row>
    <row r="228">
      <c r="A228" s="54" t="n"/>
      <c r="B228" s="54" t="n"/>
      <c r="C228" s="55" t="n"/>
      <c r="D228" s="55" t="n"/>
      <c r="E228">
        <f>IF(OR(A228="",B228=""),"",B228-A228)</f>
        <v/>
      </c>
      <c r="F228" s="55" t="n"/>
    </row>
    <row r="229">
      <c r="A229" s="54" t="n"/>
      <c r="B229" s="54" t="n"/>
      <c r="C229" s="55" t="n"/>
      <c r="D229" s="55" t="n"/>
      <c r="E229">
        <f>IF(OR(A229="",B229=""),"",B229-A229)</f>
        <v/>
      </c>
      <c r="F229" s="55" t="n"/>
    </row>
    <row r="230">
      <c r="A230" s="54" t="n"/>
      <c r="B230" s="54" t="n"/>
      <c r="C230" s="55" t="n"/>
      <c r="D230" s="55" t="n"/>
      <c r="E230">
        <f>IF(OR(A230="",B230=""),"",B230-A230)</f>
        <v/>
      </c>
      <c r="F230" s="55" t="n"/>
    </row>
    <row r="231">
      <c r="A231" s="54" t="n"/>
      <c r="B231" s="54" t="n"/>
      <c r="C231" s="55" t="n"/>
      <c r="D231" s="55" t="n"/>
      <c r="E231">
        <f>IF(OR(A231="",B231=""),"",B231-A231)</f>
        <v/>
      </c>
      <c r="F231" s="55" t="n"/>
    </row>
    <row r="232">
      <c r="A232" s="54" t="n"/>
      <c r="B232" s="54" t="n"/>
      <c r="C232" s="55" t="n"/>
      <c r="D232" s="55" t="n"/>
      <c r="E232">
        <f>IF(OR(A232="",B232=""),"",B232-A232)</f>
        <v/>
      </c>
      <c r="F232" s="55" t="n"/>
    </row>
    <row r="233">
      <c r="A233" s="54" t="n"/>
      <c r="B233" s="54" t="n"/>
      <c r="C233" s="55" t="n"/>
      <c r="D233" s="55" t="n"/>
      <c r="E233">
        <f>IF(OR(A233="",B233=""),"",B233-A233)</f>
        <v/>
      </c>
      <c r="F233" s="55" t="n"/>
    </row>
    <row r="234">
      <c r="A234" s="54" t="n"/>
      <c r="B234" s="54" t="n"/>
      <c r="C234" s="55" t="n"/>
      <c r="D234" s="55" t="n"/>
      <c r="E234">
        <f>IF(OR(A234="",B234=""),"",B234-A234)</f>
        <v/>
      </c>
      <c r="F234" s="55" t="n"/>
    </row>
    <row r="235">
      <c r="A235" s="54" t="n"/>
      <c r="B235" s="54" t="n"/>
      <c r="C235" s="55" t="n"/>
      <c r="D235" s="55" t="n"/>
      <c r="E235">
        <f>IF(OR(A235="",B235=""),"",B235-A235)</f>
        <v/>
      </c>
      <c r="F235" s="55" t="n"/>
    </row>
    <row r="236">
      <c r="A236" s="54" t="n"/>
      <c r="B236" s="54" t="n"/>
      <c r="C236" s="55" t="n"/>
      <c r="D236" s="55" t="n"/>
      <c r="E236">
        <f>IF(OR(A236="",B236=""),"",B236-A236)</f>
        <v/>
      </c>
      <c r="F236" s="55" t="n"/>
    </row>
    <row r="237">
      <c r="A237" s="54" t="n"/>
      <c r="B237" s="54" t="n"/>
      <c r="C237" s="55" t="n"/>
      <c r="D237" s="55" t="n"/>
      <c r="E237">
        <f>IF(OR(A237="",B237=""),"",B237-A237)</f>
        <v/>
      </c>
      <c r="F237" s="55" t="n"/>
    </row>
    <row r="238">
      <c r="A238" s="54" t="n"/>
      <c r="B238" s="54" t="n"/>
      <c r="C238" s="55" t="n"/>
      <c r="D238" s="55" t="n"/>
      <c r="E238">
        <f>IF(OR(A238="",B238=""),"",B238-A238)</f>
        <v/>
      </c>
      <c r="F238" s="55" t="n"/>
    </row>
    <row r="239">
      <c r="A239" s="54" t="n"/>
      <c r="B239" s="54" t="n"/>
      <c r="C239" s="55" t="n"/>
      <c r="D239" s="55" t="n"/>
      <c r="E239">
        <f>IF(OR(A239="",B239=""),"",B239-A239)</f>
        <v/>
      </c>
      <c r="F239" s="55" t="n"/>
    </row>
    <row r="240">
      <c r="A240" s="54" t="n"/>
      <c r="B240" s="54" t="n"/>
      <c r="C240" s="55" t="n"/>
      <c r="D240" s="55" t="n"/>
      <c r="E240">
        <f>IF(OR(A240="",B240=""),"",B240-A240)</f>
        <v/>
      </c>
      <c r="F240" s="55" t="n"/>
    </row>
    <row r="241">
      <c r="A241" s="54" t="n"/>
      <c r="B241" s="54" t="n"/>
      <c r="C241" s="55" t="n"/>
      <c r="D241" s="55" t="n"/>
      <c r="E241">
        <f>IF(OR(A241="",B241=""),"",B241-A241)</f>
        <v/>
      </c>
      <c r="F241" s="55" t="n"/>
    </row>
    <row r="242">
      <c r="A242" s="54" t="n"/>
      <c r="B242" s="54" t="n"/>
      <c r="C242" s="55" t="n"/>
      <c r="D242" s="55" t="n"/>
      <c r="E242">
        <f>IF(OR(A242="",B242=""),"",B242-A242)</f>
        <v/>
      </c>
      <c r="F242" s="55" t="n"/>
    </row>
    <row r="243">
      <c r="A243" s="54" t="n"/>
      <c r="B243" s="54" t="n"/>
      <c r="C243" s="55" t="n"/>
      <c r="D243" s="55" t="n"/>
      <c r="E243">
        <f>IF(OR(A243="",B243=""),"",B243-A243)</f>
        <v/>
      </c>
      <c r="F243" s="55" t="n"/>
    </row>
    <row r="244">
      <c r="A244" s="54" t="n"/>
      <c r="B244" s="54" t="n"/>
      <c r="C244" s="55" t="n"/>
      <c r="D244" s="55" t="n"/>
      <c r="E244">
        <f>IF(OR(A244="",B244=""),"",B244-A244)</f>
        <v/>
      </c>
      <c r="F244" s="55" t="n"/>
    </row>
    <row r="245">
      <c r="A245" s="54" t="n"/>
      <c r="B245" s="54" t="n"/>
      <c r="C245" s="55" t="n"/>
      <c r="D245" s="55" t="n"/>
      <c r="E245">
        <f>IF(OR(A245="",B245=""),"",B245-A245)</f>
        <v/>
      </c>
      <c r="F245" s="55" t="n"/>
    </row>
    <row r="246">
      <c r="A246" s="54" t="n"/>
      <c r="B246" s="54" t="n"/>
      <c r="C246" s="55" t="n"/>
      <c r="D246" s="55" t="n"/>
      <c r="E246">
        <f>IF(OR(A246="",B246=""),"",B246-A246)</f>
        <v/>
      </c>
      <c r="F246" s="55" t="n"/>
    </row>
    <row r="247">
      <c r="A247" s="54" t="n"/>
      <c r="B247" s="54" t="n"/>
      <c r="C247" s="55" t="n"/>
      <c r="D247" s="55" t="n"/>
      <c r="E247">
        <f>IF(OR(A247="",B247=""),"",B247-A247)</f>
        <v/>
      </c>
      <c r="F247" s="55" t="n"/>
    </row>
    <row r="248">
      <c r="A248" s="54" t="n"/>
      <c r="B248" s="54" t="n"/>
      <c r="C248" s="55" t="n"/>
      <c r="D248" s="55" t="n"/>
      <c r="E248">
        <f>IF(OR(A248="",B248=""),"",B248-A248)</f>
        <v/>
      </c>
      <c r="F248" s="55" t="n"/>
    </row>
    <row r="249">
      <c r="A249" s="54" t="n"/>
      <c r="B249" s="54" t="n"/>
      <c r="C249" s="55" t="n"/>
      <c r="D249" s="55" t="n"/>
      <c r="E249">
        <f>IF(OR(A249="",B249=""),"",B249-A249)</f>
        <v/>
      </c>
      <c r="F249" s="55" t="n"/>
    </row>
    <row r="250">
      <c r="A250" s="54" t="n"/>
      <c r="B250" s="54" t="n"/>
      <c r="C250" s="55" t="n"/>
      <c r="D250" s="55" t="n"/>
      <c r="E250">
        <f>IF(OR(A250="",B250=""),"",B250-A250)</f>
        <v/>
      </c>
      <c r="F250" s="55" t="n"/>
    </row>
    <row r="251">
      <c r="A251" s="54" t="n"/>
      <c r="B251" s="54" t="n"/>
      <c r="C251" s="55" t="n"/>
      <c r="D251" s="55" t="n"/>
      <c r="E251">
        <f>IF(OR(A251="",B251=""),"",B251-A251)</f>
        <v/>
      </c>
      <c r="F251" s="55" t="n"/>
    </row>
    <row r="252">
      <c r="A252" s="54" t="n"/>
      <c r="B252" s="54" t="n"/>
      <c r="C252" s="55" t="n"/>
      <c r="D252" s="55" t="n"/>
      <c r="E252">
        <f>IF(OR(A252="",B252=""),"",B252-A252)</f>
        <v/>
      </c>
      <c r="F252" s="55" t="n"/>
    </row>
    <row r="253">
      <c r="A253" s="54" t="n"/>
      <c r="B253" s="54" t="n"/>
      <c r="C253" s="55" t="n"/>
      <c r="D253" s="55" t="n"/>
      <c r="E253">
        <f>IF(OR(A253="",B253=""),"",B253-A253)</f>
        <v/>
      </c>
      <c r="F253" s="55" t="n"/>
    </row>
    <row r="254">
      <c r="A254" s="54" t="n"/>
      <c r="B254" s="54" t="n"/>
      <c r="C254" s="55" t="n"/>
      <c r="D254" s="55" t="n"/>
      <c r="E254">
        <f>IF(OR(A254="",B254=""),"",B254-A254)</f>
        <v/>
      </c>
      <c r="F254" s="55" t="n"/>
    </row>
    <row r="255">
      <c r="A255" s="54" t="n"/>
      <c r="B255" s="54" t="n"/>
      <c r="C255" s="55" t="n"/>
      <c r="D255" s="55" t="n"/>
      <c r="E255">
        <f>IF(OR(A255="",B255=""),"",B255-A255)</f>
        <v/>
      </c>
      <c r="F255" s="55" t="n"/>
    </row>
    <row r="256">
      <c r="A256" s="54" t="n"/>
      <c r="B256" s="54" t="n"/>
      <c r="C256" s="55" t="n"/>
      <c r="D256" s="55" t="n"/>
      <c r="E256">
        <f>IF(OR(A256="",B256=""),"",B256-A256)</f>
        <v/>
      </c>
      <c r="F256" s="55" t="n"/>
    </row>
    <row r="257">
      <c r="A257" s="54" t="n"/>
      <c r="B257" s="54" t="n"/>
      <c r="C257" s="55" t="n"/>
      <c r="D257" s="55" t="n"/>
      <c r="E257">
        <f>IF(OR(A257="",B257=""),"",B257-A257)</f>
        <v/>
      </c>
      <c r="F257" s="55" t="n"/>
    </row>
    <row r="258">
      <c r="A258" s="54" t="n"/>
      <c r="B258" s="54" t="n"/>
      <c r="C258" s="55" t="n"/>
      <c r="D258" s="55" t="n"/>
      <c r="E258">
        <f>IF(OR(A258="",B258=""),"",B258-A258)</f>
        <v/>
      </c>
      <c r="F258" s="55" t="n"/>
    </row>
    <row r="259">
      <c r="A259" s="54" t="n"/>
      <c r="B259" s="54" t="n"/>
      <c r="C259" s="55" t="n"/>
      <c r="D259" s="55" t="n"/>
      <c r="E259">
        <f>IF(OR(A259="",B259=""),"",B259-A259)</f>
        <v/>
      </c>
      <c r="F259" s="55" t="n"/>
    </row>
    <row r="260">
      <c r="A260" s="54" t="n"/>
      <c r="B260" s="54" t="n"/>
      <c r="C260" s="55" t="n"/>
      <c r="D260" s="55" t="n"/>
      <c r="E260">
        <f>IF(OR(A260="",B260=""),"",B260-A260)</f>
        <v/>
      </c>
      <c r="F260" s="55" t="n"/>
    </row>
    <row r="261">
      <c r="A261" s="54" t="n"/>
      <c r="B261" s="54" t="n"/>
      <c r="C261" s="55" t="n"/>
      <c r="D261" s="55" t="n"/>
      <c r="E261">
        <f>IF(OR(A261="",B261=""),"",B261-A261)</f>
        <v/>
      </c>
      <c r="F261" s="55" t="n"/>
    </row>
    <row r="262">
      <c r="A262" s="54" t="n"/>
      <c r="B262" s="54" t="n"/>
      <c r="C262" s="55" t="n"/>
      <c r="D262" s="55" t="n"/>
      <c r="E262">
        <f>IF(OR(A262="",B262=""),"",B262-A262)</f>
        <v/>
      </c>
      <c r="F262" s="55" t="n"/>
    </row>
    <row r="263">
      <c r="A263" s="54" t="n"/>
      <c r="B263" s="54" t="n"/>
      <c r="C263" s="55" t="n"/>
      <c r="D263" s="55" t="n"/>
      <c r="E263">
        <f>IF(OR(A263="",B263=""),"",B263-A263)</f>
        <v/>
      </c>
      <c r="F263" s="55" t="n"/>
    </row>
    <row r="264">
      <c r="A264" s="54" t="n"/>
      <c r="B264" s="54" t="n"/>
      <c r="C264" s="55" t="n"/>
      <c r="D264" s="55" t="n"/>
      <c r="E264">
        <f>IF(OR(A264="",B264=""),"",B264-A264)</f>
        <v/>
      </c>
      <c r="F264" s="55" t="n"/>
    </row>
    <row r="265">
      <c r="A265" s="54" t="n"/>
      <c r="B265" s="54" t="n"/>
      <c r="C265" s="55" t="n"/>
      <c r="D265" s="55" t="n"/>
      <c r="E265">
        <f>IF(OR(A265="",B265=""),"",B265-A265)</f>
        <v/>
      </c>
      <c r="F265" s="55" t="n"/>
    </row>
    <row r="266">
      <c r="A266" s="54" t="n"/>
      <c r="B266" s="54" t="n"/>
      <c r="C266" s="55" t="n"/>
      <c r="D266" s="55" t="n"/>
      <c r="E266">
        <f>IF(OR(A266="",B266=""),"",B266-A266)</f>
        <v/>
      </c>
      <c r="F266" s="55" t="n"/>
    </row>
    <row r="267">
      <c r="A267" s="54" t="n"/>
      <c r="B267" s="54" t="n"/>
      <c r="C267" s="55" t="n"/>
      <c r="D267" s="55" t="n"/>
      <c r="E267">
        <f>IF(OR(A267="",B267=""),"",B267-A267)</f>
        <v/>
      </c>
      <c r="F267" s="55" t="n"/>
    </row>
    <row r="268">
      <c r="A268" s="54" t="n"/>
      <c r="B268" s="54" t="n"/>
      <c r="C268" s="55" t="n"/>
      <c r="D268" s="55" t="n"/>
      <c r="E268">
        <f>IF(OR(A268="",B268=""),"",B268-A268)</f>
        <v/>
      </c>
      <c r="F268" s="55" t="n"/>
    </row>
    <row r="269">
      <c r="A269" s="54" t="n"/>
      <c r="B269" s="54" t="n"/>
      <c r="C269" s="55" t="n"/>
      <c r="D269" s="55" t="n"/>
      <c r="E269">
        <f>IF(OR(A269="",B269=""),"",B269-A269)</f>
        <v/>
      </c>
      <c r="F269" s="55" t="n"/>
    </row>
    <row r="270">
      <c r="A270" s="54" t="n"/>
      <c r="B270" s="54" t="n"/>
      <c r="C270" s="55" t="n"/>
      <c r="D270" s="55" t="n"/>
      <c r="E270">
        <f>IF(OR(A270="",B270=""),"",B270-A270)</f>
        <v/>
      </c>
      <c r="F270" s="55" t="n"/>
    </row>
    <row r="271">
      <c r="A271" s="54" t="n"/>
      <c r="B271" s="54" t="n"/>
      <c r="C271" s="55" t="n"/>
      <c r="D271" s="55" t="n"/>
      <c r="E271">
        <f>IF(OR(A271="",B271=""),"",B271-A271)</f>
        <v/>
      </c>
      <c r="F271" s="55" t="n"/>
    </row>
    <row r="272">
      <c r="A272" s="54" t="n"/>
      <c r="B272" s="54" t="n"/>
      <c r="C272" s="55" t="n"/>
      <c r="D272" s="55" t="n"/>
      <c r="E272">
        <f>IF(OR(A272="",B272=""),"",B272-A272)</f>
        <v/>
      </c>
      <c r="F272" s="55" t="n"/>
    </row>
    <row r="273">
      <c r="A273" s="54" t="n"/>
      <c r="B273" s="54" t="n"/>
      <c r="C273" s="55" t="n"/>
      <c r="D273" s="55" t="n"/>
      <c r="E273">
        <f>IF(OR(A273="",B273=""),"",B273-A273)</f>
        <v/>
      </c>
      <c r="F273" s="55" t="n"/>
    </row>
    <row r="274">
      <c r="A274" s="54" t="n"/>
      <c r="B274" s="54" t="n"/>
      <c r="C274" s="55" t="n"/>
      <c r="D274" s="55" t="n"/>
      <c r="E274">
        <f>IF(OR(A274="",B274=""),"",B274-A274)</f>
        <v/>
      </c>
      <c r="F274" s="55" t="n"/>
    </row>
    <row r="275">
      <c r="A275" s="54" t="n"/>
      <c r="B275" s="54" t="n"/>
      <c r="C275" s="55" t="n"/>
      <c r="D275" s="55" t="n"/>
      <c r="E275">
        <f>IF(OR(A275="",B275=""),"",B275-A275)</f>
        <v/>
      </c>
      <c r="F275" s="55" t="n"/>
    </row>
    <row r="276">
      <c r="A276" s="54" t="n"/>
      <c r="B276" s="54" t="n"/>
      <c r="C276" s="55" t="n"/>
      <c r="D276" s="55" t="n"/>
      <c r="E276">
        <f>IF(OR(A276="",B276=""),"",B276-A276)</f>
        <v/>
      </c>
      <c r="F276" s="55" t="n"/>
    </row>
    <row r="277">
      <c r="A277" s="54" t="n"/>
      <c r="B277" s="54" t="n"/>
      <c r="C277" s="55" t="n"/>
      <c r="D277" s="55" t="n"/>
      <c r="E277">
        <f>IF(OR(A277="",B277=""),"",B277-A277)</f>
        <v/>
      </c>
      <c r="F277" s="55" t="n"/>
    </row>
    <row r="278">
      <c r="A278" s="54" t="n"/>
      <c r="B278" s="54" t="n"/>
      <c r="C278" s="55" t="n"/>
      <c r="D278" s="55" t="n"/>
      <c r="E278">
        <f>IF(OR(A278="",B278=""),"",B278-A278)</f>
        <v/>
      </c>
      <c r="F278" s="55" t="n"/>
    </row>
    <row r="279">
      <c r="A279" s="54" t="n"/>
      <c r="B279" s="54" t="n"/>
      <c r="C279" s="55" t="n"/>
      <c r="D279" s="55" t="n"/>
      <c r="E279">
        <f>IF(OR(A279="",B279=""),"",B279-A279)</f>
        <v/>
      </c>
      <c r="F279" s="55" t="n"/>
    </row>
    <row r="280">
      <c r="A280" s="54" t="n"/>
      <c r="B280" s="54" t="n"/>
      <c r="C280" s="55" t="n"/>
      <c r="D280" s="55" t="n"/>
      <c r="E280">
        <f>IF(OR(A280="",B280=""),"",B280-A280)</f>
        <v/>
      </c>
      <c r="F280" s="55" t="n"/>
    </row>
    <row r="281">
      <c r="A281" s="54" t="n"/>
      <c r="B281" s="54" t="n"/>
      <c r="C281" s="55" t="n"/>
      <c r="D281" s="55" t="n"/>
      <c r="E281">
        <f>IF(OR(A281="",B281=""),"",B281-A281)</f>
        <v/>
      </c>
      <c r="F281" s="55" t="n"/>
    </row>
    <row r="282">
      <c r="A282" s="54" t="n"/>
      <c r="B282" s="54" t="n"/>
      <c r="C282" s="55" t="n"/>
      <c r="D282" s="55" t="n"/>
      <c r="E282">
        <f>IF(OR(A282="",B282=""),"",B282-A282)</f>
        <v/>
      </c>
      <c r="F282" s="55" t="n"/>
    </row>
    <row r="283">
      <c r="A283" s="54" t="n"/>
      <c r="B283" s="54" t="n"/>
      <c r="C283" s="55" t="n"/>
      <c r="D283" s="55" t="n"/>
      <c r="E283">
        <f>IF(OR(A283="",B283=""),"",B283-A283)</f>
        <v/>
      </c>
      <c r="F283" s="55" t="n"/>
    </row>
    <row r="284">
      <c r="A284" s="54" t="n"/>
      <c r="B284" s="54" t="n"/>
      <c r="C284" s="55" t="n"/>
      <c r="D284" s="55" t="n"/>
      <c r="E284">
        <f>IF(OR(A284="",B284=""),"",B284-A284)</f>
        <v/>
      </c>
      <c r="F284" s="55" t="n"/>
    </row>
    <row r="285">
      <c r="A285" s="54" t="n"/>
      <c r="B285" s="54" t="n"/>
      <c r="C285" s="55" t="n"/>
      <c r="D285" s="55" t="n"/>
      <c r="E285">
        <f>IF(OR(A285="",B285=""),"",B285-A285)</f>
        <v/>
      </c>
      <c r="F285" s="55" t="n"/>
    </row>
    <row r="286">
      <c r="A286" s="54" t="n"/>
      <c r="B286" s="54" t="n"/>
      <c r="C286" s="55" t="n"/>
      <c r="D286" s="55" t="n"/>
      <c r="E286">
        <f>IF(OR(A286="",B286=""),"",B286-A286)</f>
        <v/>
      </c>
      <c r="F286" s="55" t="n"/>
    </row>
    <row r="287">
      <c r="A287" s="54" t="n"/>
      <c r="B287" s="54" t="n"/>
      <c r="C287" s="55" t="n"/>
      <c r="D287" s="55" t="n"/>
      <c r="E287">
        <f>IF(OR(A287="",B287=""),"",B287-A287)</f>
        <v/>
      </c>
      <c r="F287" s="55" t="n"/>
    </row>
    <row r="288">
      <c r="A288" s="54" t="n"/>
      <c r="B288" s="54" t="n"/>
      <c r="C288" s="55" t="n"/>
      <c r="D288" s="55" t="n"/>
      <c r="E288">
        <f>IF(OR(A288="",B288=""),"",B288-A288)</f>
        <v/>
      </c>
      <c r="F288" s="55" t="n"/>
    </row>
    <row r="289">
      <c r="A289" s="54" t="n"/>
      <c r="B289" s="54" t="n"/>
      <c r="C289" s="55" t="n"/>
      <c r="D289" s="55" t="n"/>
      <c r="E289">
        <f>IF(OR(A289="",B289=""),"",B289-A289)</f>
        <v/>
      </c>
      <c r="F289" s="55" t="n"/>
    </row>
    <row r="290">
      <c r="A290" s="54" t="n"/>
      <c r="B290" s="54" t="n"/>
      <c r="C290" s="55" t="n"/>
      <c r="D290" s="55" t="n"/>
      <c r="E290">
        <f>IF(OR(A290="",B290=""),"",B290-A290)</f>
        <v/>
      </c>
      <c r="F290" s="55" t="n"/>
    </row>
    <row r="291">
      <c r="A291" s="54" t="n"/>
      <c r="B291" s="54" t="n"/>
      <c r="C291" s="55" t="n"/>
      <c r="D291" s="55" t="n"/>
      <c r="E291">
        <f>IF(OR(A291="",B291=""),"",B291-A291)</f>
        <v/>
      </c>
      <c r="F291" s="55" t="n"/>
    </row>
    <row r="292">
      <c r="A292" s="54" t="n"/>
      <c r="B292" s="54" t="n"/>
      <c r="C292" s="55" t="n"/>
      <c r="D292" s="55" t="n"/>
      <c r="E292">
        <f>IF(OR(A292="",B292=""),"",B292-A292)</f>
        <v/>
      </c>
      <c r="F292" s="55" t="n"/>
    </row>
    <row r="293">
      <c r="A293" s="54" t="n"/>
      <c r="B293" s="54" t="n"/>
      <c r="C293" s="55" t="n"/>
      <c r="D293" s="55" t="n"/>
      <c r="E293">
        <f>IF(OR(A293="",B293=""),"",B293-A293)</f>
        <v/>
      </c>
      <c r="F293" s="55" t="n"/>
    </row>
    <row r="294">
      <c r="A294" s="54" t="n"/>
      <c r="B294" s="54" t="n"/>
      <c r="C294" s="55" t="n"/>
      <c r="D294" s="55" t="n"/>
      <c r="E294">
        <f>IF(OR(A294="",B294=""),"",B294-A294)</f>
        <v/>
      </c>
      <c r="F294" s="55" t="n"/>
    </row>
    <row r="295">
      <c r="A295" s="54" t="n"/>
      <c r="B295" s="54" t="n"/>
      <c r="C295" s="55" t="n"/>
      <c r="D295" s="55" t="n"/>
      <c r="E295">
        <f>IF(OR(A295="",B295=""),"",B295-A295)</f>
        <v/>
      </c>
      <c r="F295" s="55" t="n"/>
    </row>
    <row r="296">
      <c r="A296" s="54" t="n"/>
      <c r="B296" s="54" t="n"/>
      <c r="C296" s="55" t="n"/>
      <c r="D296" s="55" t="n"/>
      <c r="E296">
        <f>IF(OR(A296="",B296=""),"",B296-A296)</f>
        <v/>
      </c>
      <c r="F296" s="55" t="n"/>
    </row>
    <row r="297">
      <c r="A297" s="54" t="n"/>
      <c r="B297" s="54" t="n"/>
      <c r="C297" s="55" t="n"/>
      <c r="D297" s="55" t="n"/>
      <c r="E297">
        <f>IF(OR(A297="",B297=""),"",B297-A297)</f>
        <v/>
      </c>
      <c r="F297" s="55" t="n"/>
    </row>
    <row r="298">
      <c r="A298" s="54" t="n"/>
      <c r="B298" s="54" t="n"/>
      <c r="C298" s="55" t="n"/>
      <c r="D298" s="55" t="n"/>
      <c r="E298">
        <f>IF(OR(A298="",B298=""),"",B298-A298)</f>
        <v/>
      </c>
      <c r="F298" s="55" t="n"/>
    </row>
    <row r="299">
      <c r="A299" s="54" t="n"/>
      <c r="B299" s="54" t="n"/>
      <c r="C299" s="55" t="n"/>
      <c r="D299" s="55" t="n"/>
      <c r="E299">
        <f>IF(OR(A299="",B299=""),"",B299-A299)</f>
        <v/>
      </c>
      <c r="F299" s="55" t="n"/>
    </row>
    <row r="300">
      <c r="A300" s="54" t="n"/>
      <c r="B300" s="54" t="n"/>
      <c r="C300" s="55" t="n"/>
      <c r="D300" s="55" t="n"/>
      <c r="E300">
        <f>IF(OR(A300="",B300=""),"",B300-A300)</f>
        <v/>
      </c>
      <c r="F300" s="55" t="n"/>
    </row>
    <row r="301">
      <c r="A301" s="54" t="n"/>
      <c r="B301" s="54" t="n"/>
      <c r="C301" s="55" t="n"/>
      <c r="D301" s="55" t="n"/>
      <c r="E301">
        <f>IF(OR(A301="",B301=""),"",B301-A301)</f>
        <v/>
      </c>
      <c r="F301" s="55" t="n"/>
    </row>
    <row r="302">
      <c r="A302" s="54" t="n"/>
      <c r="B302" s="54" t="n"/>
      <c r="C302" s="55" t="n"/>
      <c r="D302" s="55" t="n"/>
      <c r="E302">
        <f>IF(OR(A302="",B302=""),"",B302-A302)</f>
        <v/>
      </c>
      <c r="F302" s="55" t="n"/>
    </row>
    <row r="303">
      <c r="A303" s="54" t="n"/>
      <c r="B303" s="54" t="n"/>
      <c r="C303" s="55" t="n"/>
      <c r="D303" s="55" t="n"/>
      <c r="E303">
        <f>IF(OR(A303="",B303=""),"",B303-A303)</f>
        <v/>
      </c>
      <c r="F303" s="55" t="n"/>
    </row>
    <row r="304">
      <c r="A304" s="54" t="n"/>
      <c r="B304" s="54" t="n"/>
      <c r="C304" s="55" t="n"/>
      <c r="D304" s="55" t="n"/>
      <c r="E304">
        <f>IF(OR(A304="",B304=""),"",B304-A304)</f>
        <v/>
      </c>
      <c r="F304" s="55" t="n"/>
    </row>
    <row r="305">
      <c r="A305" s="54" t="n"/>
      <c r="B305" s="54" t="n"/>
      <c r="C305" s="55" t="n"/>
      <c r="D305" s="55" t="n"/>
      <c r="E305">
        <f>IF(OR(A305="",B305=""),"",B305-A305)</f>
        <v/>
      </c>
      <c r="F305" s="55" t="n"/>
    </row>
    <row r="306">
      <c r="A306" s="54" t="n"/>
      <c r="B306" s="54" t="n"/>
      <c r="C306" s="55" t="n"/>
      <c r="D306" s="55" t="n"/>
      <c r="E306">
        <f>IF(OR(A306="",B306=""),"",B306-A306)</f>
        <v/>
      </c>
      <c r="F306" s="55" t="n"/>
    </row>
    <row r="307">
      <c r="A307" s="54" t="n"/>
      <c r="B307" s="54" t="n"/>
      <c r="C307" s="55" t="n"/>
      <c r="D307" s="55" t="n"/>
      <c r="E307">
        <f>IF(OR(A307="",B307=""),"",B307-A307)</f>
        <v/>
      </c>
      <c r="F307" s="55" t="n"/>
    </row>
    <row r="308">
      <c r="A308" s="54" t="n"/>
      <c r="B308" s="54" t="n"/>
      <c r="C308" s="55" t="n"/>
      <c r="D308" s="55" t="n"/>
      <c r="E308">
        <f>IF(OR(A308="",B308=""),"",B308-A308)</f>
        <v/>
      </c>
      <c r="F308" s="55" t="n"/>
    </row>
    <row r="309">
      <c r="A309" s="54" t="n"/>
      <c r="B309" s="54" t="n"/>
      <c r="C309" s="55" t="n"/>
      <c r="D309" s="55" t="n"/>
      <c r="E309">
        <f>IF(OR(A309="",B309=""),"",B309-A309)</f>
        <v/>
      </c>
      <c r="F309" s="55" t="n"/>
    </row>
    <row r="310">
      <c r="A310" s="54" t="n"/>
      <c r="B310" s="54" t="n"/>
      <c r="C310" s="55" t="n"/>
      <c r="D310" s="55" t="n"/>
      <c r="E310">
        <f>IF(OR(A310="",B310=""),"",B310-A310)</f>
        <v/>
      </c>
      <c r="F310" s="55" t="n"/>
    </row>
    <row r="311">
      <c r="A311" s="54" t="n"/>
      <c r="B311" s="54" t="n"/>
      <c r="C311" s="55" t="n"/>
      <c r="D311" s="55" t="n"/>
      <c r="E311">
        <f>IF(OR(A311="",B311=""),"",B311-A311)</f>
        <v/>
      </c>
      <c r="F311" s="55" t="n"/>
    </row>
    <row r="312">
      <c r="A312" s="54" t="n"/>
      <c r="B312" s="54" t="n"/>
      <c r="C312" s="55" t="n"/>
      <c r="D312" s="55" t="n"/>
      <c r="E312">
        <f>IF(OR(A312="",B312=""),"",B312-A312)</f>
        <v/>
      </c>
      <c r="F312" s="55" t="n"/>
    </row>
    <row r="313">
      <c r="A313" s="54" t="n"/>
      <c r="B313" s="54" t="n"/>
      <c r="C313" s="55" t="n"/>
      <c r="D313" s="55" t="n"/>
      <c r="E313">
        <f>IF(OR(A313="",B313=""),"",B313-A313)</f>
        <v/>
      </c>
      <c r="F313" s="55" t="n"/>
    </row>
    <row r="314">
      <c r="A314" s="54" t="n"/>
      <c r="B314" s="54" t="n"/>
      <c r="C314" s="55" t="n"/>
      <c r="D314" s="55" t="n"/>
      <c r="E314">
        <f>IF(OR(A314="",B314=""),"",B314-A314)</f>
        <v/>
      </c>
      <c r="F314" s="55" t="n"/>
    </row>
    <row r="315">
      <c r="A315" s="54" t="n"/>
      <c r="B315" s="54" t="n"/>
      <c r="C315" s="55" t="n"/>
      <c r="D315" s="55" t="n"/>
      <c r="E315">
        <f>IF(OR(A315="",B315=""),"",B315-A315)</f>
        <v/>
      </c>
      <c r="F315" s="55" t="n"/>
    </row>
    <row r="316">
      <c r="A316" s="54" t="n"/>
      <c r="B316" s="54" t="n"/>
      <c r="C316" s="55" t="n"/>
      <c r="D316" s="55" t="n"/>
      <c r="E316">
        <f>IF(OR(A316="",B316=""),"",B316-A316)</f>
        <v/>
      </c>
      <c r="F316" s="55" t="n"/>
    </row>
    <row r="317">
      <c r="A317" s="54" t="n"/>
      <c r="B317" s="54" t="n"/>
      <c r="C317" s="55" t="n"/>
      <c r="D317" s="55" t="n"/>
      <c r="E317">
        <f>IF(OR(A317="",B317=""),"",B317-A317)</f>
        <v/>
      </c>
      <c r="F317" s="55" t="n"/>
    </row>
    <row r="318">
      <c r="A318" s="54" t="n"/>
      <c r="B318" s="54" t="n"/>
      <c r="C318" s="55" t="n"/>
      <c r="D318" s="55" t="n"/>
      <c r="E318">
        <f>IF(OR(A318="",B318=""),"",B318-A318)</f>
        <v/>
      </c>
      <c r="F318" s="55" t="n"/>
    </row>
    <row r="319">
      <c r="A319" s="54" t="n"/>
      <c r="B319" s="54" t="n"/>
      <c r="C319" s="55" t="n"/>
      <c r="D319" s="55" t="n"/>
      <c r="E319">
        <f>IF(OR(A319="",B319=""),"",B319-A319)</f>
        <v/>
      </c>
      <c r="F319" s="55" t="n"/>
    </row>
    <row r="320">
      <c r="A320" s="54" t="n"/>
      <c r="B320" s="54" t="n"/>
      <c r="C320" s="55" t="n"/>
      <c r="D320" s="55" t="n"/>
      <c r="E320">
        <f>IF(OR(A320="",B320=""),"",B320-A320)</f>
        <v/>
      </c>
      <c r="F320" s="55" t="n"/>
    </row>
    <row r="321">
      <c r="A321" s="54" t="n"/>
      <c r="B321" s="54" t="n"/>
      <c r="C321" s="55" t="n"/>
      <c r="D321" s="55" t="n"/>
      <c r="E321">
        <f>IF(OR(A321="",B321=""),"",B321-A321)</f>
        <v/>
      </c>
      <c r="F321" s="55" t="n"/>
    </row>
    <row r="322">
      <c r="A322" s="54" t="n"/>
      <c r="B322" s="54" t="n"/>
      <c r="C322" s="55" t="n"/>
      <c r="D322" s="55" t="n"/>
      <c r="E322">
        <f>IF(OR(A322="",B322=""),"",B322-A322)</f>
        <v/>
      </c>
      <c r="F322" s="55" t="n"/>
    </row>
    <row r="323">
      <c r="A323" s="54" t="n"/>
      <c r="B323" s="54" t="n"/>
      <c r="C323" s="55" t="n"/>
      <c r="D323" s="55" t="n"/>
      <c r="E323">
        <f>IF(OR(A323="",B323=""),"",B323-A323)</f>
        <v/>
      </c>
      <c r="F323" s="55" t="n"/>
    </row>
    <row r="324">
      <c r="A324" s="54" t="n"/>
      <c r="B324" s="54" t="n"/>
      <c r="C324" s="55" t="n"/>
      <c r="D324" s="55" t="n"/>
      <c r="E324">
        <f>IF(OR(A324="",B324=""),"",B324-A324)</f>
        <v/>
      </c>
      <c r="F324" s="55" t="n"/>
    </row>
    <row r="325">
      <c r="A325" s="54" t="n"/>
      <c r="B325" s="54" t="n"/>
      <c r="C325" s="55" t="n"/>
      <c r="D325" s="55" t="n"/>
      <c r="E325">
        <f>IF(OR(A325="",B325=""),"",B325-A325)</f>
        <v/>
      </c>
      <c r="F325" s="55" t="n"/>
    </row>
    <row r="326">
      <c r="A326" s="54" t="n"/>
      <c r="B326" s="54" t="n"/>
      <c r="C326" s="55" t="n"/>
      <c r="D326" s="55" t="n"/>
      <c r="E326">
        <f>IF(OR(A326="",B326=""),"",B326-A326)</f>
        <v/>
      </c>
      <c r="F326" s="55" t="n"/>
    </row>
    <row r="327">
      <c r="A327" s="54" t="n"/>
      <c r="B327" s="54" t="n"/>
      <c r="C327" s="55" t="n"/>
      <c r="D327" s="55" t="n"/>
      <c r="E327">
        <f>IF(OR(A327="",B327=""),"",B327-A327)</f>
        <v/>
      </c>
      <c r="F327" s="55" t="n"/>
    </row>
    <row r="328">
      <c r="A328" s="54" t="n"/>
      <c r="B328" s="54" t="n"/>
      <c r="C328" s="55" t="n"/>
      <c r="D328" s="55" t="n"/>
      <c r="E328">
        <f>IF(OR(A328="",B328=""),"",B328-A328)</f>
        <v/>
      </c>
      <c r="F328" s="55" t="n"/>
    </row>
    <row r="329">
      <c r="A329" s="54" t="n"/>
      <c r="B329" s="54" t="n"/>
      <c r="C329" s="55" t="n"/>
      <c r="D329" s="55" t="n"/>
      <c r="E329">
        <f>IF(OR(A329="",B329=""),"",B329-A329)</f>
        <v/>
      </c>
      <c r="F329" s="55" t="n"/>
    </row>
    <row r="330">
      <c r="A330" s="54" t="n"/>
      <c r="B330" s="54" t="n"/>
      <c r="C330" s="55" t="n"/>
      <c r="D330" s="55" t="n"/>
      <c r="E330">
        <f>IF(OR(A330="",B330=""),"",B330-A330)</f>
        <v/>
      </c>
      <c r="F330" s="55" t="n"/>
    </row>
    <row r="331">
      <c r="A331" s="54" t="n"/>
      <c r="B331" s="54" t="n"/>
      <c r="C331" s="55" t="n"/>
      <c r="D331" s="55" t="n"/>
      <c r="E331">
        <f>IF(OR(A331="",B331=""),"",B331-A331)</f>
        <v/>
      </c>
      <c r="F331" s="55" t="n"/>
    </row>
    <row r="332">
      <c r="A332" s="54" t="n"/>
      <c r="B332" s="54" t="n"/>
      <c r="C332" s="55" t="n"/>
      <c r="D332" s="55" t="n"/>
      <c r="E332">
        <f>IF(OR(A332="",B332=""),"",B332-A332)</f>
        <v/>
      </c>
      <c r="F332" s="55" t="n"/>
    </row>
    <row r="333">
      <c r="A333" s="54" t="n"/>
      <c r="B333" s="54" t="n"/>
      <c r="C333" s="55" t="n"/>
      <c r="D333" s="55" t="n"/>
      <c r="E333">
        <f>IF(OR(A333="",B333=""),"",B333-A333)</f>
        <v/>
      </c>
      <c r="F333" s="55" t="n"/>
    </row>
    <row r="334">
      <c r="A334" s="54" t="n"/>
      <c r="B334" s="54" t="n"/>
      <c r="C334" s="55" t="n"/>
      <c r="D334" s="55" t="n"/>
      <c r="E334">
        <f>IF(OR(A334="",B334=""),"",B334-A334)</f>
        <v/>
      </c>
      <c r="F334" s="55" t="n"/>
    </row>
    <row r="335">
      <c r="A335" s="54" t="n"/>
      <c r="B335" s="54" t="n"/>
      <c r="C335" s="55" t="n"/>
      <c r="D335" s="55" t="n"/>
      <c r="E335">
        <f>IF(OR(A335="",B335=""),"",B335-A335)</f>
        <v/>
      </c>
      <c r="F335" s="55" t="n"/>
    </row>
    <row r="336">
      <c r="A336" s="54" t="n"/>
      <c r="B336" s="54" t="n"/>
      <c r="C336" s="55" t="n"/>
      <c r="D336" s="55" t="n"/>
      <c r="E336">
        <f>IF(OR(A336="",B336=""),"",B336-A336)</f>
        <v/>
      </c>
      <c r="F336" s="55" t="n"/>
    </row>
    <row r="337">
      <c r="A337" s="54" t="n"/>
      <c r="B337" s="54" t="n"/>
      <c r="C337" s="55" t="n"/>
      <c r="D337" s="55" t="n"/>
      <c r="E337">
        <f>IF(OR(A337="",B337=""),"",B337-A337)</f>
        <v/>
      </c>
      <c r="F337" s="55" t="n"/>
    </row>
    <row r="338">
      <c r="A338" s="54" t="n"/>
      <c r="B338" s="54" t="n"/>
      <c r="C338" s="55" t="n"/>
      <c r="D338" s="55" t="n"/>
      <c r="E338">
        <f>IF(OR(A338="",B338=""),"",B338-A338)</f>
        <v/>
      </c>
      <c r="F338" s="55" t="n"/>
    </row>
    <row r="339">
      <c r="A339" s="54" t="n"/>
      <c r="B339" s="54" t="n"/>
      <c r="C339" s="55" t="n"/>
      <c r="D339" s="55" t="n"/>
      <c r="E339">
        <f>IF(OR(A339="",B339=""),"",B339-A339)</f>
        <v/>
      </c>
      <c r="F339" s="55" t="n"/>
    </row>
    <row r="340">
      <c r="A340" s="54" t="n"/>
      <c r="B340" s="54" t="n"/>
      <c r="C340" s="55" t="n"/>
      <c r="D340" s="55" t="n"/>
      <c r="E340">
        <f>IF(OR(A340="",B340=""),"",B340-A340)</f>
        <v/>
      </c>
      <c r="F340" s="55" t="n"/>
    </row>
    <row r="341">
      <c r="A341" s="54" t="n"/>
      <c r="B341" s="54" t="n"/>
      <c r="C341" s="55" t="n"/>
      <c r="D341" s="55" t="n"/>
      <c r="E341">
        <f>IF(OR(A341="",B341=""),"",B341-A341)</f>
        <v/>
      </c>
      <c r="F341" s="55" t="n"/>
    </row>
    <row r="342">
      <c r="A342" s="54" t="n"/>
      <c r="B342" s="54" t="n"/>
      <c r="C342" s="55" t="n"/>
      <c r="D342" s="55" t="n"/>
      <c r="E342">
        <f>IF(OR(A342="",B342=""),"",B342-A342)</f>
        <v/>
      </c>
      <c r="F342" s="55" t="n"/>
    </row>
    <row r="343">
      <c r="A343" s="54" t="n"/>
      <c r="B343" s="54" t="n"/>
      <c r="C343" s="55" t="n"/>
      <c r="D343" s="55" t="n"/>
      <c r="E343">
        <f>IF(OR(A343="",B343=""),"",B343-A343)</f>
        <v/>
      </c>
      <c r="F343" s="55" t="n"/>
    </row>
    <row r="344">
      <c r="A344" s="54" t="n"/>
      <c r="B344" s="54" t="n"/>
      <c r="C344" s="55" t="n"/>
      <c r="D344" s="55" t="n"/>
      <c r="E344">
        <f>IF(OR(A344="",B344=""),"",B344-A344)</f>
        <v/>
      </c>
      <c r="F344" s="55" t="n"/>
    </row>
    <row r="345">
      <c r="A345" s="54" t="n"/>
      <c r="B345" s="54" t="n"/>
      <c r="C345" s="55" t="n"/>
      <c r="D345" s="55" t="n"/>
      <c r="E345">
        <f>IF(OR(A345="",B345=""),"",B345-A345)</f>
        <v/>
      </c>
      <c r="F345" s="55" t="n"/>
    </row>
    <row r="346">
      <c r="A346" s="54" t="n"/>
      <c r="B346" s="54" t="n"/>
      <c r="C346" s="55" t="n"/>
      <c r="D346" s="55" t="n"/>
      <c r="E346">
        <f>IF(OR(A346="",B346=""),"",B346-A346)</f>
        <v/>
      </c>
      <c r="F346" s="55" t="n"/>
    </row>
    <row r="347">
      <c r="A347" s="54" t="n"/>
      <c r="B347" s="54" t="n"/>
      <c r="C347" s="55" t="n"/>
      <c r="D347" s="55" t="n"/>
      <c r="E347">
        <f>IF(OR(A347="",B347=""),"",B347-A347)</f>
        <v/>
      </c>
      <c r="F347" s="55" t="n"/>
    </row>
    <row r="348">
      <c r="A348" s="54" t="n"/>
      <c r="B348" s="54" t="n"/>
      <c r="C348" s="55" t="n"/>
      <c r="D348" s="55" t="n"/>
      <c r="E348">
        <f>IF(OR(A348="",B348=""),"",B348-A348)</f>
        <v/>
      </c>
      <c r="F348" s="55" t="n"/>
    </row>
    <row r="349">
      <c r="A349" s="54" t="n"/>
      <c r="B349" s="54" t="n"/>
      <c r="C349" s="55" t="n"/>
      <c r="D349" s="55" t="n"/>
      <c r="E349">
        <f>IF(OR(A349="",B349=""),"",B349-A349)</f>
        <v/>
      </c>
      <c r="F349" s="55" t="n"/>
    </row>
    <row r="350">
      <c r="A350" s="54" t="n"/>
      <c r="B350" s="54" t="n"/>
      <c r="C350" s="55" t="n"/>
      <c r="D350" s="55" t="n"/>
      <c r="E350">
        <f>IF(OR(A350="",B350=""),"",B350-A350)</f>
        <v/>
      </c>
      <c r="F350" s="55" t="n"/>
    </row>
    <row r="351">
      <c r="A351" s="54" t="n"/>
      <c r="B351" s="54" t="n"/>
      <c r="C351" s="55" t="n"/>
      <c r="D351" s="55" t="n"/>
      <c r="E351">
        <f>IF(OR(A351="",B351=""),"",B351-A351)</f>
        <v/>
      </c>
      <c r="F351" s="55" t="n"/>
    </row>
    <row r="352">
      <c r="A352" s="54" t="n"/>
      <c r="B352" s="54" t="n"/>
      <c r="C352" s="55" t="n"/>
      <c r="D352" s="55" t="n"/>
      <c r="E352">
        <f>IF(OR(A352="",B352=""),"",B352-A352)</f>
        <v/>
      </c>
      <c r="F352" s="55" t="n"/>
    </row>
    <row r="353">
      <c r="A353" s="54" t="n"/>
      <c r="B353" s="54" t="n"/>
      <c r="C353" s="55" t="n"/>
      <c r="D353" s="55" t="n"/>
      <c r="E353">
        <f>IF(OR(A353="",B353=""),"",B353-A353)</f>
        <v/>
      </c>
      <c r="F353" s="55" t="n"/>
    </row>
    <row r="354">
      <c r="A354" s="54" t="n"/>
      <c r="B354" s="54" t="n"/>
      <c r="C354" s="55" t="n"/>
      <c r="D354" s="55" t="n"/>
      <c r="E354">
        <f>IF(OR(A354="",B354=""),"",B354-A354)</f>
        <v/>
      </c>
      <c r="F354" s="55" t="n"/>
    </row>
    <row r="355">
      <c r="A355" s="54" t="n"/>
      <c r="B355" s="54" t="n"/>
      <c r="C355" s="55" t="n"/>
      <c r="D355" s="55" t="n"/>
      <c r="E355">
        <f>IF(OR(A355="",B355=""),"",B355-A355)</f>
        <v/>
      </c>
      <c r="F355" s="55" t="n"/>
    </row>
    <row r="356">
      <c r="A356" s="54" t="n"/>
      <c r="B356" s="54" t="n"/>
      <c r="C356" s="55" t="n"/>
      <c r="D356" s="55" t="n"/>
      <c r="E356">
        <f>IF(OR(A356="",B356=""),"",B356-A356)</f>
        <v/>
      </c>
      <c r="F356" s="55" t="n"/>
    </row>
    <row r="357">
      <c r="A357" s="54" t="n"/>
      <c r="B357" s="54" t="n"/>
      <c r="C357" s="55" t="n"/>
      <c r="D357" s="55" t="n"/>
      <c r="E357">
        <f>IF(OR(A357="",B357=""),"",B357-A357)</f>
        <v/>
      </c>
      <c r="F357" s="55" t="n"/>
    </row>
    <row r="358">
      <c r="A358" s="54" t="n"/>
      <c r="B358" s="54" t="n"/>
      <c r="C358" s="55" t="n"/>
      <c r="D358" s="55" t="n"/>
      <c r="E358">
        <f>IF(OR(A358="",B358=""),"",B358-A358)</f>
        <v/>
      </c>
      <c r="F358" s="55" t="n"/>
    </row>
    <row r="359">
      <c r="A359" s="54" t="n"/>
      <c r="B359" s="54" t="n"/>
      <c r="C359" s="55" t="n"/>
      <c r="D359" s="55" t="n"/>
      <c r="E359">
        <f>IF(OR(A359="",B359=""),"",B359-A359)</f>
        <v/>
      </c>
      <c r="F359" s="55" t="n"/>
    </row>
    <row r="360">
      <c r="A360" s="54" t="n"/>
      <c r="B360" s="54" t="n"/>
      <c r="C360" s="55" t="n"/>
      <c r="D360" s="55" t="n"/>
      <c r="E360">
        <f>IF(OR(A360="",B360=""),"",B360-A360)</f>
        <v/>
      </c>
      <c r="F360" s="55" t="n"/>
    </row>
    <row r="361">
      <c r="A361" s="54" t="n"/>
      <c r="B361" s="54" t="n"/>
      <c r="C361" s="55" t="n"/>
      <c r="D361" s="55" t="n"/>
      <c r="E361">
        <f>IF(OR(A361="",B361=""),"",B361-A361)</f>
        <v/>
      </c>
      <c r="F361" s="55" t="n"/>
    </row>
    <row r="362">
      <c r="A362" s="54" t="n"/>
      <c r="B362" s="54" t="n"/>
      <c r="C362" s="55" t="n"/>
      <c r="D362" s="55" t="n"/>
      <c r="E362">
        <f>IF(OR(A362="",B362=""),"",B362-A362)</f>
        <v/>
      </c>
      <c r="F362" s="55" t="n"/>
    </row>
    <row r="363">
      <c r="A363" s="54" t="n"/>
      <c r="B363" s="54" t="n"/>
      <c r="C363" s="55" t="n"/>
      <c r="D363" s="55" t="n"/>
      <c r="E363">
        <f>IF(OR(A363="",B363=""),"",B363-A363)</f>
        <v/>
      </c>
      <c r="F363" s="55" t="n"/>
    </row>
    <row r="364">
      <c r="A364" s="54" t="n"/>
      <c r="B364" s="54" t="n"/>
      <c r="C364" s="55" t="n"/>
      <c r="D364" s="55" t="n"/>
      <c r="E364">
        <f>IF(OR(A364="",B364=""),"",B364-A364)</f>
        <v/>
      </c>
      <c r="F364" s="55" t="n"/>
    </row>
    <row r="365">
      <c r="A365" s="54" t="n"/>
      <c r="B365" s="54" t="n"/>
      <c r="C365" s="55" t="n"/>
      <c r="D365" s="55" t="n"/>
      <c r="E365">
        <f>IF(OR(A365="",B365=""),"",B365-A365)</f>
        <v/>
      </c>
      <c r="F365" s="55" t="n"/>
    </row>
    <row r="366">
      <c r="A366" s="54" t="n"/>
      <c r="B366" s="54" t="n"/>
      <c r="C366" s="55" t="n"/>
      <c r="D366" s="55" t="n"/>
      <c r="E366">
        <f>IF(OR(A366="",B366=""),"",B366-A366)</f>
        <v/>
      </c>
      <c r="F366" s="55" t="n"/>
    </row>
    <row r="367">
      <c r="A367" s="54" t="n"/>
      <c r="B367" s="54" t="n"/>
      <c r="C367" s="55" t="n"/>
      <c r="D367" s="55" t="n"/>
      <c r="E367">
        <f>IF(OR(A367="",B367=""),"",B367-A367)</f>
        <v/>
      </c>
      <c r="F367" s="55" t="n"/>
    </row>
    <row r="368">
      <c r="A368" s="54" t="n"/>
      <c r="B368" s="54" t="n"/>
      <c r="C368" s="55" t="n"/>
      <c r="D368" s="55" t="n"/>
      <c r="E368">
        <f>IF(OR(A368="",B368=""),"",B368-A368)</f>
        <v/>
      </c>
      <c r="F368" s="55" t="n"/>
    </row>
    <row r="369">
      <c r="A369" s="54" t="n"/>
      <c r="B369" s="54" t="n"/>
      <c r="C369" s="55" t="n"/>
      <c r="D369" s="55" t="n"/>
      <c r="E369">
        <f>IF(OR(A369="",B369=""),"",B369-A369)</f>
        <v/>
      </c>
      <c r="F369" s="55" t="n"/>
    </row>
    <row r="370">
      <c r="A370" s="54" t="n"/>
      <c r="B370" s="54" t="n"/>
      <c r="C370" s="55" t="n"/>
      <c r="D370" s="55" t="n"/>
      <c r="E370">
        <f>IF(OR(A370="",B370=""),"",B370-A370)</f>
        <v/>
      </c>
      <c r="F370" s="55" t="n"/>
    </row>
    <row r="371">
      <c r="A371" s="54" t="n"/>
      <c r="B371" s="54" t="n"/>
      <c r="C371" s="55" t="n"/>
      <c r="D371" s="55" t="n"/>
      <c r="E371">
        <f>IF(OR(A371="",B371=""),"",B371-A371)</f>
        <v/>
      </c>
      <c r="F371" s="55" t="n"/>
    </row>
    <row r="372">
      <c r="A372" s="54" t="n"/>
      <c r="B372" s="54" t="n"/>
      <c r="C372" s="55" t="n"/>
      <c r="D372" s="55" t="n"/>
      <c r="E372">
        <f>IF(OR(A372="",B372=""),"",B372-A372)</f>
        <v/>
      </c>
      <c r="F372" s="55" t="n"/>
    </row>
    <row r="373">
      <c r="A373" s="54" t="n"/>
      <c r="B373" s="54" t="n"/>
      <c r="C373" s="55" t="n"/>
      <c r="D373" s="55" t="n"/>
      <c r="E373">
        <f>IF(OR(A373="",B373=""),"",B373-A373)</f>
        <v/>
      </c>
      <c r="F373" s="55" t="n"/>
    </row>
    <row r="374">
      <c r="A374" s="54" t="n"/>
      <c r="B374" s="54" t="n"/>
      <c r="C374" s="55" t="n"/>
      <c r="D374" s="55" t="n"/>
      <c r="E374">
        <f>IF(OR(A374="",B374=""),"",B374-A374)</f>
        <v/>
      </c>
      <c r="F374" s="55" t="n"/>
    </row>
    <row r="375">
      <c r="A375" s="54" t="n"/>
      <c r="B375" s="54" t="n"/>
      <c r="C375" s="55" t="n"/>
      <c r="D375" s="55" t="n"/>
      <c r="E375">
        <f>IF(OR(A375="",B375=""),"",B375-A375)</f>
        <v/>
      </c>
      <c r="F375" s="55" t="n"/>
    </row>
    <row r="376">
      <c r="A376" s="54" t="n"/>
      <c r="B376" s="54" t="n"/>
      <c r="C376" s="55" t="n"/>
      <c r="D376" s="55" t="n"/>
      <c r="E376">
        <f>IF(OR(A376="",B376=""),"",B376-A376)</f>
        <v/>
      </c>
      <c r="F376" s="55" t="n"/>
    </row>
    <row r="377">
      <c r="A377" s="54" t="n"/>
      <c r="B377" s="54" t="n"/>
      <c r="C377" s="55" t="n"/>
      <c r="D377" s="55" t="n"/>
      <c r="E377">
        <f>IF(OR(A377="",B377=""),"",B377-A377)</f>
        <v/>
      </c>
      <c r="F377" s="55" t="n"/>
    </row>
    <row r="378">
      <c r="A378" s="54" t="n"/>
      <c r="B378" s="54" t="n"/>
      <c r="C378" s="55" t="n"/>
      <c r="D378" s="55" t="n"/>
      <c r="E378">
        <f>IF(OR(A378="",B378=""),"",B378-A378)</f>
        <v/>
      </c>
      <c r="F378" s="55" t="n"/>
    </row>
    <row r="379">
      <c r="A379" s="54" t="n"/>
      <c r="B379" s="54" t="n"/>
      <c r="C379" s="55" t="n"/>
      <c r="D379" s="55" t="n"/>
      <c r="E379">
        <f>IF(OR(A379="",B379=""),"",B379-A379)</f>
        <v/>
      </c>
      <c r="F379" s="55" t="n"/>
    </row>
    <row r="380">
      <c r="A380" s="54" t="n"/>
      <c r="B380" s="54" t="n"/>
      <c r="C380" s="55" t="n"/>
      <c r="D380" s="55" t="n"/>
      <c r="E380">
        <f>IF(OR(A380="",B380=""),"",B380-A380)</f>
        <v/>
      </c>
      <c r="F380" s="55" t="n"/>
    </row>
    <row r="381">
      <c r="A381" s="54" t="n"/>
      <c r="B381" s="54" t="n"/>
      <c r="C381" s="55" t="n"/>
      <c r="D381" s="55" t="n"/>
      <c r="E381">
        <f>IF(OR(A381="",B381=""),"",B381-A381)</f>
        <v/>
      </c>
      <c r="F381" s="55" t="n"/>
    </row>
    <row r="382">
      <c r="A382" s="54" t="n"/>
      <c r="B382" s="54" t="n"/>
      <c r="C382" s="55" t="n"/>
      <c r="D382" s="55" t="n"/>
      <c r="E382">
        <f>IF(OR(A382="",B382=""),"",B382-A382)</f>
        <v/>
      </c>
      <c r="F382" s="55" t="n"/>
    </row>
    <row r="383">
      <c r="A383" s="54" t="n"/>
      <c r="B383" s="54" t="n"/>
      <c r="C383" s="55" t="n"/>
      <c r="D383" s="55" t="n"/>
      <c r="E383">
        <f>IF(OR(A383="",B383=""),"",B383-A383)</f>
        <v/>
      </c>
      <c r="F383" s="55" t="n"/>
    </row>
    <row r="384">
      <c r="A384" s="54" t="n"/>
      <c r="B384" s="54" t="n"/>
      <c r="C384" s="55" t="n"/>
      <c r="D384" s="55" t="n"/>
      <c r="E384">
        <f>IF(OR(A384="",B384=""),"",B384-A384)</f>
        <v/>
      </c>
      <c r="F384" s="55" t="n"/>
    </row>
    <row r="385">
      <c r="A385" s="54" t="n"/>
      <c r="B385" s="54" t="n"/>
      <c r="C385" s="55" t="n"/>
      <c r="D385" s="55" t="n"/>
      <c r="E385">
        <f>IF(OR(A385="",B385=""),"",B385-A385)</f>
        <v/>
      </c>
      <c r="F385" s="55" t="n"/>
    </row>
    <row r="386">
      <c r="A386" s="54" t="n"/>
      <c r="B386" s="54" t="n"/>
      <c r="C386" s="55" t="n"/>
      <c r="D386" s="55" t="n"/>
      <c r="E386">
        <f>IF(OR(A386="",B386=""),"",B386-A386)</f>
        <v/>
      </c>
      <c r="F386" s="55" t="n"/>
    </row>
    <row r="387">
      <c r="A387" s="54" t="n"/>
      <c r="B387" s="54" t="n"/>
      <c r="C387" s="55" t="n"/>
      <c r="D387" s="55" t="n"/>
      <c r="E387">
        <f>IF(OR(A387="",B387=""),"",B387-A387)</f>
        <v/>
      </c>
      <c r="F387" s="55" t="n"/>
    </row>
    <row r="388">
      <c r="A388" s="54" t="n"/>
      <c r="B388" s="54" t="n"/>
      <c r="C388" s="55" t="n"/>
      <c r="D388" s="55" t="n"/>
      <c r="E388">
        <f>IF(OR(A388="",B388=""),"",B388-A388)</f>
        <v/>
      </c>
      <c r="F388" s="55" t="n"/>
    </row>
    <row r="389">
      <c r="A389" s="54" t="n"/>
      <c r="B389" s="54" t="n"/>
      <c r="C389" s="55" t="n"/>
      <c r="D389" s="55" t="n"/>
      <c r="E389">
        <f>IF(OR(A389="",B389=""),"",B389-A389)</f>
        <v/>
      </c>
      <c r="F389" s="55" t="n"/>
    </row>
    <row r="390">
      <c r="A390" s="54" t="n"/>
      <c r="B390" s="54" t="n"/>
      <c r="C390" s="55" t="n"/>
      <c r="D390" s="55" t="n"/>
      <c r="E390">
        <f>IF(OR(A390="",B390=""),"",B390-A390)</f>
        <v/>
      </c>
      <c r="F390" s="55" t="n"/>
    </row>
    <row r="391">
      <c r="A391" s="54" t="n"/>
      <c r="B391" s="54" t="n"/>
      <c r="C391" s="55" t="n"/>
      <c r="D391" s="55" t="n"/>
      <c r="E391">
        <f>IF(OR(A391="",B391=""),"",B391-A391)</f>
        <v/>
      </c>
      <c r="F391" s="55" t="n"/>
    </row>
    <row r="392">
      <c r="A392" s="54" t="n"/>
      <c r="B392" s="54" t="n"/>
      <c r="C392" s="55" t="n"/>
      <c r="D392" s="55" t="n"/>
      <c r="E392">
        <f>IF(OR(A392="",B392=""),"",B392-A392)</f>
        <v/>
      </c>
      <c r="F392" s="55" t="n"/>
    </row>
    <row r="393">
      <c r="A393" s="54" t="n"/>
      <c r="B393" s="54" t="n"/>
      <c r="C393" s="55" t="n"/>
      <c r="D393" s="55" t="n"/>
      <c r="E393">
        <f>IF(OR(A393="",B393=""),"",B393-A393)</f>
        <v/>
      </c>
      <c r="F393" s="55" t="n"/>
    </row>
    <row r="394">
      <c r="A394" s="54" t="n"/>
      <c r="B394" s="54" t="n"/>
      <c r="C394" s="55" t="n"/>
      <c r="D394" s="55" t="n"/>
      <c r="E394">
        <f>IF(OR(A394="",B394=""),"",B394-A394)</f>
        <v/>
      </c>
      <c r="F394" s="55" t="n"/>
    </row>
    <row r="395">
      <c r="A395" s="54" t="n"/>
      <c r="B395" s="54" t="n"/>
      <c r="C395" s="55" t="n"/>
      <c r="D395" s="55" t="n"/>
      <c r="E395">
        <f>IF(OR(A395="",B395=""),"",B395-A395)</f>
        <v/>
      </c>
      <c r="F395" s="55" t="n"/>
    </row>
    <row r="396">
      <c r="A396" s="54" t="n"/>
      <c r="B396" s="54" t="n"/>
      <c r="C396" s="55" t="n"/>
      <c r="D396" s="55" t="n"/>
      <c r="E396">
        <f>IF(OR(A396="",B396=""),"",B396-A396)</f>
        <v/>
      </c>
      <c r="F396" s="55" t="n"/>
    </row>
    <row r="397">
      <c r="A397" s="54" t="n"/>
      <c r="B397" s="54" t="n"/>
      <c r="C397" s="55" t="n"/>
      <c r="D397" s="55" t="n"/>
      <c r="E397">
        <f>IF(OR(A397="",B397=""),"",B397-A397)</f>
        <v/>
      </c>
      <c r="F397" s="55" t="n"/>
    </row>
    <row r="398">
      <c r="A398" s="54" t="n"/>
      <c r="B398" s="54" t="n"/>
      <c r="C398" s="55" t="n"/>
      <c r="D398" s="55" t="n"/>
      <c r="E398">
        <f>IF(OR(A398="",B398=""),"",B398-A398)</f>
        <v/>
      </c>
      <c r="F398" s="55" t="n"/>
    </row>
    <row r="399">
      <c r="A399" s="54" t="n"/>
      <c r="B399" s="54" t="n"/>
      <c r="C399" s="55" t="n"/>
      <c r="D399" s="55" t="n"/>
      <c r="E399">
        <f>IF(OR(A399="",B399=""),"",B399-A399)</f>
        <v/>
      </c>
      <c r="F399" s="55" t="n"/>
    </row>
    <row r="400">
      <c r="A400" s="54" t="n"/>
      <c r="B400" s="54" t="n"/>
      <c r="C400" s="55" t="n"/>
      <c r="D400" s="55" t="n"/>
      <c r="E400">
        <f>IF(OR(A400="",B400=""),"",B400-A400)</f>
        <v/>
      </c>
      <c r="F400" s="55" t="n"/>
    </row>
    <row r="401">
      <c r="A401" s="54" t="n"/>
      <c r="B401" s="54" t="n"/>
      <c r="C401" s="55" t="n"/>
      <c r="D401" s="55" t="n"/>
      <c r="E401">
        <f>IF(OR(A401="",B401=""),"",B401-A401)</f>
        <v/>
      </c>
      <c r="F401" s="55" t="n"/>
    </row>
    <row r="402">
      <c r="A402" s="54" t="n"/>
      <c r="B402" s="54" t="n"/>
      <c r="C402" s="55" t="n"/>
      <c r="D402" s="55" t="n"/>
      <c r="E402">
        <f>IF(OR(A402="",B402=""),"",B402-A402)</f>
        <v/>
      </c>
      <c r="F402" s="55" t="n"/>
    </row>
    <row r="403">
      <c r="A403" s="54" t="n"/>
      <c r="B403" s="54" t="n"/>
      <c r="C403" s="55" t="n"/>
      <c r="D403" s="55" t="n"/>
      <c r="E403">
        <f>IF(OR(A403="",B403=""),"",B403-A403)</f>
        <v/>
      </c>
      <c r="F403" s="55" t="n"/>
    </row>
    <row r="404">
      <c r="A404" s="54" t="n"/>
      <c r="B404" s="54" t="n"/>
      <c r="C404" s="55" t="n"/>
      <c r="D404" s="55" t="n"/>
      <c r="E404">
        <f>IF(OR(A404="",B404=""),"",B404-A404)</f>
        <v/>
      </c>
      <c r="F404" s="55" t="n"/>
    </row>
    <row r="405">
      <c r="A405" s="54" t="n"/>
      <c r="B405" s="54" t="n"/>
      <c r="C405" s="55" t="n"/>
      <c r="D405" s="55" t="n"/>
      <c r="E405">
        <f>IF(OR(A405="",B405=""),"",B405-A405)</f>
        <v/>
      </c>
      <c r="F405" s="55" t="n"/>
    </row>
    <row r="406">
      <c r="A406" s="54" t="n"/>
      <c r="B406" s="54" t="n"/>
      <c r="C406" s="55" t="n"/>
      <c r="D406" s="55" t="n"/>
      <c r="E406">
        <f>IF(OR(A406="",B406=""),"",B406-A406)</f>
        <v/>
      </c>
      <c r="F406" s="55" t="n"/>
    </row>
    <row r="407">
      <c r="A407" s="54" t="n"/>
      <c r="B407" s="54" t="n"/>
      <c r="C407" s="55" t="n"/>
      <c r="D407" s="55" t="n"/>
      <c r="E407">
        <f>IF(OR(A407="",B407=""),"",B407-A407)</f>
        <v/>
      </c>
      <c r="F407" s="55" t="n"/>
    </row>
    <row r="408">
      <c r="A408" s="54" t="n"/>
      <c r="B408" s="54" t="n"/>
      <c r="C408" s="55" t="n"/>
      <c r="D408" s="55" t="n"/>
      <c r="E408">
        <f>IF(OR(A408="",B408=""),"",B408-A408)</f>
        <v/>
      </c>
      <c r="F408" s="55" t="n"/>
    </row>
    <row r="409">
      <c r="A409" s="54" t="n"/>
      <c r="B409" s="54" t="n"/>
      <c r="C409" s="55" t="n"/>
      <c r="D409" s="55" t="n"/>
      <c r="E409">
        <f>IF(OR(A409="",B409=""),"",B409-A409)</f>
        <v/>
      </c>
      <c r="F409" s="55" t="n"/>
    </row>
    <row r="410">
      <c r="A410" s="54" t="n"/>
      <c r="B410" s="54" t="n"/>
      <c r="C410" s="55" t="n"/>
      <c r="D410" s="55" t="n"/>
      <c r="E410">
        <f>IF(OR(A410="",B410=""),"",B410-A410)</f>
        <v/>
      </c>
      <c r="F410" s="55" t="n"/>
    </row>
    <row r="411">
      <c r="A411" s="54" t="n"/>
      <c r="B411" s="54" t="n"/>
      <c r="C411" s="55" t="n"/>
      <c r="D411" s="55" t="n"/>
      <c r="E411">
        <f>IF(OR(A411="",B411=""),"",B411-A411)</f>
        <v/>
      </c>
      <c r="F411" s="55" t="n"/>
    </row>
    <row r="412">
      <c r="A412" s="54" t="n"/>
      <c r="B412" s="54" t="n"/>
      <c r="C412" s="55" t="n"/>
      <c r="D412" s="55" t="n"/>
      <c r="E412">
        <f>IF(OR(A412="",B412=""),"",B412-A412)</f>
        <v/>
      </c>
      <c r="F412" s="55" t="n"/>
    </row>
    <row r="413">
      <c r="A413" s="54" t="n"/>
      <c r="B413" s="54" t="n"/>
      <c r="C413" s="55" t="n"/>
      <c r="D413" s="55" t="n"/>
      <c r="E413">
        <f>IF(OR(A413="",B413=""),"",B413-A413)</f>
        <v/>
      </c>
      <c r="F413" s="55" t="n"/>
    </row>
    <row r="414">
      <c r="A414" s="54" t="n"/>
      <c r="B414" s="54" t="n"/>
      <c r="C414" s="55" t="n"/>
      <c r="D414" s="55" t="n"/>
      <c r="E414">
        <f>IF(OR(A414="",B414=""),"",B414-A414)</f>
        <v/>
      </c>
      <c r="F414" s="55" t="n"/>
    </row>
    <row r="415">
      <c r="A415" s="54" t="n"/>
      <c r="B415" s="54" t="n"/>
      <c r="C415" s="55" t="n"/>
      <c r="D415" s="55" t="n"/>
      <c r="E415">
        <f>IF(OR(A415="",B415=""),"",B415-A415)</f>
        <v/>
      </c>
      <c r="F415" s="55" t="n"/>
    </row>
    <row r="416">
      <c r="A416" s="54" t="n"/>
      <c r="B416" s="54" t="n"/>
      <c r="C416" s="55" t="n"/>
      <c r="D416" s="55" t="n"/>
      <c r="E416">
        <f>IF(OR(A416="",B416=""),"",B416-A416)</f>
        <v/>
      </c>
      <c r="F416" s="55" t="n"/>
    </row>
    <row r="417">
      <c r="A417" s="54" t="n"/>
      <c r="B417" s="54" t="n"/>
      <c r="C417" s="55" t="n"/>
      <c r="D417" s="55" t="n"/>
      <c r="E417">
        <f>IF(OR(A417="",B417=""),"",B417-A417)</f>
        <v/>
      </c>
      <c r="F417" s="55" t="n"/>
    </row>
    <row r="418">
      <c r="A418" s="54" t="n"/>
      <c r="B418" s="54" t="n"/>
      <c r="C418" s="55" t="n"/>
      <c r="D418" s="55" t="n"/>
      <c r="E418">
        <f>IF(OR(A418="",B418=""),"",B418-A418)</f>
        <v/>
      </c>
      <c r="F418" s="55" t="n"/>
    </row>
    <row r="419">
      <c r="A419" s="54" t="n"/>
      <c r="B419" s="54" t="n"/>
      <c r="C419" s="55" t="n"/>
      <c r="D419" s="55" t="n"/>
      <c r="E419">
        <f>IF(OR(A419="",B419=""),"",B419-A419)</f>
        <v/>
      </c>
      <c r="F419" s="55" t="n"/>
    </row>
    <row r="420">
      <c r="A420" s="54" t="n"/>
      <c r="B420" s="54" t="n"/>
      <c r="C420" s="55" t="n"/>
      <c r="D420" s="55" t="n"/>
      <c r="E420">
        <f>IF(OR(A420="",B420=""),"",B420-A420)</f>
        <v/>
      </c>
      <c r="F420" s="55" t="n"/>
    </row>
    <row r="421">
      <c r="A421" s="54" t="n"/>
      <c r="B421" s="54" t="n"/>
      <c r="C421" s="55" t="n"/>
      <c r="D421" s="55" t="n"/>
      <c r="E421">
        <f>IF(OR(A421="",B421=""),"",B421-A421)</f>
        <v/>
      </c>
      <c r="F421" s="55" t="n"/>
    </row>
    <row r="422">
      <c r="A422" s="54" t="n"/>
      <c r="B422" s="54" t="n"/>
      <c r="C422" s="55" t="n"/>
      <c r="D422" s="55" t="n"/>
      <c r="E422">
        <f>IF(OR(A422="",B422=""),"",B422-A422)</f>
        <v/>
      </c>
      <c r="F422" s="55" t="n"/>
    </row>
    <row r="423">
      <c r="A423" s="54" t="n"/>
      <c r="B423" s="54" t="n"/>
      <c r="C423" s="55" t="n"/>
      <c r="D423" s="55" t="n"/>
      <c r="E423">
        <f>IF(OR(A423="",B423=""),"",B423-A423)</f>
        <v/>
      </c>
      <c r="F423" s="55" t="n"/>
    </row>
    <row r="424">
      <c r="A424" s="54" t="n"/>
      <c r="B424" s="54" t="n"/>
      <c r="C424" s="55" t="n"/>
      <c r="D424" s="55" t="n"/>
      <c r="E424">
        <f>IF(OR(A424="",B424=""),"",B424-A424)</f>
        <v/>
      </c>
      <c r="F424" s="55" t="n"/>
    </row>
    <row r="425">
      <c r="A425" s="54" t="n"/>
      <c r="B425" s="54" t="n"/>
      <c r="C425" s="55" t="n"/>
      <c r="D425" s="55" t="n"/>
      <c r="E425">
        <f>IF(OR(A425="",B425=""),"",B425-A425)</f>
        <v/>
      </c>
      <c r="F425" s="55" t="n"/>
    </row>
    <row r="426">
      <c r="A426" s="54" t="n"/>
      <c r="B426" s="54" t="n"/>
      <c r="C426" s="55" t="n"/>
      <c r="D426" s="55" t="n"/>
      <c r="E426">
        <f>IF(OR(A426="",B426=""),"",B426-A426)</f>
        <v/>
      </c>
      <c r="F426" s="55" t="n"/>
    </row>
    <row r="427">
      <c r="A427" s="54" t="n"/>
      <c r="B427" s="54" t="n"/>
      <c r="C427" s="55" t="n"/>
      <c r="D427" s="55" t="n"/>
      <c r="E427">
        <f>IF(OR(A427="",B427=""),"",B427-A427)</f>
        <v/>
      </c>
      <c r="F427" s="55" t="n"/>
    </row>
    <row r="428">
      <c r="A428" s="54" t="n"/>
      <c r="B428" s="54" t="n"/>
      <c r="C428" s="55" t="n"/>
      <c r="D428" s="55" t="n"/>
      <c r="E428">
        <f>IF(OR(A428="",B428=""),"",B428-A428)</f>
        <v/>
      </c>
      <c r="F428" s="55" t="n"/>
    </row>
    <row r="429">
      <c r="A429" s="54" t="n"/>
      <c r="B429" s="54" t="n"/>
      <c r="C429" s="55" t="n"/>
      <c r="D429" s="55" t="n"/>
      <c r="E429">
        <f>IF(OR(A429="",B429=""),"",B429-A429)</f>
        <v/>
      </c>
      <c r="F429" s="55" t="n"/>
    </row>
    <row r="430">
      <c r="A430" s="54" t="n"/>
      <c r="B430" s="54" t="n"/>
      <c r="C430" s="55" t="n"/>
      <c r="D430" s="55" t="n"/>
      <c r="E430">
        <f>IF(OR(A430="",B430=""),"",B430-A430)</f>
        <v/>
      </c>
      <c r="F430" s="55" t="n"/>
    </row>
    <row r="431">
      <c r="A431" s="54" t="n"/>
      <c r="B431" s="54" t="n"/>
      <c r="C431" s="55" t="n"/>
      <c r="D431" s="55" t="n"/>
      <c r="E431">
        <f>IF(OR(A431="",B431=""),"",B431-A431)</f>
        <v/>
      </c>
      <c r="F431" s="55" t="n"/>
    </row>
    <row r="432">
      <c r="A432" s="54" t="n"/>
      <c r="B432" s="54" t="n"/>
      <c r="C432" s="55" t="n"/>
      <c r="D432" s="55" t="n"/>
      <c r="E432">
        <f>IF(OR(A432="",B432=""),"",B432-A432)</f>
        <v/>
      </c>
      <c r="F432" s="55" t="n"/>
    </row>
    <row r="433">
      <c r="A433" s="54" t="n"/>
      <c r="B433" s="54" t="n"/>
      <c r="C433" s="55" t="n"/>
      <c r="D433" s="55" t="n"/>
      <c r="E433">
        <f>IF(OR(A433="",B433=""),"",B433-A433)</f>
        <v/>
      </c>
      <c r="F433" s="55" t="n"/>
    </row>
    <row r="434">
      <c r="A434" s="54" t="n"/>
      <c r="B434" s="54" t="n"/>
      <c r="C434" s="55" t="n"/>
      <c r="D434" s="55" t="n"/>
      <c r="E434">
        <f>IF(OR(A434="",B434=""),"",B434-A434)</f>
        <v/>
      </c>
      <c r="F434" s="55" t="n"/>
    </row>
    <row r="435">
      <c r="A435" s="54" t="n"/>
      <c r="B435" s="54" t="n"/>
      <c r="C435" s="55" t="n"/>
      <c r="D435" s="55" t="n"/>
      <c r="E435">
        <f>IF(OR(A435="",B435=""),"",B435-A435)</f>
        <v/>
      </c>
      <c r="F435" s="55" t="n"/>
    </row>
    <row r="436">
      <c r="A436" s="54" t="n"/>
      <c r="B436" s="54" t="n"/>
      <c r="C436" s="55" t="n"/>
      <c r="D436" s="55" t="n"/>
      <c r="E436">
        <f>IF(OR(A436="",B436=""),"",B436-A436)</f>
        <v/>
      </c>
      <c r="F436" s="55" t="n"/>
    </row>
    <row r="437">
      <c r="A437" s="54" t="n"/>
      <c r="B437" s="54" t="n"/>
      <c r="C437" s="55" t="n"/>
      <c r="D437" s="55" t="n"/>
      <c r="E437">
        <f>IF(OR(A437="",B437=""),"",B437-A437)</f>
        <v/>
      </c>
      <c r="F437" s="55" t="n"/>
    </row>
    <row r="438">
      <c r="A438" s="54" t="n"/>
      <c r="B438" s="54" t="n"/>
      <c r="C438" s="55" t="n"/>
      <c r="D438" s="55" t="n"/>
      <c r="E438">
        <f>IF(OR(A438="",B438=""),"",B438-A438)</f>
        <v/>
      </c>
      <c r="F438" s="55" t="n"/>
    </row>
    <row r="439">
      <c r="A439" s="54" t="n"/>
      <c r="B439" s="54" t="n"/>
      <c r="C439" s="55" t="n"/>
      <c r="D439" s="55" t="n"/>
      <c r="E439">
        <f>IF(OR(A439="",B439=""),"",B439-A439)</f>
        <v/>
      </c>
      <c r="F439" s="55" t="n"/>
    </row>
    <row r="440">
      <c r="A440" s="54" t="n"/>
      <c r="B440" s="54" t="n"/>
      <c r="C440" s="55" t="n"/>
      <c r="D440" s="55" t="n"/>
      <c r="E440">
        <f>IF(OR(A440="",B440=""),"",B440-A440)</f>
        <v/>
      </c>
      <c r="F440" s="55" t="n"/>
    </row>
    <row r="441">
      <c r="A441" s="54" t="n"/>
      <c r="B441" s="54" t="n"/>
      <c r="C441" s="55" t="n"/>
      <c r="D441" s="55" t="n"/>
      <c r="E441">
        <f>IF(OR(A441="",B441=""),"",B441-A441)</f>
        <v/>
      </c>
      <c r="F441" s="55" t="n"/>
    </row>
    <row r="442">
      <c r="A442" s="54" t="n"/>
      <c r="B442" s="54" t="n"/>
      <c r="C442" s="55" t="n"/>
      <c r="D442" s="55" t="n"/>
      <c r="E442">
        <f>IF(OR(A442="",B442=""),"",B442-A442)</f>
        <v/>
      </c>
      <c r="F442" s="55" t="n"/>
    </row>
    <row r="443">
      <c r="A443" s="54" t="n"/>
      <c r="B443" s="54" t="n"/>
      <c r="C443" s="55" t="n"/>
      <c r="D443" s="55" t="n"/>
      <c r="E443">
        <f>IF(OR(A443="",B443=""),"",B443-A443)</f>
        <v/>
      </c>
      <c r="F443" s="55" t="n"/>
    </row>
    <row r="444">
      <c r="A444" s="54" t="n"/>
      <c r="B444" s="54" t="n"/>
      <c r="C444" s="55" t="n"/>
      <c r="D444" s="55" t="n"/>
      <c r="E444">
        <f>IF(OR(A444="",B444=""),"",B444-A444)</f>
        <v/>
      </c>
      <c r="F444" s="55" t="n"/>
    </row>
    <row r="445">
      <c r="A445" s="54" t="n"/>
      <c r="B445" s="54" t="n"/>
      <c r="C445" s="55" t="n"/>
      <c r="D445" s="55" t="n"/>
      <c r="E445">
        <f>IF(OR(A445="",B445=""),"",B445-A445)</f>
        <v/>
      </c>
      <c r="F445" s="55" t="n"/>
    </row>
    <row r="446">
      <c r="A446" s="54" t="n"/>
      <c r="B446" s="54" t="n"/>
      <c r="C446" s="55" t="n"/>
      <c r="D446" s="55" t="n"/>
      <c r="E446">
        <f>IF(OR(A446="",B446=""),"",B446-A446)</f>
        <v/>
      </c>
      <c r="F446" s="55" t="n"/>
    </row>
    <row r="447">
      <c r="A447" s="54" t="n"/>
      <c r="B447" s="54" t="n"/>
      <c r="C447" s="55" t="n"/>
      <c r="D447" s="55" t="n"/>
      <c r="E447">
        <f>IF(OR(A447="",B447=""),"",B447-A447)</f>
        <v/>
      </c>
      <c r="F447" s="55" t="n"/>
    </row>
    <row r="448">
      <c r="A448" s="54" t="n"/>
      <c r="B448" s="54" t="n"/>
      <c r="C448" s="55" t="n"/>
      <c r="D448" s="55" t="n"/>
      <c r="E448">
        <f>IF(OR(A448="",B448=""),"",B448-A448)</f>
        <v/>
      </c>
      <c r="F448" s="55" t="n"/>
    </row>
    <row r="449">
      <c r="A449" s="54" t="n"/>
      <c r="B449" s="54" t="n"/>
      <c r="C449" s="55" t="n"/>
      <c r="D449" s="55" t="n"/>
      <c r="E449">
        <f>IF(OR(A449="",B449=""),"",B449-A449)</f>
        <v/>
      </c>
      <c r="F449" s="55" t="n"/>
    </row>
    <row r="450">
      <c r="A450" s="54" t="n"/>
      <c r="B450" s="54" t="n"/>
      <c r="C450" s="55" t="n"/>
      <c r="D450" s="55" t="n"/>
      <c r="E450">
        <f>IF(OR(A450="",B450=""),"",B450-A450)</f>
        <v/>
      </c>
      <c r="F450" s="55" t="n"/>
    </row>
    <row r="451">
      <c r="A451" s="54" t="n"/>
      <c r="B451" s="54" t="n"/>
      <c r="C451" s="55" t="n"/>
      <c r="D451" s="55" t="n"/>
      <c r="E451">
        <f>IF(OR(A451="",B451=""),"",B451-A451)</f>
        <v/>
      </c>
      <c r="F451" s="55" t="n"/>
    </row>
    <row r="452">
      <c r="A452" s="54" t="n"/>
      <c r="B452" s="54" t="n"/>
      <c r="C452" s="55" t="n"/>
      <c r="D452" s="55" t="n"/>
      <c r="E452">
        <f>IF(OR(A452="",B452=""),"",B452-A452)</f>
        <v/>
      </c>
      <c r="F452" s="55" t="n"/>
    </row>
    <row r="453">
      <c r="A453" s="54" t="n"/>
      <c r="B453" s="54" t="n"/>
      <c r="C453" s="55" t="n"/>
      <c r="D453" s="55" t="n"/>
      <c r="E453">
        <f>IF(OR(A453="",B453=""),"",B453-A453)</f>
        <v/>
      </c>
      <c r="F453" s="55" t="n"/>
    </row>
    <row r="454">
      <c r="A454" s="54" t="n"/>
      <c r="B454" s="54" t="n"/>
      <c r="C454" s="55" t="n"/>
      <c r="D454" s="55" t="n"/>
      <c r="E454">
        <f>IF(OR(A454="",B454=""),"",B454-A454)</f>
        <v/>
      </c>
      <c r="F454" s="55" t="n"/>
    </row>
    <row r="455">
      <c r="A455" s="54" t="n"/>
      <c r="B455" s="54" t="n"/>
      <c r="C455" s="55" t="n"/>
      <c r="D455" s="55" t="n"/>
      <c r="E455">
        <f>IF(OR(A455="",B455=""),"",B455-A455)</f>
        <v/>
      </c>
      <c r="F455" s="55" t="n"/>
    </row>
    <row r="456">
      <c r="A456" s="54" t="n"/>
      <c r="B456" s="54" t="n"/>
      <c r="C456" s="55" t="n"/>
      <c r="D456" s="55" t="n"/>
      <c r="E456">
        <f>IF(OR(A456="",B456=""),"",B456-A456)</f>
        <v/>
      </c>
      <c r="F456" s="55" t="n"/>
    </row>
    <row r="457">
      <c r="A457" s="54" t="n"/>
      <c r="B457" s="54" t="n"/>
      <c r="C457" s="55" t="n"/>
      <c r="D457" s="55" t="n"/>
      <c r="E457">
        <f>IF(OR(A457="",B457=""),"",B457-A457)</f>
        <v/>
      </c>
      <c r="F457" s="55" t="n"/>
    </row>
    <row r="458">
      <c r="A458" s="54" t="n"/>
      <c r="B458" s="54" t="n"/>
      <c r="C458" s="55" t="n"/>
      <c r="D458" s="55" t="n"/>
      <c r="E458">
        <f>IF(OR(A458="",B458=""),"",B458-A458)</f>
        <v/>
      </c>
      <c r="F458" s="55" t="n"/>
    </row>
    <row r="459">
      <c r="A459" s="54" t="n"/>
      <c r="B459" s="54" t="n"/>
      <c r="C459" s="55" t="n"/>
      <c r="D459" s="55" t="n"/>
      <c r="E459">
        <f>IF(OR(A459="",B459=""),"",B459-A459)</f>
        <v/>
      </c>
      <c r="F459" s="55" t="n"/>
    </row>
    <row r="460">
      <c r="A460" s="54" t="n"/>
      <c r="B460" s="54" t="n"/>
      <c r="C460" s="55" t="n"/>
      <c r="D460" s="55" t="n"/>
      <c r="E460">
        <f>IF(OR(A460="",B460=""),"",B460-A460)</f>
        <v/>
      </c>
      <c r="F460" s="55" t="n"/>
    </row>
    <row r="461">
      <c r="A461" s="54" t="n"/>
      <c r="B461" s="54" t="n"/>
      <c r="C461" s="55" t="n"/>
      <c r="D461" s="55" t="n"/>
      <c r="E461">
        <f>IF(OR(A461="",B461=""),"",B461-A461)</f>
        <v/>
      </c>
      <c r="F461" s="55" t="n"/>
    </row>
    <row r="462">
      <c r="A462" s="54" t="n"/>
      <c r="B462" s="54" t="n"/>
      <c r="C462" s="55" t="n"/>
      <c r="D462" s="55" t="n"/>
      <c r="E462">
        <f>IF(OR(A462="",B462=""),"",B462-A462)</f>
        <v/>
      </c>
      <c r="F462" s="55" t="n"/>
    </row>
    <row r="463">
      <c r="A463" s="54" t="n"/>
      <c r="B463" s="54" t="n"/>
      <c r="C463" s="55" t="n"/>
      <c r="D463" s="55" t="n"/>
      <c r="E463">
        <f>IF(OR(A463="",B463=""),"",B463-A463)</f>
        <v/>
      </c>
      <c r="F463" s="55" t="n"/>
    </row>
    <row r="464">
      <c r="A464" s="54" t="n"/>
      <c r="B464" s="54" t="n"/>
      <c r="C464" s="55" t="n"/>
      <c r="D464" s="55" t="n"/>
      <c r="E464">
        <f>IF(OR(A464="",B464=""),"",B464-A464)</f>
        <v/>
      </c>
      <c r="F464" s="55" t="n"/>
    </row>
    <row r="465">
      <c r="A465" s="54" t="n"/>
      <c r="B465" s="54" t="n"/>
      <c r="C465" s="55" t="n"/>
      <c r="D465" s="55" t="n"/>
      <c r="E465">
        <f>IF(OR(A465="",B465=""),"",B465-A465)</f>
        <v/>
      </c>
      <c r="F465" s="55" t="n"/>
    </row>
    <row r="466">
      <c r="A466" s="54" t="n"/>
      <c r="B466" s="54" t="n"/>
      <c r="C466" s="55" t="n"/>
      <c r="D466" s="55" t="n"/>
      <c r="E466">
        <f>IF(OR(A466="",B466=""),"",B466-A466)</f>
        <v/>
      </c>
      <c r="F466" s="55" t="n"/>
    </row>
    <row r="467">
      <c r="A467" s="54" t="n"/>
      <c r="B467" s="54" t="n"/>
      <c r="C467" s="55" t="n"/>
      <c r="D467" s="55" t="n"/>
      <c r="E467">
        <f>IF(OR(A467="",B467=""),"",B467-A467)</f>
        <v/>
      </c>
      <c r="F467" s="55" t="n"/>
    </row>
    <row r="468">
      <c r="A468" s="54" t="n"/>
      <c r="B468" s="54" t="n"/>
      <c r="C468" s="55" t="n"/>
      <c r="D468" s="55" t="n"/>
      <c r="E468">
        <f>IF(OR(A468="",B468=""),"",B468-A468)</f>
        <v/>
      </c>
      <c r="F468" s="55" t="n"/>
    </row>
    <row r="469">
      <c r="A469" s="54" t="n"/>
      <c r="B469" s="54" t="n"/>
      <c r="C469" s="55" t="n"/>
      <c r="D469" s="55" t="n"/>
      <c r="E469">
        <f>IF(OR(A469="",B469=""),"",B469-A469)</f>
        <v/>
      </c>
      <c r="F469" s="55" t="n"/>
    </row>
    <row r="470">
      <c r="A470" s="54" t="n"/>
      <c r="B470" s="54" t="n"/>
      <c r="C470" s="55" t="n"/>
      <c r="D470" s="55" t="n"/>
      <c r="E470">
        <f>IF(OR(A470="",B470=""),"",B470-A470)</f>
        <v/>
      </c>
      <c r="F470" s="55" t="n"/>
    </row>
    <row r="471">
      <c r="A471" s="54" t="n"/>
      <c r="B471" s="54" t="n"/>
      <c r="C471" s="55" t="n"/>
      <c r="D471" s="55" t="n"/>
      <c r="E471">
        <f>IF(OR(A471="",B471=""),"",B471-A471)</f>
        <v/>
      </c>
      <c r="F471" s="55" t="n"/>
    </row>
    <row r="472">
      <c r="A472" s="54" t="n"/>
      <c r="B472" s="54" t="n"/>
      <c r="C472" s="55" t="n"/>
      <c r="D472" s="55" t="n"/>
      <c r="E472">
        <f>IF(OR(A472="",B472=""),"",B472-A472)</f>
        <v/>
      </c>
      <c r="F472" s="55" t="n"/>
    </row>
    <row r="473">
      <c r="A473" s="54" t="n"/>
      <c r="B473" s="54" t="n"/>
      <c r="C473" s="55" t="n"/>
      <c r="D473" s="55" t="n"/>
      <c r="E473">
        <f>IF(OR(A473="",B473=""),"",B473-A473)</f>
        <v/>
      </c>
      <c r="F473" s="55" t="n"/>
    </row>
    <row r="474">
      <c r="A474" s="54" t="n"/>
      <c r="B474" s="54" t="n"/>
      <c r="C474" s="55" t="n"/>
      <c r="D474" s="55" t="n"/>
      <c r="E474">
        <f>IF(OR(A474="",B474=""),"",B474-A474)</f>
        <v/>
      </c>
      <c r="F474" s="55" t="n"/>
    </row>
    <row r="475">
      <c r="A475" s="54" t="n"/>
      <c r="B475" s="54" t="n"/>
      <c r="C475" s="55" t="n"/>
      <c r="D475" s="55" t="n"/>
      <c r="E475">
        <f>IF(OR(A475="",B475=""),"",B475-A475)</f>
        <v/>
      </c>
      <c r="F475" s="55" t="n"/>
    </row>
    <row r="476">
      <c r="A476" s="54" t="n"/>
      <c r="B476" s="54" t="n"/>
      <c r="C476" s="55" t="n"/>
      <c r="D476" s="55" t="n"/>
      <c r="E476">
        <f>IF(OR(A476="",B476=""),"",B476-A476)</f>
        <v/>
      </c>
      <c r="F476" s="55" t="n"/>
    </row>
    <row r="477">
      <c r="A477" s="54" t="n"/>
      <c r="B477" s="54" t="n"/>
      <c r="C477" s="55" t="n"/>
      <c r="D477" s="55" t="n"/>
      <c r="E477">
        <f>IF(OR(A477="",B477=""),"",B477-A477)</f>
        <v/>
      </c>
      <c r="F477" s="55" t="n"/>
    </row>
    <row r="478">
      <c r="A478" s="54" t="n"/>
      <c r="B478" s="54" t="n"/>
      <c r="C478" s="55" t="n"/>
      <c r="D478" s="55" t="n"/>
      <c r="E478">
        <f>IF(OR(A478="",B478=""),"",B478-A478)</f>
        <v/>
      </c>
      <c r="F478" s="55" t="n"/>
    </row>
    <row r="479">
      <c r="A479" s="54" t="n"/>
      <c r="B479" s="54" t="n"/>
      <c r="C479" s="55" t="n"/>
      <c r="D479" s="55" t="n"/>
      <c r="E479">
        <f>IF(OR(A479="",B479=""),"",B479-A479)</f>
        <v/>
      </c>
      <c r="F479" s="55" t="n"/>
    </row>
    <row r="480">
      <c r="A480" s="54" t="n"/>
      <c r="B480" s="54" t="n"/>
      <c r="C480" s="55" t="n"/>
      <c r="D480" s="55" t="n"/>
      <c r="E480">
        <f>IF(OR(A480="",B480=""),"",B480-A480)</f>
        <v/>
      </c>
      <c r="F480" s="55" t="n"/>
    </row>
    <row r="481">
      <c r="A481" s="54" t="n"/>
      <c r="B481" s="54" t="n"/>
      <c r="C481" s="55" t="n"/>
      <c r="D481" s="55" t="n"/>
      <c r="E481">
        <f>IF(OR(A481="",B481=""),"",B481-A481)</f>
        <v/>
      </c>
      <c r="F481" s="55" t="n"/>
    </row>
    <row r="482">
      <c r="A482" s="54" t="n"/>
      <c r="B482" s="54" t="n"/>
      <c r="C482" s="55" t="n"/>
      <c r="D482" s="55" t="n"/>
      <c r="E482">
        <f>IF(OR(A482="",B482=""),"",B482-A482)</f>
        <v/>
      </c>
      <c r="F482" s="55" t="n"/>
    </row>
    <row r="483">
      <c r="A483" s="54" t="n"/>
      <c r="B483" s="54" t="n"/>
      <c r="C483" s="55" t="n"/>
      <c r="D483" s="55" t="n"/>
      <c r="E483">
        <f>IF(OR(A483="",B483=""),"",B483-A483)</f>
        <v/>
      </c>
      <c r="F483" s="55" t="n"/>
    </row>
    <row r="484">
      <c r="A484" s="54" t="n"/>
      <c r="B484" s="54" t="n"/>
      <c r="C484" s="55" t="n"/>
      <c r="D484" s="55" t="n"/>
      <c r="E484">
        <f>IF(OR(A484="",B484=""),"",B484-A484)</f>
        <v/>
      </c>
      <c r="F484" s="55" t="n"/>
    </row>
    <row r="485">
      <c r="A485" s="54" t="n"/>
      <c r="B485" s="54" t="n"/>
      <c r="C485" s="55" t="n"/>
      <c r="D485" s="55" t="n"/>
      <c r="E485">
        <f>IF(OR(A485="",B485=""),"",B485-A485)</f>
        <v/>
      </c>
      <c r="F485" s="55" t="n"/>
    </row>
    <row r="486">
      <c r="A486" s="54" t="n"/>
      <c r="B486" s="54" t="n"/>
      <c r="C486" s="55" t="n"/>
      <c r="D486" s="55" t="n"/>
      <c r="E486">
        <f>IF(OR(A486="",B486=""),"",B486-A486)</f>
        <v/>
      </c>
      <c r="F486" s="55" t="n"/>
    </row>
    <row r="487">
      <c r="A487" s="54" t="n"/>
      <c r="B487" s="54" t="n"/>
      <c r="C487" s="55" t="n"/>
      <c r="D487" s="55" t="n"/>
      <c r="E487">
        <f>IF(OR(A487="",B487=""),"",B487-A487)</f>
        <v/>
      </c>
      <c r="F487" s="55" t="n"/>
    </row>
    <row r="488">
      <c r="A488" s="54" t="n"/>
      <c r="B488" s="54" t="n"/>
      <c r="C488" s="55" t="n"/>
      <c r="D488" s="55" t="n"/>
      <c r="E488">
        <f>IF(OR(A488="",B488=""),"",B488-A488)</f>
        <v/>
      </c>
      <c r="F488" s="55" t="n"/>
    </row>
    <row r="489">
      <c r="A489" s="54" t="n"/>
      <c r="B489" s="54" t="n"/>
      <c r="C489" s="55" t="n"/>
      <c r="D489" s="55" t="n"/>
      <c r="E489">
        <f>IF(OR(A489="",B489=""),"",B489-A489)</f>
        <v/>
      </c>
      <c r="F489" s="55" t="n"/>
    </row>
    <row r="490">
      <c r="A490" s="54" t="n"/>
      <c r="B490" s="54" t="n"/>
      <c r="C490" s="55" t="n"/>
      <c r="D490" s="55" t="n"/>
      <c r="E490">
        <f>IF(OR(A490="",B490=""),"",B490-A490)</f>
        <v/>
      </c>
      <c r="F490" s="55" t="n"/>
    </row>
    <row r="491">
      <c r="A491" s="54" t="n"/>
      <c r="B491" s="54" t="n"/>
      <c r="C491" s="55" t="n"/>
      <c r="D491" s="55" t="n"/>
      <c r="E491">
        <f>IF(OR(A491="",B491=""),"",B491-A491)</f>
        <v/>
      </c>
      <c r="F491" s="55" t="n"/>
    </row>
    <row r="492">
      <c r="A492" s="54" t="n"/>
      <c r="B492" s="54" t="n"/>
      <c r="C492" s="55" t="n"/>
      <c r="D492" s="55" t="n"/>
      <c r="E492">
        <f>IF(OR(A492="",B492=""),"",B492-A492)</f>
        <v/>
      </c>
      <c r="F492" s="55" t="n"/>
    </row>
    <row r="493">
      <c r="A493" s="54" t="n"/>
      <c r="B493" s="54" t="n"/>
      <c r="C493" s="55" t="n"/>
      <c r="D493" s="55" t="n"/>
      <c r="E493">
        <f>IF(OR(A493="",B493=""),"",B493-A493)</f>
        <v/>
      </c>
      <c r="F493" s="55" t="n"/>
    </row>
    <row r="494">
      <c r="A494" s="54" t="n"/>
      <c r="B494" s="54" t="n"/>
      <c r="C494" s="55" t="n"/>
      <c r="D494" s="55" t="n"/>
      <c r="E494">
        <f>IF(OR(A494="",B494=""),"",B494-A494)</f>
        <v/>
      </c>
      <c r="F494" s="55" t="n"/>
    </row>
    <row r="495">
      <c r="A495" s="54" t="n"/>
      <c r="B495" s="54" t="n"/>
      <c r="C495" s="55" t="n"/>
      <c r="D495" s="55" t="n"/>
      <c r="E495">
        <f>IF(OR(A495="",B495=""),"",B495-A495)</f>
        <v/>
      </c>
      <c r="F495" s="55" t="n"/>
    </row>
    <row r="496">
      <c r="A496" s="54" t="n"/>
      <c r="B496" s="54" t="n"/>
      <c r="C496" s="55" t="n"/>
      <c r="D496" s="55" t="n"/>
      <c r="E496">
        <f>IF(OR(A496="",B496=""),"",B496-A496)</f>
        <v/>
      </c>
      <c r="F496" s="55" t="n"/>
    </row>
    <row r="497">
      <c r="A497" s="54" t="n"/>
      <c r="B497" s="54" t="n"/>
      <c r="C497" s="55" t="n"/>
      <c r="D497" s="55" t="n"/>
      <c r="E497">
        <f>IF(OR(A497="",B497=""),"",B497-A497)</f>
        <v/>
      </c>
      <c r="F497" s="55" t="n"/>
    </row>
    <row r="498">
      <c r="A498" s="54" t="n"/>
      <c r="B498" s="54" t="n"/>
      <c r="C498" s="55" t="n"/>
      <c r="D498" s="55" t="n"/>
      <c r="E498">
        <f>IF(OR(A498="",B498=""),"",B498-A498)</f>
        <v/>
      </c>
      <c r="F498" s="55" t="n"/>
    </row>
    <row r="499">
      <c r="A499" s="54" t="n"/>
      <c r="B499" s="54" t="n"/>
      <c r="C499" s="55" t="n"/>
      <c r="D499" s="55" t="n"/>
      <c r="E499">
        <f>IF(OR(A499="",B499=""),"",B499-A499)</f>
        <v/>
      </c>
      <c r="F499" s="55" t="n"/>
    </row>
    <row r="500">
      <c r="A500" s="54" t="n"/>
      <c r="B500" s="54" t="n"/>
      <c r="C500" s="55" t="n"/>
      <c r="D500" s="55" t="n"/>
      <c r="E500">
        <f>IF(OR(A500="",B500=""),"",B500-A500)</f>
        <v/>
      </c>
      <c r="F500" s="55" t="n"/>
    </row>
    <row r="501">
      <c r="A501" s="54" t="n"/>
      <c r="B501" s="54" t="n"/>
      <c r="C501" s="55" t="n"/>
      <c r="D501" s="55" t="n"/>
      <c r="E501">
        <f>IF(OR(A501="",B501=""),"",B501-A501)</f>
        <v/>
      </c>
      <c r="F501" s="55" t="n"/>
    </row>
    <row r="502">
      <c r="A502" s="54" t="n"/>
      <c r="B502" s="54" t="n"/>
      <c r="C502" s="55" t="n"/>
      <c r="D502" s="55" t="n"/>
      <c r="E502">
        <f>IF(OR(A502="",B502=""),"",B502-A502)</f>
        <v/>
      </c>
      <c r="F502" s="55" t="n"/>
    </row>
    <row r="503">
      <c r="A503" s="54" t="n"/>
      <c r="B503" s="54" t="n"/>
      <c r="C503" s="55" t="n"/>
      <c r="D503" s="55" t="n"/>
      <c r="E503">
        <f>IF(OR(A503="",B503=""),"",B503-A503)</f>
        <v/>
      </c>
      <c r="F503" s="55" t="n"/>
    </row>
    <row r="504">
      <c r="A504" s="54" t="n"/>
      <c r="B504" s="54" t="n"/>
      <c r="C504" s="55" t="n"/>
      <c r="D504" s="55" t="n"/>
      <c r="E504">
        <f>IF(OR(A504="",B504=""),"",B504-A504)</f>
        <v/>
      </c>
      <c r="F504" s="55" t="n"/>
    </row>
    <row r="505">
      <c r="A505" s="54" t="n"/>
      <c r="B505" s="54" t="n"/>
      <c r="C505" s="55" t="n"/>
      <c r="D505" s="55" t="n"/>
      <c r="E505">
        <f>IF(OR(A505="",B505=""),"",B505-A505)</f>
        <v/>
      </c>
      <c r="F505" s="55" t="n"/>
    </row>
    <row r="506">
      <c r="A506" s="54" t="n"/>
      <c r="B506" s="54" t="n"/>
      <c r="C506" s="55" t="n"/>
      <c r="D506" s="55" t="n"/>
      <c r="E506">
        <f>IF(OR(A506="",B506=""),"",B506-A506)</f>
        <v/>
      </c>
      <c r="F506" s="55" t="n"/>
    </row>
    <row r="507">
      <c r="A507" s="54" t="n"/>
      <c r="B507" s="54" t="n"/>
      <c r="C507" s="55" t="n"/>
      <c r="D507" s="55" t="n"/>
      <c r="E507">
        <f>IF(OR(A507="",B507=""),"",B507-A507)</f>
        <v/>
      </c>
      <c r="F507" s="55" t="n"/>
    </row>
    <row r="508">
      <c r="A508" s="54" t="n"/>
      <c r="B508" s="54" t="n"/>
      <c r="C508" s="55" t="n"/>
      <c r="D508" s="55" t="n"/>
      <c r="E508">
        <f>IF(OR(A508="",B508=""),"",B508-A508)</f>
        <v/>
      </c>
      <c r="F508" s="55" t="n"/>
    </row>
    <row r="509">
      <c r="A509" s="54" t="n"/>
      <c r="B509" s="54" t="n"/>
      <c r="C509" s="55" t="n"/>
      <c r="D509" s="55" t="n"/>
      <c r="E509">
        <f>IF(OR(A509="",B509=""),"",B509-A509)</f>
        <v/>
      </c>
      <c r="F509" s="55" t="n"/>
    </row>
    <row r="510">
      <c r="A510" s="54" t="n"/>
      <c r="B510" s="54" t="n"/>
      <c r="C510" s="55" t="n"/>
      <c r="D510" s="55" t="n"/>
      <c r="E510">
        <f>IF(OR(A510="",B510=""),"",B510-A510)</f>
        <v/>
      </c>
      <c r="F510" s="55" t="n"/>
    </row>
    <row r="511">
      <c r="A511" s="54" t="n"/>
      <c r="B511" s="54" t="n"/>
      <c r="C511" s="55" t="n"/>
      <c r="D511" s="55" t="n"/>
      <c r="E511">
        <f>IF(OR(A511="",B511=""),"",B511-A511)</f>
        <v/>
      </c>
      <c r="F511" s="55" t="n"/>
    </row>
    <row r="512">
      <c r="A512" s="54" t="n"/>
      <c r="B512" s="54" t="n"/>
      <c r="C512" s="55" t="n"/>
      <c r="D512" s="55" t="n"/>
      <c r="E512">
        <f>IF(OR(A512="",B512=""),"",B512-A512)</f>
        <v/>
      </c>
      <c r="F512" s="55" t="n"/>
    </row>
    <row r="513">
      <c r="A513" s="54" t="n"/>
      <c r="B513" s="54" t="n"/>
      <c r="C513" s="55" t="n"/>
      <c r="D513" s="55" t="n"/>
      <c r="E513">
        <f>IF(OR(A513="",B513=""),"",B513-A513)</f>
        <v/>
      </c>
      <c r="F513" s="55" t="n"/>
    </row>
    <row r="514">
      <c r="A514" s="54" t="n"/>
      <c r="B514" s="54" t="n"/>
      <c r="C514" s="55" t="n"/>
      <c r="D514" s="55" t="n"/>
      <c r="E514">
        <f>IF(OR(A514="",B514=""),"",B514-A514)</f>
        <v/>
      </c>
      <c r="F514" s="55" t="n"/>
    </row>
    <row r="515">
      <c r="A515" s="54" t="n"/>
      <c r="B515" s="54" t="n"/>
      <c r="C515" s="55" t="n"/>
      <c r="D515" s="55" t="n"/>
      <c r="E515">
        <f>IF(OR(A515="",B515=""),"",B515-A515)</f>
        <v/>
      </c>
      <c r="F515" s="55" t="n"/>
    </row>
    <row r="516">
      <c r="A516" s="54" t="n"/>
      <c r="B516" s="54" t="n"/>
      <c r="C516" s="55" t="n"/>
      <c r="D516" s="55" t="n"/>
      <c r="E516">
        <f>IF(OR(A516="",B516=""),"",B516-A516)</f>
        <v/>
      </c>
      <c r="F516" s="55" t="n"/>
    </row>
    <row r="517">
      <c r="A517" s="54" t="n"/>
      <c r="B517" s="54" t="n"/>
      <c r="C517" s="55" t="n"/>
      <c r="D517" s="55" t="n"/>
      <c r="E517">
        <f>IF(OR(A517="",B517=""),"",B517-A517)</f>
        <v/>
      </c>
      <c r="F517" s="55" t="n"/>
    </row>
    <row r="518">
      <c r="A518" s="54" t="n"/>
      <c r="B518" s="54" t="n"/>
      <c r="C518" s="55" t="n"/>
      <c r="D518" s="55" t="n"/>
      <c r="E518">
        <f>IF(OR(A518="",B518=""),"",B518-A518)</f>
        <v/>
      </c>
      <c r="F518" s="55" t="n"/>
    </row>
    <row r="519">
      <c r="A519" s="54" t="n"/>
      <c r="B519" s="54" t="n"/>
      <c r="C519" s="55" t="n"/>
      <c r="D519" s="55" t="n"/>
      <c r="E519">
        <f>IF(OR(A519="",B519=""),"",B519-A519)</f>
        <v/>
      </c>
      <c r="F519" s="55" t="n"/>
    </row>
    <row r="520">
      <c r="A520" s="54" t="n"/>
      <c r="B520" s="54" t="n"/>
      <c r="C520" s="55" t="n"/>
      <c r="D520" s="55" t="n"/>
      <c r="E520">
        <f>IF(OR(A520="",B520=""),"",B520-A520)</f>
        <v/>
      </c>
      <c r="F520" s="55" t="n"/>
    </row>
    <row r="521">
      <c r="A521" s="54" t="n"/>
      <c r="B521" s="54" t="n"/>
      <c r="C521" s="55" t="n"/>
      <c r="D521" s="55" t="n"/>
      <c r="E521">
        <f>IF(OR(A521="",B521=""),"",B521-A521)</f>
        <v/>
      </c>
      <c r="F521" s="55" t="n"/>
    </row>
    <row r="522">
      <c r="A522" s="54" t="n"/>
      <c r="B522" s="54" t="n"/>
      <c r="C522" s="55" t="n"/>
      <c r="D522" s="55" t="n"/>
      <c r="E522">
        <f>IF(OR(A522="",B522=""),"",B522-A522)</f>
        <v/>
      </c>
      <c r="F522" s="55" t="n"/>
    </row>
    <row r="523">
      <c r="A523" s="54" t="n"/>
      <c r="B523" s="54" t="n"/>
      <c r="C523" s="55" t="n"/>
      <c r="D523" s="55" t="n"/>
      <c r="E523">
        <f>IF(OR(A523="",B523=""),"",B523-A523)</f>
        <v/>
      </c>
      <c r="F523" s="55" t="n"/>
    </row>
    <row r="524">
      <c r="A524" s="54" t="n"/>
      <c r="B524" s="54" t="n"/>
      <c r="C524" s="55" t="n"/>
      <c r="D524" s="55" t="n"/>
      <c r="E524">
        <f>IF(OR(A524="",B524=""),"",B524-A524)</f>
        <v/>
      </c>
      <c r="F524" s="55" t="n"/>
    </row>
    <row r="525">
      <c r="A525" s="54" t="n"/>
      <c r="B525" s="54" t="n"/>
      <c r="C525" s="55" t="n"/>
      <c r="D525" s="55" t="n"/>
      <c r="E525">
        <f>IF(OR(A525="",B525=""),"",B525-A525)</f>
        <v/>
      </c>
      <c r="F525" s="55" t="n"/>
    </row>
    <row r="526">
      <c r="A526" s="54" t="n"/>
      <c r="B526" s="54" t="n"/>
      <c r="C526" s="55" t="n"/>
      <c r="D526" s="55" t="n"/>
      <c r="E526">
        <f>IF(OR(A526="",B526=""),"",B526-A526)</f>
        <v/>
      </c>
      <c r="F526" s="55" t="n"/>
    </row>
    <row r="527">
      <c r="A527" s="54" t="n"/>
      <c r="B527" s="54" t="n"/>
      <c r="C527" s="55" t="n"/>
      <c r="D527" s="55" t="n"/>
      <c r="E527">
        <f>IF(OR(A527="",B527=""),"",B527-A527)</f>
        <v/>
      </c>
      <c r="F527" s="55" t="n"/>
    </row>
    <row r="528">
      <c r="A528" s="54" t="n"/>
      <c r="B528" s="54" t="n"/>
      <c r="C528" s="55" t="n"/>
      <c r="D528" s="55" t="n"/>
      <c r="E528">
        <f>IF(OR(A528="",B528=""),"",B528-A528)</f>
        <v/>
      </c>
      <c r="F528" s="55" t="n"/>
    </row>
    <row r="529">
      <c r="A529" s="54" t="n"/>
      <c r="B529" s="54" t="n"/>
      <c r="C529" s="55" t="n"/>
      <c r="D529" s="55" t="n"/>
      <c r="E529">
        <f>IF(OR(A529="",B529=""),"",B529-A529)</f>
        <v/>
      </c>
      <c r="F529" s="55" t="n"/>
    </row>
    <row r="530">
      <c r="A530" s="54" t="n"/>
      <c r="B530" s="54" t="n"/>
      <c r="C530" s="55" t="n"/>
      <c r="D530" s="55" t="n"/>
      <c r="E530">
        <f>IF(OR(A530="",B530=""),"",B530-A530)</f>
        <v/>
      </c>
      <c r="F530" s="55" t="n"/>
    </row>
    <row r="531">
      <c r="A531" s="54" t="n"/>
      <c r="B531" s="54" t="n"/>
      <c r="C531" s="55" t="n"/>
      <c r="D531" s="55" t="n"/>
      <c r="E531">
        <f>IF(OR(A531="",B531=""),"",B531-A531)</f>
        <v/>
      </c>
      <c r="F531" s="55" t="n"/>
    </row>
    <row r="532">
      <c r="A532" s="54" t="n"/>
      <c r="B532" s="54" t="n"/>
      <c r="C532" s="55" t="n"/>
      <c r="D532" s="55" t="n"/>
      <c r="E532">
        <f>IF(OR(A532="",B532=""),"",B532-A532)</f>
        <v/>
      </c>
      <c r="F532" s="55" t="n"/>
    </row>
    <row r="533">
      <c r="A533" s="54" t="n"/>
      <c r="B533" s="54" t="n"/>
      <c r="C533" s="55" t="n"/>
      <c r="D533" s="55" t="n"/>
      <c r="E533">
        <f>IF(OR(A533="",B533=""),"",B533-A533)</f>
        <v/>
      </c>
      <c r="F533" s="55" t="n"/>
    </row>
    <row r="534">
      <c r="A534" s="54" t="n"/>
      <c r="B534" s="54" t="n"/>
      <c r="C534" s="55" t="n"/>
      <c r="D534" s="55" t="n"/>
      <c r="E534">
        <f>IF(OR(A534="",B534=""),"",B534-A534)</f>
        <v/>
      </c>
      <c r="F534" s="55" t="n"/>
    </row>
    <row r="535">
      <c r="A535" s="54" t="n"/>
      <c r="B535" s="54" t="n"/>
      <c r="C535" s="55" t="n"/>
      <c r="D535" s="55" t="n"/>
      <c r="E535">
        <f>IF(OR(A535="",B535=""),"",B535-A535)</f>
        <v/>
      </c>
      <c r="F535" s="55" t="n"/>
    </row>
    <row r="536">
      <c r="A536" s="54" t="n"/>
      <c r="B536" s="54" t="n"/>
      <c r="C536" s="55" t="n"/>
      <c r="D536" s="55" t="n"/>
      <c r="E536">
        <f>IF(OR(A536="",B536=""),"",B536-A536)</f>
        <v/>
      </c>
      <c r="F536" s="55" t="n"/>
    </row>
    <row r="537">
      <c r="A537" s="54" t="n"/>
      <c r="B537" s="54" t="n"/>
      <c r="C537" s="55" t="n"/>
      <c r="D537" s="55" t="n"/>
      <c r="E537">
        <f>IF(OR(A537="",B537=""),"",B537-A537)</f>
        <v/>
      </c>
      <c r="F537" s="55" t="n"/>
    </row>
    <row r="538">
      <c r="A538" s="54" t="n"/>
      <c r="B538" s="54" t="n"/>
      <c r="C538" s="55" t="n"/>
      <c r="D538" s="55" t="n"/>
      <c r="E538">
        <f>IF(OR(A538="",B538=""),"",B538-A538)</f>
        <v/>
      </c>
      <c r="F538" s="55" t="n"/>
    </row>
    <row r="539">
      <c r="A539" s="54" t="n"/>
      <c r="B539" s="54" t="n"/>
      <c r="C539" s="55" t="n"/>
      <c r="D539" s="55" t="n"/>
      <c r="E539">
        <f>IF(OR(A539="",B539=""),"",B539-A539)</f>
        <v/>
      </c>
      <c r="F539" s="55" t="n"/>
    </row>
    <row r="540">
      <c r="A540" s="54" t="n"/>
      <c r="B540" s="54" t="n"/>
      <c r="C540" s="55" t="n"/>
      <c r="D540" s="55" t="n"/>
      <c r="E540">
        <f>IF(OR(A540="",B540=""),"",B540-A540)</f>
        <v/>
      </c>
      <c r="F540" s="55" t="n"/>
    </row>
    <row r="541">
      <c r="A541" s="54" t="n"/>
      <c r="B541" s="54" t="n"/>
      <c r="C541" s="55" t="n"/>
      <c r="D541" s="55" t="n"/>
      <c r="E541">
        <f>IF(OR(A541="",B541=""),"",B541-A541)</f>
        <v/>
      </c>
      <c r="F541" s="55" t="n"/>
    </row>
    <row r="542">
      <c r="A542" s="54" t="n"/>
      <c r="B542" s="54" t="n"/>
      <c r="C542" s="55" t="n"/>
      <c r="D542" s="55" t="n"/>
      <c r="E542">
        <f>IF(OR(A542="",B542=""),"",B542-A542)</f>
        <v/>
      </c>
      <c r="F542" s="55" t="n"/>
    </row>
    <row r="543">
      <c r="A543" s="54" t="n"/>
      <c r="B543" s="54" t="n"/>
      <c r="C543" s="55" t="n"/>
      <c r="D543" s="55" t="n"/>
      <c r="E543">
        <f>IF(OR(A543="",B543=""),"",B543-A543)</f>
        <v/>
      </c>
      <c r="F543" s="55" t="n"/>
    </row>
    <row r="544">
      <c r="A544" s="54" t="n"/>
      <c r="B544" s="54" t="n"/>
      <c r="C544" s="55" t="n"/>
      <c r="D544" s="55" t="n"/>
      <c r="E544">
        <f>IF(OR(A544="",B544=""),"",B544-A544)</f>
        <v/>
      </c>
      <c r="F544" s="55" t="n"/>
    </row>
    <row r="545">
      <c r="A545" s="54" t="n"/>
      <c r="B545" s="54" t="n"/>
      <c r="C545" s="55" t="n"/>
      <c r="D545" s="55" t="n"/>
      <c r="E545">
        <f>IF(OR(A545="",B545=""),"",B545-A545)</f>
        <v/>
      </c>
      <c r="F545" s="55" t="n"/>
    </row>
    <row r="546">
      <c r="A546" s="54" t="n"/>
      <c r="B546" s="54" t="n"/>
      <c r="C546" s="55" t="n"/>
      <c r="D546" s="55" t="n"/>
      <c r="E546">
        <f>IF(OR(A546="",B546=""),"",B546-A546)</f>
        <v/>
      </c>
      <c r="F546" s="55" t="n"/>
    </row>
    <row r="547">
      <c r="A547" s="54" t="n"/>
      <c r="B547" s="54" t="n"/>
      <c r="C547" s="55" t="n"/>
      <c r="D547" s="55" t="n"/>
      <c r="E547">
        <f>IF(OR(A547="",B547=""),"",B547-A547)</f>
        <v/>
      </c>
      <c r="F547" s="55" t="n"/>
    </row>
    <row r="548">
      <c r="A548" s="54" t="n"/>
      <c r="B548" s="54" t="n"/>
      <c r="C548" s="55" t="n"/>
      <c r="D548" s="55" t="n"/>
      <c r="E548">
        <f>IF(OR(A548="",B548=""),"",B548-A548)</f>
        <v/>
      </c>
      <c r="F548" s="55" t="n"/>
    </row>
    <row r="549">
      <c r="A549" s="54" t="n"/>
      <c r="B549" s="54" t="n"/>
      <c r="C549" s="55" t="n"/>
      <c r="D549" s="55" t="n"/>
      <c r="E549">
        <f>IF(OR(A549="",B549=""),"",B549-A549)</f>
        <v/>
      </c>
      <c r="F549" s="55" t="n"/>
    </row>
    <row r="550">
      <c r="A550" s="54" t="n"/>
      <c r="B550" s="54" t="n"/>
      <c r="C550" s="55" t="n"/>
      <c r="D550" s="55" t="n"/>
      <c r="E550">
        <f>IF(OR(A550="",B550=""),"",B550-A550)</f>
        <v/>
      </c>
      <c r="F550" s="55" t="n"/>
    </row>
    <row r="551">
      <c r="A551" s="54" t="n"/>
      <c r="B551" s="54" t="n"/>
      <c r="C551" s="55" t="n"/>
      <c r="D551" s="55" t="n"/>
      <c r="E551">
        <f>IF(OR(A551="",B551=""),"",B551-A551)</f>
        <v/>
      </c>
      <c r="F551" s="55" t="n"/>
    </row>
    <row r="552">
      <c r="A552" s="54" t="n"/>
      <c r="B552" s="54" t="n"/>
      <c r="C552" s="55" t="n"/>
      <c r="D552" s="55" t="n"/>
      <c r="E552">
        <f>IF(OR(A552="",B552=""),"",B552-A552)</f>
        <v/>
      </c>
      <c r="F552" s="55" t="n"/>
    </row>
    <row r="553">
      <c r="A553" s="54" t="n"/>
      <c r="B553" s="54" t="n"/>
      <c r="C553" s="55" t="n"/>
      <c r="D553" s="55" t="n"/>
      <c r="E553">
        <f>IF(OR(A553="",B553=""),"",B553-A553)</f>
        <v/>
      </c>
      <c r="F553" s="55" t="n"/>
    </row>
    <row r="554">
      <c r="A554" s="54" t="n"/>
      <c r="B554" s="54" t="n"/>
      <c r="C554" s="55" t="n"/>
      <c r="D554" s="55" t="n"/>
      <c r="E554">
        <f>IF(OR(A554="",B554=""),"",B554-A554)</f>
        <v/>
      </c>
      <c r="F554" s="55" t="n"/>
    </row>
    <row r="555">
      <c r="A555" s="54" t="n"/>
      <c r="B555" s="54" t="n"/>
      <c r="C555" s="55" t="n"/>
      <c r="D555" s="55" t="n"/>
      <c r="E555">
        <f>IF(OR(A555="",B555=""),"",B555-A555)</f>
        <v/>
      </c>
      <c r="F555" s="55" t="n"/>
    </row>
    <row r="556">
      <c r="A556" s="54" t="n"/>
      <c r="B556" s="54" t="n"/>
      <c r="C556" s="55" t="n"/>
      <c r="D556" s="55" t="n"/>
      <c r="E556">
        <f>IF(OR(A556="",B556=""),"",B556-A556)</f>
        <v/>
      </c>
      <c r="F556" s="55" t="n"/>
    </row>
    <row r="557">
      <c r="A557" s="54" t="n"/>
      <c r="B557" s="54" t="n"/>
      <c r="C557" s="55" t="n"/>
      <c r="D557" s="55" t="n"/>
      <c r="E557">
        <f>IF(OR(A557="",B557=""),"",B557-A557)</f>
        <v/>
      </c>
      <c r="F557" s="55" t="n"/>
    </row>
    <row r="558">
      <c r="A558" s="54" t="n"/>
      <c r="B558" s="54" t="n"/>
      <c r="C558" s="55" t="n"/>
      <c r="D558" s="55" t="n"/>
      <c r="E558">
        <f>IF(OR(A558="",B558=""),"",B558-A558)</f>
        <v/>
      </c>
      <c r="F558" s="55" t="n"/>
    </row>
    <row r="559">
      <c r="A559" s="54" t="n"/>
      <c r="B559" s="54" t="n"/>
      <c r="C559" s="55" t="n"/>
      <c r="D559" s="55" t="n"/>
      <c r="E559">
        <f>IF(OR(A559="",B559=""),"",B559-A559)</f>
        <v/>
      </c>
      <c r="F559" s="55" t="n"/>
    </row>
    <row r="560">
      <c r="A560" s="54" t="n"/>
      <c r="B560" s="54" t="n"/>
      <c r="C560" s="55" t="n"/>
      <c r="D560" s="55" t="n"/>
      <c r="E560">
        <f>IF(OR(A560="",B560=""),"",B560-A560)</f>
        <v/>
      </c>
      <c r="F560" s="55" t="n"/>
    </row>
    <row r="561">
      <c r="A561" s="54" t="n"/>
      <c r="B561" s="54" t="n"/>
      <c r="C561" s="55" t="n"/>
      <c r="D561" s="55" t="n"/>
      <c r="E561">
        <f>IF(OR(A561="",B561=""),"",B561-A561)</f>
        <v/>
      </c>
      <c r="F561" s="55" t="n"/>
    </row>
    <row r="562">
      <c r="A562" s="54" t="n"/>
      <c r="B562" s="54" t="n"/>
      <c r="C562" s="55" t="n"/>
      <c r="D562" s="55" t="n"/>
      <c r="E562">
        <f>IF(OR(A562="",B562=""),"",B562-A562)</f>
        <v/>
      </c>
      <c r="F562" s="55" t="n"/>
    </row>
    <row r="563">
      <c r="A563" s="54" t="n"/>
      <c r="B563" s="54" t="n"/>
      <c r="C563" s="55" t="n"/>
      <c r="D563" s="55" t="n"/>
      <c r="E563">
        <f>IF(OR(A563="",B563=""),"",B563-A563)</f>
        <v/>
      </c>
      <c r="F563" s="55" t="n"/>
    </row>
    <row r="564">
      <c r="A564" s="54" t="n"/>
      <c r="B564" s="54" t="n"/>
      <c r="C564" s="55" t="n"/>
      <c r="D564" s="55" t="n"/>
      <c r="E564">
        <f>IF(OR(A564="",B564=""),"",B564-A564)</f>
        <v/>
      </c>
      <c r="F564" s="55" t="n"/>
    </row>
    <row r="565">
      <c r="A565" s="54" t="n"/>
      <c r="B565" s="54" t="n"/>
      <c r="C565" s="55" t="n"/>
      <c r="D565" s="55" t="n"/>
      <c r="E565">
        <f>IF(OR(A565="",B565=""),"",B565-A565)</f>
        <v/>
      </c>
      <c r="F565" s="55" t="n"/>
    </row>
    <row r="566">
      <c r="A566" s="54" t="n"/>
      <c r="B566" s="54" t="n"/>
      <c r="C566" s="55" t="n"/>
      <c r="D566" s="55" t="n"/>
      <c r="E566">
        <f>IF(OR(A566="",B566=""),"",B566-A566)</f>
        <v/>
      </c>
      <c r="F566" s="55" t="n"/>
    </row>
    <row r="567">
      <c r="A567" s="54" t="n"/>
      <c r="B567" s="54" t="n"/>
      <c r="C567" s="55" t="n"/>
      <c r="D567" s="55" t="n"/>
      <c r="E567">
        <f>IF(OR(A567="",B567=""),"",B567-A567)</f>
        <v/>
      </c>
      <c r="F567" s="55" t="n"/>
    </row>
    <row r="568">
      <c r="A568" s="54" t="n"/>
      <c r="B568" s="54" t="n"/>
      <c r="C568" s="55" t="n"/>
      <c r="D568" s="55" t="n"/>
      <c r="E568">
        <f>IF(OR(A568="",B568=""),"",B568-A568)</f>
        <v/>
      </c>
      <c r="F568" s="55" t="n"/>
    </row>
    <row r="569">
      <c r="A569" s="54" t="n"/>
      <c r="B569" s="54" t="n"/>
      <c r="C569" s="55" t="n"/>
      <c r="D569" s="55" t="n"/>
      <c r="E569">
        <f>IF(OR(A569="",B569=""),"",B569-A569)</f>
        <v/>
      </c>
      <c r="F569" s="55" t="n"/>
    </row>
    <row r="570">
      <c r="A570" s="54" t="n"/>
      <c r="B570" s="54" t="n"/>
      <c r="C570" s="55" t="n"/>
      <c r="D570" s="55" t="n"/>
      <c r="E570">
        <f>IF(OR(A570="",B570=""),"",B570-A570)</f>
        <v/>
      </c>
      <c r="F570" s="55" t="n"/>
    </row>
    <row r="571">
      <c r="A571" s="54" t="n"/>
      <c r="B571" s="54" t="n"/>
      <c r="C571" s="55" t="n"/>
      <c r="D571" s="55" t="n"/>
      <c r="E571">
        <f>IF(OR(A571="",B571=""),"",B571-A571)</f>
        <v/>
      </c>
      <c r="F571" s="55" t="n"/>
    </row>
    <row r="572">
      <c r="A572" s="54" t="n"/>
      <c r="B572" s="54" t="n"/>
      <c r="C572" s="55" t="n"/>
      <c r="D572" s="55" t="n"/>
      <c r="E572">
        <f>IF(OR(A572="",B572=""),"",B572-A572)</f>
        <v/>
      </c>
      <c r="F572" s="55" t="n"/>
    </row>
    <row r="573">
      <c r="A573" s="54" t="n"/>
      <c r="B573" s="54" t="n"/>
      <c r="C573" s="55" t="n"/>
      <c r="D573" s="55" t="n"/>
      <c r="E573">
        <f>IF(OR(A573="",B573=""),"",B573-A573)</f>
        <v/>
      </c>
      <c r="F573" s="55" t="n"/>
    </row>
    <row r="574">
      <c r="A574" s="54" t="n"/>
      <c r="B574" s="54" t="n"/>
      <c r="C574" s="55" t="n"/>
      <c r="D574" s="55" t="n"/>
      <c r="E574">
        <f>IF(OR(A574="",B574=""),"",B574-A574)</f>
        <v/>
      </c>
      <c r="F574" s="55" t="n"/>
    </row>
    <row r="575">
      <c r="A575" s="54" t="n"/>
      <c r="B575" s="54" t="n"/>
      <c r="C575" s="55" t="n"/>
      <c r="D575" s="55" t="n"/>
      <c r="E575">
        <f>IF(OR(A575="",B575=""),"",B575-A575)</f>
        <v/>
      </c>
      <c r="F575" s="55" t="n"/>
    </row>
    <row r="576">
      <c r="A576" s="54" t="n"/>
      <c r="B576" s="54" t="n"/>
      <c r="C576" s="55" t="n"/>
      <c r="D576" s="55" t="n"/>
      <c r="E576">
        <f>IF(OR(A576="",B576=""),"",B576-A576)</f>
        <v/>
      </c>
      <c r="F576" s="55" t="n"/>
    </row>
    <row r="577">
      <c r="A577" s="54" t="n"/>
      <c r="B577" s="54" t="n"/>
      <c r="C577" s="55" t="n"/>
      <c r="D577" s="55" t="n"/>
      <c r="E577">
        <f>IF(OR(A577="",B577=""),"",B577-A577)</f>
        <v/>
      </c>
      <c r="F577" s="55" t="n"/>
    </row>
    <row r="578">
      <c r="A578" s="54" t="n"/>
      <c r="B578" s="54" t="n"/>
      <c r="C578" s="55" t="n"/>
      <c r="D578" s="55" t="n"/>
      <c r="E578">
        <f>IF(OR(A578="",B578=""),"",B578-A578)</f>
        <v/>
      </c>
      <c r="F578" s="55" t="n"/>
    </row>
    <row r="579">
      <c r="A579" s="54" t="n"/>
      <c r="B579" s="54" t="n"/>
      <c r="C579" s="55" t="n"/>
      <c r="D579" s="55" t="n"/>
      <c r="E579">
        <f>IF(OR(A579="",B579=""),"",B579-A579)</f>
        <v/>
      </c>
      <c r="F579" s="55" t="n"/>
    </row>
    <row r="580">
      <c r="A580" s="54" t="n"/>
      <c r="B580" s="54" t="n"/>
      <c r="C580" s="55" t="n"/>
      <c r="D580" s="55" t="n"/>
      <c r="E580">
        <f>IF(OR(A580="",B580=""),"",B580-A580)</f>
        <v/>
      </c>
      <c r="F580" s="55" t="n"/>
    </row>
    <row r="581">
      <c r="A581" s="54" t="n"/>
      <c r="B581" s="54" t="n"/>
      <c r="C581" s="55" t="n"/>
      <c r="D581" s="55" t="n"/>
      <c r="E581">
        <f>IF(OR(A581="",B581=""),"",B581-A581)</f>
        <v/>
      </c>
      <c r="F581" s="55" t="n"/>
    </row>
    <row r="582">
      <c r="A582" s="54" t="n"/>
      <c r="B582" s="54" t="n"/>
      <c r="C582" s="55" t="n"/>
      <c r="D582" s="55" t="n"/>
      <c r="E582">
        <f>IF(OR(A582="",B582=""),"",B582-A582)</f>
        <v/>
      </c>
      <c r="F582" s="55" t="n"/>
    </row>
    <row r="583">
      <c r="A583" s="54" t="n"/>
      <c r="B583" s="54" t="n"/>
      <c r="C583" s="55" t="n"/>
      <c r="D583" s="55" t="n"/>
      <c r="E583">
        <f>IF(OR(A583="",B583=""),"",B583-A583)</f>
        <v/>
      </c>
      <c r="F583" s="55" t="n"/>
    </row>
    <row r="584">
      <c r="A584" s="54" t="n"/>
      <c r="B584" s="54" t="n"/>
      <c r="C584" s="55" t="n"/>
      <c r="D584" s="55" t="n"/>
      <c r="E584">
        <f>IF(OR(A584="",B584=""),"",B584-A584)</f>
        <v/>
      </c>
      <c r="F584" s="55" t="n"/>
    </row>
    <row r="585">
      <c r="A585" s="54" t="n"/>
      <c r="B585" s="54" t="n"/>
      <c r="C585" s="55" t="n"/>
      <c r="D585" s="55" t="n"/>
      <c r="E585">
        <f>IF(OR(A585="",B585=""),"",B585-A585)</f>
        <v/>
      </c>
      <c r="F585" s="55" t="n"/>
    </row>
    <row r="586">
      <c r="A586" s="54" t="n"/>
      <c r="B586" s="54" t="n"/>
      <c r="C586" s="55" t="n"/>
      <c r="D586" s="55" t="n"/>
      <c r="E586">
        <f>IF(OR(A586="",B586=""),"",B586-A586)</f>
        <v/>
      </c>
      <c r="F586" s="55" t="n"/>
    </row>
    <row r="587">
      <c r="A587" s="54" t="n"/>
      <c r="B587" s="54" t="n"/>
      <c r="C587" s="55" t="n"/>
      <c r="D587" s="55" t="n"/>
      <c r="E587">
        <f>IF(OR(A587="",B587=""),"",B587-A587)</f>
        <v/>
      </c>
      <c r="F587" s="55" t="n"/>
    </row>
    <row r="588">
      <c r="A588" s="54" t="n"/>
      <c r="B588" s="54" t="n"/>
      <c r="C588" s="55" t="n"/>
      <c r="D588" s="55" t="n"/>
      <c r="E588">
        <f>IF(OR(A588="",B588=""),"",B588-A588)</f>
        <v/>
      </c>
      <c r="F588" s="55" t="n"/>
    </row>
    <row r="589">
      <c r="A589" s="54" t="n"/>
      <c r="B589" s="54" t="n"/>
      <c r="C589" s="55" t="n"/>
      <c r="D589" s="55" t="n"/>
      <c r="E589">
        <f>IF(OR(A589="",B589=""),"",B589-A589)</f>
        <v/>
      </c>
      <c r="F589" s="55" t="n"/>
    </row>
    <row r="590">
      <c r="A590" s="54" t="n"/>
      <c r="B590" s="54" t="n"/>
      <c r="C590" s="55" t="n"/>
      <c r="D590" s="55" t="n"/>
      <c r="E590">
        <f>IF(OR(A590="",B590=""),"",B590-A590)</f>
        <v/>
      </c>
      <c r="F590" s="55" t="n"/>
    </row>
    <row r="591">
      <c r="A591" s="54" t="n"/>
      <c r="B591" s="54" t="n"/>
      <c r="C591" s="55" t="n"/>
      <c r="D591" s="55" t="n"/>
      <c r="E591">
        <f>IF(OR(A591="",B591=""),"",B591-A591)</f>
        <v/>
      </c>
      <c r="F591" s="55" t="n"/>
    </row>
    <row r="592">
      <c r="A592" s="54" t="n"/>
      <c r="B592" s="54" t="n"/>
      <c r="C592" s="55" t="n"/>
      <c r="D592" s="55" t="n"/>
      <c r="E592">
        <f>IF(OR(A592="",B592=""),"",B592-A592)</f>
        <v/>
      </c>
      <c r="F592" s="55" t="n"/>
    </row>
    <row r="593">
      <c r="A593" s="54" t="n"/>
      <c r="B593" s="54" t="n"/>
      <c r="C593" s="55" t="n"/>
      <c r="D593" s="55" t="n"/>
      <c r="E593">
        <f>IF(OR(A593="",B593=""),"",B593-A593)</f>
        <v/>
      </c>
      <c r="F593" s="55" t="n"/>
    </row>
    <row r="594">
      <c r="A594" s="54" t="n"/>
      <c r="B594" s="54" t="n"/>
      <c r="C594" s="55" t="n"/>
      <c r="D594" s="55" t="n"/>
      <c r="E594">
        <f>IF(OR(A594="",B594=""),"",B594-A594)</f>
        <v/>
      </c>
      <c r="F594" s="55" t="n"/>
    </row>
    <row r="595">
      <c r="A595" s="54" t="n"/>
      <c r="B595" s="54" t="n"/>
      <c r="C595" s="55" t="n"/>
      <c r="D595" s="55" t="n"/>
      <c r="E595">
        <f>IF(OR(A595="",B595=""),"",B595-A595)</f>
        <v/>
      </c>
      <c r="F595" s="55" t="n"/>
    </row>
    <row r="596">
      <c r="A596" s="54" t="n"/>
      <c r="B596" s="54" t="n"/>
      <c r="C596" s="55" t="n"/>
      <c r="D596" s="55" t="n"/>
      <c r="E596">
        <f>IF(OR(A596="",B596=""),"",B596-A596)</f>
        <v/>
      </c>
      <c r="F596" s="55" t="n"/>
    </row>
    <row r="597">
      <c r="A597" s="54" t="n"/>
      <c r="B597" s="54" t="n"/>
      <c r="C597" s="55" t="n"/>
      <c r="D597" s="55" t="n"/>
      <c r="E597">
        <f>IF(OR(A597="",B597=""),"",B597-A597)</f>
        <v/>
      </c>
      <c r="F597" s="55" t="n"/>
    </row>
    <row r="598">
      <c r="A598" s="54" t="n"/>
      <c r="B598" s="54" t="n"/>
      <c r="C598" s="55" t="n"/>
      <c r="D598" s="55" t="n"/>
      <c r="E598">
        <f>IF(OR(A598="",B598=""),"",B598-A598)</f>
        <v/>
      </c>
      <c r="F598" s="55" t="n"/>
    </row>
    <row r="599">
      <c r="A599" s="54" t="n"/>
      <c r="B599" s="54" t="n"/>
      <c r="C599" s="55" t="n"/>
      <c r="D599" s="55" t="n"/>
      <c r="E599">
        <f>IF(OR(A599="",B599=""),"",B599-A599)</f>
        <v/>
      </c>
      <c r="F599" s="55" t="n"/>
    </row>
    <row r="600">
      <c r="A600" s="54" t="n"/>
      <c r="B600" s="54" t="n"/>
      <c r="C600" s="55" t="n"/>
      <c r="D600" s="55" t="n"/>
      <c r="E600">
        <f>IF(OR(A600="",B600=""),"",B600-A600)</f>
        <v/>
      </c>
      <c r="F600" s="55" t="n"/>
    </row>
    <row r="601">
      <c r="A601" s="54" t="n"/>
      <c r="B601" s="54" t="n"/>
      <c r="C601" s="55" t="n"/>
      <c r="D601" s="55" t="n"/>
      <c r="E601">
        <f>IF(OR(A601="",B601=""),"",B601-A601)</f>
        <v/>
      </c>
      <c r="F601" s="55" t="n"/>
    </row>
    <row r="602">
      <c r="A602" s="54" t="n"/>
      <c r="B602" s="54" t="n"/>
      <c r="C602" s="55" t="n"/>
      <c r="D602" s="55" t="n"/>
      <c r="E602">
        <f>IF(OR(A602="",B602=""),"",B602-A602)</f>
        <v/>
      </c>
      <c r="F602" s="55" t="n"/>
    </row>
    <row r="603">
      <c r="A603" s="54" t="n"/>
      <c r="B603" s="54" t="n"/>
      <c r="C603" s="55" t="n"/>
      <c r="D603" s="55" t="n"/>
      <c r="E603">
        <f>IF(OR(A603="",B603=""),"",B603-A603)</f>
        <v/>
      </c>
      <c r="F603" s="55" t="n"/>
    </row>
    <row r="604">
      <c r="A604" s="54" t="n"/>
      <c r="B604" s="54" t="n"/>
      <c r="C604" s="55" t="n"/>
      <c r="D604" s="55" t="n"/>
      <c r="E604">
        <f>IF(OR(A604="",B604=""),"",B604-A604)</f>
        <v/>
      </c>
      <c r="F604" s="55" t="n"/>
    </row>
    <row r="605">
      <c r="A605" s="54" t="n"/>
      <c r="B605" s="54" t="n"/>
      <c r="C605" s="55" t="n"/>
      <c r="D605" s="55" t="n"/>
      <c r="E605">
        <f>IF(OR(A605="",B605=""),"",B605-A605)</f>
        <v/>
      </c>
      <c r="F605" s="55" t="n"/>
    </row>
    <row r="606">
      <c r="A606" s="54" t="n"/>
      <c r="B606" s="54" t="n"/>
      <c r="C606" s="55" t="n"/>
      <c r="D606" s="55" t="n"/>
      <c r="E606">
        <f>IF(OR(A606="",B606=""),"",B606-A606)</f>
        <v/>
      </c>
      <c r="F606" s="55" t="n"/>
    </row>
    <row r="607">
      <c r="A607" s="54" t="n"/>
      <c r="B607" s="54" t="n"/>
      <c r="C607" s="55" t="n"/>
      <c r="D607" s="55" t="n"/>
      <c r="E607">
        <f>IF(OR(A607="",B607=""),"",B607-A607)</f>
        <v/>
      </c>
      <c r="F607" s="55" t="n"/>
    </row>
    <row r="608">
      <c r="A608" s="54" t="n"/>
      <c r="B608" s="54" t="n"/>
      <c r="C608" s="55" t="n"/>
      <c r="D608" s="55" t="n"/>
      <c r="E608">
        <f>IF(OR(A608="",B608=""),"",B608-A608)</f>
        <v/>
      </c>
      <c r="F608" s="55" t="n"/>
    </row>
    <row r="609">
      <c r="A609" s="54" t="n"/>
      <c r="B609" s="54" t="n"/>
      <c r="C609" s="55" t="n"/>
      <c r="D609" s="55" t="n"/>
      <c r="E609">
        <f>IF(OR(A609="",B609=""),"",B609-A609)</f>
        <v/>
      </c>
      <c r="F609" s="55" t="n"/>
    </row>
    <row r="610">
      <c r="A610" s="54" t="n"/>
      <c r="B610" s="54" t="n"/>
      <c r="C610" s="55" t="n"/>
      <c r="D610" s="55" t="n"/>
      <c r="E610">
        <f>IF(OR(A610="",B610=""),"",B610-A610)</f>
        <v/>
      </c>
      <c r="F610" s="55" t="n"/>
    </row>
    <row r="611">
      <c r="A611" s="54" t="n"/>
      <c r="B611" s="54" t="n"/>
      <c r="C611" s="55" t="n"/>
      <c r="D611" s="55" t="n"/>
      <c r="E611">
        <f>IF(OR(A611="",B611=""),"",B611-A611)</f>
        <v/>
      </c>
      <c r="F611" s="55" t="n"/>
    </row>
    <row r="612">
      <c r="A612" s="54" t="n"/>
      <c r="B612" s="54" t="n"/>
      <c r="C612" s="55" t="n"/>
      <c r="D612" s="55" t="n"/>
      <c r="E612">
        <f>IF(OR(A612="",B612=""),"",B612-A612)</f>
        <v/>
      </c>
      <c r="F612" s="55" t="n"/>
    </row>
    <row r="613">
      <c r="A613" s="54" t="n"/>
      <c r="B613" s="54" t="n"/>
      <c r="C613" s="55" t="n"/>
      <c r="D613" s="55" t="n"/>
      <c r="E613">
        <f>IF(OR(A613="",B613=""),"",B613-A613)</f>
        <v/>
      </c>
      <c r="F613" s="55" t="n"/>
    </row>
    <row r="614">
      <c r="A614" s="54" t="n"/>
      <c r="B614" s="54" t="n"/>
      <c r="C614" s="55" t="n"/>
      <c r="D614" s="55" t="n"/>
      <c r="E614">
        <f>IF(OR(A614="",B614=""),"",B614-A614)</f>
        <v/>
      </c>
      <c r="F614" s="55" t="n"/>
    </row>
    <row r="615">
      <c r="A615" s="54" t="n"/>
      <c r="B615" s="54" t="n"/>
      <c r="C615" s="55" t="n"/>
      <c r="D615" s="55" t="n"/>
      <c r="E615">
        <f>IF(OR(A615="",B615=""),"",B615-A615)</f>
        <v/>
      </c>
      <c r="F615" s="55" t="n"/>
    </row>
    <row r="616">
      <c r="A616" s="54" t="n"/>
      <c r="B616" s="54" t="n"/>
      <c r="C616" s="55" t="n"/>
      <c r="D616" s="55" t="n"/>
      <c r="E616">
        <f>IF(OR(A616="",B616=""),"",B616-A616)</f>
        <v/>
      </c>
      <c r="F616" s="55" t="n"/>
    </row>
    <row r="617">
      <c r="A617" s="54" t="n"/>
      <c r="B617" s="54" t="n"/>
      <c r="C617" s="55" t="n"/>
      <c r="D617" s="55" t="n"/>
      <c r="E617">
        <f>IF(OR(A617="",B617=""),"",B617-A617)</f>
        <v/>
      </c>
      <c r="F617" s="55" t="n"/>
    </row>
    <row r="618">
      <c r="A618" s="54" t="n"/>
      <c r="B618" s="54" t="n"/>
      <c r="C618" s="55" t="n"/>
      <c r="D618" s="55" t="n"/>
      <c r="E618">
        <f>IF(OR(A618="",B618=""),"",B618-A618)</f>
        <v/>
      </c>
      <c r="F618" s="55" t="n"/>
    </row>
    <row r="619">
      <c r="A619" s="54" t="n"/>
      <c r="B619" s="54" t="n"/>
      <c r="C619" s="55" t="n"/>
      <c r="D619" s="55" t="n"/>
      <c r="E619">
        <f>IF(OR(A619="",B619=""),"",B619-A619)</f>
        <v/>
      </c>
      <c r="F619" s="55" t="n"/>
    </row>
    <row r="620">
      <c r="A620" s="54" t="n"/>
      <c r="B620" s="54" t="n"/>
      <c r="C620" s="55" t="n"/>
      <c r="D620" s="55" t="n"/>
      <c r="E620">
        <f>IF(OR(A620="",B620=""),"",B620-A620)</f>
        <v/>
      </c>
      <c r="F620" s="55" t="n"/>
    </row>
    <row r="621">
      <c r="A621" s="54" t="n"/>
      <c r="B621" s="54" t="n"/>
      <c r="C621" s="55" t="n"/>
      <c r="D621" s="55" t="n"/>
      <c r="E621">
        <f>IF(OR(A621="",B621=""),"",B621-A621)</f>
        <v/>
      </c>
      <c r="F621" s="55" t="n"/>
    </row>
    <row r="622">
      <c r="A622" s="54" t="n"/>
      <c r="B622" s="54" t="n"/>
      <c r="C622" s="55" t="n"/>
      <c r="D622" s="55" t="n"/>
      <c r="E622">
        <f>IF(OR(A622="",B622=""),"",B622-A622)</f>
        <v/>
      </c>
      <c r="F622" s="55" t="n"/>
    </row>
    <row r="623">
      <c r="A623" s="54" t="n"/>
      <c r="B623" s="54" t="n"/>
      <c r="C623" s="55" t="n"/>
      <c r="D623" s="55" t="n"/>
      <c r="E623">
        <f>IF(OR(A623="",B623=""),"",B623-A623)</f>
        <v/>
      </c>
      <c r="F623" s="55" t="n"/>
    </row>
    <row r="624">
      <c r="A624" s="54" t="n"/>
      <c r="B624" s="54" t="n"/>
      <c r="C624" s="55" t="n"/>
      <c r="D624" s="55" t="n"/>
      <c r="E624">
        <f>IF(OR(A624="",B624=""),"",B624-A624)</f>
        <v/>
      </c>
      <c r="F624" s="55" t="n"/>
    </row>
    <row r="625">
      <c r="A625" s="54" t="n"/>
      <c r="B625" s="54" t="n"/>
      <c r="C625" s="55" t="n"/>
      <c r="D625" s="55" t="n"/>
      <c r="E625">
        <f>IF(OR(A625="",B625=""),"",B625-A625)</f>
        <v/>
      </c>
      <c r="F625" s="55" t="n"/>
    </row>
    <row r="626">
      <c r="A626" s="54" t="n"/>
      <c r="B626" s="54" t="n"/>
      <c r="C626" s="55" t="n"/>
      <c r="D626" s="55" t="n"/>
      <c r="E626">
        <f>IF(OR(A626="",B626=""),"",B626-A626)</f>
        <v/>
      </c>
      <c r="F626" s="55" t="n"/>
    </row>
    <row r="627">
      <c r="A627" s="54" t="n"/>
      <c r="B627" s="54" t="n"/>
      <c r="C627" s="55" t="n"/>
      <c r="D627" s="55" t="n"/>
      <c r="E627">
        <f>IF(OR(A627="",B627=""),"",B627-A627)</f>
        <v/>
      </c>
      <c r="F627" s="55" t="n"/>
    </row>
    <row r="628">
      <c r="A628" s="54" t="n"/>
      <c r="B628" s="54" t="n"/>
      <c r="C628" s="55" t="n"/>
      <c r="D628" s="55" t="n"/>
      <c r="E628">
        <f>IF(OR(A628="",B628=""),"",B628-A628)</f>
        <v/>
      </c>
      <c r="F628" s="55" t="n"/>
    </row>
    <row r="629">
      <c r="A629" s="54" t="n"/>
      <c r="B629" s="54" t="n"/>
      <c r="C629" s="55" t="n"/>
      <c r="D629" s="55" t="n"/>
      <c r="E629">
        <f>IF(OR(A629="",B629=""),"",B629-A629)</f>
        <v/>
      </c>
      <c r="F629" s="55" t="n"/>
    </row>
    <row r="630">
      <c r="A630" s="54" t="n"/>
      <c r="B630" s="54" t="n"/>
      <c r="C630" s="55" t="n"/>
      <c r="D630" s="55" t="n"/>
      <c r="E630">
        <f>IF(OR(A630="",B630=""),"",B630-A630)</f>
        <v/>
      </c>
      <c r="F630" s="55" t="n"/>
    </row>
    <row r="631">
      <c r="A631" s="54" t="n"/>
      <c r="B631" s="54" t="n"/>
      <c r="C631" s="55" t="n"/>
      <c r="D631" s="55" t="n"/>
      <c r="E631">
        <f>IF(OR(A631="",B631=""),"",B631-A631)</f>
        <v/>
      </c>
      <c r="F631" s="55" t="n"/>
    </row>
    <row r="632">
      <c r="A632" s="54" t="n"/>
      <c r="B632" s="54" t="n"/>
      <c r="C632" s="55" t="n"/>
      <c r="D632" s="55" t="n"/>
      <c r="E632">
        <f>IF(OR(A632="",B632=""),"",B632-A632)</f>
        <v/>
      </c>
      <c r="F632" s="55" t="n"/>
    </row>
    <row r="633">
      <c r="A633" s="54" t="n"/>
      <c r="B633" s="54" t="n"/>
      <c r="C633" s="55" t="n"/>
      <c r="D633" s="55" t="n"/>
      <c r="E633">
        <f>IF(OR(A633="",B633=""),"",B633-A633)</f>
        <v/>
      </c>
      <c r="F633" s="55" t="n"/>
    </row>
    <row r="634">
      <c r="A634" s="54" t="n"/>
      <c r="B634" s="54" t="n"/>
      <c r="C634" s="55" t="n"/>
      <c r="D634" s="55" t="n"/>
      <c r="E634">
        <f>IF(OR(A634="",B634=""),"",B634-A634)</f>
        <v/>
      </c>
      <c r="F634" s="55" t="n"/>
    </row>
    <row r="635">
      <c r="A635" s="54" t="n"/>
      <c r="B635" s="54" t="n"/>
      <c r="C635" s="55" t="n"/>
      <c r="D635" s="55" t="n"/>
      <c r="E635">
        <f>IF(OR(A635="",B635=""),"",B635-A635)</f>
        <v/>
      </c>
      <c r="F635" s="55" t="n"/>
    </row>
    <row r="636">
      <c r="A636" s="54" t="n"/>
      <c r="B636" s="54" t="n"/>
      <c r="C636" s="55" t="n"/>
      <c r="D636" s="55" t="n"/>
      <c r="E636">
        <f>IF(OR(A636="",B636=""),"",B636-A636)</f>
        <v/>
      </c>
      <c r="F636" s="55" t="n"/>
    </row>
    <row r="637">
      <c r="A637" s="54" t="n"/>
      <c r="B637" s="54" t="n"/>
      <c r="C637" s="55" t="n"/>
      <c r="D637" s="55" t="n"/>
      <c r="E637">
        <f>IF(OR(A637="",B637=""),"",B637-A637)</f>
        <v/>
      </c>
      <c r="F637" s="55" t="n"/>
    </row>
    <row r="638">
      <c r="A638" s="54" t="n"/>
      <c r="B638" s="54" t="n"/>
      <c r="C638" s="55" t="n"/>
      <c r="D638" s="55" t="n"/>
      <c r="E638">
        <f>IF(OR(A638="",B638=""),"",B638-A638)</f>
        <v/>
      </c>
      <c r="F638" s="55" t="n"/>
    </row>
    <row r="639">
      <c r="A639" s="54" t="n"/>
      <c r="B639" s="54" t="n"/>
      <c r="C639" s="55" t="n"/>
      <c r="D639" s="55" t="n"/>
      <c r="E639">
        <f>IF(OR(A639="",B639=""),"",B639-A639)</f>
        <v/>
      </c>
      <c r="F639" s="55" t="n"/>
    </row>
    <row r="640">
      <c r="A640" s="54" t="n"/>
      <c r="B640" s="54" t="n"/>
      <c r="C640" s="55" t="n"/>
      <c r="D640" s="55" t="n"/>
      <c r="E640">
        <f>IF(OR(A640="",B640=""),"",B640-A640)</f>
        <v/>
      </c>
      <c r="F640" s="55" t="n"/>
    </row>
    <row r="641">
      <c r="A641" s="54" t="n"/>
      <c r="B641" s="54" t="n"/>
      <c r="C641" s="55" t="n"/>
      <c r="D641" s="55" t="n"/>
      <c r="E641">
        <f>IF(OR(A641="",B641=""),"",B641-A641)</f>
        <v/>
      </c>
      <c r="F641" s="55" t="n"/>
    </row>
    <row r="642">
      <c r="A642" s="54" t="n"/>
      <c r="B642" s="54" t="n"/>
      <c r="C642" s="55" t="n"/>
      <c r="D642" s="55" t="n"/>
      <c r="E642">
        <f>IF(OR(A642="",B642=""),"",B642-A642)</f>
        <v/>
      </c>
      <c r="F642" s="55" t="n"/>
    </row>
    <row r="643">
      <c r="A643" s="54" t="n"/>
      <c r="B643" s="54" t="n"/>
      <c r="C643" s="55" t="n"/>
      <c r="D643" s="55" t="n"/>
      <c r="E643">
        <f>IF(OR(A643="",B643=""),"",B643-A643)</f>
        <v/>
      </c>
      <c r="F643" s="55" t="n"/>
    </row>
    <row r="644">
      <c r="A644" s="54" t="n"/>
      <c r="B644" s="54" t="n"/>
      <c r="C644" s="55" t="n"/>
      <c r="D644" s="55" t="n"/>
      <c r="E644">
        <f>IF(OR(A644="",B644=""),"",B644-A644)</f>
        <v/>
      </c>
      <c r="F644" s="55" t="n"/>
    </row>
    <row r="645">
      <c r="A645" s="54" t="n"/>
      <c r="B645" s="54" t="n"/>
      <c r="C645" s="55" t="n"/>
      <c r="D645" s="55" t="n"/>
      <c r="E645">
        <f>IF(OR(A645="",B645=""),"",B645-A645)</f>
        <v/>
      </c>
      <c r="F645" s="55" t="n"/>
    </row>
    <row r="646">
      <c r="A646" s="54" t="n"/>
      <c r="B646" s="54" t="n"/>
      <c r="C646" s="55" t="n"/>
      <c r="D646" s="55" t="n"/>
      <c r="E646">
        <f>IF(OR(A646="",B646=""),"",B646-A646)</f>
        <v/>
      </c>
      <c r="F646" s="55" t="n"/>
    </row>
    <row r="647">
      <c r="A647" s="54" t="n"/>
      <c r="B647" s="54" t="n"/>
      <c r="C647" s="55" t="n"/>
      <c r="D647" s="55" t="n"/>
      <c r="E647">
        <f>IF(OR(A647="",B647=""),"",B647-A647)</f>
        <v/>
      </c>
      <c r="F647" s="55" t="n"/>
    </row>
    <row r="648">
      <c r="A648" s="54" t="n"/>
      <c r="B648" s="54" t="n"/>
      <c r="C648" s="55" t="n"/>
      <c r="D648" s="55" t="n"/>
      <c r="E648">
        <f>IF(OR(A648="",B648=""),"",B648-A648)</f>
        <v/>
      </c>
      <c r="F648" s="55" t="n"/>
    </row>
    <row r="649">
      <c r="A649" s="54" t="n"/>
      <c r="B649" s="54" t="n"/>
      <c r="C649" s="55" t="n"/>
      <c r="D649" s="55" t="n"/>
      <c r="E649">
        <f>IF(OR(A649="",B649=""),"",B649-A649)</f>
        <v/>
      </c>
      <c r="F649" s="55" t="n"/>
    </row>
    <row r="650">
      <c r="A650" s="54" t="n"/>
      <c r="B650" s="54" t="n"/>
      <c r="C650" s="55" t="n"/>
      <c r="D650" s="55" t="n"/>
      <c r="E650">
        <f>IF(OR(A650="",B650=""),"",B650-A650)</f>
        <v/>
      </c>
      <c r="F650" s="55" t="n"/>
    </row>
    <row r="651">
      <c r="A651" s="54" t="n"/>
      <c r="B651" s="54" t="n"/>
      <c r="C651" s="55" t="n"/>
      <c r="D651" s="55" t="n"/>
      <c r="E651">
        <f>IF(OR(A651="",B651=""),"",B651-A651)</f>
        <v/>
      </c>
      <c r="F651" s="55" t="n"/>
    </row>
    <row r="652">
      <c r="A652" s="54" t="n"/>
      <c r="B652" s="54" t="n"/>
      <c r="C652" s="55" t="n"/>
      <c r="D652" s="55" t="n"/>
      <c r="E652">
        <f>IF(OR(A652="",B652=""),"",B652-A652)</f>
        <v/>
      </c>
      <c r="F652" s="55" t="n"/>
    </row>
    <row r="653">
      <c r="A653" s="54" t="n"/>
      <c r="B653" s="54" t="n"/>
      <c r="C653" s="55" t="n"/>
      <c r="D653" s="55" t="n"/>
      <c r="E653">
        <f>IF(OR(A653="",B653=""),"",B653-A653)</f>
        <v/>
      </c>
      <c r="F653" s="55" t="n"/>
    </row>
    <row r="654">
      <c r="A654" s="54" t="n"/>
      <c r="B654" s="54" t="n"/>
      <c r="C654" s="55" t="n"/>
      <c r="D654" s="55" t="n"/>
      <c r="E654">
        <f>IF(OR(A654="",B654=""),"",B654-A654)</f>
        <v/>
      </c>
      <c r="F654" s="55" t="n"/>
    </row>
    <row r="655">
      <c r="A655" s="54" t="n"/>
      <c r="B655" s="54" t="n"/>
      <c r="C655" s="55" t="n"/>
      <c r="D655" s="55" t="n"/>
      <c r="E655">
        <f>IF(OR(A655="",B655=""),"",B655-A655)</f>
        <v/>
      </c>
      <c r="F655" s="55" t="n"/>
    </row>
    <row r="656">
      <c r="A656" s="54" t="n"/>
      <c r="B656" s="54" t="n"/>
      <c r="C656" s="55" t="n"/>
      <c r="D656" s="55" t="n"/>
      <c r="E656">
        <f>IF(OR(A656="",B656=""),"",B656-A656)</f>
        <v/>
      </c>
      <c r="F656" s="55" t="n"/>
    </row>
    <row r="657">
      <c r="A657" s="54" t="n"/>
      <c r="B657" s="54" t="n"/>
      <c r="C657" s="55" t="n"/>
      <c r="D657" s="55" t="n"/>
      <c r="E657">
        <f>IF(OR(A657="",B657=""),"",B657-A657)</f>
        <v/>
      </c>
      <c r="F657" s="55" t="n"/>
    </row>
    <row r="658">
      <c r="A658" s="54" t="n"/>
      <c r="B658" s="54" t="n"/>
      <c r="C658" s="55" t="n"/>
      <c r="D658" s="55" t="n"/>
      <c r="E658">
        <f>IF(OR(A658="",B658=""),"",B658-A658)</f>
        <v/>
      </c>
      <c r="F658" s="55" t="n"/>
    </row>
    <row r="659">
      <c r="A659" s="54" t="n"/>
      <c r="B659" s="54" t="n"/>
      <c r="C659" s="55" t="n"/>
      <c r="D659" s="55" t="n"/>
      <c r="E659">
        <f>IF(OR(A659="",B659=""),"",B659-A659)</f>
        <v/>
      </c>
      <c r="F659" s="55" t="n"/>
    </row>
    <row r="660">
      <c r="A660" s="54" t="n"/>
      <c r="B660" s="54" t="n"/>
      <c r="C660" s="55" t="n"/>
      <c r="D660" s="55" t="n"/>
      <c r="E660">
        <f>IF(OR(A660="",B660=""),"",B660-A660)</f>
        <v/>
      </c>
      <c r="F660" s="55" t="n"/>
    </row>
    <row r="661">
      <c r="A661" s="54" t="n"/>
      <c r="B661" s="54" t="n"/>
      <c r="C661" s="55" t="n"/>
      <c r="D661" s="55" t="n"/>
      <c r="E661">
        <f>IF(OR(A661="",B661=""),"",B661-A661)</f>
        <v/>
      </c>
      <c r="F661" s="55" t="n"/>
    </row>
    <row r="662">
      <c r="A662" s="54" t="n"/>
      <c r="B662" s="54" t="n"/>
      <c r="C662" s="55" t="n"/>
      <c r="D662" s="55" t="n"/>
      <c r="E662">
        <f>IF(OR(A662="",B662=""),"",B662-A662)</f>
        <v/>
      </c>
      <c r="F662" s="55" t="n"/>
    </row>
    <row r="663">
      <c r="A663" s="54" t="n"/>
      <c r="B663" s="54" t="n"/>
      <c r="C663" s="55" t="n"/>
      <c r="D663" s="55" t="n"/>
      <c r="E663">
        <f>IF(OR(A663="",B663=""),"",B663-A663)</f>
        <v/>
      </c>
      <c r="F663" s="55" t="n"/>
    </row>
    <row r="664">
      <c r="A664" s="54" t="n"/>
      <c r="B664" s="54" t="n"/>
      <c r="C664" s="55" t="n"/>
      <c r="D664" s="55" t="n"/>
      <c r="E664">
        <f>IF(OR(A664="",B664=""),"",B664-A664)</f>
        <v/>
      </c>
      <c r="F664" s="55" t="n"/>
    </row>
    <row r="665">
      <c r="A665" s="54" t="n"/>
      <c r="B665" s="54" t="n"/>
      <c r="C665" s="55" t="n"/>
      <c r="D665" s="55" t="n"/>
      <c r="E665">
        <f>IF(OR(A665="",B665=""),"",B665-A665)</f>
        <v/>
      </c>
      <c r="F665" s="55" t="n"/>
    </row>
    <row r="666">
      <c r="A666" s="54" t="n"/>
      <c r="B666" s="54" t="n"/>
      <c r="C666" s="55" t="n"/>
      <c r="D666" s="55" t="n"/>
      <c r="E666">
        <f>IF(OR(A666="",B666=""),"",B666-A666)</f>
        <v/>
      </c>
      <c r="F666" s="55" t="n"/>
    </row>
    <row r="667">
      <c r="A667" s="54" t="n"/>
      <c r="B667" s="54" t="n"/>
      <c r="C667" s="55" t="n"/>
      <c r="D667" s="55" t="n"/>
      <c r="E667">
        <f>IF(OR(A667="",B667=""),"",B667-A667)</f>
        <v/>
      </c>
      <c r="F667" s="55" t="n"/>
    </row>
    <row r="668">
      <c r="A668" s="54" t="n"/>
      <c r="B668" s="54" t="n"/>
      <c r="C668" s="55" t="n"/>
      <c r="D668" s="55" t="n"/>
      <c r="E668">
        <f>IF(OR(A668="",B668=""),"",B668-A668)</f>
        <v/>
      </c>
      <c r="F668" s="55" t="n"/>
    </row>
    <row r="669">
      <c r="A669" s="54" t="n"/>
      <c r="B669" s="54" t="n"/>
      <c r="C669" s="55" t="n"/>
      <c r="D669" s="55" t="n"/>
      <c r="E669">
        <f>IF(OR(A669="",B669=""),"",B669-A669)</f>
        <v/>
      </c>
      <c r="F669" s="55" t="n"/>
    </row>
    <row r="670">
      <c r="A670" s="54" t="n"/>
      <c r="B670" s="54" t="n"/>
      <c r="C670" s="55" t="n"/>
      <c r="D670" s="55" t="n"/>
      <c r="E670">
        <f>IF(OR(A670="",B670=""),"",B670-A670)</f>
        <v/>
      </c>
      <c r="F670" s="55" t="n"/>
    </row>
    <row r="671">
      <c r="A671" s="54" t="n"/>
      <c r="B671" s="54" t="n"/>
      <c r="C671" s="55" t="n"/>
      <c r="D671" s="55" t="n"/>
      <c r="E671">
        <f>IF(OR(A671="",B671=""),"",B671-A671)</f>
        <v/>
      </c>
      <c r="F671" s="55" t="n"/>
    </row>
    <row r="672">
      <c r="A672" s="54" t="n"/>
      <c r="B672" s="54" t="n"/>
      <c r="C672" s="55" t="n"/>
      <c r="D672" s="55" t="n"/>
      <c r="E672">
        <f>IF(OR(A672="",B672=""),"",B672-A672)</f>
        <v/>
      </c>
      <c r="F672" s="55" t="n"/>
    </row>
    <row r="673">
      <c r="A673" s="54" t="n"/>
      <c r="B673" s="54" t="n"/>
      <c r="C673" s="55" t="n"/>
      <c r="D673" s="55" t="n"/>
      <c r="E673">
        <f>IF(OR(A673="",B673=""),"",B673-A673)</f>
        <v/>
      </c>
      <c r="F673" s="55" t="n"/>
    </row>
    <row r="674">
      <c r="A674" s="54" t="n"/>
      <c r="B674" s="54" t="n"/>
      <c r="C674" s="55" t="n"/>
      <c r="D674" s="55" t="n"/>
      <c r="E674">
        <f>IF(OR(A674="",B674=""),"",B674-A674)</f>
        <v/>
      </c>
      <c r="F674" s="55" t="n"/>
    </row>
    <row r="675">
      <c r="A675" s="54" t="n"/>
      <c r="B675" s="54" t="n"/>
      <c r="C675" s="55" t="n"/>
      <c r="D675" s="55" t="n"/>
      <c r="E675">
        <f>IF(OR(A675="",B675=""),"",B675-A675)</f>
        <v/>
      </c>
      <c r="F675" s="55" t="n"/>
    </row>
    <row r="676">
      <c r="A676" s="54" t="n"/>
      <c r="B676" s="54" t="n"/>
      <c r="C676" s="55" t="n"/>
      <c r="D676" s="55" t="n"/>
      <c r="E676">
        <f>IF(OR(A676="",B676=""),"",B676-A676)</f>
        <v/>
      </c>
      <c r="F676" s="55" t="n"/>
    </row>
    <row r="677">
      <c r="A677" s="54" t="n"/>
      <c r="B677" s="54" t="n"/>
      <c r="C677" s="55" t="n"/>
      <c r="D677" s="55" t="n"/>
      <c r="E677">
        <f>IF(OR(A677="",B677=""),"",B677-A677)</f>
        <v/>
      </c>
      <c r="F677" s="55" t="n"/>
    </row>
    <row r="678">
      <c r="A678" s="54" t="n"/>
      <c r="B678" s="54" t="n"/>
      <c r="C678" s="55" t="n"/>
      <c r="D678" s="55" t="n"/>
      <c r="E678">
        <f>IF(OR(A678="",B678=""),"",B678-A678)</f>
        <v/>
      </c>
      <c r="F678" s="55" t="n"/>
    </row>
    <row r="679">
      <c r="A679" s="54" t="n"/>
      <c r="B679" s="54" t="n"/>
      <c r="C679" s="55" t="n"/>
      <c r="D679" s="55" t="n"/>
      <c r="E679">
        <f>IF(OR(A679="",B679=""),"",B679-A679)</f>
        <v/>
      </c>
      <c r="F679" s="55" t="n"/>
    </row>
    <row r="680">
      <c r="A680" s="54" t="n"/>
      <c r="B680" s="54" t="n"/>
      <c r="C680" s="55" t="n"/>
      <c r="D680" s="55" t="n"/>
      <c r="E680">
        <f>IF(OR(A680="",B680=""),"",B680-A680)</f>
        <v/>
      </c>
      <c r="F680" s="55" t="n"/>
    </row>
    <row r="681">
      <c r="A681" s="54" t="n"/>
      <c r="B681" s="54" t="n"/>
      <c r="C681" s="55" t="n"/>
      <c r="D681" s="55" t="n"/>
      <c r="E681">
        <f>IF(OR(A681="",B681=""),"",B681-A681)</f>
        <v/>
      </c>
      <c r="F681" s="55" t="n"/>
    </row>
    <row r="682">
      <c r="A682" s="54" t="n"/>
      <c r="B682" s="54" t="n"/>
      <c r="C682" s="55" t="n"/>
      <c r="D682" s="55" t="n"/>
      <c r="E682">
        <f>IF(OR(A682="",B682=""),"",B682-A682)</f>
        <v/>
      </c>
      <c r="F682" s="55" t="n"/>
    </row>
    <row r="683">
      <c r="A683" s="54" t="n"/>
      <c r="B683" s="54" t="n"/>
      <c r="C683" s="55" t="n"/>
      <c r="D683" s="55" t="n"/>
      <c r="E683">
        <f>IF(OR(A683="",B683=""),"",B683-A683)</f>
        <v/>
      </c>
      <c r="F683" s="55" t="n"/>
    </row>
    <row r="684">
      <c r="A684" s="54" t="n"/>
      <c r="B684" s="54" t="n"/>
      <c r="C684" s="55" t="n"/>
      <c r="D684" s="55" t="n"/>
      <c r="E684">
        <f>IF(OR(A684="",B684=""),"",B684-A684)</f>
        <v/>
      </c>
      <c r="F684" s="55" t="n"/>
    </row>
    <row r="685">
      <c r="A685" s="54" t="n"/>
      <c r="B685" s="54" t="n"/>
      <c r="C685" s="55" t="n"/>
      <c r="D685" s="55" t="n"/>
      <c r="E685">
        <f>IF(OR(A685="",B685=""),"",B685-A685)</f>
        <v/>
      </c>
      <c r="F685" s="55" t="n"/>
    </row>
    <row r="686">
      <c r="A686" s="54" t="n"/>
      <c r="B686" s="54" t="n"/>
      <c r="C686" s="55" t="n"/>
      <c r="D686" s="55" t="n"/>
      <c r="E686">
        <f>IF(OR(A686="",B686=""),"",B686-A686)</f>
        <v/>
      </c>
      <c r="F686" s="55" t="n"/>
    </row>
    <row r="687">
      <c r="A687" s="54" t="n"/>
      <c r="B687" s="54" t="n"/>
      <c r="C687" s="55" t="n"/>
      <c r="D687" s="55" t="n"/>
      <c r="E687">
        <f>IF(OR(A687="",B687=""),"",B687-A687)</f>
        <v/>
      </c>
      <c r="F687" s="55" t="n"/>
    </row>
    <row r="688">
      <c r="A688" s="54" t="n"/>
      <c r="B688" s="54" t="n"/>
      <c r="C688" s="55" t="n"/>
      <c r="D688" s="55" t="n"/>
      <c r="E688">
        <f>IF(OR(A688="",B688=""),"",B688-A688)</f>
        <v/>
      </c>
      <c r="F688" s="55" t="n"/>
    </row>
    <row r="689">
      <c r="A689" s="54" t="n"/>
      <c r="B689" s="54" t="n"/>
      <c r="C689" s="55" t="n"/>
      <c r="D689" s="55" t="n"/>
      <c r="E689">
        <f>IF(OR(A689="",B689=""),"",B689-A689)</f>
        <v/>
      </c>
      <c r="F689" s="55" t="n"/>
    </row>
    <row r="690">
      <c r="A690" s="54" t="n"/>
      <c r="B690" s="54" t="n"/>
      <c r="C690" s="55" t="n"/>
      <c r="D690" s="55" t="n"/>
      <c r="E690">
        <f>IF(OR(A690="",B690=""),"",B690-A690)</f>
        <v/>
      </c>
      <c r="F690" s="55" t="n"/>
    </row>
    <row r="691">
      <c r="A691" s="54" t="n"/>
      <c r="B691" s="54" t="n"/>
      <c r="C691" s="55" t="n"/>
      <c r="D691" s="55" t="n"/>
      <c r="E691">
        <f>IF(OR(A691="",B691=""),"",B691-A691)</f>
        <v/>
      </c>
      <c r="F691" s="55" t="n"/>
    </row>
    <row r="692">
      <c r="A692" s="54" t="n"/>
      <c r="B692" s="54" t="n"/>
      <c r="C692" s="55" t="n"/>
      <c r="D692" s="55" t="n"/>
      <c r="E692">
        <f>IF(OR(A692="",B692=""),"",B692-A692)</f>
        <v/>
      </c>
      <c r="F692" s="55" t="n"/>
    </row>
    <row r="693">
      <c r="A693" s="54" t="n"/>
      <c r="B693" s="54" t="n"/>
      <c r="C693" s="55" t="n"/>
      <c r="D693" s="55" t="n"/>
      <c r="E693">
        <f>IF(OR(A693="",B693=""),"",B693-A693)</f>
        <v/>
      </c>
      <c r="F693" s="55" t="n"/>
    </row>
    <row r="694">
      <c r="A694" s="54" t="n"/>
      <c r="B694" s="54" t="n"/>
      <c r="C694" s="55" t="n"/>
      <c r="D694" s="55" t="n"/>
      <c r="E694">
        <f>IF(OR(A694="",B694=""),"",B694-A694)</f>
        <v/>
      </c>
      <c r="F694" s="55" t="n"/>
    </row>
    <row r="695">
      <c r="A695" s="54" t="n"/>
      <c r="B695" s="54" t="n"/>
      <c r="C695" s="55" t="n"/>
      <c r="D695" s="55" t="n"/>
      <c r="E695">
        <f>IF(OR(A695="",B695=""),"",B695-A695)</f>
        <v/>
      </c>
      <c r="F695" s="55" t="n"/>
    </row>
    <row r="696">
      <c r="A696" s="54" t="n"/>
      <c r="B696" s="54" t="n"/>
      <c r="C696" s="55" t="n"/>
      <c r="D696" s="55" t="n"/>
      <c r="E696">
        <f>IF(OR(A696="",B696=""),"",B696-A696)</f>
        <v/>
      </c>
      <c r="F696" s="55" t="n"/>
    </row>
    <row r="697">
      <c r="A697" s="54" t="n"/>
      <c r="B697" s="54" t="n"/>
      <c r="C697" s="55" t="n"/>
      <c r="D697" s="55" t="n"/>
      <c r="E697">
        <f>IF(OR(A697="",B697=""),"",B697-A697)</f>
        <v/>
      </c>
      <c r="F697" s="55" t="n"/>
    </row>
    <row r="698">
      <c r="A698" s="54" t="n"/>
      <c r="B698" s="54" t="n"/>
      <c r="C698" s="55" t="n"/>
      <c r="D698" s="55" t="n"/>
      <c r="E698">
        <f>IF(OR(A698="",B698=""),"",B698-A698)</f>
        <v/>
      </c>
      <c r="F698" s="55" t="n"/>
    </row>
    <row r="699">
      <c r="A699" s="54" t="n"/>
      <c r="B699" s="54" t="n"/>
      <c r="C699" s="55" t="n"/>
      <c r="D699" s="55" t="n"/>
      <c r="E699">
        <f>IF(OR(A699="",B699=""),"",B699-A699)</f>
        <v/>
      </c>
      <c r="F699" s="55" t="n"/>
    </row>
    <row r="700">
      <c r="A700" s="54" t="n"/>
      <c r="B700" s="54" t="n"/>
      <c r="C700" s="55" t="n"/>
      <c r="D700" s="55" t="n"/>
      <c r="E700">
        <f>IF(OR(A700="",B700=""),"",B700-A700)</f>
        <v/>
      </c>
      <c r="F700" s="55" t="n"/>
    </row>
    <row r="701">
      <c r="A701" s="54" t="n"/>
      <c r="B701" s="54" t="n"/>
      <c r="C701" s="55" t="n"/>
      <c r="D701" s="55" t="n"/>
      <c r="E701">
        <f>IF(OR(A701="",B701=""),"",B701-A701)</f>
        <v/>
      </c>
      <c r="F701" s="55" t="n"/>
    </row>
    <row r="702">
      <c r="A702" s="54" t="n"/>
      <c r="B702" s="54" t="n"/>
      <c r="C702" s="55" t="n"/>
      <c r="D702" s="55" t="n"/>
      <c r="E702">
        <f>IF(OR(A702="",B702=""),"",B702-A702)</f>
        <v/>
      </c>
      <c r="F702" s="55" t="n"/>
    </row>
    <row r="703">
      <c r="A703" s="54" t="n"/>
      <c r="B703" s="54" t="n"/>
      <c r="C703" s="55" t="n"/>
      <c r="D703" s="55" t="n"/>
      <c r="E703">
        <f>IF(OR(A703="",B703=""),"",B703-A703)</f>
        <v/>
      </c>
      <c r="F703" s="55" t="n"/>
    </row>
    <row r="704">
      <c r="A704" s="54" t="n"/>
      <c r="B704" s="54" t="n"/>
      <c r="C704" s="55" t="n"/>
      <c r="D704" s="55" t="n"/>
      <c r="E704">
        <f>IF(OR(A704="",B704=""),"",B704-A704)</f>
        <v/>
      </c>
      <c r="F704" s="55" t="n"/>
    </row>
    <row r="705">
      <c r="A705" s="54" t="n"/>
      <c r="B705" s="54" t="n"/>
      <c r="C705" s="55" t="n"/>
      <c r="D705" s="55" t="n"/>
      <c r="E705">
        <f>IF(OR(A705="",B705=""),"",B705-A705)</f>
        <v/>
      </c>
      <c r="F705" s="55" t="n"/>
    </row>
    <row r="706">
      <c r="A706" s="54" t="n"/>
      <c r="B706" s="54" t="n"/>
      <c r="C706" s="55" t="n"/>
      <c r="D706" s="55" t="n"/>
      <c r="E706">
        <f>IF(OR(A706="",B706=""),"",B706-A706)</f>
        <v/>
      </c>
      <c r="F706" s="55" t="n"/>
    </row>
    <row r="707">
      <c r="A707" s="54" t="n"/>
      <c r="B707" s="54" t="n"/>
      <c r="C707" s="55" t="n"/>
      <c r="D707" s="55" t="n"/>
      <c r="E707">
        <f>IF(OR(A707="",B707=""),"",B707-A707)</f>
        <v/>
      </c>
      <c r="F707" s="55" t="n"/>
    </row>
    <row r="708">
      <c r="A708" s="54" t="n"/>
      <c r="B708" s="54" t="n"/>
      <c r="C708" s="55" t="n"/>
      <c r="D708" s="55" t="n"/>
      <c r="E708">
        <f>IF(OR(A708="",B708=""),"",B708-A708)</f>
        <v/>
      </c>
      <c r="F708" s="55" t="n"/>
    </row>
    <row r="709">
      <c r="A709" s="54" t="n"/>
      <c r="B709" s="54" t="n"/>
      <c r="C709" s="55" t="n"/>
      <c r="D709" s="55" t="n"/>
      <c r="E709">
        <f>IF(OR(A709="",B709=""),"",B709-A709)</f>
        <v/>
      </c>
      <c r="F709" s="55" t="n"/>
    </row>
    <row r="710">
      <c r="A710" s="54" t="n"/>
      <c r="B710" s="54" t="n"/>
      <c r="C710" s="55" t="n"/>
      <c r="D710" s="55" t="n"/>
      <c r="E710">
        <f>IF(OR(A710="",B710=""),"",B710-A710)</f>
        <v/>
      </c>
      <c r="F710" s="55" t="n"/>
    </row>
    <row r="711">
      <c r="A711" s="54" t="n"/>
      <c r="B711" s="54" t="n"/>
      <c r="C711" s="55" t="n"/>
      <c r="D711" s="55" t="n"/>
      <c r="E711">
        <f>IF(OR(A711="",B711=""),"",B711-A711)</f>
        <v/>
      </c>
      <c r="F711" s="55" t="n"/>
    </row>
    <row r="712">
      <c r="A712" s="54" t="n"/>
      <c r="B712" s="54" t="n"/>
      <c r="C712" s="55" t="n"/>
      <c r="D712" s="55" t="n"/>
      <c r="E712">
        <f>IF(OR(A712="",B712=""),"",B712-A712)</f>
        <v/>
      </c>
      <c r="F712" s="55" t="n"/>
    </row>
    <row r="713">
      <c r="A713" s="54" t="n"/>
      <c r="B713" s="54" t="n"/>
      <c r="C713" s="55" t="n"/>
      <c r="D713" s="55" t="n"/>
      <c r="E713">
        <f>IF(OR(A713="",B713=""),"",B713-A713)</f>
        <v/>
      </c>
      <c r="F713" s="55" t="n"/>
    </row>
    <row r="714">
      <c r="A714" s="54" t="n"/>
      <c r="B714" s="54" t="n"/>
      <c r="C714" s="55" t="n"/>
      <c r="D714" s="55" t="n"/>
      <c r="E714">
        <f>IF(OR(A714="",B714=""),"",B714-A714)</f>
        <v/>
      </c>
      <c r="F714" s="55" t="n"/>
    </row>
    <row r="715">
      <c r="A715" s="54" t="n"/>
      <c r="B715" s="54" t="n"/>
      <c r="C715" s="55" t="n"/>
      <c r="D715" s="55" t="n"/>
      <c r="E715">
        <f>IF(OR(A715="",B715=""),"",B715-A715)</f>
        <v/>
      </c>
      <c r="F715" s="55" t="n"/>
    </row>
    <row r="716">
      <c r="A716" s="54" t="n"/>
      <c r="B716" s="54" t="n"/>
      <c r="C716" s="55" t="n"/>
      <c r="D716" s="55" t="n"/>
      <c r="E716">
        <f>IF(OR(A716="",B716=""),"",B716-A716)</f>
        <v/>
      </c>
      <c r="F716" s="55" t="n"/>
    </row>
    <row r="717">
      <c r="A717" s="54" t="n"/>
      <c r="B717" s="54" t="n"/>
      <c r="C717" s="55" t="n"/>
      <c r="D717" s="55" t="n"/>
      <c r="E717">
        <f>IF(OR(A717="",B717=""),"",B717-A717)</f>
        <v/>
      </c>
      <c r="F717" s="55" t="n"/>
    </row>
    <row r="718">
      <c r="A718" s="54" t="n"/>
      <c r="B718" s="54" t="n"/>
      <c r="C718" s="55" t="n"/>
      <c r="D718" s="55" t="n"/>
      <c r="E718">
        <f>IF(OR(A718="",B718=""),"",B718-A718)</f>
        <v/>
      </c>
      <c r="F718" s="55" t="n"/>
    </row>
    <row r="719">
      <c r="A719" s="54" t="n"/>
      <c r="B719" s="54" t="n"/>
      <c r="C719" s="55" t="n"/>
      <c r="D719" s="55" t="n"/>
      <c r="E719">
        <f>IF(OR(A719="",B719=""),"",B719-A719)</f>
        <v/>
      </c>
      <c r="F719" s="55" t="n"/>
    </row>
    <row r="720">
      <c r="A720" s="54" t="n"/>
      <c r="B720" s="54" t="n"/>
      <c r="C720" s="55" t="n"/>
      <c r="D720" s="55" t="n"/>
      <c r="E720">
        <f>IF(OR(A720="",B720=""),"",B720-A720)</f>
        <v/>
      </c>
      <c r="F720" s="55" t="n"/>
    </row>
    <row r="721">
      <c r="A721" s="54" t="n"/>
      <c r="B721" s="54" t="n"/>
      <c r="C721" s="55" t="n"/>
      <c r="D721" s="55" t="n"/>
      <c r="E721">
        <f>IF(OR(A721="",B721=""),"",B721-A721)</f>
        <v/>
      </c>
      <c r="F721" s="55" t="n"/>
    </row>
    <row r="722">
      <c r="A722" s="54" t="n"/>
      <c r="B722" s="54" t="n"/>
      <c r="C722" s="55" t="n"/>
      <c r="D722" s="55" t="n"/>
      <c r="E722">
        <f>IF(OR(A722="",B722=""),"",B722-A722)</f>
        <v/>
      </c>
      <c r="F722" s="55" t="n"/>
    </row>
    <row r="723">
      <c r="A723" s="54" t="n"/>
      <c r="B723" s="54" t="n"/>
      <c r="C723" s="55" t="n"/>
      <c r="D723" s="55" t="n"/>
      <c r="E723">
        <f>IF(OR(A723="",B723=""),"",B723-A723)</f>
        <v/>
      </c>
      <c r="F723" s="55" t="n"/>
    </row>
    <row r="724">
      <c r="A724" s="54" t="n"/>
      <c r="B724" s="54" t="n"/>
      <c r="C724" s="55" t="n"/>
      <c r="D724" s="55" t="n"/>
      <c r="E724">
        <f>IF(OR(A724="",B724=""),"",B724-A724)</f>
        <v/>
      </c>
      <c r="F724" s="55" t="n"/>
    </row>
    <row r="725">
      <c r="A725" s="54" t="n"/>
      <c r="B725" s="54" t="n"/>
      <c r="C725" s="55" t="n"/>
      <c r="D725" s="55" t="n"/>
      <c r="E725">
        <f>IF(OR(A725="",B725=""),"",B725-A725)</f>
        <v/>
      </c>
      <c r="F725" s="55" t="n"/>
    </row>
    <row r="726">
      <c r="A726" s="54" t="n"/>
      <c r="B726" s="54" t="n"/>
      <c r="C726" s="55" t="n"/>
      <c r="D726" s="55" t="n"/>
      <c r="E726">
        <f>IF(OR(A726="",B726=""),"",B726-A726)</f>
        <v/>
      </c>
      <c r="F726" s="55" t="n"/>
    </row>
    <row r="727">
      <c r="A727" s="54" t="n"/>
      <c r="B727" s="54" t="n"/>
      <c r="C727" s="55" t="n"/>
      <c r="D727" s="55" t="n"/>
      <c r="E727">
        <f>IF(OR(A727="",B727=""),"",B727-A727)</f>
        <v/>
      </c>
      <c r="F727" s="55" t="n"/>
    </row>
    <row r="728">
      <c r="A728" s="54" t="n"/>
      <c r="B728" s="54" t="n"/>
      <c r="C728" s="55" t="n"/>
      <c r="D728" s="55" t="n"/>
      <c r="E728">
        <f>IF(OR(A728="",B728=""),"",B728-A728)</f>
        <v/>
      </c>
      <c r="F728" s="55" t="n"/>
    </row>
    <row r="729">
      <c r="A729" s="54" t="n"/>
      <c r="B729" s="54" t="n"/>
      <c r="C729" s="55" t="n"/>
      <c r="D729" s="55" t="n"/>
      <c r="E729">
        <f>IF(OR(A729="",B729=""),"",B729-A729)</f>
        <v/>
      </c>
      <c r="F729" s="55" t="n"/>
    </row>
    <row r="730">
      <c r="A730" s="54" t="n"/>
      <c r="B730" s="54" t="n"/>
      <c r="C730" s="55" t="n"/>
      <c r="D730" s="55" t="n"/>
      <c r="E730">
        <f>IF(OR(A730="",B730=""),"",B730-A730)</f>
        <v/>
      </c>
      <c r="F730" s="55" t="n"/>
    </row>
    <row r="731">
      <c r="A731" s="54" t="n"/>
      <c r="B731" s="54" t="n"/>
      <c r="C731" s="55" t="n"/>
      <c r="D731" s="55" t="n"/>
      <c r="E731">
        <f>IF(OR(A731="",B731=""),"",B731-A731)</f>
        <v/>
      </c>
      <c r="F731" s="55" t="n"/>
    </row>
    <row r="732">
      <c r="A732" s="54" t="n"/>
      <c r="B732" s="54" t="n"/>
      <c r="C732" s="55" t="n"/>
      <c r="D732" s="55" t="n"/>
      <c r="E732">
        <f>IF(OR(A732="",B732=""),"",B732-A732)</f>
        <v/>
      </c>
      <c r="F732" s="55" t="n"/>
    </row>
    <row r="733">
      <c r="A733" s="54" t="n"/>
      <c r="B733" s="54" t="n"/>
      <c r="C733" s="55" t="n"/>
      <c r="D733" s="55" t="n"/>
      <c r="E733">
        <f>IF(OR(A733="",B733=""),"",B733-A733)</f>
        <v/>
      </c>
      <c r="F733" s="55" t="n"/>
    </row>
    <row r="734">
      <c r="A734" s="54" t="n"/>
      <c r="B734" s="54" t="n"/>
      <c r="C734" s="55" t="n"/>
      <c r="D734" s="55" t="n"/>
      <c r="E734">
        <f>IF(OR(A734="",B734=""),"",B734-A734)</f>
        <v/>
      </c>
      <c r="F734" s="55" t="n"/>
    </row>
    <row r="735">
      <c r="A735" s="54" t="n"/>
      <c r="B735" s="54" t="n"/>
      <c r="C735" s="55" t="n"/>
      <c r="D735" s="55" t="n"/>
      <c r="E735">
        <f>IF(OR(A735="",B735=""),"",B735-A735)</f>
        <v/>
      </c>
      <c r="F735" s="55" t="n"/>
    </row>
    <row r="736">
      <c r="A736" s="54" t="n"/>
      <c r="B736" s="54" t="n"/>
      <c r="C736" s="55" t="n"/>
      <c r="D736" s="55" t="n"/>
      <c r="E736">
        <f>IF(OR(A736="",B736=""),"",B736-A736)</f>
        <v/>
      </c>
      <c r="F736" s="55" t="n"/>
    </row>
    <row r="737">
      <c r="A737" s="54" t="n"/>
      <c r="B737" s="54" t="n"/>
      <c r="C737" s="55" t="n"/>
      <c r="D737" s="55" t="n"/>
      <c r="E737">
        <f>IF(OR(A737="",B737=""),"",B737-A737)</f>
        <v/>
      </c>
      <c r="F737" s="55" t="n"/>
    </row>
    <row r="738">
      <c r="A738" s="54" t="n"/>
      <c r="B738" s="54" t="n"/>
      <c r="C738" s="55" t="n"/>
      <c r="D738" s="55" t="n"/>
      <c r="E738">
        <f>IF(OR(A738="",B738=""),"",B738-A738)</f>
        <v/>
      </c>
      <c r="F738" s="55" t="n"/>
    </row>
    <row r="739">
      <c r="A739" s="54" t="n"/>
      <c r="B739" s="54" t="n"/>
      <c r="C739" s="55" t="n"/>
      <c r="D739" s="55" t="n"/>
      <c r="E739">
        <f>IF(OR(A739="",B739=""),"",B739-A739)</f>
        <v/>
      </c>
      <c r="F739" s="55" t="n"/>
    </row>
    <row r="740">
      <c r="A740" s="54" t="n"/>
      <c r="B740" s="54" t="n"/>
      <c r="C740" s="55" t="n"/>
      <c r="D740" s="55" t="n"/>
      <c r="E740">
        <f>IF(OR(A740="",B740=""),"",B740-A740)</f>
        <v/>
      </c>
      <c r="F740" s="55" t="n"/>
    </row>
    <row r="741">
      <c r="A741" s="54" t="n"/>
      <c r="B741" s="54" t="n"/>
      <c r="C741" s="55" t="n"/>
      <c r="D741" s="55" t="n"/>
      <c r="E741">
        <f>IF(OR(A741="",B741=""),"",B741-A741)</f>
        <v/>
      </c>
      <c r="F741" s="55" t="n"/>
    </row>
    <row r="742">
      <c r="A742" s="54" t="n"/>
      <c r="B742" s="54" t="n"/>
      <c r="C742" s="55" t="n"/>
      <c r="D742" s="55" t="n"/>
      <c r="E742">
        <f>IF(OR(A742="",B742=""),"",B742-A742)</f>
        <v/>
      </c>
      <c r="F742" s="55" t="n"/>
    </row>
    <row r="743">
      <c r="A743" s="54" t="n"/>
      <c r="B743" s="54" t="n"/>
      <c r="C743" s="55" t="n"/>
      <c r="D743" s="55" t="n"/>
      <c r="E743">
        <f>IF(OR(A743="",B743=""),"",B743-A743)</f>
        <v/>
      </c>
      <c r="F743" s="55" t="n"/>
    </row>
    <row r="744">
      <c r="A744" s="54" t="n"/>
      <c r="B744" s="54" t="n"/>
      <c r="C744" s="55" t="n"/>
      <c r="D744" s="55" t="n"/>
      <c r="E744">
        <f>IF(OR(A744="",B744=""),"",B744-A744)</f>
        <v/>
      </c>
      <c r="F744" s="55" t="n"/>
    </row>
    <row r="745">
      <c r="A745" s="54" t="n"/>
      <c r="B745" s="54" t="n"/>
      <c r="C745" s="55" t="n"/>
      <c r="D745" s="55" t="n"/>
      <c r="E745">
        <f>IF(OR(A745="",B745=""),"",B745-A745)</f>
        <v/>
      </c>
      <c r="F745" s="55" t="n"/>
    </row>
    <row r="746">
      <c r="A746" s="54" t="n"/>
      <c r="B746" s="54" t="n"/>
      <c r="C746" s="55" t="n"/>
      <c r="D746" s="55" t="n"/>
      <c r="E746">
        <f>IF(OR(A746="",B746=""),"",B746-A746)</f>
        <v/>
      </c>
      <c r="F746" s="55" t="n"/>
    </row>
    <row r="747">
      <c r="A747" s="54" t="n"/>
      <c r="B747" s="54" t="n"/>
      <c r="C747" s="55" t="n"/>
      <c r="D747" s="55" t="n"/>
      <c r="E747">
        <f>IF(OR(A747="",B747=""),"",B747-A747)</f>
        <v/>
      </c>
      <c r="F747" s="55" t="n"/>
    </row>
    <row r="748">
      <c r="A748" s="54" t="n"/>
      <c r="B748" s="54" t="n"/>
      <c r="C748" s="55" t="n"/>
      <c r="D748" s="55" t="n"/>
      <c r="E748">
        <f>IF(OR(A748="",B748=""),"",B748-A748)</f>
        <v/>
      </c>
      <c r="F748" s="55" t="n"/>
    </row>
    <row r="749">
      <c r="A749" s="54" t="n"/>
      <c r="B749" s="54" t="n"/>
      <c r="C749" s="55" t="n"/>
      <c r="D749" s="55" t="n"/>
      <c r="E749">
        <f>IF(OR(A749="",B749=""),"",B749-A749)</f>
        <v/>
      </c>
      <c r="F749" s="55" t="n"/>
    </row>
    <row r="750">
      <c r="A750" s="54" t="n"/>
      <c r="B750" s="54" t="n"/>
      <c r="C750" s="55" t="n"/>
      <c r="D750" s="55" t="n"/>
      <c r="E750">
        <f>IF(OR(A750="",B750=""),"",B750-A750)</f>
        <v/>
      </c>
      <c r="F750" s="55" t="n"/>
    </row>
    <row r="751">
      <c r="A751" s="54" t="n"/>
      <c r="B751" s="54" t="n"/>
      <c r="C751" s="55" t="n"/>
      <c r="D751" s="55" t="n"/>
      <c r="E751">
        <f>IF(OR(A751="",B751=""),"",B751-A751)</f>
        <v/>
      </c>
      <c r="F751" s="55" t="n"/>
    </row>
    <row r="752">
      <c r="A752" s="54" t="n"/>
      <c r="B752" s="54" t="n"/>
      <c r="C752" s="55" t="n"/>
      <c r="D752" s="55" t="n"/>
      <c r="E752">
        <f>IF(OR(A752="",B752=""),"",B752-A752)</f>
        <v/>
      </c>
      <c r="F752" s="55" t="n"/>
    </row>
    <row r="753">
      <c r="A753" s="54" t="n"/>
      <c r="B753" s="54" t="n"/>
      <c r="C753" s="55" t="n"/>
      <c r="D753" s="55" t="n"/>
      <c r="E753">
        <f>IF(OR(A753="",B753=""),"",B753-A753)</f>
        <v/>
      </c>
      <c r="F753" s="55" t="n"/>
    </row>
    <row r="754">
      <c r="A754" s="54" t="n"/>
      <c r="B754" s="54" t="n"/>
      <c r="C754" s="55" t="n"/>
      <c r="D754" s="55" t="n"/>
      <c r="E754">
        <f>IF(OR(A754="",B754=""),"",B754-A754)</f>
        <v/>
      </c>
      <c r="F754" s="55" t="n"/>
    </row>
    <row r="755">
      <c r="A755" s="54" t="n"/>
      <c r="B755" s="54" t="n"/>
      <c r="C755" s="55" t="n"/>
      <c r="D755" s="55" t="n"/>
      <c r="E755">
        <f>IF(OR(A755="",B755=""),"",B755-A755)</f>
        <v/>
      </c>
      <c r="F755" s="55" t="n"/>
    </row>
    <row r="756">
      <c r="A756" s="54" t="n"/>
      <c r="B756" s="54" t="n"/>
      <c r="C756" s="55" t="n"/>
      <c r="D756" s="55" t="n"/>
      <c r="E756">
        <f>IF(OR(A756="",B756=""),"",B756-A756)</f>
        <v/>
      </c>
      <c r="F756" s="55" t="n"/>
    </row>
    <row r="757">
      <c r="A757" s="54" t="n"/>
      <c r="B757" s="54" t="n"/>
      <c r="C757" s="55" t="n"/>
      <c r="D757" s="55" t="n"/>
      <c r="E757">
        <f>IF(OR(A757="",B757=""),"",B757-A757)</f>
        <v/>
      </c>
      <c r="F757" s="55" t="n"/>
    </row>
    <row r="758">
      <c r="A758" s="54" t="n"/>
      <c r="B758" s="54" t="n"/>
      <c r="C758" s="55" t="n"/>
      <c r="D758" s="55" t="n"/>
      <c r="E758">
        <f>IF(OR(A758="",B758=""),"",B758-A758)</f>
        <v/>
      </c>
      <c r="F758" s="55" t="n"/>
    </row>
    <row r="759">
      <c r="A759" s="54" t="n"/>
      <c r="B759" s="54" t="n"/>
      <c r="C759" s="55" t="n"/>
      <c r="D759" s="55" t="n"/>
      <c r="E759">
        <f>IF(OR(A759="",B759=""),"",B759-A759)</f>
        <v/>
      </c>
      <c r="F759" s="55" t="n"/>
    </row>
    <row r="760">
      <c r="A760" s="54" t="n"/>
      <c r="B760" s="54" t="n"/>
      <c r="C760" s="55" t="n"/>
      <c r="D760" s="55" t="n"/>
      <c r="E760">
        <f>IF(OR(A760="",B760=""),"",B760-A760)</f>
        <v/>
      </c>
      <c r="F760" s="55" t="n"/>
    </row>
    <row r="761">
      <c r="A761" s="54" t="n"/>
      <c r="B761" s="54" t="n"/>
      <c r="C761" s="55" t="n"/>
      <c r="D761" s="55" t="n"/>
      <c r="E761">
        <f>IF(OR(A761="",B761=""),"",B761-A761)</f>
        <v/>
      </c>
      <c r="F761" s="55" t="n"/>
    </row>
    <row r="762">
      <c r="A762" s="54" t="n"/>
      <c r="B762" s="54" t="n"/>
      <c r="C762" s="55" t="n"/>
      <c r="D762" s="55" t="n"/>
      <c r="E762">
        <f>IF(OR(A762="",B762=""),"",B762-A762)</f>
        <v/>
      </c>
      <c r="F762" s="55" t="n"/>
    </row>
    <row r="763">
      <c r="A763" s="54" t="n"/>
      <c r="B763" s="54" t="n"/>
      <c r="C763" s="55" t="n"/>
      <c r="D763" s="55" t="n"/>
      <c r="E763">
        <f>IF(OR(A763="",B763=""),"",B763-A763)</f>
        <v/>
      </c>
      <c r="F763" s="55" t="n"/>
    </row>
    <row r="764">
      <c r="A764" s="54" t="n"/>
      <c r="B764" s="54" t="n"/>
      <c r="C764" s="55" t="n"/>
      <c r="D764" s="55" t="n"/>
      <c r="E764">
        <f>IF(OR(A764="",B764=""),"",B764-A764)</f>
        <v/>
      </c>
      <c r="F764" s="55" t="n"/>
    </row>
    <row r="765">
      <c r="A765" s="54" t="n"/>
      <c r="B765" s="54" t="n"/>
      <c r="C765" s="55" t="n"/>
      <c r="D765" s="55" t="n"/>
      <c r="E765">
        <f>IF(OR(A765="",B765=""),"",B765-A765)</f>
        <v/>
      </c>
      <c r="F765" s="55" t="n"/>
    </row>
    <row r="766">
      <c r="A766" s="54" t="n"/>
      <c r="B766" s="54" t="n"/>
      <c r="C766" s="55" t="n"/>
      <c r="D766" s="55" t="n"/>
      <c r="E766">
        <f>IF(OR(A766="",B766=""),"",B766-A766)</f>
        <v/>
      </c>
      <c r="F766" s="55" t="n"/>
    </row>
    <row r="767">
      <c r="A767" s="54" t="n"/>
      <c r="B767" s="54" t="n"/>
      <c r="C767" s="55" t="n"/>
      <c r="D767" s="55" t="n"/>
      <c r="E767">
        <f>IF(OR(A767="",B767=""),"",B767-A767)</f>
        <v/>
      </c>
      <c r="F767" s="55" t="n"/>
    </row>
    <row r="768">
      <c r="A768" s="54" t="n"/>
      <c r="B768" s="54" t="n"/>
      <c r="C768" s="55" t="n"/>
      <c r="D768" s="55" t="n"/>
      <c r="E768">
        <f>IF(OR(A768="",B768=""),"",B768-A768)</f>
        <v/>
      </c>
      <c r="F768" s="55" t="n"/>
    </row>
    <row r="769">
      <c r="A769" s="54" t="n"/>
      <c r="B769" s="54" t="n"/>
      <c r="C769" s="55" t="n"/>
      <c r="D769" s="55" t="n"/>
      <c r="E769">
        <f>IF(OR(A769="",B769=""),"",B769-A769)</f>
        <v/>
      </c>
      <c r="F769" s="55" t="n"/>
    </row>
    <row r="770">
      <c r="A770" s="54" t="n"/>
      <c r="B770" s="54" t="n"/>
      <c r="C770" s="55" t="n"/>
      <c r="D770" s="55" t="n"/>
      <c r="E770">
        <f>IF(OR(A770="",B770=""),"",B770-A770)</f>
        <v/>
      </c>
      <c r="F770" s="55" t="n"/>
    </row>
    <row r="771">
      <c r="A771" s="54" t="n"/>
      <c r="B771" s="54" t="n"/>
      <c r="C771" s="55" t="n"/>
      <c r="D771" s="55" t="n"/>
      <c r="E771">
        <f>IF(OR(A771="",B771=""),"",B771-A771)</f>
        <v/>
      </c>
      <c r="F771" s="55" t="n"/>
    </row>
    <row r="772">
      <c r="A772" s="54" t="n"/>
      <c r="B772" s="54" t="n"/>
      <c r="C772" s="55" t="n"/>
      <c r="D772" s="55" t="n"/>
      <c r="E772">
        <f>IF(OR(A772="",B772=""),"",B772-A772)</f>
        <v/>
      </c>
      <c r="F772" s="55" t="n"/>
    </row>
    <row r="773">
      <c r="A773" s="54" t="n"/>
      <c r="B773" s="54" t="n"/>
      <c r="C773" s="55" t="n"/>
      <c r="D773" s="55" t="n"/>
      <c r="E773">
        <f>IF(OR(A773="",B773=""),"",B773-A773)</f>
        <v/>
      </c>
      <c r="F773" s="55" t="n"/>
    </row>
    <row r="774">
      <c r="A774" s="54" t="n"/>
      <c r="B774" s="54" t="n"/>
      <c r="C774" s="55" t="n"/>
      <c r="D774" s="55" t="n"/>
      <c r="E774">
        <f>IF(OR(A774="",B774=""),"",B774-A774)</f>
        <v/>
      </c>
      <c r="F774" s="55" t="n"/>
    </row>
    <row r="775">
      <c r="A775" s="54" t="n"/>
      <c r="B775" s="54" t="n"/>
      <c r="C775" s="55" t="n"/>
      <c r="D775" s="55" t="n"/>
      <c r="E775">
        <f>IF(OR(A775="",B775=""),"",B775-A775)</f>
        <v/>
      </c>
      <c r="F775" s="55" t="n"/>
    </row>
    <row r="776">
      <c r="A776" s="54" t="n"/>
      <c r="B776" s="54" t="n"/>
      <c r="C776" s="55" t="n"/>
      <c r="D776" s="55" t="n"/>
      <c r="E776">
        <f>IF(OR(A776="",B776=""),"",B776-A776)</f>
        <v/>
      </c>
      <c r="F776" s="55" t="n"/>
    </row>
    <row r="777">
      <c r="A777" s="54" t="n"/>
      <c r="B777" s="54" t="n"/>
      <c r="C777" s="55" t="n"/>
      <c r="D777" s="55" t="n"/>
      <c r="E777">
        <f>IF(OR(A777="",B777=""),"",B777-A777)</f>
        <v/>
      </c>
      <c r="F777" s="55" t="n"/>
    </row>
    <row r="778">
      <c r="A778" s="54" t="n"/>
      <c r="B778" s="54" t="n"/>
      <c r="C778" s="55" t="n"/>
      <c r="D778" s="55" t="n"/>
      <c r="E778">
        <f>IF(OR(A778="",B778=""),"",B778-A778)</f>
        <v/>
      </c>
      <c r="F778" s="55" t="n"/>
    </row>
    <row r="779">
      <c r="A779" s="54" t="n"/>
      <c r="B779" s="54" t="n"/>
      <c r="C779" s="55" t="n"/>
      <c r="D779" s="55" t="n"/>
      <c r="E779">
        <f>IF(OR(A779="",B779=""),"",B779-A779)</f>
        <v/>
      </c>
      <c r="F779" s="55" t="n"/>
    </row>
    <row r="780">
      <c r="A780" s="54" t="n"/>
      <c r="B780" s="54" t="n"/>
      <c r="C780" s="55" t="n"/>
      <c r="D780" s="55" t="n"/>
      <c r="E780">
        <f>IF(OR(A780="",B780=""),"",B780-A780)</f>
        <v/>
      </c>
      <c r="F780" s="55" t="n"/>
    </row>
    <row r="781">
      <c r="A781" s="54" t="n"/>
      <c r="B781" s="54" t="n"/>
      <c r="C781" s="55" t="n"/>
      <c r="D781" s="55" t="n"/>
      <c r="E781">
        <f>IF(OR(A781="",B781=""),"",B781-A781)</f>
        <v/>
      </c>
      <c r="F781" s="55" t="n"/>
    </row>
    <row r="782">
      <c r="A782" s="54" t="n"/>
      <c r="B782" s="54" t="n"/>
      <c r="C782" s="55" t="n"/>
      <c r="D782" s="55" t="n"/>
      <c r="E782">
        <f>IF(OR(A782="",B782=""),"",B782-A782)</f>
        <v/>
      </c>
      <c r="F782" s="55" t="n"/>
    </row>
    <row r="783">
      <c r="A783" s="54" t="n"/>
      <c r="B783" s="54" t="n"/>
      <c r="C783" s="55" t="n"/>
      <c r="D783" s="55" t="n"/>
      <c r="E783">
        <f>IF(OR(A783="",B783=""),"",B783-A783)</f>
        <v/>
      </c>
      <c r="F783" s="55" t="n"/>
    </row>
    <row r="784">
      <c r="A784" s="54" t="n"/>
      <c r="B784" s="54" t="n"/>
      <c r="C784" s="55" t="n"/>
      <c r="D784" s="55" t="n"/>
      <c r="E784">
        <f>IF(OR(A784="",B784=""),"",B784-A784)</f>
        <v/>
      </c>
      <c r="F784" s="55" t="n"/>
    </row>
    <row r="785">
      <c r="A785" s="54" t="n"/>
      <c r="B785" s="54" t="n"/>
      <c r="C785" s="55" t="n"/>
      <c r="D785" s="55" t="n"/>
      <c r="E785">
        <f>IF(OR(A785="",B785=""),"",B785-A785)</f>
        <v/>
      </c>
      <c r="F785" s="55" t="n"/>
    </row>
    <row r="786">
      <c r="A786" s="54" t="n"/>
      <c r="B786" s="54" t="n"/>
      <c r="C786" s="55" t="n"/>
      <c r="D786" s="55" t="n"/>
      <c r="E786">
        <f>IF(OR(A786="",B786=""),"",B786-A786)</f>
        <v/>
      </c>
      <c r="F786" s="55" t="n"/>
    </row>
    <row r="787">
      <c r="A787" s="54" t="n"/>
      <c r="B787" s="54" t="n"/>
      <c r="C787" s="55" t="n"/>
      <c r="D787" s="55" t="n"/>
      <c r="E787">
        <f>IF(OR(A787="",B787=""),"",B787-A787)</f>
        <v/>
      </c>
      <c r="F787" s="55" t="n"/>
    </row>
    <row r="788">
      <c r="A788" s="54" t="n"/>
      <c r="B788" s="54" t="n"/>
      <c r="C788" s="55" t="n"/>
      <c r="D788" s="55" t="n"/>
      <c r="E788">
        <f>IF(OR(A788="",B788=""),"",B788-A788)</f>
        <v/>
      </c>
      <c r="F788" s="55" t="n"/>
    </row>
    <row r="789">
      <c r="A789" s="54" t="n"/>
      <c r="B789" s="54" t="n"/>
      <c r="C789" s="55" t="n"/>
      <c r="D789" s="55" t="n"/>
      <c r="E789">
        <f>IF(OR(A789="",B789=""),"",B789-A789)</f>
        <v/>
      </c>
      <c r="F789" s="55" t="n"/>
    </row>
    <row r="790">
      <c r="A790" s="54" t="n"/>
      <c r="B790" s="54" t="n"/>
      <c r="C790" s="55" t="n"/>
      <c r="D790" s="55" t="n"/>
      <c r="E790">
        <f>IF(OR(A790="",B790=""),"",B790-A790)</f>
        <v/>
      </c>
      <c r="F790" s="55" t="n"/>
    </row>
    <row r="791">
      <c r="A791" s="54" t="n"/>
      <c r="B791" s="54" t="n"/>
      <c r="C791" s="55" t="n"/>
      <c r="D791" s="55" t="n"/>
      <c r="E791">
        <f>IF(OR(A791="",B791=""),"",B791-A791)</f>
        <v/>
      </c>
      <c r="F791" s="55" t="n"/>
    </row>
    <row r="792">
      <c r="A792" s="54" t="n"/>
      <c r="B792" s="54" t="n"/>
      <c r="C792" s="55" t="n"/>
      <c r="D792" s="55" t="n"/>
      <c r="E792">
        <f>IF(OR(A792="",B792=""),"",B792-A792)</f>
        <v/>
      </c>
      <c r="F792" s="55" t="n"/>
    </row>
    <row r="793">
      <c r="A793" s="54" t="n"/>
      <c r="B793" s="54" t="n"/>
      <c r="C793" s="55" t="n"/>
      <c r="D793" s="55" t="n"/>
      <c r="E793">
        <f>IF(OR(A793="",B793=""),"",B793-A793)</f>
        <v/>
      </c>
      <c r="F793" s="55" t="n"/>
    </row>
    <row r="794">
      <c r="A794" s="54" t="n"/>
      <c r="B794" s="54" t="n"/>
      <c r="C794" s="55" t="n"/>
      <c r="D794" s="55" t="n"/>
      <c r="E794">
        <f>IF(OR(A794="",B794=""),"",B794-A794)</f>
        <v/>
      </c>
      <c r="F794" s="55" t="n"/>
    </row>
    <row r="795">
      <c r="A795" s="54" t="n"/>
      <c r="B795" s="54" t="n"/>
      <c r="C795" s="55" t="n"/>
      <c r="D795" s="55" t="n"/>
      <c r="E795">
        <f>IF(OR(A795="",B795=""),"",B795-A795)</f>
        <v/>
      </c>
      <c r="F795" s="55" t="n"/>
    </row>
    <row r="796">
      <c r="A796" s="54" t="n"/>
      <c r="B796" s="54" t="n"/>
      <c r="C796" s="55" t="n"/>
      <c r="D796" s="55" t="n"/>
      <c r="E796">
        <f>IF(OR(A796="",B796=""),"",B796-A796)</f>
        <v/>
      </c>
      <c r="F796" s="55" t="n"/>
    </row>
    <row r="797">
      <c r="A797" s="54" t="n"/>
      <c r="B797" s="54" t="n"/>
      <c r="C797" s="55" t="n"/>
      <c r="D797" s="55" t="n"/>
      <c r="E797">
        <f>IF(OR(A797="",B797=""),"",B797-A797)</f>
        <v/>
      </c>
      <c r="F797" s="55" t="n"/>
    </row>
    <row r="798">
      <c r="A798" s="54" t="n"/>
      <c r="B798" s="54" t="n"/>
      <c r="C798" s="55" t="n"/>
      <c r="D798" s="55" t="n"/>
      <c r="E798">
        <f>IF(OR(A798="",B798=""),"",B798-A798)</f>
        <v/>
      </c>
      <c r="F798" s="55" t="n"/>
    </row>
    <row r="799">
      <c r="A799" s="54" t="n"/>
      <c r="B799" s="54" t="n"/>
      <c r="C799" s="55" t="n"/>
      <c r="D799" s="55" t="n"/>
      <c r="E799">
        <f>IF(OR(A799="",B799=""),"",B799-A799)</f>
        <v/>
      </c>
      <c r="F799" s="55" t="n"/>
    </row>
    <row r="800">
      <c r="A800" s="54" t="n"/>
      <c r="B800" s="54" t="n"/>
      <c r="C800" s="55" t="n"/>
      <c r="D800" s="55" t="n"/>
      <c r="E800">
        <f>IF(OR(A800="",B800=""),"",B800-A800)</f>
        <v/>
      </c>
      <c r="F800" s="55" t="n"/>
    </row>
    <row r="801">
      <c r="A801" s="54" t="n"/>
      <c r="B801" s="54" t="n"/>
      <c r="C801" s="55" t="n"/>
      <c r="D801" s="55" t="n"/>
      <c r="E801">
        <f>IF(OR(A801="",B801=""),"",B801-A801)</f>
        <v/>
      </c>
      <c r="F801" s="55" t="n"/>
    </row>
    <row r="802">
      <c r="A802" s="54" t="n"/>
      <c r="B802" s="54" t="n"/>
      <c r="C802" s="55" t="n"/>
      <c r="D802" s="55" t="n"/>
      <c r="E802">
        <f>IF(OR(A802="",B802=""),"",B802-A802)</f>
        <v/>
      </c>
      <c r="F802" s="55" t="n"/>
    </row>
    <row r="803">
      <c r="A803" s="54" t="n"/>
      <c r="B803" s="54" t="n"/>
      <c r="C803" s="55" t="n"/>
      <c r="D803" s="55" t="n"/>
      <c r="E803">
        <f>IF(OR(A803="",B803=""),"",B803-A803)</f>
        <v/>
      </c>
      <c r="F803" s="55" t="n"/>
    </row>
    <row r="804">
      <c r="A804" s="54" t="n"/>
      <c r="B804" s="54" t="n"/>
      <c r="C804" s="55" t="n"/>
      <c r="D804" s="55" t="n"/>
      <c r="E804">
        <f>IF(OR(A804="",B804=""),"",B804-A804)</f>
        <v/>
      </c>
      <c r="F804" s="55" t="n"/>
    </row>
    <row r="805">
      <c r="A805" s="54" t="n"/>
      <c r="B805" s="54" t="n"/>
      <c r="C805" s="55" t="n"/>
      <c r="D805" s="55" t="n"/>
      <c r="E805">
        <f>IF(OR(A805="",B805=""),"",B805-A805)</f>
        <v/>
      </c>
      <c r="F805" s="55" t="n"/>
    </row>
    <row r="806">
      <c r="A806" s="54" t="n"/>
      <c r="B806" s="54" t="n"/>
      <c r="C806" s="55" t="n"/>
      <c r="D806" s="55" t="n"/>
      <c r="E806">
        <f>IF(OR(A806="",B806=""),"",B806-A806)</f>
        <v/>
      </c>
      <c r="F806" s="55" t="n"/>
    </row>
    <row r="807">
      <c r="A807" s="54" t="n"/>
      <c r="B807" s="54" t="n"/>
      <c r="C807" s="55" t="n"/>
      <c r="D807" s="55" t="n"/>
      <c r="E807">
        <f>IF(OR(A807="",B807=""),"",B807-A807)</f>
        <v/>
      </c>
      <c r="F807" s="55" t="n"/>
    </row>
    <row r="808">
      <c r="A808" s="54" t="n"/>
      <c r="B808" s="54" t="n"/>
      <c r="C808" s="55" t="n"/>
      <c r="D808" s="55" t="n"/>
      <c r="E808">
        <f>IF(OR(A808="",B808=""),"",B808-A808)</f>
        <v/>
      </c>
      <c r="F808" s="55" t="n"/>
    </row>
    <row r="809">
      <c r="A809" s="54" t="n"/>
      <c r="B809" s="54" t="n"/>
      <c r="C809" s="55" t="n"/>
      <c r="D809" s="55" t="n"/>
      <c r="E809">
        <f>IF(OR(A809="",B809=""),"",B809-A809)</f>
        <v/>
      </c>
      <c r="F809" s="55" t="n"/>
    </row>
    <row r="810">
      <c r="A810" s="54" t="n"/>
      <c r="B810" s="54" t="n"/>
      <c r="C810" s="55" t="n"/>
      <c r="D810" s="55" t="n"/>
      <c r="E810">
        <f>IF(OR(A810="",B810=""),"",B810-A810)</f>
        <v/>
      </c>
      <c r="F810" s="55" t="n"/>
    </row>
    <row r="811">
      <c r="A811" s="54" t="n"/>
      <c r="B811" s="54" t="n"/>
      <c r="C811" s="55" t="n"/>
      <c r="D811" s="55" t="n"/>
      <c r="E811">
        <f>IF(OR(A811="",B811=""),"",B811-A811)</f>
        <v/>
      </c>
      <c r="F811" s="55" t="n"/>
    </row>
    <row r="812">
      <c r="A812" s="54" t="n"/>
      <c r="B812" s="54" t="n"/>
      <c r="C812" s="55" t="n"/>
      <c r="D812" s="55" t="n"/>
      <c r="E812">
        <f>IF(OR(A812="",B812=""),"",B812-A812)</f>
        <v/>
      </c>
      <c r="F812" s="55" t="n"/>
    </row>
    <row r="813">
      <c r="A813" s="54" t="n"/>
      <c r="B813" s="54" t="n"/>
      <c r="C813" s="55" t="n"/>
      <c r="D813" s="55" t="n"/>
      <c r="E813">
        <f>IF(OR(A813="",B813=""),"",B813-A813)</f>
        <v/>
      </c>
      <c r="F813" s="55" t="n"/>
    </row>
    <row r="814">
      <c r="A814" s="54" t="n"/>
      <c r="B814" s="54" t="n"/>
      <c r="C814" s="55" t="n"/>
      <c r="D814" s="55" t="n"/>
      <c r="E814">
        <f>IF(OR(A814="",B814=""),"",B814-A814)</f>
        <v/>
      </c>
      <c r="F814" s="55" t="n"/>
    </row>
    <row r="815">
      <c r="A815" s="54" t="n"/>
      <c r="B815" s="54" t="n"/>
      <c r="C815" s="55" t="n"/>
      <c r="D815" s="55" t="n"/>
      <c r="E815">
        <f>IF(OR(A815="",B815=""),"",B815-A815)</f>
        <v/>
      </c>
      <c r="F815" s="55" t="n"/>
    </row>
    <row r="816">
      <c r="A816" s="54" t="n"/>
      <c r="B816" s="54" t="n"/>
      <c r="C816" s="55" t="n"/>
      <c r="D816" s="55" t="n"/>
      <c r="E816">
        <f>IF(OR(A816="",B816=""),"",B816-A816)</f>
        <v/>
      </c>
      <c r="F816" s="55" t="n"/>
    </row>
    <row r="817">
      <c r="A817" s="54" t="n"/>
      <c r="B817" s="54" t="n"/>
      <c r="C817" s="55" t="n"/>
      <c r="D817" s="55" t="n"/>
      <c r="E817">
        <f>IF(OR(A817="",B817=""),"",B817-A817)</f>
        <v/>
      </c>
      <c r="F817" s="55" t="n"/>
    </row>
    <row r="818">
      <c r="A818" s="54" t="n"/>
      <c r="B818" s="54" t="n"/>
      <c r="C818" s="55" t="n"/>
      <c r="D818" s="55" t="n"/>
      <c r="E818">
        <f>IF(OR(A818="",B818=""),"",B818-A818)</f>
        <v/>
      </c>
      <c r="F818" s="55" t="n"/>
    </row>
    <row r="819">
      <c r="A819" s="54" t="n"/>
      <c r="B819" s="54" t="n"/>
      <c r="C819" s="55" t="n"/>
      <c r="D819" s="55" t="n"/>
      <c r="E819">
        <f>IF(OR(A819="",B819=""),"",B819-A819)</f>
        <v/>
      </c>
      <c r="F819" s="55" t="n"/>
    </row>
    <row r="820">
      <c r="A820" s="54" t="n"/>
      <c r="B820" s="54" t="n"/>
      <c r="C820" s="55" t="n"/>
      <c r="D820" s="55" t="n"/>
      <c r="E820">
        <f>IF(OR(A820="",B820=""),"",B820-A820)</f>
        <v/>
      </c>
      <c r="F820" s="55" t="n"/>
    </row>
    <row r="821">
      <c r="A821" s="54" t="n"/>
      <c r="B821" s="54" t="n"/>
      <c r="C821" s="55" t="n"/>
      <c r="D821" s="55" t="n"/>
      <c r="E821">
        <f>IF(OR(A821="",B821=""),"",B821-A821)</f>
        <v/>
      </c>
      <c r="F821" s="55" t="n"/>
    </row>
    <row r="822">
      <c r="A822" s="54" t="n"/>
      <c r="B822" s="54" t="n"/>
      <c r="C822" s="55" t="n"/>
      <c r="D822" s="55" t="n"/>
      <c r="E822">
        <f>IF(OR(A822="",B822=""),"",B822-A822)</f>
        <v/>
      </c>
      <c r="F822" s="55" t="n"/>
    </row>
    <row r="823">
      <c r="A823" s="54" t="n"/>
      <c r="B823" s="54" t="n"/>
      <c r="C823" s="55" t="n"/>
      <c r="D823" s="55" t="n"/>
      <c r="E823">
        <f>IF(OR(A823="",B823=""),"",B823-A823)</f>
        <v/>
      </c>
      <c r="F823" s="55" t="n"/>
    </row>
    <row r="824">
      <c r="A824" s="54" t="n"/>
      <c r="B824" s="54" t="n"/>
      <c r="C824" s="55" t="n"/>
      <c r="D824" s="55" t="n"/>
      <c r="E824">
        <f>IF(OR(A824="",B824=""),"",B824-A824)</f>
        <v/>
      </c>
      <c r="F824" s="55" t="n"/>
    </row>
    <row r="825">
      <c r="A825" s="54" t="n"/>
      <c r="B825" s="54" t="n"/>
      <c r="C825" s="55" t="n"/>
      <c r="D825" s="55" t="n"/>
      <c r="E825">
        <f>IF(OR(A825="",B825=""),"",B825-A825)</f>
        <v/>
      </c>
      <c r="F825" s="55" t="n"/>
    </row>
    <row r="826">
      <c r="A826" s="54" t="n"/>
      <c r="B826" s="54" t="n"/>
      <c r="C826" s="55" t="n"/>
      <c r="D826" s="55" t="n"/>
      <c r="E826">
        <f>IF(OR(A826="",B826=""),"",B826-A826)</f>
        <v/>
      </c>
      <c r="F826" s="55" t="n"/>
    </row>
    <row r="827">
      <c r="A827" s="54" t="n"/>
      <c r="B827" s="54" t="n"/>
      <c r="C827" s="55" t="n"/>
      <c r="D827" s="55" t="n"/>
      <c r="E827">
        <f>IF(OR(A827="",B827=""),"",B827-A827)</f>
        <v/>
      </c>
      <c r="F827" s="55" t="n"/>
    </row>
    <row r="828">
      <c r="A828" s="54" t="n"/>
      <c r="B828" s="54" t="n"/>
      <c r="C828" s="55" t="n"/>
      <c r="D828" s="55" t="n"/>
      <c r="E828">
        <f>IF(OR(A828="",B828=""),"",B828-A828)</f>
        <v/>
      </c>
      <c r="F828" s="55" t="n"/>
    </row>
    <row r="829">
      <c r="A829" s="54" t="n"/>
      <c r="B829" s="54" t="n"/>
      <c r="C829" s="55" t="n"/>
      <c r="D829" s="55" t="n"/>
      <c r="E829">
        <f>IF(OR(A829="",B829=""),"",B829-A829)</f>
        <v/>
      </c>
      <c r="F829" s="55" t="n"/>
    </row>
    <row r="830">
      <c r="A830" s="54" t="n"/>
      <c r="B830" s="54" t="n"/>
      <c r="C830" s="55" t="n"/>
      <c r="D830" s="55" t="n"/>
      <c r="E830">
        <f>IF(OR(A830="",B830=""),"",B830-A830)</f>
        <v/>
      </c>
      <c r="F830" s="55" t="n"/>
    </row>
    <row r="831">
      <c r="A831" s="54" t="n"/>
      <c r="B831" s="54" t="n"/>
      <c r="C831" s="55" t="n"/>
      <c r="D831" s="55" t="n"/>
      <c r="E831">
        <f>IF(OR(A831="",B831=""),"",B831-A831)</f>
        <v/>
      </c>
      <c r="F831" s="55" t="n"/>
    </row>
    <row r="832">
      <c r="A832" s="54" t="n"/>
      <c r="B832" s="54" t="n"/>
      <c r="C832" s="55" t="n"/>
      <c r="D832" s="55" t="n"/>
      <c r="E832">
        <f>IF(OR(A832="",B832=""),"",B832-A832)</f>
        <v/>
      </c>
      <c r="F832" s="55" t="n"/>
    </row>
    <row r="833">
      <c r="A833" s="54" t="n"/>
      <c r="B833" s="54" t="n"/>
      <c r="C833" s="55" t="n"/>
      <c r="D833" s="55" t="n"/>
      <c r="E833">
        <f>IF(OR(A833="",B833=""),"",B833-A833)</f>
        <v/>
      </c>
      <c r="F833" s="55" t="n"/>
    </row>
    <row r="834">
      <c r="A834" s="54" t="n"/>
      <c r="B834" s="54" t="n"/>
      <c r="C834" s="55" t="n"/>
      <c r="D834" s="55" t="n"/>
      <c r="E834">
        <f>IF(OR(A834="",B834=""),"",B834-A834)</f>
        <v/>
      </c>
      <c r="F834" s="55" t="n"/>
    </row>
    <row r="835">
      <c r="A835" s="54" t="n"/>
      <c r="B835" s="54" t="n"/>
      <c r="C835" s="55" t="n"/>
      <c r="D835" s="55" t="n"/>
      <c r="E835">
        <f>IF(OR(A835="",B835=""),"",B835-A835)</f>
        <v/>
      </c>
      <c r="F835" s="55" t="n"/>
    </row>
    <row r="836">
      <c r="A836" s="54" t="n"/>
      <c r="B836" s="54" t="n"/>
      <c r="C836" s="55" t="n"/>
      <c r="D836" s="55" t="n"/>
      <c r="E836">
        <f>IF(OR(A836="",B836=""),"",B836-A836)</f>
        <v/>
      </c>
      <c r="F836" s="55" t="n"/>
    </row>
    <row r="837">
      <c r="A837" s="54" t="n"/>
      <c r="B837" s="54" t="n"/>
      <c r="C837" s="55" t="n"/>
      <c r="D837" s="55" t="n"/>
      <c r="E837">
        <f>IF(OR(A837="",B837=""),"",B837-A837)</f>
        <v/>
      </c>
      <c r="F837" s="55" t="n"/>
    </row>
    <row r="838">
      <c r="A838" s="54" t="n"/>
      <c r="B838" s="54" t="n"/>
      <c r="C838" s="55" t="n"/>
      <c r="D838" s="55" t="n"/>
      <c r="E838">
        <f>IF(OR(A838="",B838=""),"",B838-A838)</f>
        <v/>
      </c>
      <c r="F838" s="55" t="n"/>
    </row>
    <row r="839">
      <c r="A839" s="54" t="n"/>
      <c r="B839" s="54" t="n"/>
      <c r="C839" s="55" t="n"/>
      <c r="D839" s="55" t="n"/>
      <c r="E839">
        <f>IF(OR(A839="",B839=""),"",B839-A839)</f>
        <v/>
      </c>
      <c r="F839" s="55" t="n"/>
    </row>
    <row r="840">
      <c r="A840" s="54" t="n"/>
      <c r="B840" s="54" t="n"/>
      <c r="C840" s="55" t="n"/>
      <c r="D840" s="55" t="n"/>
      <c r="E840">
        <f>IF(OR(A840="",B840=""),"",B840-A840)</f>
        <v/>
      </c>
      <c r="F840" s="55" t="n"/>
    </row>
    <row r="841">
      <c r="A841" s="54" t="n"/>
      <c r="B841" s="54" t="n"/>
      <c r="C841" s="55" t="n"/>
      <c r="D841" s="55" t="n"/>
      <c r="E841">
        <f>IF(OR(A841="",B841=""),"",B841-A841)</f>
        <v/>
      </c>
      <c r="F841" s="55" t="n"/>
    </row>
    <row r="842">
      <c r="A842" s="54" t="n"/>
      <c r="B842" s="54" t="n"/>
      <c r="C842" s="55" t="n"/>
      <c r="D842" s="55" t="n"/>
      <c r="E842">
        <f>IF(OR(A842="",B842=""),"",B842-A842)</f>
        <v/>
      </c>
      <c r="F842" s="55" t="n"/>
    </row>
    <row r="843">
      <c r="A843" s="54" t="n"/>
      <c r="B843" s="54" t="n"/>
      <c r="C843" s="55" t="n"/>
      <c r="D843" s="55" t="n"/>
      <c r="E843">
        <f>IF(OR(A843="",B843=""),"",B843-A843)</f>
        <v/>
      </c>
      <c r="F843" s="55" t="n"/>
    </row>
    <row r="844">
      <c r="A844" s="54" t="n"/>
      <c r="B844" s="54" t="n"/>
      <c r="C844" s="55" t="n"/>
      <c r="D844" s="55" t="n"/>
      <c r="E844">
        <f>IF(OR(A844="",B844=""),"",B844-A844)</f>
        <v/>
      </c>
      <c r="F844" s="55" t="n"/>
    </row>
    <row r="845">
      <c r="A845" s="54" t="n"/>
      <c r="B845" s="54" t="n"/>
      <c r="C845" s="55" t="n"/>
      <c r="D845" s="55" t="n"/>
      <c r="E845">
        <f>IF(OR(A845="",B845=""),"",B845-A845)</f>
        <v/>
      </c>
      <c r="F845" s="55" t="n"/>
    </row>
    <row r="846">
      <c r="A846" s="54" t="n"/>
      <c r="B846" s="54" t="n"/>
      <c r="C846" s="55" t="n"/>
      <c r="D846" s="55" t="n"/>
      <c r="E846">
        <f>IF(OR(A846="",B846=""),"",B846-A846)</f>
        <v/>
      </c>
      <c r="F846" s="55" t="n"/>
    </row>
    <row r="847">
      <c r="A847" s="54" t="n"/>
      <c r="B847" s="54" t="n"/>
      <c r="C847" s="55" t="n"/>
      <c r="D847" s="55" t="n"/>
      <c r="E847">
        <f>IF(OR(A847="",B847=""),"",B847-A847)</f>
        <v/>
      </c>
      <c r="F847" s="55" t="n"/>
    </row>
    <row r="848">
      <c r="A848" s="54" t="n"/>
      <c r="B848" s="54" t="n"/>
      <c r="C848" s="55" t="n"/>
      <c r="D848" s="55" t="n"/>
      <c r="E848">
        <f>IF(OR(A848="",B848=""),"",B848-A848)</f>
        <v/>
      </c>
      <c r="F848" s="55" t="n"/>
    </row>
    <row r="849">
      <c r="A849" s="54" t="n"/>
      <c r="B849" s="54" t="n"/>
      <c r="C849" s="55" t="n"/>
      <c r="D849" s="55" t="n"/>
      <c r="E849">
        <f>IF(OR(A849="",B849=""),"",B849-A849)</f>
        <v/>
      </c>
      <c r="F849" s="55" t="n"/>
    </row>
    <row r="850">
      <c r="A850" s="54" t="n"/>
      <c r="B850" s="54" t="n"/>
      <c r="C850" s="55" t="n"/>
      <c r="D850" s="55" t="n"/>
      <c r="E850">
        <f>IF(OR(A850="",B850=""),"",B850-A850)</f>
        <v/>
      </c>
      <c r="F850" s="55" t="n"/>
    </row>
    <row r="851">
      <c r="A851" s="54" t="n"/>
      <c r="B851" s="54" t="n"/>
      <c r="C851" s="55" t="n"/>
      <c r="D851" s="55" t="n"/>
      <c r="E851">
        <f>IF(OR(A851="",B851=""),"",B851-A851)</f>
        <v/>
      </c>
      <c r="F851" s="55" t="n"/>
    </row>
    <row r="852">
      <c r="A852" s="54" t="n"/>
      <c r="B852" s="54" t="n"/>
      <c r="C852" s="55" t="n"/>
      <c r="D852" s="55" t="n"/>
      <c r="E852">
        <f>IF(OR(A852="",B852=""),"",B852-A852)</f>
        <v/>
      </c>
      <c r="F852" s="55" t="n"/>
    </row>
    <row r="853">
      <c r="A853" s="54" t="n"/>
      <c r="B853" s="54" t="n"/>
      <c r="C853" s="55" t="n"/>
      <c r="D853" s="55" t="n"/>
      <c r="E853">
        <f>IF(OR(A853="",B853=""),"",B853-A853)</f>
        <v/>
      </c>
      <c r="F853" s="55" t="n"/>
    </row>
    <row r="854">
      <c r="A854" s="54" t="n"/>
      <c r="B854" s="54" t="n"/>
      <c r="C854" s="55" t="n"/>
      <c r="D854" s="55" t="n"/>
      <c r="E854">
        <f>IF(OR(A854="",B854=""),"",B854-A854)</f>
        <v/>
      </c>
      <c r="F854" s="55" t="n"/>
    </row>
    <row r="855">
      <c r="A855" s="54" t="n"/>
      <c r="B855" s="54" t="n"/>
      <c r="C855" s="55" t="n"/>
      <c r="D855" s="55" t="n"/>
      <c r="E855">
        <f>IF(OR(A855="",B855=""),"",B855-A855)</f>
        <v/>
      </c>
      <c r="F855" s="55" t="n"/>
    </row>
    <row r="856">
      <c r="A856" s="54" t="n"/>
      <c r="B856" s="54" t="n"/>
      <c r="C856" s="55" t="n"/>
      <c r="D856" s="55" t="n"/>
      <c r="E856">
        <f>IF(OR(A856="",B856=""),"",B856-A856)</f>
        <v/>
      </c>
      <c r="F856" s="55" t="n"/>
    </row>
    <row r="857">
      <c r="A857" s="54" t="n"/>
      <c r="B857" s="54" t="n"/>
      <c r="C857" s="55" t="n"/>
      <c r="D857" s="55" t="n"/>
      <c r="E857">
        <f>IF(OR(A857="",B857=""),"",B857-A857)</f>
        <v/>
      </c>
      <c r="F857" s="55" t="n"/>
    </row>
    <row r="858">
      <c r="A858" s="54" t="n"/>
      <c r="B858" s="54" t="n"/>
      <c r="C858" s="55" t="n"/>
      <c r="D858" s="55" t="n"/>
      <c r="E858">
        <f>IF(OR(A858="",B858=""),"",B858-A858)</f>
        <v/>
      </c>
      <c r="F858" s="55" t="n"/>
    </row>
    <row r="859">
      <c r="A859" s="54" t="n"/>
      <c r="B859" s="54" t="n"/>
      <c r="C859" s="55" t="n"/>
      <c r="D859" s="55" t="n"/>
      <c r="E859">
        <f>IF(OR(A859="",B859=""),"",B859-A859)</f>
        <v/>
      </c>
      <c r="F859" s="55" t="n"/>
    </row>
    <row r="860">
      <c r="A860" s="54" t="n"/>
      <c r="B860" s="54" t="n"/>
      <c r="C860" s="55" t="n"/>
      <c r="D860" s="55" t="n"/>
      <c r="E860">
        <f>IF(OR(A860="",B860=""),"",B860-A860)</f>
        <v/>
      </c>
      <c r="F860" s="55" t="n"/>
    </row>
    <row r="861">
      <c r="A861" s="54" t="n"/>
      <c r="B861" s="54" t="n"/>
      <c r="C861" s="55" t="n"/>
      <c r="D861" s="55" t="n"/>
      <c r="E861">
        <f>IF(OR(A861="",B861=""),"",B861-A861)</f>
        <v/>
      </c>
      <c r="F861" s="55" t="n"/>
    </row>
    <row r="862">
      <c r="A862" s="54" t="n"/>
      <c r="B862" s="54" t="n"/>
      <c r="C862" s="55" t="n"/>
      <c r="D862" s="55" t="n"/>
      <c r="E862">
        <f>IF(OR(A862="",B862=""),"",B862-A862)</f>
        <v/>
      </c>
      <c r="F862" s="55" t="n"/>
    </row>
    <row r="863">
      <c r="A863" s="54" t="n"/>
      <c r="B863" s="54" t="n"/>
      <c r="C863" s="55" t="n"/>
      <c r="D863" s="55" t="n"/>
      <c r="E863">
        <f>IF(OR(A863="",B863=""),"",B863-A863)</f>
        <v/>
      </c>
      <c r="F863" s="55" t="n"/>
    </row>
    <row r="864">
      <c r="A864" s="54" t="n"/>
      <c r="B864" s="54" t="n"/>
      <c r="C864" s="55" t="n"/>
      <c r="D864" s="55" t="n"/>
      <c r="E864">
        <f>IF(OR(A864="",B864=""),"",B864-A864)</f>
        <v/>
      </c>
      <c r="F864" s="55" t="n"/>
    </row>
    <row r="865">
      <c r="A865" s="54" t="n"/>
      <c r="B865" s="54" t="n"/>
      <c r="C865" s="55" t="n"/>
      <c r="D865" s="55" t="n"/>
      <c r="E865">
        <f>IF(OR(A865="",B865=""),"",B865-A865)</f>
        <v/>
      </c>
      <c r="F865" s="55" t="n"/>
    </row>
    <row r="866">
      <c r="A866" s="54" t="n"/>
      <c r="B866" s="54" t="n"/>
      <c r="C866" s="55" t="n"/>
      <c r="D866" s="55" t="n"/>
      <c r="E866">
        <f>IF(OR(A866="",B866=""),"",B866-A866)</f>
        <v/>
      </c>
      <c r="F866" s="55" t="n"/>
    </row>
    <row r="867">
      <c r="A867" s="54" t="n"/>
      <c r="B867" s="54" t="n"/>
      <c r="C867" s="55" t="n"/>
      <c r="D867" s="55" t="n"/>
      <c r="E867">
        <f>IF(OR(A867="",B867=""),"",B867-A867)</f>
        <v/>
      </c>
      <c r="F867" s="55" t="n"/>
    </row>
    <row r="868">
      <c r="A868" s="54" t="n"/>
      <c r="B868" s="54" t="n"/>
      <c r="C868" s="55" t="n"/>
      <c r="D868" s="55" t="n"/>
      <c r="E868">
        <f>IF(OR(A868="",B868=""),"",B868-A868)</f>
        <v/>
      </c>
      <c r="F868" s="55" t="n"/>
    </row>
    <row r="869">
      <c r="A869" s="54" t="n"/>
      <c r="B869" s="54" t="n"/>
      <c r="C869" s="55" t="n"/>
      <c r="D869" s="55" t="n"/>
      <c r="E869">
        <f>IF(OR(A869="",B869=""),"",B869-A869)</f>
        <v/>
      </c>
      <c r="F869" s="55" t="n"/>
    </row>
    <row r="870">
      <c r="A870" s="54" t="n"/>
      <c r="B870" s="54" t="n"/>
      <c r="C870" s="55" t="n"/>
      <c r="D870" s="55" t="n"/>
      <c r="E870">
        <f>IF(OR(A870="",B870=""),"",B870-A870)</f>
        <v/>
      </c>
      <c r="F870" s="55" t="n"/>
    </row>
    <row r="871">
      <c r="A871" s="54" t="n"/>
      <c r="B871" s="54" t="n"/>
      <c r="C871" s="55" t="n"/>
      <c r="D871" s="55" t="n"/>
      <c r="E871">
        <f>IF(OR(A871="",B871=""),"",B871-A871)</f>
        <v/>
      </c>
      <c r="F871" s="55" t="n"/>
    </row>
    <row r="872">
      <c r="A872" s="54" t="n"/>
      <c r="B872" s="54" t="n"/>
      <c r="C872" s="55" t="n"/>
      <c r="D872" s="55" t="n"/>
      <c r="E872">
        <f>IF(OR(A872="",B872=""),"",B872-A872)</f>
        <v/>
      </c>
      <c r="F872" s="55" t="n"/>
    </row>
    <row r="873">
      <c r="A873" s="54" t="n"/>
      <c r="B873" s="54" t="n"/>
      <c r="C873" s="55" t="n"/>
      <c r="D873" s="55" t="n"/>
      <c r="E873">
        <f>IF(OR(A873="",B873=""),"",B873-A873)</f>
        <v/>
      </c>
      <c r="F873" s="55" t="n"/>
    </row>
    <row r="874">
      <c r="A874" s="54" t="n"/>
      <c r="B874" s="54" t="n"/>
      <c r="C874" s="55" t="n"/>
      <c r="D874" s="55" t="n"/>
      <c r="E874">
        <f>IF(OR(A874="",B874=""),"",B874-A874)</f>
        <v/>
      </c>
      <c r="F874" s="55" t="n"/>
    </row>
    <row r="875">
      <c r="A875" s="54" t="n"/>
      <c r="B875" s="54" t="n"/>
      <c r="C875" s="55" t="n"/>
      <c r="D875" s="55" t="n"/>
      <c r="E875">
        <f>IF(OR(A875="",B875=""),"",B875-A875)</f>
        <v/>
      </c>
      <c r="F875" s="55" t="n"/>
    </row>
    <row r="876">
      <c r="A876" s="54" t="n"/>
      <c r="B876" s="54" t="n"/>
      <c r="C876" s="55" t="n"/>
      <c r="D876" s="55" t="n"/>
      <c r="E876">
        <f>IF(OR(A876="",B876=""),"",B876-A876)</f>
        <v/>
      </c>
      <c r="F876" s="55" t="n"/>
    </row>
    <row r="877">
      <c r="A877" s="54" t="n"/>
      <c r="B877" s="54" t="n"/>
      <c r="C877" s="55" t="n"/>
      <c r="D877" s="55" t="n"/>
      <c r="E877">
        <f>IF(OR(A877="",B877=""),"",B877-A877)</f>
        <v/>
      </c>
      <c r="F877" s="55" t="n"/>
    </row>
    <row r="878">
      <c r="A878" s="54" t="n"/>
      <c r="B878" s="54" t="n"/>
      <c r="C878" s="55" t="n"/>
      <c r="D878" s="55" t="n"/>
      <c r="E878">
        <f>IF(OR(A878="",B878=""),"",B878-A878)</f>
        <v/>
      </c>
      <c r="F878" s="55" t="n"/>
    </row>
    <row r="879">
      <c r="A879" s="54" t="n"/>
      <c r="B879" s="54" t="n"/>
      <c r="C879" s="55" t="n"/>
      <c r="D879" s="55" t="n"/>
      <c r="E879">
        <f>IF(OR(A879="",B879=""),"",B879-A879)</f>
        <v/>
      </c>
      <c r="F879" s="55" t="n"/>
    </row>
    <row r="880">
      <c r="A880" s="54" t="n"/>
      <c r="B880" s="54" t="n"/>
      <c r="C880" s="55" t="n"/>
      <c r="D880" s="55" t="n"/>
      <c r="E880">
        <f>IF(OR(A880="",B880=""),"",B880-A880)</f>
        <v/>
      </c>
      <c r="F880" s="55" t="n"/>
    </row>
    <row r="881">
      <c r="A881" s="54" t="n"/>
      <c r="B881" s="54" t="n"/>
      <c r="C881" s="55" t="n"/>
      <c r="D881" s="55" t="n"/>
      <c r="E881">
        <f>IF(OR(A881="",B881=""),"",B881-A881)</f>
        <v/>
      </c>
      <c r="F881" s="55" t="n"/>
    </row>
    <row r="882">
      <c r="A882" s="54" t="n"/>
      <c r="B882" s="54" t="n"/>
      <c r="C882" s="55" t="n"/>
      <c r="D882" s="55" t="n"/>
      <c r="E882">
        <f>IF(OR(A882="",B882=""),"",B882-A882)</f>
        <v/>
      </c>
      <c r="F882" s="55" t="n"/>
    </row>
    <row r="883">
      <c r="A883" s="54" t="n"/>
      <c r="B883" s="54" t="n"/>
      <c r="C883" s="55" t="n"/>
      <c r="D883" s="55" t="n"/>
      <c r="E883">
        <f>IF(OR(A883="",B883=""),"",B883-A883)</f>
        <v/>
      </c>
      <c r="F883" s="55" t="n"/>
    </row>
    <row r="884">
      <c r="A884" s="54" t="n"/>
      <c r="B884" s="54" t="n"/>
      <c r="C884" s="55" t="n"/>
      <c r="D884" s="55" t="n"/>
      <c r="E884">
        <f>IF(OR(A884="",B884=""),"",B884-A884)</f>
        <v/>
      </c>
      <c r="F884" s="55" t="n"/>
    </row>
    <row r="885">
      <c r="A885" s="54" t="n"/>
      <c r="B885" s="54" t="n"/>
      <c r="C885" s="55" t="n"/>
      <c r="D885" s="55" t="n"/>
      <c r="E885">
        <f>IF(OR(A885="",B885=""),"",B885-A885)</f>
        <v/>
      </c>
      <c r="F885" s="55" t="n"/>
    </row>
    <row r="886">
      <c r="A886" s="54" t="n"/>
      <c r="B886" s="54" t="n"/>
      <c r="C886" s="55" t="n"/>
      <c r="D886" s="55" t="n"/>
      <c r="E886">
        <f>IF(OR(A886="",B886=""),"",B886-A886)</f>
        <v/>
      </c>
      <c r="F886" s="55" t="n"/>
    </row>
    <row r="887">
      <c r="A887" s="54" t="n"/>
      <c r="B887" s="54" t="n"/>
      <c r="C887" s="55" t="n"/>
      <c r="D887" s="55" t="n"/>
      <c r="E887">
        <f>IF(OR(A887="",B887=""),"",B887-A887)</f>
        <v/>
      </c>
      <c r="F887" s="55" t="n"/>
    </row>
    <row r="888">
      <c r="A888" s="54" t="n"/>
      <c r="B888" s="54" t="n"/>
      <c r="C888" s="55" t="n"/>
      <c r="D888" s="55" t="n"/>
      <c r="E888">
        <f>IF(OR(A888="",B888=""),"",B888-A888)</f>
        <v/>
      </c>
      <c r="F888" s="55" t="n"/>
    </row>
    <row r="889">
      <c r="A889" s="54" t="n"/>
      <c r="B889" s="54" t="n"/>
      <c r="C889" s="55" t="n"/>
      <c r="D889" s="55" t="n"/>
      <c r="E889">
        <f>IF(OR(A889="",B889=""),"",B889-A889)</f>
        <v/>
      </c>
      <c r="F889" s="55" t="n"/>
    </row>
    <row r="890">
      <c r="A890" s="54" t="n"/>
      <c r="B890" s="54" t="n"/>
      <c r="C890" s="55" t="n"/>
      <c r="D890" s="55" t="n"/>
      <c r="E890">
        <f>IF(OR(A890="",B890=""),"",B890-A890)</f>
        <v/>
      </c>
      <c r="F890" s="55" t="n"/>
    </row>
    <row r="891">
      <c r="A891" s="54" t="n"/>
      <c r="B891" s="54" t="n"/>
      <c r="C891" s="55" t="n"/>
      <c r="D891" s="55" t="n"/>
      <c r="E891">
        <f>IF(OR(A891="",B891=""),"",B891-A891)</f>
        <v/>
      </c>
      <c r="F891" s="55" t="n"/>
    </row>
    <row r="892">
      <c r="A892" s="54" t="n"/>
      <c r="B892" s="54" t="n"/>
      <c r="C892" s="55" t="n"/>
      <c r="D892" s="55" t="n"/>
      <c r="E892">
        <f>IF(OR(A892="",B892=""),"",B892-A892)</f>
        <v/>
      </c>
      <c r="F892" s="55" t="n"/>
    </row>
    <row r="893">
      <c r="A893" s="54" t="n"/>
      <c r="B893" s="54" t="n"/>
      <c r="C893" s="55" t="n"/>
      <c r="D893" s="55" t="n"/>
      <c r="E893">
        <f>IF(OR(A893="",B893=""),"",B893-A893)</f>
        <v/>
      </c>
      <c r="F893" s="55" t="n"/>
    </row>
    <row r="894">
      <c r="A894" s="54" t="n"/>
      <c r="B894" s="54" t="n"/>
      <c r="C894" s="55" t="n"/>
      <c r="D894" s="55" t="n"/>
      <c r="E894">
        <f>IF(OR(A894="",B894=""),"",B894-A894)</f>
        <v/>
      </c>
      <c r="F894" s="55" t="n"/>
    </row>
    <row r="895">
      <c r="A895" s="54" t="n"/>
      <c r="B895" s="54" t="n"/>
      <c r="C895" s="55" t="n"/>
      <c r="D895" s="55" t="n"/>
      <c r="E895">
        <f>IF(OR(A895="",B895=""),"",B895-A895)</f>
        <v/>
      </c>
      <c r="F895" s="55" t="n"/>
    </row>
    <row r="896">
      <c r="A896" s="54" t="n"/>
      <c r="B896" s="54" t="n"/>
      <c r="C896" s="55" t="n"/>
      <c r="D896" s="55" t="n"/>
      <c r="E896">
        <f>IF(OR(A896="",B896=""),"",B896-A896)</f>
        <v/>
      </c>
      <c r="F896" s="55" t="n"/>
    </row>
    <row r="897">
      <c r="A897" s="54" t="n"/>
      <c r="B897" s="54" t="n"/>
      <c r="C897" s="55" t="n"/>
      <c r="D897" s="55" t="n"/>
      <c r="E897">
        <f>IF(OR(A897="",B897=""),"",B897-A897)</f>
        <v/>
      </c>
      <c r="F897" s="55" t="n"/>
    </row>
    <row r="898">
      <c r="A898" s="54" t="n"/>
      <c r="B898" s="54" t="n"/>
      <c r="C898" s="55" t="n"/>
      <c r="D898" s="55" t="n"/>
      <c r="E898">
        <f>IF(OR(A898="",B898=""),"",B898-A898)</f>
        <v/>
      </c>
      <c r="F898" s="55" t="n"/>
    </row>
    <row r="899">
      <c r="A899" s="54" t="n"/>
      <c r="B899" s="54" t="n"/>
      <c r="C899" s="55" t="n"/>
      <c r="D899" s="55" t="n"/>
      <c r="E899">
        <f>IF(OR(A899="",B899=""),"",B899-A899)</f>
        <v/>
      </c>
      <c r="F899" s="55" t="n"/>
    </row>
    <row r="900">
      <c r="A900" s="54" t="n"/>
      <c r="B900" s="54" t="n"/>
      <c r="C900" s="55" t="n"/>
      <c r="D900" s="55" t="n"/>
      <c r="E900">
        <f>IF(OR(A900="",B900=""),"",B900-A900)</f>
        <v/>
      </c>
      <c r="F900" s="55" t="n"/>
    </row>
    <row r="901">
      <c r="A901" s="54" t="n"/>
      <c r="B901" s="54" t="n"/>
      <c r="C901" s="55" t="n"/>
      <c r="D901" s="55" t="n"/>
      <c r="E901">
        <f>IF(OR(A901="",B901=""),"",B901-A901)</f>
        <v/>
      </c>
      <c r="F901" s="55" t="n"/>
    </row>
    <row r="902">
      <c r="A902" s="54" t="n"/>
      <c r="B902" s="54" t="n"/>
      <c r="C902" s="55" t="n"/>
      <c r="D902" s="55" t="n"/>
      <c r="E902">
        <f>IF(OR(A902="",B902=""),"",B902-A902)</f>
        <v/>
      </c>
      <c r="F902" s="55" t="n"/>
    </row>
    <row r="903">
      <c r="A903" s="54" t="n"/>
      <c r="B903" s="54" t="n"/>
      <c r="C903" s="55" t="n"/>
      <c r="D903" s="55" t="n"/>
      <c r="E903">
        <f>IF(OR(A903="",B903=""),"",B903-A903)</f>
        <v/>
      </c>
      <c r="F903" s="55" t="n"/>
    </row>
    <row r="904">
      <c r="A904" s="54" t="n"/>
      <c r="B904" s="54" t="n"/>
      <c r="C904" s="55" t="n"/>
      <c r="D904" s="55" t="n"/>
      <c r="E904">
        <f>IF(OR(A904="",B904=""),"",B904-A904)</f>
        <v/>
      </c>
      <c r="F904" s="55" t="n"/>
    </row>
    <row r="905">
      <c r="A905" s="54" t="n"/>
      <c r="B905" s="54" t="n"/>
      <c r="C905" s="55" t="n"/>
      <c r="D905" s="55" t="n"/>
      <c r="E905">
        <f>IF(OR(A905="",B905=""),"",B905-A905)</f>
        <v/>
      </c>
      <c r="F905" s="55" t="n"/>
    </row>
    <row r="906">
      <c r="A906" s="54" t="n"/>
      <c r="B906" s="54" t="n"/>
      <c r="C906" s="55" t="n"/>
      <c r="D906" s="55" t="n"/>
      <c r="E906">
        <f>IF(OR(A906="",B906=""),"",B906-A906)</f>
        <v/>
      </c>
      <c r="F906" s="55" t="n"/>
    </row>
    <row r="907">
      <c r="A907" s="54" t="n"/>
      <c r="B907" s="54" t="n"/>
      <c r="C907" s="55" t="n"/>
      <c r="D907" s="55" t="n"/>
      <c r="E907">
        <f>IF(OR(A907="",B907=""),"",B907-A907)</f>
        <v/>
      </c>
      <c r="F907" s="55" t="n"/>
    </row>
    <row r="908">
      <c r="A908" s="54" t="n"/>
      <c r="B908" s="54" t="n"/>
      <c r="C908" s="55" t="n"/>
      <c r="D908" s="55" t="n"/>
      <c r="E908">
        <f>IF(OR(A908="",B908=""),"",B908-A908)</f>
        <v/>
      </c>
      <c r="F908" s="55" t="n"/>
    </row>
    <row r="909">
      <c r="A909" s="54" t="n"/>
      <c r="B909" s="54" t="n"/>
      <c r="C909" s="55" t="n"/>
      <c r="D909" s="55" t="n"/>
      <c r="E909">
        <f>IF(OR(A909="",B909=""),"",B909-A909)</f>
        <v/>
      </c>
      <c r="F909" s="55" t="n"/>
    </row>
    <row r="910">
      <c r="A910" s="54" t="n"/>
      <c r="B910" s="54" t="n"/>
      <c r="C910" s="55" t="n"/>
      <c r="D910" s="55" t="n"/>
      <c r="E910">
        <f>IF(OR(A910="",B910=""),"",B910-A910)</f>
        <v/>
      </c>
      <c r="F910" s="55" t="n"/>
    </row>
    <row r="911">
      <c r="A911" s="54" t="n"/>
      <c r="B911" s="54" t="n"/>
      <c r="C911" s="55" t="n"/>
      <c r="D911" s="55" t="n"/>
      <c r="E911">
        <f>IF(OR(A911="",B911=""),"",B911-A911)</f>
        <v/>
      </c>
      <c r="F911" s="55" t="n"/>
    </row>
    <row r="912">
      <c r="A912" s="54" t="n"/>
      <c r="B912" s="54" t="n"/>
      <c r="C912" s="55" t="n"/>
      <c r="D912" s="55" t="n"/>
      <c r="E912">
        <f>IF(OR(A912="",B912=""),"",B912-A912)</f>
        <v/>
      </c>
      <c r="F912" s="55" t="n"/>
    </row>
    <row r="913">
      <c r="A913" s="54" t="n"/>
      <c r="B913" s="54" t="n"/>
      <c r="C913" s="55" t="n"/>
      <c r="D913" s="55" t="n"/>
      <c r="E913">
        <f>IF(OR(A913="",B913=""),"",B913-A913)</f>
        <v/>
      </c>
      <c r="F913" s="55" t="n"/>
    </row>
    <row r="914">
      <c r="A914" s="54" t="n"/>
      <c r="B914" s="54" t="n"/>
      <c r="C914" s="55" t="n"/>
      <c r="D914" s="55" t="n"/>
      <c r="E914">
        <f>IF(OR(A914="",B914=""),"",B914-A914)</f>
        <v/>
      </c>
      <c r="F914" s="55" t="n"/>
    </row>
    <row r="915">
      <c r="A915" s="54" t="n"/>
      <c r="B915" s="54" t="n"/>
      <c r="C915" s="55" t="n"/>
      <c r="D915" s="55" t="n"/>
      <c r="E915">
        <f>IF(OR(A915="",B915=""),"",B915-A915)</f>
        <v/>
      </c>
      <c r="F915" s="55" t="n"/>
    </row>
    <row r="916">
      <c r="A916" s="54" t="n"/>
      <c r="B916" s="54" t="n"/>
      <c r="C916" s="55" t="n"/>
      <c r="D916" s="55" t="n"/>
      <c r="E916">
        <f>IF(OR(A916="",B916=""),"",B916-A916)</f>
        <v/>
      </c>
      <c r="F916" s="55" t="n"/>
    </row>
    <row r="917">
      <c r="A917" s="54" t="n"/>
      <c r="B917" s="54" t="n"/>
      <c r="C917" s="55" t="n"/>
      <c r="D917" s="55" t="n"/>
      <c r="E917">
        <f>IF(OR(A917="",B917=""),"",B917-A917)</f>
        <v/>
      </c>
      <c r="F917" s="55" t="n"/>
    </row>
    <row r="918">
      <c r="A918" s="54" t="n"/>
      <c r="B918" s="54" t="n"/>
      <c r="C918" s="55" t="n"/>
      <c r="D918" s="55" t="n"/>
      <c r="E918">
        <f>IF(OR(A918="",B918=""),"",B918-A918)</f>
        <v/>
      </c>
      <c r="F918" s="55" t="n"/>
    </row>
    <row r="919">
      <c r="A919" s="54" t="n"/>
      <c r="B919" s="54" t="n"/>
      <c r="C919" s="55" t="n"/>
      <c r="D919" s="55" t="n"/>
      <c r="E919">
        <f>IF(OR(A919="",B919=""),"",B919-A919)</f>
        <v/>
      </c>
      <c r="F919" s="55" t="n"/>
    </row>
    <row r="920">
      <c r="A920" s="54" t="n"/>
      <c r="B920" s="54" t="n"/>
      <c r="C920" s="55" t="n"/>
      <c r="D920" s="55" t="n"/>
      <c r="E920">
        <f>IF(OR(A920="",B920=""),"",B920-A920)</f>
        <v/>
      </c>
      <c r="F920" s="55" t="n"/>
    </row>
    <row r="921">
      <c r="A921" s="54" t="n"/>
      <c r="B921" s="54" t="n"/>
      <c r="C921" s="55" t="n"/>
      <c r="D921" s="55" t="n"/>
      <c r="E921">
        <f>IF(OR(A921="",B921=""),"",B921-A921)</f>
        <v/>
      </c>
      <c r="F921" s="55" t="n"/>
    </row>
    <row r="922">
      <c r="A922" s="54" t="n"/>
      <c r="B922" s="54" t="n"/>
      <c r="C922" s="55" t="n"/>
      <c r="D922" s="55" t="n"/>
      <c r="E922">
        <f>IF(OR(A922="",B922=""),"",B922-A922)</f>
        <v/>
      </c>
      <c r="F922" s="55" t="n"/>
    </row>
    <row r="923">
      <c r="A923" s="54" t="n"/>
      <c r="B923" s="54" t="n"/>
      <c r="C923" s="55" t="n"/>
      <c r="D923" s="55" t="n"/>
      <c r="E923">
        <f>IF(OR(A923="",B923=""),"",B923-A923)</f>
        <v/>
      </c>
      <c r="F923" s="55" t="n"/>
    </row>
    <row r="924">
      <c r="A924" s="54" t="n"/>
      <c r="B924" s="54" t="n"/>
      <c r="C924" s="55" t="n"/>
      <c r="D924" s="55" t="n"/>
      <c r="E924">
        <f>IF(OR(A924="",B924=""),"",B924-A924)</f>
        <v/>
      </c>
      <c r="F924" s="55" t="n"/>
    </row>
    <row r="925">
      <c r="A925" s="54" t="n"/>
      <c r="B925" s="54" t="n"/>
      <c r="C925" s="55" t="n"/>
      <c r="D925" s="55" t="n"/>
      <c r="E925">
        <f>IF(OR(A925="",B925=""),"",B925-A925)</f>
        <v/>
      </c>
      <c r="F925" s="55" t="n"/>
    </row>
    <row r="926">
      <c r="A926" s="54" t="n"/>
      <c r="B926" s="54" t="n"/>
      <c r="C926" s="55" t="n"/>
      <c r="D926" s="55" t="n"/>
      <c r="E926">
        <f>IF(OR(A926="",B926=""),"",B926-A926)</f>
        <v/>
      </c>
      <c r="F926" s="55" t="n"/>
    </row>
    <row r="927">
      <c r="A927" s="54" t="n"/>
      <c r="B927" s="54" t="n"/>
      <c r="C927" s="55" t="n"/>
      <c r="D927" s="55" t="n"/>
      <c r="E927">
        <f>IF(OR(A927="",B927=""),"",B927-A927)</f>
        <v/>
      </c>
      <c r="F927" s="55" t="n"/>
    </row>
    <row r="928">
      <c r="A928" s="54" t="n"/>
      <c r="B928" s="54" t="n"/>
      <c r="C928" s="55" t="n"/>
      <c r="D928" s="55" t="n"/>
      <c r="E928">
        <f>IF(OR(A928="",B928=""),"",B928-A928)</f>
        <v/>
      </c>
      <c r="F928" s="55" t="n"/>
    </row>
    <row r="929">
      <c r="A929" s="54" t="n"/>
      <c r="B929" s="54" t="n"/>
      <c r="C929" s="55" t="n"/>
      <c r="D929" s="55" t="n"/>
      <c r="E929">
        <f>IF(OR(A929="",B929=""),"",B929-A929)</f>
        <v/>
      </c>
      <c r="F929" s="55" t="n"/>
    </row>
    <row r="930">
      <c r="A930" s="54" t="n"/>
      <c r="B930" s="54" t="n"/>
      <c r="C930" s="55" t="n"/>
      <c r="D930" s="55" t="n"/>
      <c r="E930">
        <f>IF(OR(A930="",B930=""),"",B930-A930)</f>
        <v/>
      </c>
      <c r="F930" s="55" t="n"/>
    </row>
    <row r="931">
      <c r="A931" s="54" t="n"/>
      <c r="B931" s="54" t="n"/>
      <c r="C931" s="55" t="n"/>
      <c r="D931" s="55" t="n"/>
      <c r="E931">
        <f>IF(OR(A931="",B931=""),"",B931-A931)</f>
        <v/>
      </c>
      <c r="F931" s="55" t="n"/>
    </row>
    <row r="932">
      <c r="A932" s="54" t="n"/>
      <c r="B932" s="54" t="n"/>
      <c r="C932" s="55" t="n"/>
      <c r="D932" s="55" t="n"/>
      <c r="E932">
        <f>IF(OR(A932="",B932=""),"",B932-A932)</f>
        <v/>
      </c>
      <c r="F932" s="55" t="n"/>
    </row>
    <row r="933">
      <c r="A933" s="54" t="n"/>
      <c r="B933" s="54" t="n"/>
      <c r="C933" s="55" t="n"/>
      <c r="D933" s="55" t="n"/>
      <c r="E933">
        <f>IF(OR(A933="",B933=""),"",B933-A933)</f>
        <v/>
      </c>
      <c r="F933" s="55" t="n"/>
    </row>
    <row r="934">
      <c r="A934" s="54" t="n"/>
      <c r="B934" s="54" t="n"/>
      <c r="C934" s="55" t="n"/>
      <c r="D934" s="55" t="n"/>
      <c r="E934">
        <f>IF(OR(A934="",B934=""),"",B934-A934)</f>
        <v/>
      </c>
      <c r="F934" s="55" t="n"/>
    </row>
    <row r="935">
      <c r="A935" s="54" t="n"/>
      <c r="B935" s="54" t="n"/>
      <c r="C935" s="55" t="n"/>
      <c r="D935" s="55" t="n"/>
      <c r="E935">
        <f>IF(OR(A935="",B935=""),"",B935-A935)</f>
        <v/>
      </c>
      <c r="F935" s="55" t="n"/>
    </row>
    <row r="936">
      <c r="A936" s="54" t="n"/>
      <c r="B936" s="54" t="n"/>
      <c r="C936" s="55" t="n"/>
      <c r="D936" s="55" t="n"/>
      <c r="E936">
        <f>IF(OR(A936="",B936=""),"",B936-A936)</f>
        <v/>
      </c>
      <c r="F936" s="55" t="n"/>
    </row>
    <row r="937">
      <c r="A937" s="54" t="n"/>
      <c r="B937" s="54" t="n"/>
      <c r="C937" s="55" t="n"/>
      <c r="D937" s="55" t="n"/>
      <c r="E937">
        <f>IF(OR(A937="",B937=""),"",B937-A937)</f>
        <v/>
      </c>
      <c r="F937" s="55" t="n"/>
    </row>
    <row r="938">
      <c r="A938" s="54" t="n"/>
      <c r="B938" s="54" t="n"/>
      <c r="C938" s="55" t="n"/>
      <c r="D938" s="55" t="n"/>
      <c r="E938">
        <f>IF(OR(A938="",B938=""),"",B938-A938)</f>
        <v/>
      </c>
      <c r="F938" s="55" t="n"/>
    </row>
    <row r="939">
      <c r="A939" s="54" t="n"/>
      <c r="B939" s="54" t="n"/>
      <c r="C939" s="55" t="n"/>
      <c r="D939" s="55" t="n"/>
      <c r="E939">
        <f>IF(OR(A939="",B939=""),"",B939-A939)</f>
        <v/>
      </c>
      <c r="F939" s="55" t="n"/>
    </row>
    <row r="940">
      <c r="A940" s="54" t="n"/>
      <c r="B940" s="54" t="n"/>
      <c r="C940" s="55" t="n"/>
      <c r="D940" s="55" t="n"/>
      <c r="E940">
        <f>IF(OR(A940="",B940=""),"",B940-A940)</f>
        <v/>
      </c>
      <c r="F940" s="55" t="n"/>
    </row>
    <row r="941">
      <c r="A941" s="54" t="n"/>
      <c r="B941" s="54" t="n"/>
      <c r="C941" s="55" t="n"/>
      <c r="D941" s="55" t="n"/>
      <c r="E941">
        <f>IF(OR(A941="",B941=""),"",B941-A941)</f>
        <v/>
      </c>
      <c r="F941" s="55" t="n"/>
    </row>
    <row r="942">
      <c r="A942" s="54" t="n"/>
      <c r="B942" s="54" t="n"/>
      <c r="C942" s="55" t="n"/>
      <c r="D942" s="55" t="n"/>
      <c r="E942">
        <f>IF(OR(A942="",B942=""),"",B942-A942)</f>
        <v/>
      </c>
      <c r="F942" s="55" t="n"/>
    </row>
    <row r="943">
      <c r="A943" s="54" t="n"/>
      <c r="B943" s="54" t="n"/>
      <c r="C943" s="55" t="n"/>
      <c r="D943" s="55" t="n"/>
      <c r="E943">
        <f>IF(OR(A943="",B943=""),"",B943-A943)</f>
        <v/>
      </c>
      <c r="F943" s="55" t="n"/>
    </row>
    <row r="944">
      <c r="A944" s="54" t="n"/>
      <c r="B944" s="54" t="n"/>
      <c r="C944" s="55" t="n"/>
      <c r="D944" s="55" t="n"/>
      <c r="E944">
        <f>IF(OR(A944="",B944=""),"",B944-A944)</f>
        <v/>
      </c>
      <c r="F944" s="55" t="n"/>
    </row>
    <row r="945">
      <c r="A945" s="54" t="n"/>
      <c r="B945" s="54" t="n"/>
      <c r="C945" s="55" t="n"/>
      <c r="D945" s="55" t="n"/>
      <c r="E945">
        <f>IF(OR(A945="",B945=""),"",B945-A945)</f>
        <v/>
      </c>
      <c r="F945" s="55" t="n"/>
    </row>
    <row r="946">
      <c r="A946" s="54" t="n"/>
      <c r="B946" s="54" t="n"/>
      <c r="C946" s="55" t="n"/>
      <c r="D946" s="55" t="n"/>
      <c r="E946">
        <f>IF(OR(A946="",B946=""),"",B946-A946)</f>
        <v/>
      </c>
      <c r="F946" s="55" t="n"/>
    </row>
    <row r="947">
      <c r="A947" s="54" t="n"/>
      <c r="B947" s="54" t="n"/>
      <c r="C947" s="55" t="n"/>
      <c r="D947" s="55" t="n"/>
      <c r="E947">
        <f>IF(OR(A947="",B947=""),"",B947-A947)</f>
        <v/>
      </c>
      <c r="F947" s="55" t="n"/>
    </row>
    <row r="948">
      <c r="A948" s="54" t="n"/>
      <c r="B948" s="54" t="n"/>
      <c r="C948" s="55" t="n"/>
      <c r="D948" s="55" t="n"/>
      <c r="E948">
        <f>IF(OR(A948="",B948=""),"",B948-A948)</f>
        <v/>
      </c>
      <c r="F948" s="55" t="n"/>
    </row>
    <row r="949">
      <c r="A949" s="54" t="n"/>
      <c r="B949" s="54" t="n"/>
      <c r="C949" s="55" t="n"/>
      <c r="D949" s="55" t="n"/>
      <c r="E949">
        <f>IF(OR(A949="",B949=""),"",B949-A949)</f>
        <v/>
      </c>
      <c r="F949" s="55" t="n"/>
    </row>
    <row r="950">
      <c r="A950" s="54" t="n"/>
      <c r="B950" s="54" t="n"/>
      <c r="C950" s="55" t="n"/>
      <c r="D950" s="55" t="n"/>
      <c r="E950">
        <f>IF(OR(A950="",B950=""),"",B950-A950)</f>
        <v/>
      </c>
      <c r="F950" s="55" t="n"/>
    </row>
    <row r="951">
      <c r="A951" s="54" t="n"/>
      <c r="B951" s="54" t="n"/>
      <c r="C951" s="55" t="n"/>
      <c r="D951" s="55" t="n"/>
      <c r="E951">
        <f>IF(OR(A951="",B951=""),"",B951-A951)</f>
        <v/>
      </c>
      <c r="F951" s="55" t="n"/>
    </row>
    <row r="952">
      <c r="A952" s="54" t="n"/>
      <c r="B952" s="54" t="n"/>
      <c r="C952" s="55" t="n"/>
      <c r="D952" s="55" t="n"/>
      <c r="E952">
        <f>IF(OR(A952="",B952=""),"",B952-A952)</f>
        <v/>
      </c>
      <c r="F952" s="55" t="n"/>
    </row>
    <row r="953">
      <c r="A953" s="54" t="n"/>
      <c r="B953" s="54" t="n"/>
      <c r="C953" s="55" t="n"/>
      <c r="D953" s="55" t="n"/>
      <c r="E953">
        <f>IF(OR(A953="",B953=""),"",B953-A953)</f>
        <v/>
      </c>
      <c r="F953" s="55" t="n"/>
    </row>
    <row r="954">
      <c r="A954" s="54" t="n"/>
      <c r="B954" s="54" t="n"/>
      <c r="C954" s="55" t="n"/>
      <c r="D954" s="55" t="n"/>
      <c r="E954">
        <f>IF(OR(A954="",B954=""),"",B954-A954)</f>
        <v/>
      </c>
      <c r="F954" s="55" t="n"/>
    </row>
    <row r="955">
      <c r="A955" s="54" t="n"/>
      <c r="B955" s="54" t="n"/>
      <c r="C955" s="55" t="n"/>
      <c r="D955" s="55" t="n"/>
      <c r="E955">
        <f>IF(OR(A955="",B955=""),"",B955-A955)</f>
        <v/>
      </c>
      <c r="F955" s="55" t="n"/>
    </row>
    <row r="956">
      <c r="A956" s="54" t="n"/>
      <c r="B956" s="54" t="n"/>
      <c r="C956" s="55" t="n"/>
      <c r="D956" s="55" t="n"/>
      <c r="E956">
        <f>IF(OR(A956="",B956=""),"",B956-A956)</f>
        <v/>
      </c>
      <c r="F956" s="55" t="n"/>
    </row>
    <row r="957">
      <c r="A957" s="54" t="n"/>
      <c r="B957" s="54" t="n"/>
      <c r="C957" s="55" t="n"/>
      <c r="D957" s="55" t="n"/>
      <c r="E957">
        <f>IF(OR(A957="",B957=""),"",B957-A957)</f>
        <v/>
      </c>
      <c r="F957" s="55" t="n"/>
    </row>
    <row r="958">
      <c r="A958" s="54" t="n"/>
      <c r="B958" s="54" t="n"/>
      <c r="C958" s="55" t="n"/>
      <c r="D958" s="55" t="n"/>
      <c r="E958">
        <f>IF(OR(A958="",B958=""),"",B958-A958)</f>
        <v/>
      </c>
      <c r="F958" s="55" t="n"/>
    </row>
    <row r="959">
      <c r="A959" s="54" t="n"/>
      <c r="B959" s="54" t="n"/>
      <c r="C959" s="55" t="n"/>
      <c r="D959" s="55" t="n"/>
      <c r="E959">
        <f>IF(OR(A959="",B959=""),"",B959-A959)</f>
        <v/>
      </c>
      <c r="F959" s="55" t="n"/>
    </row>
    <row r="960">
      <c r="A960" s="54" t="n"/>
      <c r="B960" s="54" t="n"/>
      <c r="C960" s="55" t="n"/>
      <c r="D960" s="55" t="n"/>
      <c r="E960">
        <f>IF(OR(A960="",B960=""),"",B960-A960)</f>
        <v/>
      </c>
      <c r="F960" s="55" t="n"/>
    </row>
    <row r="961">
      <c r="A961" s="54" t="n"/>
      <c r="B961" s="54" t="n"/>
      <c r="C961" s="55" t="n"/>
      <c r="D961" s="55" t="n"/>
      <c r="E961">
        <f>IF(OR(A961="",B961=""),"",B961-A961)</f>
        <v/>
      </c>
      <c r="F961" s="55" t="n"/>
    </row>
    <row r="962">
      <c r="A962" s="54" t="n"/>
      <c r="B962" s="54" t="n"/>
      <c r="C962" s="55" t="n"/>
      <c r="D962" s="55" t="n"/>
      <c r="E962">
        <f>IF(OR(A962="",B962=""),"",B962-A962)</f>
        <v/>
      </c>
      <c r="F962" s="55" t="n"/>
    </row>
    <row r="963">
      <c r="A963" s="54" t="n"/>
      <c r="B963" s="54" t="n"/>
      <c r="C963" s="55" t="n"/>
      <c r="D963" s="55" t="n"/>
      <c r="E963">
        <f>IF(OR(A963="",B963=""),"",B963-A963)</f>
        <v/>
      </c>
      <c r="F963" s="55" t="n"/>
    </row>
    <row r="964">
      <c r="A964" s="54" t="n"/>
      <c r="B964" s="54" t="n"/>
      <c r="C964" s="55" t="n"/>
      <c r="D964" s="55" t="n"/>
      <c r="E964">
        <f>IF(OR(A964="",B964=""),"",B964-A964)</f>
        <v/>
      </c>
      <c r="F964" s="55" t="n"/>
    </row>
    <row r="965">
      <c r="A965" s="54" t="n"/>
      <c r="B965" s="54" t="n"/>
      <c r="C965" s="55" t="n"/>
      <c r="D965" s="55" t="n"/>
      <c r="E965">
        <f>IF(OR(A965="",B965=""),"",B965-A965)</f>
        <v/>
      </c>
      <c r="F965" s="55" t="n"/>
    </row>
    <row r="966">
      <c r="A966" s="54" t="n"/>
      <c r="B966" s="54" t="n"/>
      <c r="C966" s="55" t="n"/>
      <c r="D966" s="55" t="n"/>
      <c r="E966">
        <f>IF(OR(A966="",B966=""),"",B966-A966)</f>
        <v/>
      </c>
      <c r="F966" s="55" t="n"/>
    </row>
    <row r="967">
      <c r="A967" s="54" t="n"/>
      <c r="B967" s="54" t="n"/>
      <c r="C967" s="55" t="n"/>
      <c r="D967" s="55" t="n"/>
      <c r="E967">
        <f>IF(OR(A967="",B967=""),"",B967-A967)</f>
        <v/>
      </c>
      <c r="F967" s="55" t="n"/>
    </row>
    <row r="968">
      <c r="A968" s="54" t="n"/>
      <c r="B968" s="54" t="n"/>
      <c r="C968" s="55" t="n"/>
      <c r="D968" s="55" t="n"/>
      <c r="E968">
        <f>IF(OR(A968="",B968=""),"",B968-A968)</f>
        <v/>
      </c>
      <c r="F968" s="55" t="n"/>
    </row>
    <row r="969">
      <c r="A969" s="54" t="n"/>
      <c r="B969" s="54" t="n"/>
      <c r="C969" s="55" t="n"/>
      <c r="D969" s="55" t="n"/>
      <c r="E969">
        <f>IF(OR(A969="",B969=""),"",B969-A969)</f>
        <v/>
      </c>
      <c r="F969" s="55" t="n"/>
    </row>
    <row r="970">
      <c r="A970" s="54" t="n"/>
      <c r="B970" s="54" t="n"/>
      <c r="C970" s="55" t="n"/>
      <c r="D970" s="55" t="n"/>
      <c r="E970">
        <f>IF(OR(A970="",B970=""),"",B970-A970)</f>
        <v/>
      </c>
      <c r="F970" s="55" t="n"/>
    </row>
    <row r="971">
      <c r="A971" s="54" t="n"/>
      <c r="B971" s="54" t="n"/>
      <c r="C971" s="55" t="n"/>
      <c r="D971" s="55" t="n"/>
      <c r="E971">
        <f>IF(OR(A971="",B971=""),"",B971-A971)</f>
        <v/>
      </c>
      <c r="F971" s="55" t="n"/>
    </row>
    <row r="972">
      <c r="A972" s="54" t="n"/>
      <c r="B972" s="54" t="n"/>
      <c r="C972" s="55" t="n"/>
      <c r="D972" s="55" t="n"/>
      <c r="E972">
        <f>IF(OR(A972="",B972=""),"",B972-A972)</f>
        <v/>
      </c>
      <c r="F972" s="55" t="n"/>
    </row>
    <row r="973">
      <c r="A973" s="54" t="n"/>
      <c r="B973" s="54" t="n"/>
      <c r="C973" s="55" t="n"/>
      <c r="D973" s="55" t="n"/>
      <c r="E973">
        <f>IF(OR(A973="",B973=""),"",B973-A973)</f>
        <v/>
      </c>
      <c r="F973" s="55" t="n"/>
    </row>
    <row r="974">
      <c r="A974" s="54" t="n"/>
      <c r="B974" s="54" t="n"/>
      <c r="C974" s="55" t="n"/>
      <c r="D974" s="55" t="n"/>
      <c r="E974">
        <f>IF(OR(A974="",B974=""),"",B974-A974)</f>
        <v/>
      </c>
      <c r="F974" s="55" t="n"/>
    </row>
    <row r="975">
      <c r="A975" s="54" t="n"/>
      <c r="B975" s="54" t="n"/>
      <c r="C975" s="55" t="n"/>
      <c r="D975" s="55" t="n"/>
      <c r="E975">
        <f>IF(OR(A975="",B975=""),"",B975-A975)</f>
        <v/>
      </c>
      <c r="F975" s="55" t="n"/>
    </row>
    <row r="976">
      <c r="A976" s="54" t="n"/>
      <c r="B976" s="54" t="n"/>
      <c r="C976" s="55" t="n"/>
      <c r="D976" s="55" t="n"/>
      <c r="E976">
        <f>IF(OR(A976="",B976=""),"",B976-A976)</f>
        <v/>
      </c>
      <c r="F976" s="55" t="n"/>
    </row>
    <row r="977">
      <c r="A977" s="54" t="n"/>
      <c r="B977" s="54" t="n"/>
      <c r="C977" s="55" t="n"/>
      <c r="D977" s="55" t="n"/>
      <c r="E977">
        <f>IF(OR(A977="",B977=""),"",B977-A977)</f>
        <v/>
      </c>
      <c r="F977" s="55" t="n"/>
    </row>
    <row r="978">
      <c r="A978" s="54" t="n"/>
      <c r="B978" s="54" t="n"/>
      <c r="C978" s="55" t="n"/>
      <c r="D978" s="55" t="n"/>
      <c r="E978">
        <f>IF(OR(A978="",B978=""),"",B978-A978)</f>
        <v/>
      </c>
      <c r="F978" s="55" t="n"/>
    </row>
    <row r="979">
      <c r="A979" s="54" t="n"/>
      <c r="B979" s="54" t="n"/>
      <c r="C979" s="55" t="n"/>
      <c r="D979" s="55" t="n"/>
      <c r="E979">
        <f>IF(OR(A979="",B979=""),"",B979-A979)</f>
        <v/>
      </c>
      <c r="F979" s="55" t="n"/>
    </row>
    <row r="980">
      <c r="A980" s="54" t="n"/>
      <c r="B980" s="54" t="n"/>
      <c r="C980" s="55" t="n"/>
      <c r="D980" s="55" t="n"/>
      <c r="E980">
        <f>IF(OR(A980="",B980=""),"",B980-A980)</f>
        <v/>
      </c>
      <c r="F980" s="55" t="n"/>
    </row>
    <row r="981">
      <c r="A981" s="54" t="n"/>
      <c r="B981" s="54" t="n"/>
      <c r="C981" s="55" t="n"/>
      <c r="D981" s="55" t="n"/>
      <c r="E981">
        <f>IF(OR(A981="",B981=""),"",B981-A981)</f>
        <v/>
      </c>
      <c r="F981" s="55" t="n"/>
    </row>
    <row r="982">
      <c r="A982" s="54" t="n"/>
      <c r="B982" s="54" t="n"/>
      <c r="C982" s="55" t="n"/>
      <c r="D982" s="55" t="n"/>
      <c r="E982">
        <f>IF(OR(A982="",B982=""),"",B982-A982)</f>
        <v/>
      </c>
      <c r="F982" s="55" t="n"/>
    </row>
    <row r="983">
      <c r="A983" s="54" t="n"/>
      <c r="B983" s="54" t="n"/>
      <c r="C983" s="55" t="n"/>
      <c r="D983" s="55" t="n"/>
      <c r="E983">
        <f>IF(OR(A983="",B983=""),"",B983-A983)</f>
        <v/>
      </c>
      <c r="F983" s="55" t="n"/>
    </row>
    <row r="984">
      <c r="A984" s="54" t="n"/>
      <c r="B984" s="54" t="n"/>
      <c r="C984" s="55" t="n"/>
      <c r="D984" s="55" t="n"/>
      <c r="E984">
        <f>IF(OR(A984="",B984=""),"",B984-A984)</f>
        <v/>
      </c>
      <c r="F984" s="55" t="n"/>
    </row>
    <row r="985">
      <c r="A985" s="54" t="n"/>
      <c r="B985" s="54" t="n"/>
      <c r="C985" s="55" t="n"/>
      <c r="D985" s="55" t="n"/>
      <c r="E985">
        <f>IF(OR(A985="",B985=""),"",B985-A985)</f>
        <v/>
      </c>
      <c r="F985" s="55" t="n"/>
    </row>
    <row r="986">
      <c r="A986" s="54" t="n"/>
      <c r="B986" s="54" t="n"/>
      <c r="C986" s="55" t="n"/>
      <c r="D986" s="55" t="n"/>
      <c r="E986">
        <f>IF(OR(A986="",B986=""),"",B986-A986)</f>
        <v/>
      </c>
      <c r="F986" s="55" t="n"/>
    </row>
    <row r="987">
      <c r="A987" s="54" t="n"/>
      <c r="B987" s="54" t="n"/>
      <c r="C987" s="55" t="n"/>
      <c r="D987" s="55" t="n"/>
      <c r="E987">
        <f>IF(OR(A987="",B987=""),"",B987-A987)</f>
        <v/>
      </c>
      <c r="F987" s="55" t="n"/>
    </row>
    <row r="988">
      <c r="A988" s="54" t="n"/>
      <c r="B988" s="54" t="n"/>
      <c r="C988" s="55" t="n"/>
      <c r="D988" s="55" t="n"/>
      <c r="E988">
        <f>IF(OR(A988="",B988=""),"",B988-A988)</f>
        <v/>
      </c>
      <c r="F988" s="55" t="n"/>
    </row>
    <row r="989">
      <c r="A989" s="54" t="n"/>
      <c r="B989" s="54" t="n"/>
      <c r="C989" s="55" t="n"/>
      <c r="D989" s="55" t="n"/>
      <c r="E989">
        <f>IF(OR(A989="",B989=""),"",B989-A989)</f>
        <v/>
      </c>
      <c r="F989" s="55" t="n"/>
    </row>
    <row r="990">
      <c r="A990" s="54" t="n"/>
      <c r="B990" s="54" t="n"/>
      <c r="C990" s="55" t="n"/>
      <c r="D990" s="55" t="n"/>
      <c r="E990">
        <f>IF(OR(A990="",B990=""),"",B990-A990)</f>
        <v/>
      </c>
      <c r="F990" s="55" t="n"/>
    </row>
    <row r="991">
      <c r="A991" s="54" t="n"/>
      <c r="B991" s="54" t="n"/>
      <c r="C991" s="55" t="n"/>
      <c r="D991" s="55" t="n"/>
      <c r="E991">
        <f>IF(OR(A991="",B991=""),"",B991-A991)</f>
        <v/>
      </c>
      <c r="F991" s="55" t="n"/>
    </row>
    <row r="992">
      <c r="A992" s="54" t="n"/>
      <c r="B992" s="54" t="n"/>
      <c r="C992" s="55" t="n"/>
      <c r="D992" s="55" t="n"/>
      <c r="E992">
        <f>IF(OR(A992="",B992=""),"",B992-A992)</f>
        <v/>
      </c>
      <c r="F992" s="55" t="n"/>
    </row>
    <row r="993">
      <c r="A993" s="54" t="n"/>
      <c r="B993" s="54" t="n"/>
      <c r="C993" s="55" t="n"/>
      <c r="D993" s="55" t="n"/>
      <c r="E993">
        <f>IF(OR(A993="",B993=""),"",B993-A993)</f>
        <v/>
      </c>
      <c r="F993" s="55" t="n"/>
    </row>
    <row r="994">
      <c r="A994" s="54" t="n"/>
      <c r="B994" s="54" t="n"/>
      <c r="C994" s="55" t="n"/>
      <c r="D994" s="55" t="n"/>
      <c r="E994">
        <f>IF(OR(A994="",B994=""),"",B994-A994)</f>
        <v/>
      </c>
      <c r="F994" s="55" t="n"/>
    </row>
    <row r="995">
      <c r="A995" s="54" t="n"/>
      <c r="B995" s="54" t="n"/>
      <c r="C995" s="55" t="n"/>
      <c r="D995" s="55" t="n"/>
      <c r="E995">
        <f>IF(OR(A995="",B995=""),"",B995-A995)</f>
        <v/>
      </c>
      <c r="F995" s="55" t="n"/>
    </row>
    <row r="996">
      <c r="A996" s="54" t="n"/>
      <c r="B996" s="54" t="n"/>
      <c r="C996" s="55" t="n"/>
      <c r="D996" s="55" t="n"/>
      <c r="E996">
        <f>IF(OR(A996="",B996=""),"",B996-A996)</f>
        <v/>
      </c>
      <c r="F996" s="55" t="n"/>
    </row>
    <row r="997">
      <c r="A997" s="54" t="n"/>
      <c r="B997" s="54" t="n"/>
      <c r="C997" s="55" t="n"/>
      <c r="D997" s="55" t="n"/>
      <c r="E997">
        <f>IF(OR(A997="",B997=""),"",B997-A997)</f>
        <v/>
      </c>
      <c r="F997" s="55" t="n"/>
    </row>
    <row r="998">
      <c r="A998" s="54" t="n"/>
      <c r="B998" s="54" t="n"/>
      <c r="C998" s="55" t="n"/>
      <c r="D998" s="55" t="n"/>
      <c r="E998">
        <f>IF(OR(A998="",B998=""),"",B998-A998)</f>
        <v/>
      </c>
      <c r="F998" s="55" t="n"/>
    </row>
    <row r="999">
      <c r="A999" s="54" t="n"/>
      <c r="B999" s="54" t="n"/>
      <c r="C999" s="55" t="n"/>
      <c r="D999" s="55" t="n"/>
      <c r="E999">
        <f>IF(OR(A999="",B999=""),"",B999-A999)</f>
        <v/>
      </c>
      <c r="F999" s="55" t="n"/>
    </row>
    <row r="1000">
      <c r="A1000" s="54" t="n"/>
      <c r="B1000" s="54" t="n"/>
      <c r="C1000" s="55" t="n"/>
      <c r="D1000" s="55" t="n"/>
      <c r="E1000">
        <f>IF(OR(A1000="",B1000=""),"",B1000-A1000)</f>
        <v/>
      </c>
      <c r="F1000" s="55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58" t="inlineStr">
        <is>
          <t>Data</t>
        </is>
      </c>
      <c r="B1" s="58" t="inlineStr">
        <is>
          <t>Veio</t>
        </is>
      </c>
      <c r="C1" s="58" t="inlineStr">
        <is>
          <t>Molde nº</t>
        </is>
      </c>
      <c r="D1" s="58" t="inlineStr">
        <is>
          <t>Meta (vida progr.)</t>
        </is>
      </c>
      <c r="E1" s="58" t="inlineStr">
        <is>
          <t>Acumulado (corridas)</t>
        </is>
      </c>
      <c r="F1" s="58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58" t="inlineStr">
        <is>
          <t>Data</t>
        </is>
      </c>
      <c r="B1" s="58" t="inlineStr">
        <is>
          <t>MCC4 real (t)</t>
        </is>
      </c>
      <c r="C1" s="58" t="inlineStr">
        <is>
          <t>MCC4 prog (t)</t>
        </is>
      </c>
      <c r="D1" s="58" t="inlineStr">
        <is>
          <t>MCC2 real (t)</t>
        </is>
      </c>
      <c r="E1" s="58" t="inlineStr">
        <is>
          <t>MCC3 real (t)</t>
        </is>
      </c>
      <c r="F1" s="58" t="inlineStr">
        <is>
          <t>Arquivo</t>
        </is>
      </c>
    </row>
    <row r="2">
      <c r="B2" s="56" t="n"/>
      <c r="C2" s="56" t="n"/>
      <c r="D2" s="56" t="n"/>
      <c r="E2" s="56" t="n"/>
    </row>
    <row r="3">
      <c r="B3" s="56" t="n"/>
      <c r="C3" s="56" t="n"/>
      <c r="D3" s="56" t="n"/>
      <c r="E3" s="56" t="n"/>
    </row>
    <row r="4">
      <c r="B4" s="56" t="n"/>
      <c r="C4" s="56" t="n"/>
      <c r="D4" s="56" t="n"/>
      <c r="E4" s="56" t="n"/>
    </row>
    <row r="5">
      <c r="B5" s="56" t="n"/>
      <c r="C5" s="56" t="n"/>
      <c r="D5" s="56" t="n"/>
      <c r="E5" s="56" t="n"/>
    </row>
    <row r="6">
      <c r="B6" s="56" t="n"/>
      <c r="C6" s="56" t="n"/>
      <c r="D6" s="56" t="n"/>
      <c r="E6" s="56" t="n"/>
    </row>
    <row r="7">
      <c r="B7" s="56" t="n"/>
      <c r="C7" s="56" t="n"/>
      <c r="D7" s="56" t="n"/>
      <c r="E7" s="56" t="n"/>
    </row>
    <row r="8">
      <c r="B8" s="56" t="n"/>
      <c r="C8" s="56" t="n"/>
      <c r="D8" s="56" t="n"/>
      <c r="E8" s="56" t="n"/>
    </row>
    <row r="9">
      <c r="B9" s="56" t="n"/>
      <c r="C9" s="56" t="n"/>
      <c r="D9" s="56" t="n"/>
      <c r="E9" s="56" t="n"/>
    </row>
    <row r="10">
      <c r="B10" s="56" t="n"/>
      <c r="C10" s="56" t="n"/>
      <c r="D10" s="56" t="n"/>
      <c r="E10" s="56" t="n"/>
    </row>
    <row r="11">
      <c r="B11" s="56" t="n"/>
      <c r="C11" s="56" t="n"/>
      <c r="D11" s="56" t="n"/>
      <c r="E11" s="56" t="n"/>
    </row>
    <row r="12">
      <c r="B12" s="56" t="n"/>
      <c r="C12" s="56" t="n"/>
      <c r="D12" s="56" t="n"/>
      <c r="E12" s="56" t="n"/>
    </row>
    <row r="13">
      <c r="B13" s="56" t="n"/>
      <c r="C13" s="56" t="n"/>
      <c r="D13" s="56" t="n"/>
      <c r="E13" s="56" t="n"/>
    </row>
    <row r="14">
      <c r="B14" s="56" t="n"/>
      <c r="C14" s="56" t="n"/>
      <c r="D14" s="56" t="n"/>
      <c r="E14" s="56" t="n"/>
    </row>
    <row r="15">
      <c r="B15" s="56" t="n"/>
      <c r="C15" s="56" t="n"/>
      <c r="D15" s="56" t="n"/>
      <c r="E15" s="56" t="n"/>
    </row>
    <row r="16">
      <c r="B16" s="56" t="n"/>
      <c r="C16" s="56" t="n"/>
      <c r="D16" s="56" t="n"/>
      <c r="E16" s="56" t="n"/>
    </row>
    <row r="17">
      <c r="B17" s="56" t="n"/>
      <c r="C17" s="56" t="n"/>
      <c r="D17" s="56" t="n"/>
      <c r="E17" s="56" t="n"/>
    </row>
    <row r="18">
      <c r="B18" s="56" t="n"/>
      <c r="C18" s="56" t="n"/>
      <c r="D18" s="56" t="n"/>
      <c r="E18" s="56" t="n"/>
    </row>
    <row r="19">
      <c r="B19" s="56" t="n"/>
      <c r="C19" s="56" t="n"/>
      <c r="D19" s="56" t="n"/>
      <c r="E19" s="56" t="n"/>
    </row>
    <row r="20">
      <c r="B20" s="56" t="n"/>
      <c r="C20" s="56" t="n"/>
      <c r="D20" s="56" t="n"/>
      <c r="E20" s="56" t="n"/>
    </row>
    <row r="21">
      <c r="B21" s="56" t="n"/>
      <c r="C21" s="56" t="n"/>
      <c r="D21" s="56" t="n"/>
      <c r="E21" s="56" t="n"/>
    </row>
    <row r="22">
      <c r="B22" s="56" t="n"/>
      <c r="C22" s="56" t="n"/>
      <c r="D22" s="56" t="n"/>
      <c r="E22" s="56" t="n"/>
    </row>
    <row r="23">
      <c r="B23" s="56" t="n"/>
      <c r="C23" s="56" t="n"/>
      <c r="D23" s="56" t="n"/>
      <c r="E23" s="56" t="n"/>
    </row>
    <row r="24">
      <c r="B24" s="56" t="n"/>
      <c r="C24" s="56" t="n"/>
      <c r="D24" s="56" t="n"/>
      <c r="E24" s="56" t="n"/>
    </row>
    <row r="25">
      <c r="B25" s="56" t="n"/>
      <c r="C25" s="56" t="n"/>
      <c r="D25" s="56" t="n"/>
      <c r="E25" s="56" t="n"/>
    </row>
    <row r="26">
      <c r="B26" s="56" t="n"/>
      <c r="C26" s="56" t="n"/>
      <c r="D26" s="56" t="n"/>
      <c r="E26" s="56" t="n"/>
    </row>
    <row r="27">
      <c r="B27" s="56" t="n"/>
      <c r="C27" s="56" t="n"/>
      <c r="D27" s="56" t="n"/>
      <c r="E27" s="56" t="n"/>
    </row>
    <row r="28">
      <c r="B28" s="56" t="n"/>
      <c r="C28" s="56" t="n"/>
      <c r="D28" s="56" t="n"/>
      <c r="E28" s="56" t="n"/>
    </row>
    <row r="29">
      <c r="B29" s="56" t="n"/>
      <c r="C29" s="56" t="n"/>
      <c r="D29" s="56" t="n"/>
      <c r="E29" s="56" t="n"/>
    </row>
    <row r="30">
      <c r="B30" s="56" t="n"/>
      <c r="C30" s="56" t="n"/>
      <c r="D30" s="56" t="n"/>
      <c r="E30" s="56" t="n"/>
    </row>
    <row r="31">
      <c r="B31" s="56" t="n"/>
      <c r="C31" s="56" t="n"/>
      <c r="D31" s="56" t="n"/>
      <c r="E31" s="56" t="n"/>
    </row>
    <row r="32">
      <c r="B32" s="56" t="n"/>
      <c r="C32" s="56" t="n"/>
      <c r="D32" s="56" t="n"/>
      <c r="E32" s="56" t="n"/>
    </row>
    <row r="33">
      <c r="B33" s="56" t="n"/>
      <c r="C33" s="56" t="n"/>
      <c r="D33" s="56" t="n"/>
      <c r="E33" s="56" t="n"/>
    </row>
    <row r="34">
      <c r="B34" s="56" t="n"/>
      <c r="C34" s="56" t="n"/>
      <c r="D34" s="56" t="n"/>
      <c r="E34" s="56" t="n"/>
    </row>
    <row r="35">
      <c r="B35" s="56" t="n"/>
      <c r="C35" s="56" t="n"/>
      <c r="D35" s="56" t="n"/>
      <c r="E35" s="56" t="n"/>
    </row>
    <row r="36">
      <c r="B36" s="56" t="n"/>
      <c r="C36" s="56" t="n"/>
      <c r="D36" s="56" t="n"/>
      <c r="E36" s="56" t="n"/>
    </row>
    <row r="37">
      <c r="B37" s="56" t="n"/>
      <c r="C37" s="56" t="n"/>
      <c r="D37" s="56" t="n"/>
      <c r="E37" s="56" t="n"/>
    </row>
    <row r="38">
      <c r="B38" s="56" t="n"/>
      <c r="C38" s="56" t="n"/>
      <c r="D38" s="56" t="n"/>
      <c r="E38" s="56" t="n"/>
    </row>
    <row r="39">
      <c r="B39" s="56" t="n"/>
      <c r="C39" s="56" t="n"/>
      <c r="D39" s="56" t="n"/>
      <c r="E39" s="56" t="n"/>
    </row>
    <row r="40">
      <c r="B40" s="56" t="n"/>
      <c r="C40" s="56" t="n"/>
      <c r="D40" s="56" t="n"/>
      <c r="E40" s="56" t="n"/>
    </row>
    <row r="41">
      <c r="B41" s="56" t="n"/>
      <c r="C41" s="56" t="n"/>
      <c r="D41" s="56" t="n"/>
      <c r="E41" s="56" t="n"/>
    </row>
    <row r="42">
      <c r="B42" s="56" t="n"/>
      <c r="C42" s="56" t="n"/>
      <c r="D42" s="56" t="n"/>
      <c r="E42" s="56" t="n"/>
    </row>
    <row r="43">
      <c r="B43" s="56" t="n"/>
      <c r="C43" s="56" t="n"/>
      <c r="D43" s="56" t="n"/>
      <c r="E43" s="56" t="n"/>
    </row>
    <row r="44">
      <c r="B44" s="56" t="n"/>
      <c r="C44" s="56" t="n"/>
      <c r="D44" s="56" t="n"/>
      <c r="E44" s="56" t="n"/>
    </row>
    <row r="45">
      <c r="B45" s="56" t="n"/>
      <c r="C45" s="56" t="n"/>
      <c r="D45" s="56" t="n"/>
      <c r="E45" s="56" t="n"/>
    </row>
    <row r="46">
      <c r="B46" s="56" t="n"/>
      <c r="C46" s="56" t="n"/>
      <c r="D46" s="56" t="n"/>
      <c r="E46" s="56" t="n"/>
    </row>
    <row r="47">
      <c r="B47" s="56" t="n"/>
      <c r="C47" s="56" t="n"/>
      <c r="D47" s="56" t="n"/>
      <c r="E47" s="56" t="n"/>
    </row>
    <row r="48">
      <c r="B48" s="56" t="n"/>
      <c r="C48" s="56" t="n"/>
      <c r="D48" s="56" t="n"/>
      <c r="E48" s="56" t="n"/>
    </row>
    <row r="49">
      <c r="B49" s="56" t="n"/>
      <c r="C49" s="56" t="n"/>
      <c r="D49" s="56" t="n"/>
      <c r="E49" s="56" t="n"/>
    </row>
    <row r="50">
      <c r="B50" s="56" t="n"/>
      <c r="C50" s="56" t="n"/>
      <c r="D50" s="56" t="n"/>
      <c r="E50" s="56" t="n"/>
    </row>
    <row r="51">
      <c r="B51" s="56" t="n"/>
      <c r="C51" s="56" t="n"/>
      <c r="D51" s="56" t="n"/>
      <c r="E51" s="56" t="n"/>
    </row>
    <row r="52">
      <c r="B52" s="56" t="n"/>
      <c r="C52" s="56" t="n"/>
      <c r="D52" s="56" t="n"/>
      <c r="E52" s="56" t="n"/>
    </row>
    <row r="53">
      <c r="B53" s="56" t="n"/>
      <c r="C53" s="56" t="n"/>
      <c r="D53" s="56" t="n"/>
      <c r="E53" s="56" t="n"/>
    </row>
    <row r="54">
      <c r="B54" s="56" t="n"/>
      <c r="C54" s="56" t="n"/>
      <c r="D54" s="56" t="n"/>
      <c r="E54" s="56" t="n"/>
    </row>
    <row r="55">
      <c r="B55" s="56" t="n"/>
      <c r="C55" s="56" t="n"/>
      <c r="D55" s="56" t="n"/>
      <c r="E55" s="56" t="n"/>
    </row>
    <row r="56">
      <c r="B56" s="56" t="n"/>
      <c r="C56" s="56" t="n"/>
      <c r="D56" s="56" t="n"/>
      <c r="E56" s="56" t="n"/>
    </row>
    <row r="57">
      <c r="B57" s="56" t="n"/>
      <c r="C57" s="56" t="n"/>
      <c r="D57" s="56" t="n"/>
      <c r="E57" s="56" t="n"/>
    </row>
    <row r="58">
      <c r="B58" s="56" t="n"/>
      <c r="C58" s="56" t="n"/>
      <c r="D58" s="56" t="n"/>
      <c r="E58" s="56" t="n"/>
    </row>
    <row r="59">
      <c r="B59" s="56" t="n"/>
      <c r="C59" s="56" t="n"/>
      <c r="D59" s="56" t="n"/>
      <c r="E59" s="56" t="n"/>
    </row>
    <row r="60">
      <c r="B60" s="56" t="n"/>
      <c r="C60" s="56" t="n"/>
      <c r="D60" s="56" t="n"/>
      <c r="E60" s="56" t="n"/>
    </row>
    <row r="61">
      <c r="B61" s="56" t="n"/>
      <c r="C61" s="56" t="n"/>
      <c r="D61" s="56" t="n"/>
      <c r="E61" s="56" t="n"/>
    </row>
    <row r="62">
      <c r="B62" s="56" t="n"/>
      <c r="C62" s="56" t="n"/>
      <c r="D62" s="56" t="n"/>
      <c r="E62" s="56" t="n"/>
    </row>
    <row r="63">
      <c r="B63" s="56" t="n"/>
      <c r="C63" s="56" t="n"/>
      <c r="D63" s="56" t="n"/>
      <c r="E63" s="56" t="n"/>
    </row>
    <row r="64">
      <c r="B64" s="56" t="n"/>
      <c r="C64" s="56" t="n"/>
      <c r="D64" s="56" t="n"/>
      <c r="E64" s="56" t="n"/>
    </row>
    <row r="65">
      <c r="B65" s="56" t="n"/>
      <c r="C65" s="56" t="n"/>
      <c r="D65" s="56" t="n"/>
      <c r="E65" s="56" t="n"/>
    </row>
    <row r="66">
      <c r="B66" s="56" t="n"/>
      <c r="C66" s="56" t="n"/>
      <c r="D66" s="56" t="n"/>
      <c r="E66" s="56" t="n"/>
    </row>
    <row r="67">
      <c r="B67" s="56" t="n"/>
      <c r="C67" s="56" t="n"/>
      <c r="D67" s="56" t="n"/>
      <c r="E67" s="56" t="n"/>
    </row>
    <row r="68">
      <c r="B68" s="56" t="n"/>
      <c r="C68" s="56" t="n"/>
      <c r="D68" s="56" t="n"/>
      <c r="E68" s="56" t="n"/>
    </row>
    <row r="69">
      <c r="B69" s="56" t="n"/>
      <c r="C69" s="56" t="n"/>
      <c r="D69" s="56" t="n"/>
      <c r="E69" s="56" t="n"/>
    </row>
    <row r="70">
      <c r="B70" s="56" t="n"/>
      <c r="C70" s="56" t="n"/>
      <c r="D70" s="56" t="n"/>
      <c r="E70" s="56" t="n"/>
    </row>
    <row r="71">
      <c r="B71" s="56" t="n"/>
      <c r="C71" s="56" t="n"/>
      <c r="D71" s="56" t="n"/>
      <c r="E71" s="56" t="n"/>
    </row>
    <row r="72">
      <c r="B72" s="56" t="n"/>
      <c r="C72" s="56" t="n"/>
      <c r="D72" s="56" t="n"/>
      <c r="E72" s="56" t="n"/>
    </row>
    <row r="73">
      <c r="B73" s="56" t="n"/>
      <c r="C73" s="56" t="n"/>
      <c r="D73" s="56" t="n"/>
      <c r="E73" s="56" t="n"/>
    </row>
    <row r="74">
      <c r="B74" s="56" t="n"/>
      <c r="C74" s="56" t="n"/>
      <c r="D74" s="56" t="n"/>
      <c r="E74" s="56" t="n"/>
    </row>
    <row r="75">
      <c r="B75" s="56" t="n"/>
      <c r="C75" s="56" t="n"/>
      <c r="D75" s="56" t="n"/>
      <c r="E75" s="56" t="n"/>
    </row>
    <row r="76">
      <c r="B76" s="56" t="n"/>
      <c r="C76" s="56" t="n"/>
      <c r="D76" s="56" t="n"/>
      <c r="E76" s="56" t="n"/>
    </row>
    <row r="77">
      <c r="B77" s="56" t="n"/>
      <c r="C77" s="56" t="n"/>
      <c r="D77" s="56" t="n"/>
      <c r="E77" s="56" t="n"/>
    </row>
    <row r="78">
      <c r="B78" s="56" t="n"/>
      <c r="C78" s="56" t="n"/>
      <c r="D78" s="56" t="n"/>
      <c r="E78" s="56" t="n"/>
    </row>
    <row r="79">
      <c r="B79" s="56" t="n"/>
      <c r="C79" s="56" t="n"/>
      <c r="D79" s="56" t="n"/>
      <c r="E79" s="56" t="n"/>
    </row>
    <row r="80">
      <c r="B80" s="56" t="n"/>
      <c r="C80" s="56" t="n"/>
      <c r="D80" s="56" t="n"/>
      <c r="E80" s="56" t="n"/>
    </row>
    <row r="81">
      <c r="B81" s="56" t="n"/>
      <c r="C81" s="56" t="n"/>
      <c r="D81" s="56" t="n"/>
      <c r="E81" s="56" t="n"/>
    </row>
    <row r="82">
      <c r="B82" s="56" t="n"/>
      <c r="C82" s="56" t="n"/>
      <c r="D82" s="56" t="n"/>
      <c r="E82" s="56" t="n"/>
    </row>
    <row r="83">
      <c r="B83" s="56" t="n"/>
      <c r="C83" s="56" t="n"/>
      <c r="D83" s="56" t="n"/>
      <c r="E83" s="56" t="n"/>
    </row>
    <row r="84">
      <c r="B84" s="56" t="n"/>
      <c r="C84" s="56" t="n"/>
      <c r="D84" s="56" t="n"/>
      <c r="E84" s="56" t="n"/>
    </row>
    <row r="85">
      <c r="B85" s="56" t="n"/>
      <c r="C85" s="56" t="n"/>
      <c r="D85" s="56" t="n"/>
      <c r="E85" s="56" t="n"/>
    </row>
    <row r="86">
      <c r="B86" s="56" t="n"/>
      <c r="C86" s="56" t="n"/>
      <c r="D86" s="56" t="n"/>
      <c r="E86" s="56" t="n"/>
    </row>
    <row r="87">
      <c r="B87" s="56" t="n"/>
      <c r="C87" s="56" t="n"/>
      <c r="D87" s="56" t="n"/>
      <c r="E87" s="56" t="n"/>
    </row>
    <row r="88">
      <c r="B88" s="56" t="n"/>
      <c r="C88" s="56" t="n"/>
      <c r="D88" s="56" t="n"/>
      <c r="E88" s="56" t="n"/>
    </row>
    <row r="89">
      <c r="B89" s="56" t="n"/>
      <c r="C89" s="56" t="n"/>
      <c r="D89" s="56" t="n"/>
      <c r="E89" s="56" t="n"/>
    </row>
    <row r="90">
      <c r="B90" s="56" t="n"/>
      <c r="C90" s="56" t="n"/>
      <c r="D90" s="56" t="n"/>
      <c r="E90" s="56" t="n"/>
    </row>
    <row r="91">
      <c r="B91" s="56" t="n"/>
      <c r="C91" s="56" t="n"/>
      <c r="D91" s="56" t="n"/>
      <c r="E91" s="56" t="n"/>
    </row>
    <row r="92">
      <c r="B92" s="56" t="n"/>
      <c r="C92" s="56" t="n"/>
      <c r="D92" s="56" t="n"/>
      <c r="E92" s="56" t="n"/>
    </row>
    <row r="93">
      <c r="B93" s="56" t="n"/>
      <c r="C93" s="56" t="n"/>
      <c r="D93" s="56" t="n"/>
      <c r="E93" s="56" t="n"/>
    </row>
    <row r="94">
      <c r="B94" s="56" t="n"/>
      <c r="C94" s="56" t="n"/>
      <c r="D94" s="56" t="n"/>
      <c r="E94" s="56" t="n"/>
    </row>
    <row r="95">
      <c r="B95" s="56" t="n"/>
      <c r="C95" s="56" t="n"/>
      <c r="D95" s="56" t="n"/>
      <c r="E95" s="56" t="n"/>
    </row>
    <row r="96">
      <c r="B96" s="56" t="n"/>
      <c r="C96" s="56" t="n"/>
      <c r="D96" s="56" t="n"/>
      <c r="E96" s="56" t="n"/>
    </row>
    <row r="97">
      <c r="B97" s="56" t="n"/>
      <c r="C97" s="56" t="n"/>
      <c r="D97" s="56" t="n"/>
      <c r="E97" s="56" t="n"/>
    </row>
    <row r="98">
      <c r="B98" s="56" t="n"/>
      <c r="C98" s="56" t="n"/>
      <c r="D98" s="56" t="n"/>
      <c r="E98" s="56" t="n"/>
    </row>
    <row r="99">
      <c r="B99" s="56" t="n"/>
      <c r="C99" s="56" t="n"/>
      <c r="D99" s="56" t="n"/>
      <c r="E99" s="56" t="n"/>
    </row>
    <row r="100">
      <c r="B100" s="56" t="n"/>
      <c r="C100" s="56" t="n"/>
      <c r="D100" s="56" t="n"/>
      <c r="E100" s="56" t="n"/>
    </row>
    <row r="101">
      <c r="B101" s="56" t="n"/>
      <c r="C101" s="56" t="n"/>
      <c r="D101" s="56" t="n"/>
      <c r="E101" s="56" t="n"/>
    </row>
    <row r="102">
      <c r="B102" s="56" t="n"/>
      <c r="C102" s="56" t="n"/>
      <c r="D102" s="56" t="n"/>
      <c r="E102" s="56" t="n"/>
    </row>
    <row r="103">
      <c r="B103" s="56" t="n"/>
      <c r="C103" s="56" t="n"/>
      <c r="D103" s="56" t="n"/>
      <c r="E103" s="56" t="n"/>
    </row>
    <row r="104">
      <c r="B104" s="56" t="n"/>
      <c r="C104" s="56" t="n"/>
      <c r="D104" s="56" t="n"/>
      <c r="E104" s="56" t="n"/>
    </row>
    <row r="105">
      <c r="B105" s="56" t="n"/>
      <c r="C105" s="56" t="n"/>
      <c r="D105" s="56" t="n"/>
      <c r="E105" s="56" t="n"/>
    </row>
    <row r="106">
      <c r="B106" s="56" t="n"/>
      <c r="C106" s="56" t="n"/>
      <c r="D106" s="56" t="n"/>
      <c r="E106" s="56" t="n"/>
    </row>
    <row r="107">
      <c r="B107" s="56" t="n"/>
      <c r="C107" s="56" t="n"/>
      <c r="D107" s="56" t="n"/>
      <c r="E107" s="56" t="n"/>
    </row>
    <row r="108">
      <c r="B108" s="56" t="n"/>
      <c r="C108" s="56" t="n"/>
      <c r="D108" s="56" t="n"/>
      <c r="E108" s="56" t="n"/>
    </row>
    <row r="109">
      <c r="B109" s="56" t="n"/>
      <c r="C109" s="56" t="n"/>
      <c r="D109" s="56" t="n"/>
      <c r="E109" s="56" t="n"/>
    </row>
    <row r="110">
      <c r="B110" s="56" t="n"/>
      <c r="C110" s="56" t="n"/>
      <c r="D110" s="56" t="n"/>
      <c r="E110" s="56" t="n"/>
    </row>
    <row r="111">
      <c r="B111" s="56" t="n"/>
      <c r="C111" s="56" t="n"/>
      <c r="D111" s="56" t="n"/>
      <c r="E111" s="56" t="n"/>
    </row>
    <row r="112">
      <c r="B112" s="56" t="n"/>
      <c r="C112" s="56" t="n"/>
      <c r="D112" s="56" t="n"/>
      <c r="E112" s="56" t="n"/>
    </row>
    <row r="113">
      <c r="B113" s="56" t="n"/>
      <c r="C113" s="56" t="n"/>
      <c r="D113" s="56" t="n"/>
      <c r="E113" s="56" t="n"/>
    </row>
    <row r="114">
      <c r="B114" s="56" t="n"/>
      <c r="C114" s="56" t="n"/>
      <c r="D114" s="56" t="n"/>
      <c r="E114" s="56" t="n"/>
    </row>
    <row r="115">
      <c r="B115" s="56" t="n"/>
      <c r="C115" s="56" t="n"/>
      <c r="D115" s="56" t="n"/>
      <c r="E115" s="56" t="n"/>
    </row>
    <row r="116">
      <c r="B116" s="56" t="n"/>
      <c r="C116" s="56" t="n"/>
      <c r="D116" s="56" t="n"/>
      <c r="E116" s="56" t="n"/>
    </row>
    <row r="117">
      <c r="B117" s="56" t="n"/>
      <c r="C117" s="56" t="n"/>
      <c r="D117" s="56" t="n"/>
      <c r="E117" s="56" t="n"/>
    </row>
    <row r="118">
      <c r="B118" s="56" t="n"/>
      <c r="C118" s="56" t="n"/>
      <c r="D118" s="56" t="n"/>
      <c r="E118" s="56" t="n"/>
    </row>
    <row r="119">
      <c r="B119" s="56" t="n"/>
      <c r="C119" s="56" t="n"/>
      <c r="D119" s="56" t="n"/>
      <c r="E119" s="56" t="n"/>
    </row>
    <row r="120">
      <c r="B120" s="56" t="n"/>
      <c r="C120" s="56" t="n"/>
      <c r="D120" s="56" t="n"/>
      <c r="E120" s="56" t="n"/>
    </row>
    <row r="121">
      <c r="B121" s="56" t="n"/>
      <c r="C121" s="56" t="n"/>
      <c r="D121" s="56" t="n"/>
      <c r="E121" s="56" t="n"/>
    </row>
    <row r="122">
      <c r="B122" s="56" t="n"/>
      <c r="C122" s="56" t="n"/>
      <c r="D122" s="56" t="n"/>
      <c r="E122" s="56" t="n"/>
    </row>
    <row r="123">
      <c r="B123" s="56" t="n"/>
      <c r="C123" s="56" t="n"/>
      <c r="D123" s="56" t="n"/>
      <c r="E123" s="56" t="n"/>
    </row>
    <row r="124">
      <c r="B124" s="56" t="n"/>
      <c r="C124" s="56" t="n"/>
      <c r="D124" s="56" t="n"/>
      <c r="E124" s="56" t="n"/>
    </row>
    <row r="125">
      <c r="B125" s="56" t="n"/>
      <c r="C125" s="56" t="n"/>
      <c r="D125" s="56" t="n"/>
      <c r="E125" s="56" t="n"/>
    </row>
    <row r="126">
      <c r="B126" s="56" t="n"/>
      <c r="C126" s="56" t="n"/>
      <c r="D126" s="56" t="n"/>
      <c r="E126" s="56" t="n"/>
    </row>
    <row r="127">
      <c r="B127" s="56" t="n"/>
      <c r="C127" s="56" t="n"/>
      <c r="D127" s="56" t="n"/>
      <c r="E127" s="56" t="n"/>
    </row>
    <row r="128">
      <c r="B128" s="56" t="n"/>
      <c r="C128" s="56" t="n"/>
      <c r="D128" s="56" t="n"/>
      <c r="E128" s="56" t="n"/>
    </row>
    <row r="129">
      <c r="B129" s="56" t="n"/>
      <c r="C129" s="56" t="n"/>
      <c r="D129" s="56" t="n"/>
      <c r="E129" s="56" t="n"/>
    </row>
    <row r="130">
      <c r="B130" s="56" t="n"/>
      <c r="C130" s="56" t="n"/>
      <c r="D130" s="56" t="n"/>
      <c r="E130" s="56" t="n"/>
    </row>
    <row r="131">
      <c r="B131" s="56" t="n"/>
      <c r="C131" s="56" t="n"/>
      <c r="D131" s="56" t="n"/>
      <c r="E131" s="56" t="n"/>
    </row>
    <row r="132">
      <c r="B132" s="56" t="n"/>
      <c r="C132" s="56" t="n"/>
      <c r="D132" s="56" t="n"/>
      <c r="E132" s="56" t="n"/>
    </row>
    <row r="133">
      <c r="B133" s="56" t="n"/>
      <c r="C133" s="56" t="n"/>
      <c r="D133" s="56" t="n"/>
      <c r="E133" s="56" t="n"/>
    </row>
    <row r="134">
      <c r="B134" s="56" t="n"/>
      <c r="C134" s="56" t="n"/>
      <c r="D134" s="56" t="n"/>
      <c r="E134" s="56" t="n"/>
    </row>
    <row r="135">
      <c r="B135" s="56" t="n"/>
      <c r="C135" s="56" t="n"/>
      <c r="D135" s="56" t="n"/>
      <c r="E135" s="56" t="n"/>
    </row>
    <row r="136">
      <c r="B136" s="56" t="n"/>
      <c r="C136" s="56" t="n"/>
      <c r="D136" s="56" t="n"/>
      <c r="E136" s="56" t="n"/>
    </row>
    <row r="137">
      <c r="B137" s="56" t="n"/>
      <c r="C137" s="56" t="n"/>
      <c r="D137" s="56" t="n"/>
      <c r="E137" s="56" t="n"/>
    </row>
    <row r="138">
      <c r="B138" s="56" t="n"/>
      <c r="C138" s="56" t="n"/>
      <c r="D138" s="56" t="n"/>
      <c r="E138" s="56" t="n"/>
    </row>
    <row r="139">
      <c r="B139" s="56" t="n"/>
      <c r="C139" s="56" t="n"/>
      <c r="D139" s="56" t="n"/>
      <c r="E139" s="56" t="n"/>
    </row>
    <row r="140">
      <c r="B140" s="56" t="n"/>
      <c r="C140" s="56" t="n"/>
      <c r="D140" s="56" t="n"/>
      <c r="E140" s="56" t="n"/>
    </row>
    <row r="141">
      <c r="B141" s="56" t="n"/>
      <c r="C141" s="56" t="n"/>
      <c r="D141" s="56" t="n"/>
      <c r="E141" s="56" t="n"/>
    </row>
    <row r="142">
      <c r="B142" s="56" t="n"/>
      <c r="C142" s="56" t="n"/>
      <c r="D142" s="56" t="n"/>
      <c r="E142" s="56" t="n"/>
    </row>
    <row r="143">
      <c r="B143" s="56" t="n"/>
      <c r="C143" s="56" t="n"/>
      <c r="D143" s="56" t="n"/>
      <c r="E143" s="56" t="n"/>
    </row>
    <row r="144">
      <c r="B144" s="56" t="n"/>
      <c r="C144" s="56" t="n"/>
      <c r="D144" s="56" t="n"/>
      <c r="E144" s="56" t="n"/>
    </row>
    <row r="145">
      <c r="B145" s="56" t="n"/>
      <c r="C145" s="56" t="n"/>
      <c r="D145" s="56" t="n"/>
      <c r="E145" s="56" t="n"/>
    </row>
    <row r="146">
      <c r="B146" s="56" t="n"/>
      <c r="C146" s="56" t="n"/>
      <c r="D146" s="56" t="n"/>
      <c r="E146" s="56" t="n"/>
    </row>
    <row r="147">
      <c r="B147" s="56" t="n"/>
      <c r="C147" s="56" t="n"/>
      <c r="D147" s="56" t="n"/>
      <c r="E147" s="56" t="n"/>
    </row>
    <row r="148">
      <c r="B148" s="56" t="n"/>
      <c r="C148" s="56" t="n"/>
      <c r="D148" s="56" t="n"/>
      <c r="E148" s="56" t="n"/>
    </row>
    <row r="149">
      <c r="B149" s="56" t="n"/>
      <c r="C149" s="56" t="n"/>
      <c r="D149" s="56" t="n"/>
      <c r="E149" s="56" t="n"/>
    </row>
    <row r="150">
      <c r="B150" s="56" t="n"/>
      <c r="C150" s="56" t="n"/>
      <c r="D150" s="56" t="n"/>
      <c r="E150" s="56" t="n"/>
    </row>
    <row r="151">
      <c r="B151" s="56" t="n"/>
      <c r="C151" s="56" t="n"/>
      <c r="D151" s="56" t="n"/>
      <c r="E151" s="56" t="n"/>
    </row>
    <row r="152">
      <c r="B152" s="56" t="n"/>
      <c r="C152" s="56" t="n"/>
      <c r="D152" s="56" t="n"/>
      <c r="E152" s="56" t="n"/>
    </row>
    <row r="153">
      <c r="B153" s="56" t="n"/>
      <c r="C153" s="56" t="n"/>
      <c r="D153" s="56" t="n"/>
      <c r="E153" s="56" t="n"/>
    </row>
    <row r="154">
      <c r="B154" s="56" t="n"/>
      <c r="C154" s="56" t="n"/>
      <c r="D154" s="56" t="n"/>
      <c r="E154" s="56" t="n"/>
    </row>
    <row r="155">
      <c r="B155" s="56" t="n"/>
      <c r="C155" s="56" t="n"/>
      <c r="D155" s="56" t="n"/>
      <c r="E155" s="56" t="n"/>
    </row>
    <row r="156">
      <c r="B156" s="56" t="n"/>
      <c r="C156" s="56" t="n"/>
      <c r="D156" s="56" t="n"/>
      <c r="E156" s="56" t="n"/>
    </row>
    <row r="157">
      <c r="B157" s="56" t="n"/>
      <c r="C157" s="56" t="n"/>
      <c r="D157" s="56" t="n"/>
      <c r="E157" s="56" t="n"/>
    </row>
    <row r="158">
      <c r="B158" s="56" t="n"/>
      <c r="C158" s="56" t="n"/>
      <c r="D158" s="56" t="n"/>
      <c r="E158" s="56" t="n"/>
    </row>
    <row r="159">
      <c r="B159" s="56" t="n"/>
      <c r="C159" s="56" t="n"/>
      <c r="D159" s="56" t="n"/>
      <c r="E159" s="56" t="n"/>
    </row>
    <row r="160">
      <c r="B160" s="56" t="n"/>
      <c r="C160" s="56" t="n"/>
      <c r="D160" s="56" t="n"/>
      <c r="E160" s="56" t="n"/>
    </row>
    <row r="161">
      <c r="B161" s="56" t="n"/>
      <c r="C161" s="56" t="n"/>
      <c r="D161" s="56" t="n"/>
      <c r="E161" s="56" t="n"/>
    </row>
    <row r="162">
      <c r="B162" s="56" t="n"/>
      <c r="C162" s="56" t="n"/>
      <c r="D162" s="56" t="n"/>
      <c r="E162" s="56" t="n"/>
    </row>
    <row r="163">
      <c r="B163" s="56" t="n"/>
      <c r="C163" s="56" t="n"/>
      <c r="D163" s="56" t="n"/>
      <c r="E163" s="56" t="n"/>
    </row>
    <row r="164">
      <c r="B164" s="56" t="n"/>
      <c r="C164" s="56" t="n"/>
      <c r="D164" s="56" t="n"/>
      <c r="E164" s="56" t="n"/>
    </row>
    <row r="165">
      <c r="B165" s="56" t="n"/>
      <c r="C165" s="56" t="n"/>
      <c r="D165" s="56" t="n"/>
      <c r="E165" s="56" t="n"/>
    </row>
    <row r="166">
      <c r="B166" s="56" t="n"/>
      <c r="C166" s="56" t="n"/>
      <c r="D166" s="56" t="n"/>
      <c r="E166" s="56" t="n"/>
    </row>
    <row r="167">
      <c r="B167" s="56" t="n"/>
      <c r="C167" s="56" t="n"/>
      <c r="D167" s="56" t="n"/>
      <c r="E167" s="56" t="n"/>
    </row>
    <row r="168">
      <c r="B168" s="56" t="n"/>
      <c r="C168" s="56" t="n"/>
      <c r="D168" s="56" t="n"/>
      <c r="E168" s="56" t="n"/>
    </row>
    <row r="169">
      <c r="B169" s="56" t="n"/>
      <c r="C169" s="56" t="n"/>
      <c r="D169" s="56" t="n"/>
      <c r="E169" s="56" t="n"/>
    </row>
    <row r="170">
      <c r="B170" s="56" t="n"/>
      <c r="C170" s="56" t="n"/>
      <c r="D170" s="56" t="n"/>
      <c r="E170" s="56" t="n"/>
    </row>
    <row r="171">
      <c r="B171" s="56" t="n"/>
      <c r="C171" s="56" t="n"/>
      <c r="D171" s="56" t="n"/>
      <c r="E171" s="56" t="n"/>
    </row>
    <row r="172">
      <c r="B172" s="56" t="n"/>
      <c r="C172" s="56" t="n"/>
      <c r="D172" s="56" t="n"/>
      <c r="E172" s="56" t="n"/>
    </row>
    <row r="173">
      <c r="B173" s="56" t="n"/>
      <c r="C173" s="56" t="n"/>
      <c r="D173" s="56" t="n"/>
      <c r="E173" s="56" t="n"/>
    </row>
    <row r="174">
      <c r="B174" s="56" t="n"/>
      <c r="C174" s="56" t="n"/>
      <c r="D174" s="56" t="n"/>
      <c r="E174" s="56" t="n"/>
    </row>
    <row r="175">
      <c r="B175" s="56" t="n"/>
      <c r="C175" s="56" t="n"/>
      <c r="D175" s="56" t="n"/>
      <c r="E175" s="56" t="n"/>
    </row>
    <row r="176">
      <c r="B176" s="56" t="n"/>
      <c r="C176" s="56" t="n"/>
      <c r="D176" s="56" t="n"/>
      <c r="E176" s="56" t="n"/>
    </row>
    <row r="177">
      <c r="B177" s="56" t="n"/>
      <c r="C177" s="56" t="n"/>
      <c r="D177" s="56" t="n"/>
      <c r="E177" s="56" t="n"/>
    </row>
    <row r="178">
      <c r="B178" s="56" t="n"/>
      <c r="C178" s="56" t="n"/>
      <c r="D178" s="56" t="n"/>
      <c r="E178" s="56" t="n"/>
    </row>
    <row r="179">
      <c r="B179" s="56" t="n"/>
      <c r="C179" s="56" t="n"/>
      <c r="D179" s="56" t="n"/>
      <c r="E179" s="56" t="n"/>
    </row>
    <row r="180">
      <c r="B180" s="56" t="n"/>
      <c r="C180" s="56" t="n"/>
      <c r="D180" s="56" t="n"/>
      <c r="E180" s="56" t="n"/>
    </row>
    <row r="181">
      <c r="B181" s="56" t="n"/>
      <c r="C181" s="56" t="n"/>
      <c r="D181" s="56" t="n"/>
      <c r="E181" s="56" t="n"/>
    </row>
    <row r="182">
      <c r="B182" s="56" t="n"/>
      <c r="C182" s="56" t="n"/>
      <c r="D182" s="56" t="n"/>
      <c r="E182" s="56" t="n"/>
    </row>
    <row r="183">
      <c r="B183" s="56" t="n"/>
      <c r="C183" s="56" t="n"/>
      <c r="D183" s="56" t="n"/>
      <c r="E183" s="56" t="n"/>
    </row>
    <row r="184">
      <c r="B184" s="56" t="n"/>
      <c r="C184" s="56" t="n"/>
      <c r="D184" s="56" t="n"/>
      <c r="E184" s="56" t="n"/>
    </row>
    <row r="185">
      <c r="B185" s="56" t="n"/>
      <c r="C185" s="56" t="n"/>
      <c r="D185" s="56" t="n"/>
      <c r="E185" s="56" t="n"/>
    </row>
    <row r="186">
      <c r="B186" s="56" t="n"/>
      <c r="C186" s="56" t="n"/>
      <c r="D186" s="56" t="n"/>
      <c r="E186" s="56" t="n"/>
    </row>
    <row r="187">
      <c r="B187" s="56" t="n"/>
      <c r="C187" s="56" t="n"/>
      <c r="D187" s="56" t="n"/>
      <c r="E187" s="56" t="n"/>
    </row>
    <row r="188">
      <c r="B188" s="56" t="n"/>
      <c r="C188" s="56" t="n"/>
      <c r="D188" s="56" t="n"/>
      <c r="E188" s="56" t="n"/>
    </row>
    <row r="189">
      <c r="B189" s="56" t="n"/>
      <c r="C189" s="56" t="n"/>
      <c r="D189" s="56" t="n"/>
      <c r="E189" s="56" t="n"/>
    </row>
    <row r="190">
      <c r="B190" s="56" t="n"/>
      <c r="C190" s="56" t="n"/>
      <c r="D190" s="56" t="n"/>
      <c r="E190" s="56" t="n"/>
    </row>
    <row r="191">
      <c r="B191" s="56" t="n"/>
      <c r="C191" s="56" t="n"/>
      <c r="D191" s="56" t="n"/>
      <c r="E191" s="56" t="n"/>
    </row>
    <row r="192">
      <c r="B192" s="56" t="n"/>
      <c r="C192" s="56" t="n"/>
      <c r="D192" s="56" t="n"/>
      <c r="E192" s="56" t="n"/>
    </row>
    <row r="193">
      <c r="B193" s="56" t="n"/>
      <c r="C193" s="56" t="n"/>
      <c r="D193" s="56" t="n"/>
      <c r="E193" s="56" t="n"/>
    </row>
    <row r="194">
      <c r="B194" s="56" t="n"/>
      <c r="C194" s="56" t="n"/>
      <c r="D194" s="56" t="n"/>
      <c r="E194" s="56" t="n"/>
    </row>
    <row r="195">
      <c r="B195" s="56" t="n"/>
      <c r="C195" s="56" t="n"/>
      <c r="D195" s="56" t="n"/>
      <c r="E195" s="56" t="n"/>
    </row>
    <row r="196">
      <c r="B196" s="56" t="n"/>
      <c r="C196" s="56" t="n"/>
      <c r="D196" s="56" t="n"/>
      <c r="E196" s="56" t="n"/>
    </row>
    <row r="197">
      <c r="B197" s="56" t="n"/>
      <c r="C197" s="56" t="n"/>
      <c r="D197" s="56" t="n"/>
      <c r="E197" s="56" t="n"/>
    </row>
    <row r="198">
      <c r="B198" s="56" t="n"/>
      <c r="C198" s="56" t="n"/>
      <c r="D198" s="56" t="n"/>
      <c r="E198" s="56" t="n"/>
    </row>
    <row r="199">
      <c r="B199" s="56" t="n"/>
      <c r="C199" s="56" t="n"/>
      <c r="D199" s="56" t="n"/>
      <c r="E199" s="56" t="n"/>
    </row>
    <row r="200">
      <c r="B200" s="56" t="n"/>
      <c r="C200" s="56" t="n"/>
      <c r="D200" s="56" t="n"/>
      <c r="E200" s="56" t="n"/>
    </row>
    <row r="201">
      <c r="B201" s="56" t="n"/>
      <c r="C201" s="56" t="n"/>
      <c r="D201" s="56" t="n"/>
      <c r="E201" s="56" t="n"/>
    </row>
    <row r="202">
      <c r="B202" s="56" t="n"/>
      <c r="C202" s="56" t="n"/>
      <c r="D202" s="56" t="n"/>
      <c r="E202" s="56" t="n"/>
    </row>
    <row r="203">
      <c r="B203" s="56" t="n"/>
      <c r="C203" s="56" t="n"/>
      <c r="D203" s="56" t="n"/>
      <c r="E203" s="56" t="n"/>
    </row>
    <row r="204">
      <c r="B204" s="56" t="n"/>
      <c r="C204" s="56" t="n"/>
      <c r="D204" s="56" t="n"/>
      <c r="E204" s="56" t="n"/>
    </row>
    <row r="205">
      <c r="B205" s="56" t="n"/>
      <c r="C205" s="56" t="n"/>
      <c r="D205" s="56" t="n"/>
      <c r="E205" s="56" t="n"/>
    </row>
    <row r="206">
      <c r="B206" s="56" t="n"/>
      <c r="C206" s="56" t="n"/>
      <c r="D206" s="56" t="n"/>
      <c r="E206" s="56" t="n"/>
    </row>
    <row r="207">
      <c r="B207" s="56" t="n"/>
      <c r="C207" s="56" t="n"/>
      <c r="D207" s="56" t="n"/>
      <c r="E207" s="56" t="n"/>
    </row>
    <row r="208">
      <c r="B208" s="56" t="n"/>
      <c r="C208" s="56" t="n"/>
      <c r="D208" s="56" t="n"/>
      <c r="E208" s="56" t="n"/>
    </row>
    <row r="209">
      <c r="B209" s="56" t="n"/>
      <c r="C209" s="56" t="n"/>
      <c r="D209" s="56" t="n"/>
      <c r="E209" s="56" t="n"/>
    </row>
    <row r="210">
      <c r="B210" s="56" t="n"/>
      <c r="C210" s="56" t="n"/>
      <c r="D210" s="56" t="n"/>
      <c r="E210" s="56" t="n"/>
    </row>
    <row r="211">
      <c r="B211" s="56" t="n"/>
      <c r="C211" s="56" t="n"/>
      <c r="D211" s="56" t="n"/>
      <c r="E211" s="56" t="n"/>
    </row>
    <row r="212">
      <c r="B212" s="56" t="n"/>
      <c r="C212" s="56" t="n"/>
      <c r="D212" s="56" t="n"/>
      <c r="E212" s="56" t="n"/>
    </row>
    <row r="213">
      <c r="B213" s="56" t="n"/>
      <c r="C213" s="56" t="n"/>
      <c r="D213" s="56" t="n"/>
      <c r="E213" s="56" t="n"/>
    </row>
    <row r="214">
      <c r="B214" s="56" t="n"/>
      <c r="C214" s="56" t="n"/>
      <c r="D214" s="56" t="n"/>
      <c r="E214" s="56" t="n"/>
    </row>
    <row r="215">
      <c r="B215" s="56" t="n"/>
      <c r="C215" s="56" t="n"/>
      <c r="D215" s="56" t="n"/>
      <c r="E215" s="56" t="n"/>
    </row>
    <row r="216">
      <c r="B216" s="56" t="n"/>
      <c r="C216" s="56" t="n"/>
      <c r="D216" s="56" t="n"/>
      <c r="E216" s="56" t="n"/>
    </row>
    <row r="217">
      <c r="B217" s="56" t="n"/>
      <c r="C217" s="56" t="n"/>
      <c r="D217" s="56" t="n"/>
      <c r="E217" s="56" t="n"/>
    </row>
    <row r="218">
      <c r="B218" s="56" t="n"/>
      <c r="C218" s="56" t="n"/>
      <c r="D218" s="56" t="n"/>
      <c r="E218" s="56" t="n"/>
    </row>
    <row r="219">
      <c r="B219" s="56" t="n"/>
      <c r="C219" s="56" t="n"/>
      <c r="D219" s="56" t="n"/>
      <c r="E219" s="56" t="n"/>
    </row>
    <row r="220">
      <c r="B220" s="56" t="n"/>
      <c r="C220" s="56" t="n"/>
      <c r="D220" s="56" t="n"/>
      <c r="E220" s="56" t="n"/>
    </row>
    <row r="221">
      <c r="B221" s="56" t="n"/>
      <c r="C221" s="56" t="n"/>
      <c r="D221" s="56" t="n"/>
      <c r="E221" s="56" t="n"/>
    </row>
    <row r="222">
      <c r="B222" s="56" t="n"/>
      <c r="C222" s="56" t="n"/>
      <c r="D222" s="56" t="n"/>
      <c r="E222" s="56" t="n"/>
    </row>
    <row r="223">
      <c r="B223" s="56" t="n"/>
      <c r="C223" s="56" t="n"/>
      <c r="D223" s="56" t="n"/>
      <c r="E223" s="56" t="n"/>
    </row>
    <row r="224">
      <c r="B224" s="56" t="n"/>
      <c r="C224" s="56" t="n"/>
      <c r="D224" s="56" t="n"/>
      <c r="E224" s="56" t="n"/>
    </row>
    <row r="225">
      <c r="B225" s="56" t="n"/>
      <c r="C225" s="56" t="n"/>
      <c r="D225" s="56" t="n"/>
      <c r="E225" s="56" t="n"/>
    </row>
    <row r="226">
      <c r="B226" s="56" t="n"/>
      <c r="C226" s="56" t="n"/>
      <c r="D226" s="56" t="n"/>
      <c r="E226" s="56" t="n"/>
    </row>
    <row r="227">
      <c r="B227" s="56" t="n"/>
      <c r="C227" s="56" t="n"/>
      <c r="D227" s="56" t="n"/>
      <c r="E227" s="56" t="n"/>
    </row>
    <row r="228">
      <c r="B228" s="56" t="n"/>
      <c r="C228" s="56" t="n"/>
      <c r="D228" s="56" t="n"/>
      <c r="E228" s="56" t="n"/>
    </row>
    <row r="229">
      <c r="B229" s="56" t="n"/>
      <c r="C229" s="56" t="n"/>
      <c r="D229" s="56" t="n"/>
      <c r="E229" s="56" t="n"/>
    </row>
    <row r="230">
      <c r="B230" s="56" t="n"/>
      <c r="C230" s="56" t="n"/>
      <c r="D230" s="56" t="n"/>
      <c r="E230" s="56" t="n"/>
    </row>
    <row r="231">
      <c r="B231" s="56" t="n"/>
      <c r="C231" s="56" t="n"/>
      <c r="D231" s="56" t="n"/>
      <c r="E231" s="56" t="n"/>
    </row>
    <row r="232">
      <c r="B232" s="56" t="n"/>
      <c r="C232" s="56" t="n"/>
      <c r="D232" s="56" t="n"/>
      <c r="E232" s="56" t="n"/>
    </row>
    <row r="233">
      <c r="B233" s="56" t="n"/>
      <c r="C233" s="56" t="n"/>
      <c r="D233" s="56" t="n"/>
      <c r="E233" s="56" t="n"/>
    </row>
    <row r="234">
      <c r="B234" s="56" t="n"/>
      <c r="C234" s="56" t="n"/>
      <c r="D234" s="56" t="n"/>
      <c r="E234" s="56" t="n"/>
    </row>
    <row r="235">
      <c r="B235" s="56" t="n"/>
      <c r="C235" s="56" t="n"/>
      <c r="D235" s="56" t="n"/>
      <c r="E235" s="56" t="n"/>
    </row>
    <row r="236">
      <c r="B236" s="56" t="n"/>
      <c r="C236" s="56" t="n"/>
      <c r="D236" s="56" t="n"/>
      <c r="E236" s="56" t="n"/>
    </row>
    <row r="237">
      <c r="B237" s="56" t="n"/>
      <c r="C237" s="56" t="n"/>
      <c r="D237" s="56" t="n"/>
      <c r="E237" s="56" t="n"/>
    </row>
    <row r="238">
      <c r="B238" s="56" t="n"/>
      <c r="C238" s="56" t="n"/>
      <c r="D238" s="56" t="n"/>
      <c r="E238" s="56" t="n"/>
    </row>
    <row r="239">
      <c r="B239" s="56" t="n"/>
      <c r="C239" s="56" t="n"/>
      <c r="D239" s="56" t="n"/>
      <c r="E239" s="56" t="n"/>
    </row>
    <row r="240">
      <c r="B240" s="56" t="n"/>
      <c r="C240" s="56" t="n"/>
      <c r="D240" s="56" t="n"/>
      <c r="E240" s="56" t="n"/>
    </row>
    <row r="241">
      <c r="B241" s="56" t="n"/>
      <c r="C241" s="56" t="n"/>
      <c r="D241" s="56" t="n"/>
      <c r="E241" s="56" t="n"/>
    </row>
    <row r="242">
      <c r="B242" s="56" t="n"/>
      <c r="C242" s="56" t="n"/>
      <c r="D242" s="56" t="n"/>
      <c r="E242" s="56" t="n"/>
    </row>
    <row r="243">
      <c r="B243" s="56" t="n"/>
      <c r="C243" s="56" t="n"/>
      <c r="D243" s="56" t="n"/>
      <c r="E243" s="56" t="n"/>
    </row>
    <row r="244">
      <c r="B244" s="56" t="n"/>
      <c r="C244" s="56" t="n"/>
      <c r="D244" s="56" t="n"/>
      <c r="E244" s="56" t="n"/>
    </row>
    <row r="245">
      <c r="B245" s="56" t="n"/>
      <c r="C245" s="56" t="n"/>
      <c r="D245" s="56" t="n"/>
      <c r="E245" s="56" t="n"/>
    </row>
    <row r="246">
      <c r="B246" s="56" t="n"/>
      <c r="C246" s="56" t="n"/>
      <c r="D246" s="56" t="n"/>
      <c r="E246" s="56" t="n"/>
    </row>
    <row r="247">
      <c r="B247" s="56" t="n"/>
      <c r="C247" s="56" t="n"/>
      <c r="D247" s="56" t="n"/>
      <c r="E247" s="56" t="n"/>
    </row>
    <row r="248">
      <c r="B248" s="56" t="n"/>
      <c r="C248" s="56" t="n"/>
      <c r="D248" s="56" t="n"/>
      <c r="E248" s="56" t="n"/>
    </row>
    <row r="249">
      <c r="B249" s="56" t="n"/>
      <c r="C249" s="56" t="n"/>
      <c r="D249" s="56" t="n"/>
      <c r="E249" s="56" t="n"/>
    </row>
    <row r="250">
      <c r="B250" s="56" t="n"/>
      <c r="C250" s="56" t="n"/>
      <c r="D250" s="56" t="n"/>
      <c r="E250" s="56" t="n"/>
    </row>
    <row r="251">
      <c r="B251" s="56" t="n"/>
      <c r="C251" s="56" t="n"/>
      <c r="D251" s="56" t="n"/>
      <c r="E251" s="56" t="n"/>
    </row>
    <row r="252">
      <c r="B252" s="56" t="n"/>
      <c r="C252" s="56" t="n"/>
      <c r="D252" s="56" t="n"/>
      <c r="E252" s="56" t="n"/>
    </row>
    <row r="253">
      <c r="B253" s="56" t="n"/>
      <c r="C253" s="56" t="n"/>
      <c r="D253" s="56" t="n"/>
      <c r="E253" s="56" t="n"/>
    </row>
    <row r="254">
      <c r="B254" s="56" t="n"/>
      <c r="C254" s="56" t="n"/>
      <c r="D254" s="56" t="n"/>
      <c r="E254" s="56" t="n"/>
    </row>
    <row r="255">
      <c r="B255" s="56" t="n"/>
      <c r="C255" s="56" t="n"/>
      <c r="D255" s="56" t="n"/>
      <c r="E255" s="56" t="n"/>
    </row>
    <row r="256">
      <c r="B256" s="56" t="n"/>
      <c r="C256" s="56" t="n"/>
      <c r="D256" s="56" t="n"/>
      <c r="E256" s="56" t="n"/>
    </row>
    <row r="257">
      <c r="B257" s="56" t="n"/>
      <c r="C257" s="56" t="n"/>
      <c r="D257" s="56" t="n"/>
      <c r="E257" s="56" t="n"/>
    </row>
    <row r="258">
      <c r="B258" s="56" t="n"/>
      <c r="C258" s="56" t="n"/>
      <c r="D258" s="56" t="n"/>
      <c r="E258" s="56" t="n"/>
    </row>
    <row r="259">
      <c r="B259" s="56" t="n"/>
      <c r="C259" s="56" t="n"/>
      <c r="D259" s="56" t="n"/>
      <c r="E259" s="56" t="n"/>
    </row>
    <row r="260">
      <c r="B260" s="56" t="n"/>
      <c r="C260" s="56" t="n"/>
      <c r="D260" s="56" t="n"/>
      <c r="E260" s="56" t="n"/>
    </row>
    <row r="261">
      <c r="B261" s="56" t="n"/>
      <c r="C261" s="56" t="n"/>
      <c r="D261" s="56" t="n"/>
      <c r="E261" s="56" t="n"/>
    </row>
    <row r="262">
      <c r="B262" s="56" t="n"/>
      <c r="C262" s="56" t="n"/>
      <c r="D262" s="56" t="n"/>
      <c r="E262" s="56" t="n"/>
    </row>
    <row r="263">
      <c r="B263" s="56" t="n"/>
      <c r="C263" s="56" t="n"/>
      <c r="D263" s="56" t="n"/>
      <c r="E263" s="56" t="n"/>
    </row>
    <row r="264">
      <c r="B264" s="56" t="n"/>
      <c r="C264" s="56" t="n"/>
      <c r="D264" s="56" t="n"/>
      <c r="E264" s="56" t="n"/>
    </row>
    <row r="265">
      <c r="B265" s="56" t="n"/>
      <c r="C265" s="56" t="n"/>
      <c r="D265" s="56" t="n"/>
      <c r="E265" s="56" t="n"/>
    </row>
    <row r="266">
      <c r="B266" s="56" t="n"/>
      <c r="C266" s="56" t="n"/>
      <c r="D266" s="56" t="n"/>
      <c r="E266" s="56" t="n"/>
    </row>
    <row r="267">
      <c r="B267" s="56" t="n"/>
      <c r="C267" s="56" t="n"/>
      <c r="D267" s="56" t="n"/>
      <c r="E267" s="56" t="n"/>
    </row>
    <row r="268">
      <c r="B268" s="56" t="n"/>
      <c r="C268" s="56" t="n"/>
      <c r="D268" s="56" t="n"/>
      <c r="E268" s="56" t="n"/>
    </row>
    <row r="269">
      <c r="B269" s="56" t="n"/>
      <c r="C269" s="56" t="n"/>
      <c r="D269" s="56" t="n"/>
      <c r="E269" s="56" t="n"/>
    </row>
    <row r="270">
      <c r="B270" s="56" t="n"/>
      <c r="C270" s="56" t="n"/>
      <c r="D270" s="56" t="n"/>
      <c r="E270" s="56" t="n"/>
    </row>
    <row r="271">
      <c r="B271" s="56" t="n"/>
      <c r="C271" s="56" t="n"/>
      <c r="D271" s="56" t="n"/>
      <c r="E271" s="56" t="n"/>
    </row>
    <row r="272">
      <c r="B272" s="56" t="n"/>
      <c r="C272" s="56" t="n"/>
      <c r="D272" s="56" t="n"/>
      <c r="E272" s="56" t="n"/>
    </row>
    <row r="273">
      <c r="B273" s="56" t="n"/>
      <c r="C273" s="56" t="n"/>
      <c r="D273" s="56" t="n"/>
      <c r="E273" s="56" t="n"/>
    </row>
    <row r="274">
      <c r="B274" s="56" t="n"/>
      <c r="C274" s="56" t="n"/>
      <c r="D274" s="56" t="n"/>
      <c r="E274" s="56" t="n"/>
    </row>
    <row r="275">
      <c r="B275" s="56" t="n"/>
      <c r="C275" s="56" t="n"/>
      <c r="D275" s="56" t="n"/>
      <c r="E275" s="56" t="n"/>
    </row>
    <row r="276">
      <c r="B276" s="56" t="n"/>
      <c r="C276" s="56" t="n"/>
      <c r="D276" s="56" t="n"/>
      <c r="E276" s="56" t="n"/>
    </row>
    <row r="277">
      <c r="B277" s="56" t="n"/>
      <c r="C277" s="56" t="n"/>
      <c r="D277" s="56" t="n"/>
      <c r="E277" s="56" t="n"/>
    </row>
    <row r="278">
      <c r="B278" s="56" t="n"/>
      <c r="C278" s="56" t="n"/>
      <c r="D278" s="56" t="n"/>
      <c r="E278" s="56" t="n"/>
    </row>
    <row r="279">
      <c r="B279" s="56" t="n"/>
      <c r="C279" s="56" t="n"/>
      <c r="D279" s="56" t="n"/>
      <c r="E279" s="56" t="n"/>
    </row>
    <row r="280">
      <c r="B280" s="56" t="n"/>
      <c r="C280" s="56" t="n"/>
      <c r="D280" s="56" t="n"/>
      <c r="E280" s="56" t="n"/>
    </row>
    <row r="281">
      <c r="B281" s="56" t="n"/>
      <c r="C281" s="56" t="n"/>
      <c r="D281" s="56" t="n"/>
      <c r="E281" s="56" t="n"/>
    </row>
    <row r="282">
      <c r="B282" s="56" t="n"/>
      <c r="C282" s="56" t="n"/>
      <c r="D282" s="56" t="n"/>
      <c r="E282" s="56" t="n"/>
    </row>
    <row r="283">
      <c r="B283" s="56" t="n"/>
      <c r="C283" s="56" t="n"/>
      <c r="D283" s="56" t="n"/>
      <c r="E283" s="56" t="n"/>
    </row>
    <row r="284">
      <c r="B284" s="56" t="n"/>
      <c r="C284" s="56" t="n"/>
      <c r="D284" s="56" t="n"/>
      <c r="E284" s="56" t="n"/>
    </row>
    <row r="285">
      <c r="B285" s="56" t="n"/>
      <c r="C285" s="56" t="n"/>
      <c r="D285" s="56" t="n"/>
      <c r="E285" s="56" t="n"/>
    </row>
    <row r="286">
      <c r="B286" s="56" t="n"/>
      <c r="C286" s="56" t="n"/>
      <c r="D286" s="56" t="n"/>
      <c r="E286" s="56" t="n"/>
    </row>
    <row r="287">
      <c r="B287" s="56" t="n"/>
      <c r="C287" s="56" t="n"/>
      <c r="D287" s="56" t="n"/>
      <c r="E287" s="56" t="n"/>
    </row>
    <row r="288">
      <c r="B288" s="56" t="n"/>
      <c r="C288" s="56" t="n"/>
      <c r="D288" s="56" t="n"/>
      <c r="E288" s="56" t="n"/>
    </row>
    <row r="289">
      <c r="B289" s="56" t="n"/>
      <c r="C289" s="56" t="n"/>
      <c r="D289" s="56" t="n"/>
      <c r="E289" s="56" t="n"/>
    </row>
    <row r="290">
      <c r="B290" s="56" t="n"/>
      <c r="C290" s="56" t="n"/>
      <c r="D290" s="56" t="n"/>
      <c r="E290" s="56" t="n"/>
    </row>
    <row r="291">
      <c r="B291" s="56" t="n"/>
      <c r="C291" s="56" t="n"/>
      <c r="D291" s="56" t="n"/>
      <c r="E291" s="56" t="n"/>
    </row>
    <row r="292">
      <c r="B292" s="56" t="n"/>
      <c r="C292" s="56" t="n"/>
      <c r="D292" s="56" t="n"/>
      <c r="E292" s="56" t="n"/>
    </row>
    <row r="293">
      <c r="B293" s="56" t="n"/>
      <c r="C293" s="56" t="n"/>
      <c r="D293" s="56" t="n"/>
      <c r="E293" s="56" t="n"/>
    </row>
    <row r="294">
      <c r="B294" s="56" t="n"/>
      <c r="C294" s="56" t="n"/>
      <c r="D294" s="56" t="n"/>
      <c r="E294" s="56" t="n"/>
    </row>
    <row r="295">
      <c r="B295" s="56" t="n"/>
      <c r="C295" s="56" t="n"/>
      <c r="D295" s="56" t="n"/>
      <c r="E295" s="56" t="n"/>
    </row>
    <row r="296">
      <c r="B296" s="56" t="n"/>
      <c r="C296" s="56" t="n"/>
      <c r="D296" s="56" t="n"/>
      <c r="E296" s="56" t="n"/>
    </row>
    <row r="297">
      <c r="B297" s="56" t="n"/>
      <c r="C297" s="56" t="n"/>
      <c r="D297" s="56" t="n"/>
      <c r="E297" s="56" t="n"/>
    </row>
    <row r="298">
      <c r="B298" s="56" t="n"/>
      <c r="C298" s="56" t="n"/>
      <c r="D298" s="56" t="n"/>
      <c r="E298" s="56" t="n"/>
    </row>
    <row r="299">
      <c r="B299" s="56" t="n"/>
      <c r="C299" s="56" t="n"/>
      <c r="D299" s="56" t="n"/>
      <c r="E299" s="56" t="n"/>
    </row>
    <row r="300">
      <c r="B300" s="56" t="n"/>
      <c r="C300" s="56" t="n"/>
      <c r="D300" s="56" t="n"/>
      <c r="E300" s="56" t="n"/>
    </row>
    <row r="301">
      <c r="B301" s="56" t="n"/>
      <c r="C301" s="56" t="n"/>
      <c r="D301" s="56" t="n"/>
      <c r="E301" s="56" t="n"/>
    </row>
    <row r="302">
      <c r="B302" s="56" t="n"/>
      <c r="C302" s="56" t="n"/>
      <c r="D302" s="56" t="n"/>
      <c r="E302" s="56" t="n"/>
    </row>
    <row r="303">
      <c r="B303" s="56" t="n"/>
      <c r="C303" s="56" t="n"/>
      <c r="D303" s="56" t="n"/>
      <c r="E303" s="56" t="n"/>
    </row>
    <row r="304">
      <c r="B304" s="56" t="n"/>
      <c r="C304" s="56" t="n"/>
      <c r="D304" s="56" t="n"/>
      <c r="E304" s="56" t="n"/>
    </row>
    <row r="305">
      <c r="B305" s="56" t="n"/>
      <c r="C305" s="56" t="n"/>
      <c r="D305" s="56" t="n"/>
      <c r="E305" s="56" t="n"/>
    </row>
    <row r="306">
      <c r="B306" s="56" t="n"/>
      <c r="C306" s="56" t="n"/>
      <c r="D306" s="56" t="n"/>
      <c r="E306" s="56" t="n"/>
    </row>
    <row r="307">
      <c r="B307" s="56" t="n"/>
      <c r="C307" s="56" t="n"/>
      <c r="D307" s="56" t="n"/>
      <c r="E307" s="56" t="n"/>
    </row>
    <row r="308">
      <c r="B308" s="56" t="n"/>
      <c r="C308" s="56" t="n"/>
      <c r="D308" s="56" t="n"/>
      <c r="E308" s="56" t="n"/>
    </row>
    <row r="309">
      <c r="B309" s="56" t="n"/>
      <c r="C309" s="56" t="n"/>
      <c r="D309" s="56" t="n"/>
      <c r="E309" s="56" t="n"/>
    </row>
    <row r="310">
      <c r="B310" s="56" t="n"/>
      <c r="C310" s="56" t="n"/>
      <c r="D310" s="56" t="n"/>
      <c r="E310" s="56" t="n"/>
    </row>
    <row r="311">
      <c r="B311" s="56" t="n"/>
      <c r="C311" s="56" t="n"/>
      <c r="D311" s="56" t="n"/>
      <c r="E311" s="56" t="n"/>
    </row>
    <row r="312">
      <c r="B312" s="56" t="n"/>
      <c r="C312" s="56" t="n"/>
      <c r="D312" s="56" t="n"/>
      <c r="E312" s="56" t="n"/>
    </row>
    <row r="313">
      <c r="B313" s="56" t="n"/>
      <c r="C313" s="56" t="n"/>
      <c r="D313" s="56" t="n"/>
      <c r="E313" s="56" t="n"/>
    </row>
    <row r="314">
      <c r="B314" s="56" t="n"/>
      <c r="C314" s="56" t="n"/>
      <c r="D314" s="56" t="n"/>
      <c r="E314" s="56" t="n"/>
    </row>
    <row r="315">
      <c r="B315" s="56" t="n"/>
      <c r="C315" s="56" t="n"/>
      <c r="D315" s="56" t="n"/>
      <c r="E315" s="56" t="n"/>
    </row>
    <row r="316">
      <c r="B316" s="56" t="n"/>
      <c r="C316" s="56" t="n"/>
      <c r="D316" s="56" t="n"/>
      <c r="E316" s="56" t="n"/>
    </row>
    <row r="317">
      <c r="B317" s="56" t="n"/>
      <c r="C317" s="56" t="n"/>
      <c r="D317" s="56" t="n"/>
      <c r="E317" s="56" t="n"/>
    </row>
    <row r="318">
      <c r="B318" s="56" t="n"/>
      <c r="C318" s="56" t="n"/>
      <c r="D318" s="56" t="n"/>
      <c r="E318" s="56" t="n"/>
    </row>
    <row r="319">
      <c r="B319" s="56" t="n"/>
      <c r="C319" s="56" t="n"/>
      <c r="D319" s="56" t="n"/>
      <c r="E319" s="56" t="n"/>
    </row>
    <row r="320">
      <c r="B320" s="56" t="n"/>
      <c r="C320" s="56" t="n"/>
      <c r="D320" s="56" t="n"/>
      <c r="E320" s="56" t="n"/>
    </row>
    <row r="321">
      <c r="B321" s="56" t="n"/>
      <c r="C321" s="56" t="n"/>
      <c r="D321" s="56" t="n"/>
      <c r="E321" s="56" t="n"/>
    </row>
    <row r="322">
      <c r="B322" s="56" t="n"/>
      <c r="C322" s="56" t="n"/>
      <c r="D322" s="56" t="n"/>
      <c r="E322" s="56" t="n"/>
    </row>
    <row r="323">
      <c r="B323" s="56" t="n"/>
      <c r="C323" s="56" t="n"/>
      <c r="D323" s="56" t="n"/>
      <c r="E323" s="56" t="n"/>
    </row>
    <row r="324">
      <c r="B324" s="56" t="n"/>
      <c r="C324" s="56" t="n"/>
      <c r="D324" s="56" t="n"/>
      <c r="E324" s="56" t="n"/>
    </row>
    <row r="325">
      <c r="B325" s="56" t="n"/>
      <c r="C325" s="56" t="n"/>
      <c r="D325" s="56" t="n"/>
      <c r="E325" s="56" t="n"/>
    </row>
    <row r="326">
      <c r="B326" s="56" t="n"/>
      <c r="C326" s="56" t="n"/>
      <c r="D326" s="56" t="n"/>
      <c r="E326" s="56" t="n"/>
    </row>
    <row r="327">
      <c r="B327" s="56" t="n"/>
      <c r="C327" s="56" t="n"/>
      <c r="D327" s="56" t="n"/>
      <c r="E327" s="56" t="n"/>
    </row>
    <row r="328">
      <c r="B328" s="56" t="n"/>
      <c r="C328" s="56" t="n"/>
      <c r="D328" s="56" t="n"/>
      <c r="E328" s="56" t="n"/>
    </row>
    <row r="329">
      <c r="B329" s="56" t="n"/>
      <c r="C329" s="56" t="n"/>
      <c r="D329" s="56" t="n"/>
      <c r="E329" s="56" t="n"/>
    </row>
    <row r="330">
      <c r="B330" s="56" t="n"/>
      <c r="C330" s="56" t="n"/>
      <c r="D330" s="56" t="n"/>
      <c r="E330" s="56" t="n"/>
    </row>
    <row r="331">
      <c r="B331" s="56" t="n"/>
      <c r="C331" s="56" t="n"/>
      <c r="D331" s="56" t="n"/>
      <c r="E331" s="56" t="n"/>
    </row>
    <row r="332">
      <c r="B332" s="56" t="n"/>
      <c r="C332" s="56" t="n"/>
      <c r="D332" s="56" t="n"/>
      <c r="E332" s="56" t="n"/>
    </row>
    <row r="333">
      <c r="B333" s="56" t="n"/>
      <c r="C333" s="56" t="n"/>
      <c r="D333" s="56" t="n"/>
      <c r="E333" s="56" t="n"/>
    </row>
    <row r="334">
      <c r="B334" s="56" t="n"/>
      <c r="C334" s="56" t="n"/>
      <c r="D334" s="56" t="n"/>
      <c r="E334" s="56" t="n"/>
    </row>
    <row r="335">
      <c r="B335" s="56" t="n"/>
      <c r="C335" s="56" t="n"/>
      <c r="D335" s="56" t="n"/>
      <c r="E335" s="56" t="n"/>
    </row>
    <row r="336">
      <c r="B336" s="56" t="n"/>
      <c r="C336" s="56" t="n"/>
      <c r="D336" s="56" t="n"/>
      <c r="E336" s="56" t="n"/>
    </row>
    <row r="337">
      <c r="B337" s="56" t="n"/>
      <c r="C337" s="56" t="n"/>
      <c r="D337" s="56" t="n"/>
      <c r="E337" s="56" t="n"/>
    </row>
    <row r="338">
      <c r="B338" s="56" t="n"/>
      <c r="C338" s="56" t="n"/>
      <c r="D338" s="56" t="n"/>
      <c r="E338" s="56" t="n"/>
    </row>
    <row r="339">
      <c r="B339" s="56" t="n"/>
      <c r="C339" s="56" t="n"/>
      <c r="D339" s="56" t="n"/>
      <c r="E339" s="56" t="n"/>
    </row>
    <row r="340">
      <c r="B340" s="56" t="n"/>
      <c r="C340" s="56" t="n"/>
      <c r="D340" s="56" t="n"/>
      <c r="E340" s="56" t="n"/>
    </row>
    <row r="341">
      <c r="B341" s="56" t="n"/>
      <c r="C341" s="56" t="n"/>
      <c r="D341" s="56" t="n"/>
      <c r="E341" s="56" t="n"/>
    </row>
    <row r="342">
      <c r="B342" s="56" t="n"/>
      <c r="C342" s="56" t="n"/>
      <c r="D342" s="56" t="n"/>
      <c r="E342" s="56" t="n"/>
    </row>
    <row r="343">
      <c r="B343" s="56" t="n"/>
      <c r="C343" s="56" t="n"/>
      <c r="D343" s="56" t="n"/>
      <c r="E343" s="56" t="n"/>
    </row>
    <row r="344">
      <c r="B344" s="56" t="n"/>
      <c r="C344" s="56" t="n"/>
      <c r="D344" s="56" t="n"/>
      <c r="E344" s="56" t="n"/>
    </row>
    <row r="345">
      <c r="B345" s="56" t="n"/>
      <c r="C345" s="56" t="n"/>
      <c r="D345" s="56" t="n"/>
      <c r="E345" s="56" t="n"/>
    </row>
    <row r="346">
      <c r="B346" s="56" t="n"/>
      <c r="C346" s="56" t="n"/>
      <c r="D346" s="56" t="n"/>
      <c r="E346" s="56" t="n"/>
    </row>
    <row r="347">
      <c r="B347" s="56" t="n"/>
      <c r="C347" s="56" t="n"/>
      <c r="D347" s="56" t="n"/>
      <c r="E347" s="56" t="n"/>
    </row>
    <row r="348">
      <c r="B348" s="56" t="n"/>
      <c r="C348" s="56" t="n"/>
      <c r="D348" s="56" t="n"/>
      <c r="E348" s="56" t="n"/>
    </row>
    <row r="349">
      <c r="B349" s="56" t="n"/>
      <c r="C349" s="56" t="n"/>
      <c r="D349" s="56" t="n"/>
      <c r="E349" s="56" t="n"/>
    </row>
    <row r="350">
      <c r="B350" s="56" t="n"/>
      <c r="C350" s="56" t="n"/>
      <c r="D350" s="56" t="n"/>
      <c r="E350" s="56" t="n"/>
    </row>
    <row r="351">
      <c r="B351" s="56" t="n"/>
      <c r="C351" s="56" t="n"/>
      <c r="D351" s="56" t="n"/>
      <c r="E351" s="56" t="n"/>
    </row>
    <row r="352">
      <c r="B352" s="56" t="n"/>
      <c r="C352" s="56" t="n"/>
      <c r="D352" s="56" t="n"/>
      <c r="E352" s="56" t="n"/>
    </row>
    <row r="353">
      <c r="B353" s="56" t="n"/>
      <c r="C353" s="56" t="n"/>
      <c r="D353" s="56" t="n"/>
      <c r="E353" s="56" t="n"/>
    </row>
    <row r="354">
      <c r="B354" s="56" t="n"/>
      <c r="C354" s="56" t="n"/>
      <c r="D354" s="56" t="n"/>
      <c r="E354" s="56" t="n"/>
    </row>
    <row r="355">
      <c r="B355" s="56" t="n"/>
      <c r="C355" s="56" t="n"/>
      <c r="D355" s="56" t="n"/>
      <c r="E355" s="56" t="n"/>
    </row>
    <row r="356">
      <c r="B356" s="56" t="n"/>
      <c r="C356" s="56" t="n"/>
      <c r="D356" s="56" t="n"/>
      <c r="E356" s="56" t="n"/>
    </row>
    <row r="357">
      <c r="B357" s="56" t="n"/>
      <c r="C357" s="56" t="n"/>
      <c r="D357" s="56" t="n"/>
      <c r="E357" s="56" t="n"/>
    </row>
    <row r="358">
      <c r="B358" s="56" t="n"/>
      <c r="C358" s="56" t="n"/>
      <c r="D358" s="56" t="n"/>
      <c r="E358" s="56" t="n"/>
    </row>
    <row r="359">
      <c r="B359" s="56" t="n"/>
      <c r="C359" s="56" t="n"/>
      <c r="D359" s="56" t="n"/>
      <c r="E359" s="56" t="n"/>
    </row>
    <row r="360">
      <c r="B360" s="56" t="n"/>
      <c r="C360" s="56" t="n"/>
      <c r="D360" s="56" t="n"/>
      <c r="E360" s="56" t="n"/>
    </row>
    <row r="361">
      <c r="B361" s="56" t="n"/>
      <c r="C361" s="56" t="n"/>
      <c r="D361" s="56" t="n"/>
      <c r="E361" s="56" t="n"/>
    </row>
    <row r="362">
      <c r="B362" s="56" t="n"/>
      <c r="C362" s="56" t="n"/>
      <c r="D362" s="56" t="n"/>
      <c r="E362" s="56" t="n"/>
    </row>
    <row r="363">
      <c r="B363" s="56" t="n"/>
      <c r="C363" s="56" t="n"/>
      <c r="D363" s="56" t="n"/>
      <c r="E363" s="56" t="n"/>
    </row>
    <row r="364">
      <c r="B364" s="56" t="n"/>
      <c r="C364" s="56" t="n"/>
      <c r="D364" s="56" t="n"/>
      <c r="E364" s="56" t="n"/>
    </row>
    <row r="365">
      <c r="B365" s="56" t="n"/>
      <c r="C365" s="56" t="n"/>
      <c r="D365" s="56" t="n"/>
      <c r="E365" s="56" t="n"/>
    </row>
    <row r="366">
      <c r="B366" s="56" t="n"/>
      <c r="C366" s="56" t="n"/>
      <c r="D366" s="56" t="n"/>
      <c r="E366" s="56" t="n"/>
    </row>
    <row r="367">
      <c r="B367" s="56" t="n"/>
      <c r="C367" s="56" t="n"/>
      <c r="D367" s="56" t="n"/>
      <c r="E367" s="56" t="n"/>
    </row>
    <row r="368">
      <c r="B368" s="56" t="n"/>
      <c r="C368" s="56" t="n"/>
      <c r="D368" s="56" t="n"/>
      <c r="E368" s="56" t="n"/>
    </row>
    <row r="369">
      <c r="B369" s="56" t="n"/>
      <c r="C369" s="56" t="n"/>
      <c r="D369" s="56" t="n"/>
      <c r="E369" s="56" t="n"/>
    </row>
    <row r="370">
      <c r="B370" s="56" t="n"/>
      <c r="C370" s="56" t="n"/>
      <c r="D370" s="56" t="n"/>
      <c r="E370" s="56" t="n"/>
    </row>
    <row r="371">
      <c r="B371" s="56" t="n"/>
      <c r="C371" s="56" t="n"/>
      <c r="D371" s="56" t="n"/>
      <c r="E371" s="56" t="n"/>
    </row>
    <row r="372">
      <c r="B372" s="56" t="n"/>
      <c r="C372" s="56" t="n"/>
      <c r="D372" s="56" t="n"/>
      <c r="E372" s="56" t="n"/>
    </row>
    <row r="373">
      <c r="B373" s="56" t="n"/>
      <c r="C373" s="56" t="n"/>
      <c r="D373" s="56" t="n"/>
      <c r="E373" s="56" t="n"/>
    </row>
    <row r="374">
      <c r="B374" s="56" t="n"/>
      <c r="C374" s="56" t="n"/>
      <c r="D374" s="56" t="n"/>
      <c r="E374" s="56" t="n"/>
    </row>
    <row r="375">
      <c r="B375" s="56" t="n"/>
      <c r="C375" s="56" t="n"/>
      <c r="D375" s="56" t="n"/>
      <c r="E375" s="56" t="n"/>
    </row>
    <row r="376">
      <c r="B376" s="56" t="n"/>
      <c r="C376" s="56" t="n"/>
      <c r="D376" s="56" t="n"/>
      <c r="E376" s="56" t="n"/>
    </row>
    <row r="377">
      <c r="B377" s="56" t="n"/>
      <c r="C377" s="56" t="n"/>
      <c r="D377" s="56" t="n"/>
      <c r="E377" s="56" t="n"/>
    </row>
    <row r="378">
      <c r="B378" s="56" t="n"/>
      <c r="C378" s="56" t="n"/>
      <c r="D378" s="56" t="n"/>
      <c r="E378" s="56" t="n"/>
    </row>
    <row r="379">
      <c r="B379" s="56" t="n"/>
      <c r="C379" s="56" t="n"/>
      <c r="D379" s="56" t="n"/>
      <c r="E379" s="56" t="n"/>
    </row>
    <row r="380">
      <c r="B380" s="56" t="n"/>
      <c r="C380" s="56" t="n"/>
      <c r="D380" s="56" t="n"/>
      <c r="E380" s="56" t="n"/>
    </row>
    <row r="381">
      <c r="B381" s="56" t="n"/>
      <c r="C381" s="56" t="n"/>
      <c r="D381" s="56" t="n"/>
      <c r="E381" s="56" t="n"/>
    </row>
    <row r="382">
      <c r="B382" s="56" t="n"/>
      <c r="C382" s="56" t="n"/>
      <c r="D382" s="56" t="n"/>
      <c r="E382" s="56" t="n"/>
    </row>
    <row r="383">
      <c r="B383" s="56" t="n"/>
      <c r="C383" s="56" t="n"/>
      <c r="D383" s="56" t="n"/>
      <c r="E383" s="56" t="n"/>
    </row>
    <row r="384">
      <c r="B384" s="56" t="n"/>
      <c r="C384" s="56" t="n"/>
      <c r="D384" s="56" t="n"/>
      <c r="E384" s="56" t="n"/>
    </row>
    <row r="385">
      <c r="B385" s="56" t="n"/>
      <c r="C385" s="56" t="n"/>
      <c r="D385" s="56" t="n"/>
      <c r="E385" s="56" t="n"/>
    </row>
    <row r="386">
      <c r="B386" s="56" t="n"/>
      <c r="C386" s="56" t="n"/>
      <c r="D386" s="56" t="n"/>
      <c r="E386" s="56" t="n"/>
    </row>
    <row r="387">
      <c r="B387" s="56" t="n"/>
      <c r="C387" s="56" t="n"/>
      <c r="D387" s="56" t="n"/>
      <c r="E387" s="56" t="n"/>
    </row>
    <row r="388">
      <c r="B388" s="56" t="n"/>
      <c r="C388" s="56" t="n"/>
      <c r="D388" s="56" t="n"/>
      <c r="E388" s="56" t="n"/>
    </row>
    <row r="389">
      <c r="B389" s="56" t="n"/>
      <c r="C389" s="56" t="n"/>
      <c r="D389" s="56" t="n"/>
      <c r="E389" s="56" t="n"/>
    </row>
    <row r="390">
      <c r="B390" s="56" t="n"/>
      <c r="C390" s="56" t="n"/>
      <c r="D390" s="56" t="n"/>
      <c r="E390" s="56" t="n"/>
    </row>
    <row r="391">
      <c r="B391" s="56" t="n"/>
      <c r="C391" s="56" t="n"/>
      <c r="D391" s="56" t="n"/>
      <c r="E391" s="56" t="n"/>
    </row>
    <row r="392">
      <c r="B392" s="56" t="n"/>
      <c r="C392" s="56" t="n"/>
      <c r="D392" s="56" t="n"/>
      <c r="E392" s="56" t="n"/>
    </row>
    <row r="393">
      <c r="B393" s="56" t="n"/>
      <c r="C393" s="56" t="n"/>
      <c r="D393" s="56" t="n"/>
      <c r="E393" s="56" t="n"/>
    </row>
    <row r="394">
      <c r="B394" s="56" t="n"/>
      <c r="C394" s="56" t="n"/>
      <c r="D394" s="56" t="n"/>
      <c r="E394" s="56" t="n"/>
    </row>
    <row r="395">
      <c r="B395" s="56" t="n"/>
      <c r="C395" s="56" t="n"/>
      <c r="D395" s="56" t="n"/>
      <c r="E395" s="56" t="n"/>
    </row>
    <row r="396">
      <c r="B396" s="56" t="n"/>
      <c r="C396" s="56" t="n"/>
      <c r="D396" s="56" t="n"/>
      <c r="E396" s="56" t="n"/>
    </row>
    <row r="397">
      <c r="B397" s="56" t="n"/>
      <c r="C397" s="56" t="n"/>
      <c r="D397" s="56" t="n"/>
      <c r="E397" s="56" t="n"/>
    </row>
    <row r="398">
      <c r="B398" s="56" t="n"/>
      <c r="C398" s="56" t="n"/>
      <c r="D398" s="56" t="n"/>
      <c r="E398" s="56" t="n"/>
    </row>
    <row r="399">
      <c r="B399" s="56" t="n"/>
      <c r="C399" s="56" t="n"/>
      <c r="D399" s="56" t="n"/>
      <c r="E399" s="56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58" t="inlineStr">
        <is>
          <t>Data</t>
        </is>
      </c>
      <c r="B1" s="58" t="inlineStr">
        <is>
          <t>Veio</t>
        </is>
      </c>
      <c r="C1" s="58" t="inlineStr">
        <is>
          <t>Molde que saiu</t>
        </is>
      </c>
      <c r="D1" s="58" t="inlineStr">
        <is>
          <t>Vida programada</t>
        </is>
      </c>
      <c r="E1" s="58" t="inlineStr">
        <is>
          <t>Corridas na saída</t>
        </is>
      </c>
      <c r="F1" s="58" t="inlineStr">
        <is>
          <t>Molde que entrou</t>
        </is>
      </c>
      <c r="G1" s="58" t="inlineStr">
        <is>
          <t>Motivo</t>
        </is>
      </c>
      <c r="H1" s="58" t="inlineStr">
        <is>
          <t>Conferir</t>
        </is>
      </c>
      <c r="I1" s="58" t="inlineStr">
        <is>
          <t>Origem</t>
        </is>
      </c>
    </row>
  </sheetData>
  <autoFilter ref="A1:I5000"/>
  <conditionalFormatting sqref="H2:H5000">
    <cfRule type="expression" priority="1" dxfId="5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59" t="inlineStr">
        <is>
          <t>Data/hora</t>
        </is>
      </c>
      <c r="B1" s="59" t="inlineStr">
        <is>
          <t>Tipo</t>
        </is>
      </c>
      <c r="C1" s="59" t="inlineStr">
        <is>
          <t>Item</t>
        </is>
      </c>
      <c r="D1" s="59" t="inlineStr">
        <is>
          <t>Detalhe</t>
        </is>
      </c>
      <c r="E1" s="59" t="inlineStr">
        <is>
          <t>Resolvido</t>
        </is>
      </c>
    </row>
  </sheetData>
  <autoFilter ref="A1:E5000"/>
  <conditionalFormatting sqref="A2:E5000">
    <cfRule type="expression" priority="1" dxfId="6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60" t="n">
        <v>0.8</v>
      </c>
    </row>
    <row r="5">
      <c r="A5" s="61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8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  <c r="H1" t="inlineStr">
        <is>
          <t>Linha ativa</t>
        </is>
      </c>
    </row>
    <row r="2">
      <c r="A2" s="62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IFERROR(IF(LARGE(Equipamentos!$M$2:$M$201,1)&lt;0,0,MATCH(LARGE(Equipamentos!$M$2:$M$201,1),Equipamentos!$M$2:$M$201,0)),0)</f>
        <v/>
      </c>
      <c r="H2">
        <f>IFERROR(SMALL(Equipamentos!$Q$2:$Q$201,1),0)</f>
        <v/>
      </c>
    </row>
    <row r="3">
      <c r="A3" s="62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IFERROR(IF(LARGE(Equipamentos!$M$2:$M$201,2)&lt;0,0,MATCH(LARGE(Equipamentos!$M$2:$M$201,2),Equipamentos!$M$2:$M$201,0)),0)</f>
        <v/>
      </c>
      <c r="H3">
        <f>IFERROR(SMALL(Equipamentos!$Q$2:$Q$201,2),0)</f>
        <v/>
      </c>
    </row>
    <row r="4">
      <c r="A4" s="62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IFERROR(IF(LARGE(Equipamentos!$M$2:$M$201,3)&lt;0,0,MATCH(LARGE(Equipamentos!$M$2:$M$201,3),Equipamentos!$M$2:$M$201,0)),0)</f>
        <v/>
      </c>
      <c r="H4">
        <f>IFERROR(SMALL(Equipamentos!$Q$2:$Q$201,3),0)</f>
        <v/>
      </c>
    </row>
    <row r="5">
      <c r="A5" s="62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IFERROR(IF(LARGE(Equipamentos!$M$2:$M$201,4)&lt;0,0,MATCH(LARGE(Equipamentos!$M$2:$M$201,4),Equipamentos!$M$2:$M$201,0)),0)</f>
        <v/>
      </c>
      <c r="H5">
        <f>IFERROR(SMALL(Equipamentos!$Q$2:$Q$201,4),0)</f>
        <v/>
      </c>
    </row>
    <row r="6">
      <c r="A6" s="62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IFERROR(IF(LARGE(Equipamentos!$M$2:$M$201,5)&lt;0,0,MATCH(LARGE(Equipamentos!$M$2:$M$201,5),Equipamentos!$M$2:$M$201,0)),0)</f>
        <v/>
      </c>
      <c r="H6">
        <f>IFERROR(SMALL(Equipamentos!$Q$2:$Q$201,5),0)</f>
        <v/>
      </c>
    </row>
    <row r="7">
      <c r="A7" s="62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IFERROR(IF(LARGE(Equipamentos!$M$2:$M$201,6)&lt;0,0,MATCH(LARGE(Equipamentos!$M$2:$M$201,6),Equipamentos!$M$2:$M$201,0)),0)</f>
        <v/>
      </c>
      <c r="H7">
        <f>IFERROR(SMALL(Equipamentos!$Q$2:$Q$201,6),0)</f>
        <v/>
      </c>
    </row>
    <row r="8">
      <c r="A8" s="62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  <c r="H8">
        <f>IFERROR(SMALL(Equipamentos!$Q$2:$Q$201,7),0)</f>
        <v/>
      </c>
    </row>
    <row r="9">
      <c r="A9" s="62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  <c r="H9">
        <f>IFERROR(SMALL(Equipamentos!$Q$2:$Q$201,8),0)</f>
        <v/>
      </c>
    </row>
    <row r="10">
      <c r="A10" s="62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  <c r="H10">
        <f>IFERROR(SMALL(Equipamentos!$Q$2:$Q$201,9),0)</f>
        <v/>
      </c>
    </row>
    <row r="11">
      <c r="A11" s="62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  <c r="H11">
        <f>IFERROR(SMALL(Equipamentos!$Q$2:$Q$201,10),0)</f>
        <v/>
      </c>
    </row>
    <row r="12">
      <c r="A12" s="62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  <c r="H12">
        <f>IFERROR(SMALL(Equipamentos!$Q$2:$Q$201,11),0)</f>
        <v/>
      </c>
    </row>
    <row r="13">
      <c r="A13" s="62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  <c r="H13">
        <f>IFERROR(SMALL(Equipamentos!$Q$2:$Q$201,12),0)</f>
        <v/>
      </c>
    </row>
    <row r="14">
      <c r="A14" s="62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  <c r="H14">
        <f>IFERROR(SMALL(Equipamentos!$Q$2:$Q$201,13),0)</f>
        <v/>
      </c>
    </row>
    <row r="15">
      <c r="A15" s="62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  <c r="H15">
        <f>IFERROR(SMALL(Equipamentos!$Q$2:$Q$201,14),0)</f>
        <v/>
      </c>
    </row>
    <row r="16">
      <c r="A16" s="62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  <c r="H16">
        <f>IFERROR(SMALL(Equipamentos!$Q$2:$Q$201,15),0)</f>
        <v/>
      </c>
    </row>
    <row r="17">
      <c r="A17" s="62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  <c r="H17">
        <f>IFERROR(SMALL(Equipamentos!$Q$2:$Q$201,16),0)</f>
        <v/>
      </c>
    </row>
    <row r="18">
      <c r="A18" s="62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  <c r="H18">
        <f>IFERROR(SMALL(Equipamentos!$Q$2:$Q$201,17),0)</f>
        <v/>
      </c>
    </row>
    <row r="19">
      <c r="A19" s="62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  <c r="H19">
        <f>IFERROR(SMALL(Equipamentos!$Q$2:$Q$201,18),0)</f>
        <v/>
      </c>
    </row>
    <row r="20">
      <c r="A20" s="62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  <c r="H20">
        <f>IFERROR(SMALL(Equipamentos!$Q$2:$Q$201,19),0)</f>
        <v/>
      </c>
    </row>
    <row r="21">
      <c r="A21" s="62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  <c r="H21">
        <f>IFERROR(SMALL(Equipamentos!$Q$2:$Q$201,20),0)</f>
        <v/>
      </c>
    </row>
    <row r="22">
      <c r="A22" s="62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  <c r="H22">
        <f>IFERROR(SMALL(Equipamentos!$Q$2:$Q$201,21),0)</f>
        <v/>
      </c>
    </row>
    <row r="23">
      <c r="A23" s="62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  <c r="H23">
        <f>IFERROR(SMALL(Equipamentos!$Q$2:$Q$201,22),0)</f>
        <v/>
      </c>
    </row>
    <row r="24">
      <c r="A24" s="62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  <c r="H24">
        <f>IFERROR(SMALL(Equipamentos!$Q$2:$Q$201,23),0)</f>
        <v/>
      </c>
    </row>
    <row r="25">
      <c r="A25" s="62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  <c r="H25">
        <f>IFERROR(SMALL(Equipamentos!$Q$2:$Q$201,24),0)</f>
        <v/>
      </c>
    </row>
    <row r="26">
      <c r="A26" s="62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  <c r="H26">
        <f>IFERROR(SMALL(Equipamentos!$Q$2:$Q$201,25),0)</f>
        <v/>
      </c>
    </row>
    <row r="27">
      <c r="A27" s="62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  <c r="H27">
        <f>IFERROR(SMALL(Equipamentos!$Q$2:$Q$201,26),0)</f>
        <v/>
      </c>
    </row>
    <row r="28">
      <c r="A28" s="62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  <c r="H28">
        <f>IFERROR(SMALL(Equipamentos!$Q$2:$Q$201,27),0)</f>
        <v/>
      </c>
    </row>
    <row r="29">
      <c r="A29" s="62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62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62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2026-10-20T12:47:11Z</dcterms:created>
  <dcterms:modified xmlns:dcterms="http://purl.org/dc/terms/" xmlns:xsi="http://www.w3.org/2001/XMLSchema-instance" xsi:type="dcterms:W3CDTF">2026-10-20T12:47:12Z</dcterms:modified>
</cp:coreProperties>
</file>