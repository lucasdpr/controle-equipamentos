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Equipamentos" sheetId="3" state="visible" r:id="rId3"/>
    <sheet xmlns:r="http://schemas.openxmlformats.org/officeDocument/2006/relationships" name="Moldes" sheetId="4" state="visible" r:id="rId4"/>
    <sheet xmlns:r="http://schemas.openxmlformats.org/officeDocument/2006/relationships" name="TrocasEquip" sheetId="5" state="visible" r:id="rId5"/>
    <sheet xmlns:r="http://schemas.openxmlformats.org/officeDocument/2006/relationships" name="Paradas" sheetId="6" state="visible" r:id="rId6"/>
    <sheet xmlns:r="http://schemas.openxmlformats.org/officeDocument/2006/relationships" name="Historico" sheetId="7" state="visible" r:id="rId7"/>
    <sheet xmlns:r="http://schemas.openxmlformats.org/officeDocument/2006/relationships" name="Producao" sheetId="8" state="visible" r:id="rId8"/>
    <sheet xmlns:r="http://schemas.openxmlformats.org/officeDocument/2006/relationships" name="Trocas" sheetId="9" state="visible" r:id="rId9"/>
    <sheet xmlns:r="http://schemas.openxmlformats.org/officeDocument/2006/relationships" name="Alertas" sheetId="10" state="visible" r:id="rId10"/>
    <sheet xmlns:r="http://schemas.openxmlformats.org/officeDocument/2006/relationships" name="Regras" sheetId="11" state="visible" r:id="rId11"/>
    <sheet xmlns:r="http://schemas.openxmlformats.org/officeDocument/2006/relationships" name="Auxiliar" sheetId="12" state="hidden" r:id="rId12"/>
  </sheets>
  <definedNames>
    <definedName name="_xlnm._FilterDatabase" localSheetId="4" hidden="1">'TrocasEquip'!$A$1:$Q$5000</definedName>
    <definedName name="_xlnm._FilterDatabase" localSheetId="5" hidden="1">'Paradas'!$A$1:$F$5000</definedName>
    <definedName name="_xlnm._FilterDatabase" localSheetId="6" hidden="1">'Historico'!$A$1:$F$5000</definedName>
    <definedName name="_xlnm._FilterDatabase" localSheetId="7" hidden="1">'Producao'!$A$1:$F$5000</definedName>
    <definedName name="_xlnm._FilterDatabase" localSheetId="8" hidden="1">'Trocas'!$A$1:$I$5000</definedName>
    <definedName name="_xlnm._FilterDatabase" localSheetId="9" hidden="1">'Alertas'!$A$1:$E$5000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;;&quot;-&quot;"/>
    <numFmt numFmtId="166" formatCode="0.0%"/>
    <numFmt numFmtId="167" formatCode="yyyy-mm-dd"/>
    <numFmt numFmtId="168" formatCode="dd/mm"/>
  </numFmts>
  <fonts count="26">
    <font>
      <name val="Calibri"/>
      <family val="2"/>
      <color theme="1"/>
      <sz val="11"/>
      <scheme val="minor"/>
    </font>
    <font>
      <b val="1"/>
      <color rgb="00FFFFFF"/>
    </font>
    <font>
      <b val="1"/>
      <color rgb="00595959"/>
    </font>
    <font>
      <i val="1"/>
      <color rgb="00595959"/>
    </font>
    <font>
      <b val="1"/>
      <color rgb="00C00000"/>
    </font>
    <font>
      <b val="1"/>
      <color rgb="001F3864"/>
      <sz val="12"/>
    </font>
    <font>
      <b val="1"/>
      <color rgb="00FFFFFF"/>
      <sz val="10"/>
    </font>
    <font>
      <b val="1"/>
      <color rgb="00FFFFFF"/>
      <sz val="18"/>
    </font>
    <font>
      <i val="1"/>
      <color rgb="00808080"/>
      <sz val="8"/>
    </font>
    <font>
      <b val="1"/>
      <color rgb="001F3864"/>
    </font>
    <font>
      <b val="1"/>
      <color rgb="001F3864"/>
      <sz val="26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C00000"/>
      <sz val="26"/>
    </font>
    <font>
      <b val="1"/>
      <color rgb="00FFFFFF"/>
      <sz val="12"/>
    </font>
    <font>
      <b val="1"/>
      <color rgb="00FFFFFF"/>
      <sz val="20"/>
    </font>
    <font>
      <i val="1"/>
      <color rgb="00808080"/>
      <sz val="9"/>
    </font>
    <font>
      <b val="1"/>
      <color rgb="001F3864"/>
      <u val="single"/>
    </font>
    <font>
      <b val="1"/>
      <color rgb="002E75B6"/>
      <u val="single"/>
    </font>
    <font>
      <b val="1"/>
      <color rgb="00BF8F00"/>
      <u val="single"/>
    </font>
    <font>
      <b val="1"/>
      <color rgb="00595959"/>
      <u val="single"/>
    </font>
    <font>
      <b val="1"/>
      <color rgb="00C00000"/>
      <u val="single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1F3864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BF8F0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59595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C00000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9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0" fillId="0" borderId="0" pivotButton="0" quotePrefix="0" xfId="0"/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21" fillId="4" borderId="2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indent="1"/>
    </xf>
    <xf numFmtId="0" fontId="22" fillId="4" borderId="3" applyAlignment="1" pivotButton="0" quotePrefix="0" xfId="0">
      <alignment horizontal="left" vertical="center" indent="1"/>
    </xf>
    <xf numFmtId="0" fontId="23" fillId="4" borderId="4" applyAlignment="1" pivotButton="0" quotePrefix="0" xfId="0">
      <alignment horizontal="left" vertical="center" indent="1"/>
    </xf>
    <xf numFmtId="0" fontId="24" fillId="4" borderId="5" applyAlignment="1" pivotButton="0" quotePrefix="0" xfId="0">
      <alignment horizontal="left" vertical="center" indent="1"/>
    </xf>
    <xf numFmtId="0" fontId="25" fillId="4" borderId="6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indent="1"/>
    </xf>
    <xf numFmtId="0" fontId="9" fillId="9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5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0" fillId="9" borderId="0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6" fillId="1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indent="1"/>
    </xf>
    <xf numFmtId="3" fontId="0" fillId="3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6" fontId="0" fillId="0" borderId="0" pivotButton="0" quotePrefix="0" xfId="0"/>
    <xf numFmtId="3" fontId="0" fillId="3" borderId="0" pivotButton="0" quotePrefix="0" xfId="0"/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2F2F2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'Painel'!G20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'Painel'!$A$21:$A$47</f>
            </numRef>
          </cat>
          <val>
            <numRef>
              <f>'Painel'!$G$21:$G$47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45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49</row>
      <rowOff>0</rowOff>
    </from>
    <ext cx="4500000" cy="226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62</row>
      <rowOff>0</rowOff>
    </from>
    <ext cx="4500000" cy="226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Equipamentos'!A1" TargetMode="External" Id="rId2"/><Relationship Type="http://schemas.openxmlformats.org/officeDocument/2006/relationships/hyperlink" Target="#'Moldes'!A1" TargetMode="External" Id="rId3"/><Relationship Type="http://schemas.openxmlformats.org/officeDocument/2006/relationships/hyperlink" Target="#'TrocasEquip'!A1" TargetMode="External" Id="rId4"/><Relationship Type="http://schemas.openxmlformats.org/officeDocument/2006/relationships/hyperlink" Target="#'Paradas'!A1" TargetMode="External" Id="rId5"/><Relationship Type="http://schemas.openxmlformats.org/officeDocument/2006/relationships/hyperlink" Target="#'Historico'!A1" TargetMode="External" Id="rId6"/><Relationship Type="http://schemas.openxmlformats.org/officeDocument/2006/relationships/hyperlink" Target="#'Producao'!A1" TargetMode="External" Id="rId7"/><Relationship Type="http://schemas.openxmlformats.org/officeDocument/2006/relationships/hyperlink" Target="#'Trocas'!A1" TargetMode="External" Id="rId8"/><Relationship Type="http://schemas.openxmlformats.org/officeDocument/2006/relationships/hyperlink" Target="#'Alertas'!A1" TargetMode="External" Id="rId9"/><Relationship Type="http://schemas.openxmlformats.org/officeDocument/2006/relationships/hyperlink" Target="#'Regras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 ht="40" customHeight="1">
      <c r="B2" s="1" t="inlineStr">
        <is>
          <t>Controle de Vida dos Equipamentos</t>
        </is>
      </c>
      <c r="C2" s="2" t="n"/>
    </row>
    <row r="3">
      <c r="B3" s="3" t="inlineStr">
        <is>
          <t>Lucas Gabriel de Paula Rafael  |  Matrícula cbk3574  |  github.com/lucasdpr/controle-equipamentos</t>
        </is>
      </c>
    </row>
    <row r="5">
      <c r="B5" s="4" t="inlineStr">
        <is>
          <t>Abas (clique para ir)</t>
        </is>
      </c>
      <c r="C5" s="5" t="n"/>
    </row>
    <row r="6">
      <c r="B6" s="6" t="inlineStr">
        <is>
          <t>Painel</t>
        </is>
      </c>
      <c r="C6" s="7" t="inlineStr">
        <is>
          <t>Visão geral: indicadores, mais desgastados, resumo por tipo, todos os equipamentos e gráficos.</t>
        </is>
      </c>
    </row>
    <row r="7">
      <c r="B7" s="8" t="inlineStr">
        <is>
          <t>Equipamentos</t>
        </is>
      </c>
      <c r="C7" s="7" t="inlineStr">
        <is>
          <t>Cadastro de cada tag (meta, MCC, Desde, acumulado inicial) e o cálculo da vida.</t>
        </is>
      </c>
    </row>
    <row r="8">
      <c r="B8" s="8" t="inlineStr">
        <is>
          <t>Moldes</t>
        </is>
      </c>
      <c r="C8" s="7" t="inlineStr">
        <is>
          <t>Todos os veios (C a H) pelo relatório: molde atual, corridas, trocas, dias parados.</t>
        </is>
      </c>
    </row>
    <row r="9">
      <c r="B9" s="9" t="inlineStr">
        <is>
          <t>TrocasEquip</t>
        </is>
      </c>
      <c r="C9" s="7" t="inlineStr">
        <is>
          <t>Uma linha por troca: data, posição, tag que entrou e motivo. Quem saiu e com quanto saiu é automático.</t>
        </is>
      </c>
    </row>
    <row r="10">
      <c r="B10" s="9" t="inlineStr">
        <is>
          <t>Paradas</t>
        </is>
      </c>
      <c r="C10" s="7" t="inlineStr">
        <is>
          <t>Você registra paradas (início, fim, motivo).</t>
        </is>
      </c>
    </row>
    <row r="11">
      <c r="B11" s="10" t="inlineStr">
        <is>
          <t>Historico</t>
        </is>
      </c>
      <c r="C11" s="7" t="inlineStr">
        <is>
          <t>Robô: corridas de cada veio por dia.</t>
        </is>
      </c>
    </row>
    <row r="12">
      <c r="B12" s="10" t="inlineStr">
        <is>
          <t>Producao</t>
        </is>
      </c>
      <c r="C12" s="7" t="inlineStr">
        <is>
          <t>Robô: toneladas reais por MCC por dia.</t>
        </is>
      </c>
    </row>
    <row r="13">
      <c r="B13" s="10" t="inlineStr">
        <is>
          <t>Trocas</t>
        </is>
      </c>
      <c r="C13" s="7" t="inlineStr">
        <is>
          <t>Robô: trocas de molde detectadas no relatório.</t>
        </is>
      </c>
    </row>
    <row r="14">
      <c r="B14" s="11" t="inlineStr">
        <is>
          <t>Alertas</t>
        </is>
      </c>
      <c r="C14" s="7" t="inlineStr">
        <is>
          <t>Robô: avisos para conferir. Escolha 'Sim' em Resolvido quando tratar.</t>
        </is>
      </c>
    </row>
    <row r="15">
      <c r="B15" s="10" t="inlineStr">
        <is>
          <t>Regras</t>
        </is>
      </c>
      <c r="C15" s="7" t="inlineStr">
        <is>
          <t>Limiar de atenção e explicação dos cálculos.</t>
        </is>
      </c>
    </row>
    <row r="17">
      <c r="B17" s="4" t="inlineStr">
        <is>
          <t>Primeira vez</t>
        </is>
      </c>
      <c r="C17" s="5" t="n"/>
    </row>
    <row r="18">
      <c r="B18" s="12" t="inlineStr">
        <is>
          <t>1.</t>
        </is>
      </c>
      <c r="C18" s="13" t="inlineStr">
        <is>
          <t>Na aba Equipamentos, troque os nomes pelas tags reais e ajuste meta, MCC, Desde e Acumulado inicial (células amarelas).</t>
        </is>
      </c>
    </row>
    <row r="19">
      <c r="B19" s="12" t="inlineStr">
        <is>
          <t>2.</t>
        </is>
      </c>
      <c r="C19" s="13" t="inlineStr">
        <is>
          <t>Coloque esta planilha e o robô atualizar_controle_GRAVANDO.vbs na mesma pasta, fora do OneDrive.</t>
        </is>
      </c>
    </row>
    <row r="20">
      <c r="B20" s="12" t="inlineStr">
        <is>
          <t>3.</t>
        </is>
      </c>
      <c r="C20" s="13" t="inlineStr">
        <is>
          <t>Feche a planilha, abra o Outlook clássico e dê dois cliques no robô. Espere o aviso 'Robô terminou'.</t>
        </is>
      </c>
    </row>
    <row r="22">
      <c r="B22" s="4" t="inlineStr">
        <is>
          <t>Todo dia</t>
        </is>
      </c>
      <c r="C22" s="5" t="n"/>
    </row>
    <row r="23">
      <c r="B23" s="12" t="inlineStr">
        <is>
          <t>1.</t>
        </is>
      </c>
      <c r="C23" s="13" t="inlineStr">
        <is>
          <t>Rode o robô (ou deixe agendado no Agendador de Tarefas do Windows) com a planilha fechada.</t>
        </is>
      </c>
    </row>
    <row r="24">
      <c r="B24" s="12" t="inlineStr">
        <is>
          <t>2.</t>
        </is>
      </c>
      <c r="C24" s="13" t="inlineStr">
        <is>
          <t>Abra o Painel: veja os quadros do topo e os mais desgastados.</t>
        </is>
      </c>
    </row>
    <row r="25">
      <c r="B25" s="12" t="inlineStr">
        <is>
          <t>3.</t>
        </is>
      </c>
      <c r="C25" s="13" t="inlineStr">
        <is>
          <t>Se 'Alertas abertos' for maior que 0, confira na aba Alertas e marque 'Sim' em Resolvido.</t>
        </is>
      </c>
    </row>
    <row r="27">
      <c r="B27" s="4" t="inlineStr">
        <is>
          <t>Quando trocar</t>
        </is>
      </c>
      <c r="C27" s="5" t="n"/>
    </row>
    <row r="28">
      <c r="B28" s="12" t="inlineStr">
        <is>
          <t>1.</t>
        </is>
      </c>
      <c r="C28" s="13" t="inlineStr">
        <is>
          <t>Molde: nada a fazer, o robô detecta a troca pelo relatório.</t>
        </is>
      </c>
    </row>
    <row r="29">
      <c r="B29" s="12" t="inlineStr">
        <is>
          <t>2.</t>
        </is>
      </c>
      <c r="C29" s="13" t="inlineStr">
        <is>
          <t>Oscilador ou componente: só na aba TrocasEquip, uma linha: Data da troca, Posição (escolha na lista), Tag que entrou e Motivo.</t>
        </is>
      </c>
    </row>
    <row r="30">
      <c r="B30" s="12" t="inlineStr">
        <is>
          <t>3.</t>
        </is>
      </c>
      <c r="C30" s="13" t="inlineStr">
        <is>
          <t>Se a peça nova tiver outra meta ou já tiver uso, preencha também 'Meta da nova' e 'Acum. inicial da nova'.</t>
        </is>
      </c>
    </row>
    <row r="31">
      <c r="B31" s="12" t="inlineStr">
        <is>
          <t>4.</t>
        </is>
      </c>
      <c r="C31" s="13" t="inlineStr">
        <is>
          <t>A planilha mostra sozinha a tag que saiu, o acumulado e a % da vida na saída, e coloca a peça nova na posição (aba Equipamentos e Painel).</t>
        </is>
      </c>
    </row>
    <row r="33">
      <c r="B33" s="4" t="inlineStr">
        <is>
          <t>Cores</t>
        </is>
      </c>
      <c r="C33" s="5" t="n"/>
    </row>
    <row r="34">
      <c r="B34" s="12" t="inlineStr">
        <is>
          <t>1.</t>
        </is>
      </c>
      <c r="C34" s="13" t="inlineStr">
        <is>
          <t>Amarelo = você digita.   Verde = OK.   Âmbar = atenção (a partir do limiar em Regras).   Vermelho = além da meta ou alerta aberto.</t>
        </is>
      </c>
    </row>
  </sheetData>
  <mergeCells count="7">
    <mergeCell ref="B2:C2"/>
    <mergeCell ref="B33:C33"/>
    <mergeCell ref="B3:C3"/>
    <mergeCell ref="B5:C5"/>
    <mergeCell ref="B22:C22"/>
    <mergeCell ref="B17:C17"/>
    <mergeCell ref="B27:C27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3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</cols>
  <sheetData>
    <row r="1" ht="36" customHeight="1">
      <c r="A1" s="14" t="inlineStr">
        <is>
          <t>Controle de Vida dos Equipamentos  |  MCC4</t>
        </is>
      </c>
    </row>
    <row r="2">
      <c r="A2" s="15">
        <f>"Último relatório importado: "&amp;IF(MAX(Historico!$A$2:$A$5000)=0,"nenhum ainda",RIGHT("0"&amp;DAY(MAX(Historico!$A$2:$A$5000)),2)&amp;"/"&amp;RIGHT("0"&amp;MONTH(MAX(Historico!$A$2:$A$5000)),2)&amp;"/"&amp;YEAR(MAX(Historico!$A$2:$A$5000)))&amp;"     |     Hoje: "&amp;RIGHT("0"&amp;DAY(TODAY()),2)&amp;"/"&amp;RIGHT("0"&amp;MONTH(TODAY()),2)&amp;"/"&amp;YEAR(TODAY())</f>
        <v/>
      </c>
    </row>
    <row r="3">
      <c r="A3" s="16" t="inlineStr">
        <is>
          <t>Lucas Gabriel de Paula Rafael  |  Matrícula cbk3574  |  github.com/lucasdpr/controle-equipamentos</t>
        </is>
      </c>
    </row>
    <row r="5">
      <c r="A5" s="17" t="inlineStr">
        <is>
          <t>Equipamentos</t>
        </is>
      </c>
      <c r="B5" s="18" t="inlineStr">
        <is>
          <t>Além da meta</t>
        </is>
      </c>
      <c r="C5" s="19" t="n"/>
      <c r="D5" s="20" t="inlineStr">
        <is>
          <t>Atenção</t>
        </is>
      </c>
      <c r="E5" s="21" t="n"/>
      <c r="F5" s="22" t="inlineStr">
        <is>
          <t>OK</t>
        </is>
      </c>
      <c r="G5" s="23" t="n"/>
      <c r="H5" s="24" t="inlineStr">
        <is>
          <t>Alertas abertos</t>
        </is>
      </c>
      <c r="I5" s="25" t="n"/>
    </row>
    <row r="6" ht="44" customHeight="1">
      <c r="A6" s="26">
        <f>COUNT(Equipamentos!$Q$2:$Q$61)</f>
        <v/>
      </c>
      <c r="B6" s="27">
        <f>COUNTIF(Equipamentos!$K$2:$K$61,"Além da meta")</f>
        <v/>
      </c>
      <c r="C6" s="19" t="n"/>
      <c r="D6" s="28">
        <f>COUNTIF(Equipamentos!$K$2:$K$61,"Atenção")</f>
        <v/>
      </c>
      <c r="E6" s="21" t="n"/>
      <c r="F6" s="29">
        <f>COUNTIF(Equipamentos!$K$2:$K$61,"OK")</f>
        <v/>
      </c>
      <c r="G6" s="23" t="n"/>
      <c r="H6" s="30">
        <f>COUNTA(Alertas!$A$2:$A$5000)-COUNTIFS(Alertas!$E$2:$E$5000,"Sim")</f>
        <v/>
      </c>
      <c r="I6" s="25" t="n"/>
    </row>
    <row r="8">
      <c r="A8" s="4" t="inlineStr">
        <is>
          <t>Mais desgastados</t>
        </is>
      </c>
      <c r="B8" s="5" t="n"/>
      <c r="C8" s="5" t="n"/>
      <c r="D8" s="5" t="n"/>
      <c r="F8" s="4" t="inlineStr">
        <is>
          <t>Por tipo</t>
        </is>
      </c>
      <c r="G8" s="5" t="n"/>
      <c r="H8" s="5" t="n"/>
      <c r="I8" s="5" t="n"/>
    </row>
    <row r="9">
      <c r="A9" s="31" t="inlineStr">
        <is>
          <t>Tag / Equipamento</t>
        </is>
      </c>
      <c r="B9" s="31" t="inlineStr">
        <is>
          <t>Tipo</t>
        </is>
      </c>
      <c r="C9" s="31" t="inlineStr">
        <is>
          <t>% da vida</t>
        </is>
      </c>
      <c r="D9" s="31" t="inlineStr">
        <is>
          <t>Situação</t>
        </is>
      </c>
      <c r="F9" s="31" t="inlineStr">
        <is>
          <t>Tipo</t>
        </is>
      </c>
      <c r="G9" s="31" t="inlineStr">
        <is>
          <t>Qtd</t>
        </is>
      </c>
      <c r="H9" s="31" t="inlineStr">
        <is>
          <t>Maior % da vida</t>
        </is>
      </c>
      <c r="I9" s="31" t="inlineStr">
        <is>
          <t>Atenção / além</t>
        </is>
      </c>
    </row>
    <row r="10">
      <c r="A10" s="7">
        <f>IF(Auxiliar!$F$2=0,"",INDEX(Equipamentos!$A$2:$A$61,Auxiliar!$F$2))</f>
        <v/>
      </c>
      <c r="B10" s="32">
        <f>IF(Auxiliar!$F$2=0,"",INDEX(Equipamentos!$B$2:$B$61,Auxiliar!$F$2))</f>
        <v/>
      </c>
      <c r="C10" s="33">
        <f>IF(Auxiliar!$F$2=0,"",INDEX(Equipamentos!$J$2:$J$61,Auxiliar!$F$2))</f>
        <v/>
      </c>
      <c r="D10" s="32">
        <f>IF(Auxiliar!$F$2=0,"",INDEX(Equipamentos!$K$2:$K$61,Auxiliar!$F$2))</f>
        <v/>
      </c>
      <c r="F10" s="7" t="inlineStr">
        <is>
          <t>Molde</t>
        </is>
      </c>
      <c r="G10" s="32">
        <f>COUNTIFS(Equipamentos!$B$2:$B$61,F10,Equipamentos!$A$2:$A$61,"&lt;&gt;")</f>
        <v/>
      </c>
      <c r="H10" s="33">
        <f>IF(G10=0,"",SUMPRODUCT(MAX((Equipamentos!$B$2:$B$61=F10)*Equipamentos!$M$2:$M$61)))</f>
        <v/>
      </c>
      <c r="I10" s="32">
        <f>COUNTIFS(Equipamentos!$B$2:$B$61,F10,Equipamentos!$K$2:$K$61,"Atenção")+COUNTIFS(Equipamentos!$B$2:$B$61,F10,Equipamentos!$K$2:$K$61,"Além da meta")</f>
        <v/>
      </c>
    </row>
    <row r="11">
      <c r="A11" s="7">
        <f>IF(Auxiliar!$F$3=0,"",INDEX(Equipamentos!$A$2:$A$61,Auxiliar!$F$3))</f>
        <v/>
      </c>
      <c r="B11" s="32">
        <f>IF(Auxiliar!$F$3=0,"",INDEX(Equipamentos!$B$2:$B$61,Auxiliar!$F$3))</f>
        <v/>
      </c>
      <c r="C11" s="33">
        <f>IF(Auxiliar!$F$3=0,"",INDEX(Equipamentos!$J$2:$J$61,Auxiliar!$F$3))</f>
        <v/>
      </c>
      <c r="D11" s="32">
        <f>IF(Auxiliar!$F$3=0,"",INDEX(Equipamentos!$K$2:$K$61,Auxiliar!$F$3))</f>
        <v/>
      </c>
      <c r="F11" s="7" t="inlineStr">
        <is>
          <t>Oscilador</t>
        </is>
      </c>
      <c r="G11" s="32">
        <f>COUNTIFS(Equipamentos!$B$2:$B$61,F11,Equipamentos!$A$2:$A$61,"&lt;&gt;")</f>
        <v/>
      </c>
      <c r="H11" s="33">
        <f>IF(G11=0,"",SUMPRODUCT(MAX((Equipamentos!$B$2:$B$61=F11)*Equipamentos!$M$2:$M$61)))</f>
        <v/>
      </c>
      <c r="I11" s="32">
        <f>COUNTIFS(Equipamentos!$B$2:$B$61,F11,Equipamentos!$K$2:$K$61,"Atenção")+COUNTIFS(Equipamentos!$B$2:$B$61,F11,Equipamentos!$K$2:$K$61,"Além da meta")</f>
        <v/>
      </c>
    </row>
    <row r="12">
      <c r="A12" s="7">
        <f>IF(Auxiliar!$F$4=0,"",INDEX(Equipamentos!$A$2:$A$61,Auxiliar!$F$4))</f>
        <v/>
      </c>
      <c r="B12" s="32">
        <f>IF(Auxiliar!$F$4=0,"",INDEX(Equipamentos!$B$2:$B$61,Auxiliar!$F$4))</f>
        <v/>
      </c>
      <c r="C12" s="33">
        <f>IF(Auxiliar!$F$4=0,"",INDEX(Equipamentos!$J$2:$J$61,Auxiliar!$F$4))</f>
        <v/>
      </c>
      <c r="D12" s="32">
        <f>IF(Auxiliar!$F$4=0,"",INDEX(Equipamentos!$K$2:$K$61,Auxiliar!$F$4))</f>
        <v/>
      </c>
      <c r="F12" s="7" t="inlineStr">
        <is>
          <t>Bender</t>
        </is>
      </c>
      <c r="G12" s="32">
        <f>COUNTIFS(Equipamentos!$B$2:$B$61,F12,Equipamentos!$A$2:$A$61,"&lt;&gt;")</f>
        <v/>
      </c>
      <c r="H12" s="33">
        <f>IF(G12=0,"",SUMPRODUCT(MAX((Equipamentos!$B$2:$B$61=F12)*Equipamentos!$M$2:$M$61)))</f>
        <v/>
      </c>
      <c r="I12" s="32">
        <f>COUNTIFS(Equipamentos!$B$2:$B$61,F12,Equipamentos!$K$2:$K$61,"Atenção")+COUNTIFS(Equipamentos!$B$2:$B$61,F12,Equipamentos!$K$2:$K$61,"Além da meta")</f>
        <v/>
      </c>
    </row>
    <row r="13">
      <c r="A13" s="7">
        <f>IF(Auxiliar!$F$5=0,"",INDEX(Equipamentos!$A$2:$A$61,Auxiliar!$F$5))</f>
        <v/>
      </c>
      <c r="B13" s="32">
        <f>IF(Auxiliar!$F$5=0,"",INDEX(Equipamentos!$B$2:$B$61,Auxiliar!$F$5))</f>
        <v/>
      </c>
      <c r="C13" s="33">
        <f>IF(Auxiliar!$F$5=0,"",INDEX(Equipamentos!$J$2:$J$61,Auxiliar!$F$5))</f>
        <v/>
      </c>
      <c r="D13" s="32">
        <f>IF(Auxiliar!$F$5=0,"",INDEX(Equipamentos!$K$2:$K$61,Auxiliar!$F$5))</f>
        <v/>
      </c>
      <c r="F13" s="7" t="inlineStr">
        <is>
          <t>Bow</t>
        </is>
      </c>
      <c r="G13" s="32">
        <f>COUNTIFS(Equipamentos!$B$2:$B$61,F13,Equipamentos!$A$2:$A$61,"&lt;&gt;")</f>
        <v/>
      </c>
      <c r="H13" s="33">
        <f>IF(G13=0,"",SUMPRODUCT(MAX((Equipamentos!$B$2:$B$61=F13)*Equipamentos!$M$2:$M$61)))</f>
        <v/>
      </c>
      <c r="I13" s="32">
        <f>COUNTIFS(Equipamentos!$B$2:$B$61,F13,Equipamentos!$K$2:$K$61,"Atenção")+COUNTIFS(Equipamentos!$B$2:$B$61,F13,Equipamentos!$K$2:$K$61,"Além da meta")</f>
        <v/>
      </c>
    </row>
    <row r="14">
      <c r="A14" s="7">
        <f>IF(Auxiliar!$F$6=0,"",INDEX(Equipamentos!$A$2:$A$61,Auxiliar!$F$6))</f>
        <v/>
      </c>
      <c r="B14" s="32">
        <f>IF(Auxiliar!$F$6=0,"",INDEX(Equipamentos!$B$2:$B$61,Auxiliar!$F$6))</f>
        <v/>
      </c>
      <c r="C14" s="33">
        <f>IF(Auxiliar!$F$6=0,"",INDEX(Equipamentos!$J$2:$J$61,Auxiliar!$F$6))</f>
        <v/>
      </c>
      <c r="D14" s="32">
        <f>IF(Auxiliar!$F$6=0,"",INDEX(Equipamentos!$K$2:$K$61,Auxiliar!$F$6))</f>
        <v/>
      </c>
      <c r="F14" s="7" t="inlineStr">
        <is>
          <t>Straightener R1</t>
        </is>
      </c>
      <c r="G14" s="32">
        <f>COUNTIFS(Equipamentos!$B$2:$B$61,F14,Equipamentos!$A$2:$A$61,"&lt;&gt;")</f>
        <v/>
      </c>
      <c r="H14" s="33">
        <f>IF(G14=0,"",SUMPRODUCT(MAX((Equipamentos!$B$2:$B$61=F14)*Equipamentos!$M$2:$M$61)))</f>
        <v/>
      </c>
      <c r="I14" s="32">
        <f>COUNTIFS(Equipamentos!$B$2:$B$61,F14,Equipamentos!$K$2:$K$61,"Atenção")+COUNTIFS(Equipamentos!$B$2:$B$61,F14,Equipamentos!$K$2:$K$61,"Além da meta")</f>
        <v/>
      </c>
    </row>
    <row r="15">
      <c r="A15" s="7">
        <f>IF(Auxiliar!$F$7=0,"",INDEX(Equipamentos!$A$2:$A$61,Auxiliar!$F$7))</f>
        <v/>
      </c>
      <c r="B15" s="32">
        <f>IF(Auxiliar!$F$7=0,"",INDEX(Equipamentos!$B$2:$B$61,Auxiliar!$F$7))</f>
        <v/>
      </c>
      <c r="C15" s="33">
        <f>IF(Auxiliar!$F$7=0,"",INDEX(Equipamentos!$J$2:$J$61,Auxiliar!$F$7))</f>
        <v/>
      </c>
      <c r="D15" s="32">
        <f>IF(Auxiliar!$F$7=0,"",INDEX(Equipamentos!$K$2:$K$61,Auxiliar!$F$7))</f>
        <v/>
      </c>
      <c r="F15" s="7" t="inlineStr">
        <is>
          <t>Straightener R2</t>
        </is>
      </c>
      <c r="G15" s="32">
        <f>COUNTIFS(Equipamentos!$B$2:$B$61,F15,Equipamentos!$A$2:$A$61,"&lt;&gt;")</f>
        <v/>
      </c>
      <c r="H15" s="33">
        <f>IF(G15=0,"",SUMPRODUCT(MAX((Equipamentos!$B$2:$B$61=F15)*Equipamentos!$M$2:$M$61)))</f>
        <v/>
      </c>
      <c r="I15" s="32">
        <f>COUNTIFS(Equipamentos!$B$2:$B$61,F15,Equipamentos!$K$2:$K$61,"Atenção")+COUNTIFS(Equipamentos!$B$2:$B$61,F15,Equipamentos!$K$2:$K$61,"Além da meta")</f>
        <v/>
      </c>
    </row>
    <row r="16">
      <c r="F16" s="7" t="inlineStr">
        <is>
          <t>Horizontal</t>
        </is>
      </c>
      <c r="G16" s="32">
        <f>COUNTIFS(Equipamentos!$B$2:$B$61,F16,Equipamentos!$A$2:$A$61,"&lt;&gt;")</f>
        <v/>
      </c>
      <c r="H16" s="33">
        <f>IF(G16=0,"",SUMPRODUCT(MAX((Equipamentos!$B$2:$B$61=F16)*Equipamentos!$M$2:$M$61)))</f>
        <v/>
      </c>
      <c r="I16" s="32">
        <f>COUNTIFS(Equipamentos!$B$2:$B$61,F16,Equipamentos!$K$2:$K$61,"Atenção")+COUNTIFS(Equipamentos!$B$2:$B$61,F16,Equipamentos!$K$2:$K$61,"Além da meta")</f>
        <v/>
      </c>
    </row>
    <row r="19">
      <c r="A19" s="4" t="inlineStr">
        <is>
          <t>Todos os equipamentos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31" t="inlineStr">
        <is>
          <t>Tag</t>
        </is>
      </c>
      <c r="B20" s="31" t="inlineStr">
        <is>
          <t>Posição</t>
        </is>
      </c>
      <c r="C20" s="31" t="inlineStr">
        <is>
          <t>Veio</t>
        </is>
      </c>
      <c r="D20" s="31" t="inlineStr">
        <is>
          <t>Meta</t>
        </is>
      </c>
      <c r="E20" s="31" t="inlineStr">
        <is>
          <t>Acumulado</t>
        </is>
      </c>
      <c r="F20" s="31" t="inlineStr">
        <is>
          <t>Falta</t>
        </is>
      </c>
      <c r="G20" s="31" t="inlineStr">
        <is>
          <t>% da vida</t>
        </is>
      </c>
      <c r="H20" s="31" t="inlineStr">
        <is>
          <t>Situação</t>
        </is>
      </c>
      <c r="I20" s="31" t="inlineStr">
        <is>
          <t>Desde</t>
        </is>
      </c>
    </row>
    <row r="21">
      <c r="A21" s="7">
        <f>IF(Auxiliar!$H$2=0,"",IF(INDEX(Equipamentos!$A:$A,Auxiliar!$H$2)="","",INDEX(Equipamentos!$A:$A,Auxiliar!$H$2)))</f>
        <v/>
      </c>
      <c r="B21" s="32">
        <f>IF(Auxiliar!$H$2=0,"",IF(INDEX(Equipamentos!$N:$N,Auxiliar!$H$2)="","",INDEX(Equipamentos!$N:$N,Auxiliar!$H$2)))</f>
        <v/>
      </c>
      <c r="C21" s="32">
        <f>IF(Auxiliar!$H$2=0,"",IF(INDEX(Equipamentos!$L:$L,Auxiliar!$H$2)="","",INDEX(Equipamentos!$L:$L,Auxiliar!$H$2)))</f>
        <v/>
      </c>
      <c r="D21" s="34">
        <f>IF(Auxiliar!$H$2=0,"",IF(INDEX(Equipamentos!$E:$E,Auxiliar!$H$2)="","",INDEX(Equipamentos!$E:$E,Auxiliar!$H$2)))</f>
        <v/>
      </c>
      <c r="E21" s="34">
        <f>IF(Auxiliar!$H$2=0,"",IF(INDEX(Equipamentos!$H:$H,Auxiliar!$H$2)="","",INDEX(Equipamentos!$H:$H,Auxiliar!$H$2)))</f>
        <v/>
      </c>
      <c r="F21" s="34">
        <f>IF(Auxiliar!$H$2=0,"",IF(INDEX(Equipamentos!$I:$I,Auxiliar!$H$2)="","",INDEX(Equipamentos!$I:$I,Auxiliar!$H$2)))</f>
        <v/>
      </c>
      <c r="G21" s="35">
        <f>IF(Auxiliar!$H$2=0,"",IF(INDEX(Equipamentos!$J:$J,Auxiliar!$H$2)="","",INDEX(Equipamentos!$J:$J,Auxiliar!$H$2)))</f>
        <v/>
      </c>
      <c r="H21" s="32">
        <f>IF(Auxiliar!$H$2=0,"",IF(INDEX(Equipamentos!$K:$K,Auxiliar!$H$2)="","",INDEX(Equipamentos!$K:$K,Auxiliar!$H$2)))</f>
        <v/>
      </c>
      <c r="I21" s="36">
        <f>IF(Auxiliar!$H$2=0,"",IF(INDEX(Equipamentos!$F:$F,Auxiliar!$H$2)="","",INDEX(Equipamentos!$F:$F,Auxiliar!$H$2)))</f>
        <v/>
      </c>
    </row>
    <row r="22">
      <c r="A22" s="7">
        <f>IF(Auxiliar!$H$3=0,"",IF(INDEX(Equipamentos!$A:$A,Auxiliar!$H$3)="","",INDEX(Equipamentos!$A:$A,Auxiliar!$H$3)))</f>
        <v/>
      </c>
      <c r="B22" s="32">
        <f>IF(Auxiliar!$H$3=0,"",IF(INDEX(Equipamentos!$N:$N,Auxiliar!$H$3)="","",INDEX(Equipamentos!$N:$N,Auxiliar!$H$3)))</f>
        <v/>
      </c>
      <c r="C22" s="32">
        <f>IF(Auxiliar!$H$3=0,"",IF(INDEX(Equipamentos!$L:$L,Auxiliar!$H$3)="","",INDEX(Equipamentos!$L:$L,Auxiliar!$H$3)))</f>
        <v/>
      </c>
      <c r="D22" s="34">
        <f>IF(Auxiliar!$H$3=0,"",IF(INDEX(Equipamentos!$E:$E,Auxiliar!$H$3)="","",INDEX(Equipamentos!$E:$E,Auxiliar!$H$3)))</f>
        <v/>
      </c>
      <c r="E22" s="34">
        <f>IF(Auxiliar!$H$3=0,"",IF(INDEX(Equipamentos!$H:$H,Auxiliar!$H$3)="","",INDEX(Equipamentos!$H:$H,Auxiliar!$H$3)))</f>
        <v/>
      </c>
      <c r="F22" s="34">
        <f>IF(Auxiliar!$H$3=0,"",IF(INDEX(Equipamentos!$I:$I,Auxiliar!$H$3)="","",INDEX(Equipamentos!$I:$I,Auxiliar!$H$3)))</f>
        <v/>
      </c>
      <c r="G22" s="35">
        <f>IF(Auxiliar!$H$3=0,"",IF(INDEX(Equipamentos!$J:$J,Auxiliar!$H$3)="","",INDEX(Equipamentos!$J:$J,Auxiliar!$H$3)))</f>
        <v/>
      </c>
      <c r="H22" s="32">
        <f>IF(Auxiliar!$H$3=0,"",IF(INDEX(Equipamentos!$K:$K,Auxiliar!$H$3)="","",INDEX(Equipamentos!$K:$K,Auxiliar!$H$3)))</f>
        <v/>
      </c>
      <c r="I22" s="36">
        <f>IF(Auxiliar!$H$3=0,"",IF(INDEX(Equipamentos!$F:$F,Auxiliar!$H$3)="","",INDEX(Equipamentos!$F:$F,Auxiliar!$H$3)))</f>
        <v/>
      </c>
    </row>
    <row r="23">
      <c r="A23" s="7">
        <f>IF(Auxiliar!$H$4=0,"",IF(INDEX(Equipamentos!$A:$A,Auxiliar!$H$4)="","",INDEX(Equipamentos!$A:$A,Auxiliar!$H$4)))</f>
        <v/>
      </c>
      <c r="B23" s="32">
        <f>IF(Auxiliar!$H$4=0,"",IF(INDEX(Equipamentos!$N:$N,Auxiliar!$H$4)="","",INDEX(Equipamentos!$N:$N,Auxiliar!$H$4)))</f>
        <v/>
      </c>
      <c r="C23" s="32">
        <f>IF(Auxiliar!$H$4=0,"",IF(INDEX(Equipamentos!$L:$L,Auxiliar!$H$4)="","",INDEX(Equipamentos!$L:$L,Auxiliar!$H$4)))</f>
        <v/>
      </c>
      <c r="D23" s="34">
        <f>IF(Auxiliar!$H$4=0,"",IF(INDEX(Equipamentos!$E:$E,Auxiliar!$H$4)="","",INDEX(Equipamentos!$E:$E,Auxiliar!$H$4)))</f>
        <v/>
      </c>
      <c r="E23" s="34">
        <f>IF(Auxiliar!$H$4=0,"",IF(INDEX(Equipamentos!$H:$H,Auxiliar!$H$4)="","",INDEX(Equipamentos!$H:$H,Auxiliar!$H$4)))</f>
        <v/>
      </c>
      <c r="F23" s="34">
        <f>IF(Auxiliar!$H$4=0,"",IF(INDEX(Equipamentos!$I:$I,Auxiliar!$H$4)="","",INDEX(Equipamentos!$I:$I,Auxiliar!$H$4)))</f>
        <v/>
      </c>
      <c r="G23" s="35">
        <f>IF(Auxiliar!$H$4=0,"",IF(INDEX(Equipamentos!$J:$J,Auxiliar!$H$4)="","",INDEX(Equipamentos!$J:$J,Auxiliar!$H$4)))</f>
        <v/>
      </c>
      <c r="H23" s="32">
        <f>IF(Auxiliar!$H$4=0,"",IF(INDEX(Equipamentos!$K:$K,Auxiliar!$H$4)="","",INDEX(Equipamentos!$K:$K,Auxiliar!$H$4)))</f>
        <v/>
      </c>
      <c r="I23" s="36">
        <f>IF(Auxiliar!$H$4=0,"",IF(INDEX(Equipamentos!$F:$F,Auxiliar!$H$4)="","",INDEX(Equipamentos!$F:$F,Auxiliar!$H$4)))</f>
        <v/>
      </c>
    </row>
    <row r="24">
      <c r="A24" s="7">
        <f>IF(Auxiliar!$H$5=0,"",IF(INDEX(Equipamentos!$A:$A,Auxiliar!$H$5)="","",INDEX(Equipamentos!$A:$A,Auxiliar!$H$5)))</f>
        <v/>
      </c>
      <c r="B24" s="32">
        <f>IF(Auxiliar!$H$5=0,"",IF(INDEX(Equipamentos!$N:$N,Auxiliar!$H$5)="","",INDEX(Equipamentos!$N:$N,Auxiliar!$H$5)))</f>
        <v/>
      </c>
      <c r="C24" s="32">
        <f>IF(Auxiliar!$H$5=0,"",IF(INDEX(Equipamentos!$L:$L,Auxiliar!$H$5)="","",INDEX(Equipamentos!$L:$L,Auxiliar!$H$5)))</f>
        <v/>
      </c>
      <c r="D24" s="34">
        <f>IF(Auxiliar!$H$5=0,"",IF(INDEX(Equipamentos!$E:$E,Auxiliar!$H$5)="","",INDEX(Equipamentos!$E:$E,Auxiliar!$H$5)))</f>
        <v/>
      </c>
      <c r="E24" s="34">
        <f>IF(Auxiliar!$H$5=0,"",IF(INDEX(Equipamentos!$H:$H,Auxiliar!$H$5)="","",INDEX(Equipamentos!$H:$H,Auxiliar!$H$5)))</f>
        <v/>
      </c>
      <c r="F24" s="34">
        <f>IF(Auxiliar!$H$5=0,"",IF(INDEX(Equipamentos!$I:$I,Auxiliar!$H$5)="","",INDEX(Equipamentos!$I:$I,Auxiliar!$H$5)))</f>
        <v/>
      </c>
      <c r="G24" s="35">
        <f>IF(Auxiliar!$H$5=0,"",IF(INDEX(Equipamentos!$J:$J,Auxiliar!$H$5)="","",INDEX(Equipamentos!$J:$J,Auxiliar!$H$5)))</f>
        <v/>
      </c>
      <c r="H24" s="32">
        <f>IF(Auxiliar!$H$5=0,"",IF(INDEX(Equipamentos!$K:$K,Auxiliar!$H$5)="","",INDEX(Equipamentos!$K:$K,Auxiliar!$H$5)))</f>
        <v/>
      </c>
      <c r="I24" s="36">
        <f>IF(Auxiliar!$H$5=0,"",IF(INDEX(Equipamentos!$F:$F,Auxiliar!$H$5)="","",INDEX(Equipamentos!$F:$F,Auxiliar!$H$5)))</f>
        <v/>
      </c>
    </row>
    <row r="25">
      <c r="A25" s="7">
        <f>IF(Auxiliar!$H$6=0,"",IF(INDEX(Equipamentos!$A:$A,Auxiliar!$H$6)="","",INDEX(Equipamentos!$A:$A,Auxiliar!$H$6)))</f>
        <v/>
      </c>
      <c r="B25" s="32">
        <f>IF(Auxiliar!$H$6=0,"",IF(INDEX(Equipamentos!$N:$N,Auxiliar!$H$6)="","",INDEX(Equipamentos!$N:$N,Auxiliar!$H$6)))</f>
        <v/>
      </c>
      <c r="C25" s="32">
        <f>IF(Auxiliar!$H$6=0,"",IF(INDEX(Equipamentos!$L:$L,Auxiliar!$H$6)="","",INDEX(Equipamentos!$L:$L,Auxiliar!$H$6)))</f>
        <v/>
      </c>
      <c r="D25" s="34">
        <f>IF(Auxiliar!$H$6=0,"",IF(INDEX(Equipamentos!$E:$E,Auxiliar!$H$6)="","",INDEX(Equipamentos!$E:$E,Auxiliar!$H$6)))</f>
        <v/>
      </c>
      <c r="E25" s="34">
        <f>IF(Auxiliar!$H$6=0,"",IF(INDEX(Equipamentos!$H:$H,Auxiliar!$H$6)="","",INDEX(Equipamentos!$H:$H,Auxiliar!$H$6)))</f>
        <v/>
      </c>
      <c r="F25" s="34">
        <f>IF(Auxiliar!$H$6=0,"",IF(INDEX(Equipamentos!$I:$I,Auxiliar!$H$6)="","",INDEX(Equipamentos!$I:$I,Auxiliar!$H$6)))</f>
        <v/>
      </c>
      <c r="G25" s="35">
        <f>IF(Auxiliar!$H$6=0,"",IF(INDEX(Equipamentos!$J:$J,Auxiliar!$H$6)="","",INDEX(Equipamentos!$J:$J,Auxiliar!$H$6)))</f>
        <v/>
      </c>
      <c r="H25" s="32">
        <f>IF(Auxiliar!$H$6=0,"",IF(INDEX(Equipamentos!$K:$K,Auxiliar!$H$6)="","",INDEX(Equipamentos!$K:$K,Auxiliar!$H$6)))</f>
        <v/>
      </c>
      <c r="I25" s="36">
        <f>IF(Auxiliar!$H$6=0,"",IF(INDEX(Equipamentos!$F:$F,Auxiliar!$H$6)="","",INDEX(Equipamentos!$F:$F,Auxiliar!$H$6)))</f>
        <v/>
      </c>
    </row>
    <row r="26">
      <c r="A26" s="7">
        <f>IF(Auxiliar!$H$7=0,"",IF(INDEX(Equipamentos!$A:$A,Auxiliar!$H$7)="","",INDEX(Equipamentos!$A:$A,Auxiliar!$H$7)))</f>
        <v/>
      </c>
      <c r="B26" s="32">
        <f>IF(Auxiliar!$H$7=0,"",IF(INDEX(Equipamentos!$N:$N,Auxiliar!$H$7)="","",INDEX(Equipamentos!$N:$N,Auxiliar!$H$7)))</f>
        <v/>
      </c>
      <c r="C26" s="32">
        <f>IF(Auxiliar!$H$7=0,"",IF(INDEX(Equipamentos!$L:$L,Auxiliar!$H$7)="","",INDEX(Equipamentos!$L:$L,Auxiliar!$H$7)))</f>
        <v/>
      </c>
      <c r="D26" s="34">
        <f>IF(Auxiliar!$H$7=0,"",IF(INDEX(Equipamentos!$E:$E,Auxiliar!$H$7)="","",INDEX(Equipamentos!$E:$E,Auxiliar!$H$7)))</f>
        <v/>
      </c>
      <c r="E26" s="34">
        <f>IF(Auxiliar!$H$7=0,"",IF(INDEX(Equipamentos!$H:$H,Auxiliar!$H$7)="","",INDEX(Equipamentos!$H:$H,Auxiliar!$H$7)))</f>
        <v/>
      </c>
      <c r="F26" s="34">
        <f>IF(Auxiliar!$H$7=0,"",IF(INDEX(Equipamentos!$I:$I,Auxiliar!$H$7)="","",INDEX(Equipamentos!$I:$I,Auxiliar!$H$7)))</f>
        <v/>
      </c>
      <c r="G26" s="35">
        <f>IF(Auxiliar!$H$7=0,"",IF(INDEX(Equipamentos!$J:$J,Auxiliar!$H$7)="","",INDEX(Equipamentos!$J:$J,Auxiliar!$H$7)))</f>
        <v/>
      </c>
      <c r="H26" s="32">
        <f>IF(Auxiliar!$H$7=0,"",IF(INDEX(Equipamentos!$K:$K,Auxiliar!$H$7)="","",INDEX(Equipamentos!$K:$K,Auxiliar!$H$7)))</f>
        <v/>
      </c>
      <c r="I26" s="36">
        <f>IF(Auxiliar!$H$7=0,"",IF(INDEX(Equipamentos!$F:$F,Auxiliar!$H$7)="","",INDEX(Equipamentos!$F:$F,Auxiliar!$H$7)))</f>
        <v/>
      </c>
    </row>
    <row r="27">
      <c r="A27" s="7">
        <f>IF(Auxiliar!$H$8=0,"",IF(INDEX(Equipamentos!$A:$A,Auxiliar!$H$8)="","",INDEX(Equipamentos!$A:$A,Auxiliar!$H$8)))</f>
        <v/>
      </c>
      <c r="B27" s="32">
        <f>IF(Auxiliar!$H$8=0,"",IF(INDEX(Equipamentos!$N:$N,Auxiliar!$H$8)="","",INDEX(Equipamentos!$N:$N,Auxiliar!$H$8)))</f>
        <v/>
      </c>
      <c r="C27" s="32">
        <f>IF(Auxiliar!$H$8=0,"",IF(INDEX(Equipamentos!$L:$L,Auxiliar!$H$8)="","",INDEX(Equipamentos!$L:$L,Auxiliar!$H$8)))</f>
        <v/>
      </c>
      <c r="D27" s="34">
        <f>IF(Auxiliar!$H$8=0,"",IF(INDEX(Equipamentos!$E:$E,Auxiliar!$H$8)="","",INDEX(Equipamentos!$E:$E,Auxiliar!$H$8)))</f>
        <v/>
      </c>
      <c r="E27" s="34">
        <f>IF(Auxiliar!$H$8=0,"",IF(INDEX(Equipamentos!$H:$H,Auxiliar!$H$8)="","",INDEX(Equipamentos!$H:$H,Auxiliar!$H$8)))</f>
        <v/>
      </c>
      <c r="F27" s="34">
        <f>IF(Auxiliar!$H$8=0,"",IF(INDEX(Equipamentos!$I:$I,Auxiliar!$H$8)="","",INDEX(Equipamentos!$I:$I,Auxiliar!$H$8)))</f>
        <v/>
      </c>
      <c r="G27" s="35">
        <f>IF(Auxiliar!$H$8=0,"",IF(INDEX(Equipamentos!$J:$J,Auxiliar!$H$8)="","",INDEX(Equipamentos!$J:$J,Auxiliar!$H$8)))</f>
        <v/>
      </c>
      <c r="H27" s="32">
        <f>IF(Auxiliar!$H$8=0,"",IF(INDEX(Equipamentos!$K:$K,Auxiliar!$H$8)="","",INDEX(Equipamentos!$K:$K,Auxiliar!$H$8)))</f>
        <v/>
      </c>
      <c r="I27" s="36">
        <f>IF(Auxiliar!$H$8=0,"",IF(INDEX(Equipamentos!$F:$F,Auxiliar!$H$8)="","",INDEX(Equipamentos!$F:$F,Auxiliar!$H$8)))</f>
        <v/>
      </c>
    </row>
    <row r="28">
      <c r="A28" s="7">
        <f>IF(Auxiliar!$H$9=0,"",IF(INDEX(Equipamentos!$A:$A,Auxiliar!$H$9)="","",INDEX(Equipamentos!$A:$A,Auxiliar!$H$9)))</f>
        <v/>
      </c>
      <c r="B28" s="32">
        <f>IF(Auxiliar!$H$9=0,"",IF(INDEX(Equipamentos!$N:$N,Auxiliar!$H$9)="","",INDEX(Equipamentos!$N:$N,Auxiliar!$H$9)))</f>
        <v/>
      </c>
      <c r="C28" s="32">
        <f>IF(Auxiliar!$H$9=0,"",IF(INDEX(Equipamentos!$L:$L,Auxiliar!$H$9)="","",INDEX(Equipamentos!$L:$L,Auxiliar!$H$9)))</f>
        <v/>
      </c>
      <c r="D28" s="34">
        <f>IF(Auxiliar!$H$9=0,"",IF(INDEX(Equipamentos!$E:$E,Auxiliar!$H$9)="","",INDEX(Equipamentos!$E:$E,Auxiliar!$H$9)))</f>
        <v/>
      </c>
      <c r="E28" s="34">
        <f>IF(Auxiliar!$H$9=0,"",IF(INDEX(Equipamentos!$H:$H,Auxiliar!$H$9)="","",INDEX(Equipamentos!$H:$H,Auxiliar!$H$9)))</f>
        <v/>
      </c>
      <c r="F28" s="34">
        <f>IF(Auxiliar!$H$9=0,"",IF(INDEX(Equipamentos!$I:$I,Auxiliar!$H$9)="","",INDEX(Equipamentos!$I:$I,Auxiliar!$H$9)))</f>
        <v/>
      </c>
      <c r="G28" s="35">
        <f>IF(Auxiliar!$H$9=0,"",IF(INDEX(Equipamentos!$J:$J,Auxiliar!$H$9)="","",INDEX(Equipamentos!$J:$J,Auxiliar!$H$9)))</f>
        <v/>
      </c>
      <c r="H28" s="32">
        <f>IF(Auxiliar!$H$9=0,"",IF(INDEX(Equipamentos!$K:$K,Auxiliar!$H$9)="","",INDEX(Equipamentos!$K:$K,Auxiliar!$H$9)))</f>
        <v/>
      </c>
      <c r="I28" s="36">
        <f>IF(Auxiliar!$H$9=0,"",IF(INDEX(Equipamentos!$F:$F,Auxiliar!$H$9)="","",INDEX(Equipamentos!$F:$F,Auxiliar!$H$9)))</f>
        <v/>
      </c>
    </row>
    <row r="29">
      <c r="A29" s="7">
        <f>IF(Auxiliar!$H$10=0,"",IF(INDEX(Equipamentos!$A:$A,Auxiliar!$H$10)="","",INDEX(Equipamentos!$A:$A,Auxiliar!$H$10)))</f>
        <v/>
      </c>
      <c r="B29" s="32">
        <f>IF(Auxiliar!$H$10=0,"",IF(INDEX(Equipamentos!$N:$N,Auxiliar!$H$10)="","",INDEX(Equipamentos!$N:$N,Auxiliar!$H$10)))</f>
        <v/>
      </c>
      <c r="C29" s="32">
        <f>IF(Auxiliar!$H$10=0,"",IF(INDEX(Equipamentos!$L:$L,Auxiliar!$H$10)="","",INDEX(Equipamentos!$L:$L,Auxiliar!$H$10)))</f>
        <v/>
      </c>
      <c r="D29" s="34">
        <f>IF(Auxiliar!$H$10=0,"",IF(INDEX(Equipamentos!$E:$E,Auxiliar!$H$10)="","",INDEX(Equipamentos!$E:$E,Auxiliar!$H$10)))</f>
        <v/>
      </c>
      <c r="E29" s="34">
        <f>IF(Auxiliar!$H$10=0,"",IF(INDEX(Equipamentos!$H:$H,Auxiliar!$H$10)="","",INDEX(Equipamentos!$H:$H,Auxiliar!$H$10)))</f>
        <v/>
      </c>
      <c r="F29" s="34">
        <f>IF(Auxiliar!$H$10=0,"",IF(INDEX(Equipamentos!$I:$I,Auxiliar!$H$10)="","",INDEX(Equipamentos!$I:$I,Auxiliar!$H$10)))</f>
        <v/>
      </c>
      <c r="G29" s="35">
        <f>IF(Auxiliar!$H$10=0,"",IF(INDEX(Equipamentos!$J:$J,Auxiliar!$H$10)="","",INDEX(Equipamentos!$J:$J,Auxiliar!$H$10)))</f>
        <v/>
      </c>
      <c r="H29" s="32">
        <f>IF(Auxiliar!$H$10=0,"",IF(INDEX(Equipamentos!$K:$K,Auxiliar!$H$10)="","",INDEX(Equipamentos!$K:$K,Auxiliar!$H$10)))</f>
        <v/>
      </c>
      <c r="I29" s="36">
        <f>IF(Auxiliar!$H$10=0,"",IF(INDEX(Equipamentos!$F:$F,Auxiliar!$H$10)="","",INDEX(Equipamentos!$F:$F,Auxiliar!$H$10)))</f>
        <v/>
      </c>
    </row>
    <row r="30">
      <c r="A30" s="7">
        <f>IF(Auxiliar!$H$11=0,"",IF(INDEX(Equipamentos!$A:$A,Auxiliar!$H$11)="","",INDEX(Equipamentos!$A:$A,Auxiliar!$H$11)))</f>
        <v/>
      </c>
      <c r="B30" s="32">
        <f>IF(Auxiliar!$H$11=0,"",IF(INDEX(Equipamentos!$N:$N,Auxiliar!$H$11)="","",INDEX(Equipamentos!$N:$N,Auxiliar!$H$11)))</f>
        <v/>
      </c>
      <c r="C30" s="32">
        <f>IF(Auxiliar!$H$11=0,"",IF(INDEX(Equipamentos!$L:$L,Auxiliar!$H$11)="","",INDEX(Equipamentos!$L:$L,Auxiliar!$H$11)))</f>
        <v/>
      </c>
      <c r="D30" s="34">
        <f>IF(Auxiliar!$H$11=0,"",IF(INDEX(Equipamentos!$E:$E,Auxiliar!$H$11)="","",INDEX(Equipamentos!$E:$E,Auxiliar!$H$11)))</f>
        <v/>
      </c>
      <c r="E30" s="34">
        <f>IF(Auxiliar!$H$11=0,"",IF(INDEX(Equipamentos!$H:$H,Auxiliar!$H$11)="","",INDEX(Equipamentos!$H:$H,Auxiliar!$H$11)))</f>
        <v/>
      </c>
      <c r="F30" s="34">
        <f>IF(Auxiliar!$H$11=0,"",IF(INDEX(Equipamentos!$I:$I,Auxiliar!$H$11)="","",INDEX(Equipamentos!$I:$I,Auxiliar!$H$11)))</f>
        <v/>
      </c>
      <c r="G30" s="35">
        <f>IF(Auxiliar!$H$11=0,"",IF(INDEX(Equipamentos!$J:$J,Auxiliar!$H$11)="","",INDEX(Equipamentos!$J:$J,Auxiliar!$H$11)))</f>
        <v/>
      </c>
      <c r="H30" s="32">
        <f>IF(Auxiliar!$H$11=0,"",IF(INDEX(Equipamentos!$K:$K,Auxiliar!$H$11)="","",INDEX(Equipamentos!$K:$K,Auxiliar!$H$11)))</f>
        <v/>
      </c>
      <c r="I30" s="36">
        <f>IF(Auxiliar!$H$11=0,"",IF(INDEX(Equipamentos!$F:$F,Auxiliar!$H$11)="","",INDEX(Equipamentos!$F:$F,Auxiliar!$H$11)))</f>
        <v/>
      </c>
    </row>
    <row r="31">
      <c r="A31" s="7">
        <f>IF(Auxiliar!$H$12=0,"",IF(INDEX(Equipamentos!$A:$A,Auxiliar!$H$12)="","",INDEX(Equipamentos!$A:$A,Auxiliar!$H$12)))</f>
        <v/>
      </c>
      <c r="B31" s="32">
        <f>IF(Auxiliar!$H$12=0,"",IF(INDEX(Equipamentos!$N:$N,Auxiliar!$H$12)="","",INDEX(Equipamentos!$N:$N,Auxiliar!$H$12)))</f>
        <v/>
      </c>
      <c r="C31" s="32">
        <f>IF(Auxiliar!$H$12=0,"",IF(INDEX(Equipamentos!$L:$L,Auxiliar!$H$12)="","",INDEX(Equipamentos!$L:$L,Auxiliar!$H$12)))</f>
        <v/>
      </c>
      <c r="D31" s="34">
        <f>IF(Auxiliar!$H$12=0,"",IF(INDEX(Equipamentos!$E:$E,Auxiliar!$H$12)="","",INDEX(Equipamentos!$E:$E,Auxiliar!$H$12)))</f>
        <v/>
      </c>
      <c r="E31" s="34">
        <f>IF(Auxiliar!$H$12=0,"",IF(INDEX(Equipamentos!$H:$H,Auxiliar!$H$12)="","",INDEX(Equipamentos!$H:$H,Auxiliar!$H$12)))</f>
        <v/>
      </c>
      <c r="F31" s="34">
        <f>IF(Auxiliar!$H$12=0,"",IF(INDEX(Equipamentos!$I:$I,Auxiliar!$H$12)="","",INDEX(Equipamentos!$I:$I,Auxiliar!$H$12)))</f>
        <v/>
      </c>
      <c r="G31" s="35">
        <f>IF(Auxiliar!$H$12=0,"",IF(INDEX(Equipamentos!$J:$J,Auxiliar!$H$12)="","",INDEX(Equipamentos!$J:$J,Auxiliar!$H$12)))</f>
        <v/>
      </c>
      <c r="H31" s="32">
        <f>IF(Auxiliar!$H$12=0,"",IF(INDEX(Equipamentos!$K:$K,Auxiliar!$H$12)="","",INDEX(Equipamentos!$K:$K,Auxiliar!$H$12)))</f>
        <v/>
      </c>
      <c r="I31" s="36">
        <f>IF(Auxiliar!$H$12=0,"",IF(INDEX(Equipamentos!$F:$F,Auxiliar!$H$12)="","",INDEX(Equipamentos!$F:$F,Auxiliar!$H$12)))</f>
        <v/>
      </c>
    </row>
    <row r="32">
      <c r="A32" s="7">
        <f>IF(Auxiliar!$H$13=0,"",IF(INDEX(Equipamentos!$A:$A,Auxiliar!$H$13)="","",INDEX(Equipamentos!$A:$A,Auxiliar!$H$13)))</f>
        <v/>
      </c>
      <c r="B32" s="32">
        <f>IF(Auxiliar!$H$13=0,"",IF(INDEX(Equipamentos!$N:$N,Auxiliar!$H$13)="","",INDEX(Equipamentos!$N:$N,Auxiliar!$H$13)))</f>
        <v/>
      </c>
      <c r="C32" s="32">
        <f>IF(Auxiliar!$H$13=0,"",IF(INDEX(Equipamentos!$L:$L,Auxiliar!$H$13)="","",INDEX(Equipamentos!$L:$L,Auxiliar!$H$13)))</f>
        <v/>
      </c>
      <c r="D32" s="34">
        <f>IF(Auxiliar!$H$13=0,"",IF(INDEX(Equipamentos!$E:$E,Auxiliar!$H$13)="","",INDEX(Equipamentos!$E:$E,Auxiliar!$H$13)))</f>
        <v/>
      </c>
      <c r="E32" s="34">
        <f>IF(Auxiliar!$H$13=0,"",IF(INDEX(Equipamentos!$H:$H,Auxiliar!$H$13)="","",INDEX(Equipamentos!$H:$H,Auxiliar!$H$13)))</f>
        <v/>
      </c>
      <c r="F32" s="34">
        <f>IF(Auxiliar!$H$13=0,"",IF(INDEX(Equipamentos!$I:$I,Auxiliar!$H$13)="","",INDEX(Equipamentos!$I:$I,Auxiliar!$H$13)))</f>
        <v/>
      </c>
      <c r="G32" s="35">
        <f>IF(Auxiliar!$H$13=0,"",IF(INDEX(Equipamentos!$J:$J,Auxiliar!$H$13)="","",INDEX(Equipamentos!$J:$J,Auxiliar!$H$13)))</f>
        <v/>
      </c>
      <c r="H32" s="32">
        <f>IF(Auxiliar!$H$13=0,"",IF(INDEX(Equipamentos!$K:$K,Auxiliar!$H$13)="","",INDEX(Equipamentos!$K:$K,Auxiliar!$H$13)))</f>
        <v/>
      </c>
      <c r="I32" s="36">
        <f>IF(Auxiliar!$H$13=0,"",IF(INDEX(Equipamentos!$F:$F,Auxiliar!$H$13)="","",INDEX(Equipamentos!$F:$F,Auxiliar!$H$13)))</f>
        <v/>
      </c>
    </row>
    <row r="33">
      <c r="A33" s="7">
        <f>IF(Auxiliar!$H$14=0,"",IF(INDEX(Equipamentos!$A:$A,Auxiliar!$H$14)="","",INDEX(Equipamentos!$A:$A,Auxiliar!$H$14)))</f>
        <v/>
      </c>
      <c r="B33" s="32">
        <f>IF(Auxiliar!$H$14=0,"",IF(INDEX(Equipamentos!$N:$N,Auxiliar!$H$14)="","",INDEX(Equipamentos!$N:$N,Auxiliar!$H$14)))</f>
        <v/>
      </c>
      <c r="C33" s="32">
        <f>IF(Auxiliar!$H$14=0,"",IF(INDEX(Equipamentos!$L:$L,Auxiliar!$H$14)="","",INDEX(Equipamentos!$L:$L,Auxiliar!$H$14)))</f>
        <v/>
      </c>
      <c r="D33" s="34">
        <f>IF(Auxiliar!$H$14=0,"",IF(INDEX(Equipamentos!$E:$E,Auxiliar!$H$14)="","",INDEX(Equipamentos!$E:$E,Auxiliar!$H$14)))</f>
        <v/>
      </c>
      <c r="E33" s="34">
        <f>IF(Auxiliar!$H$14=0,"",IF(INDEX(Equipamentos!$H:$H,Auxiliar!$H$14)="","",INDEX(Equipamentos!$H:$H,Auxiliar!$H$14)))</f>
        <v/>
      </c>
      <c r="F33" s="34">
        <f>IF(Auxiliar!$H$14=0,"",IF(INDEX(Equipamentos!$I:$I,Auxiliar!$H$14)="","",INDEX(Equipamentos!$I:$I,Auxiliar!$H$14)))</f>
        <v/>
      </c>
      <c r="G33" s="35">
        <f>IF(Auxiliar!$H$14=0,"",IF(INDEX(Equipamentos!$J:$J,Auxiliar!$H$14)="","",INDEX(Equipamentos!$J:$J,Auxiliar!$H$14)))</f>
        <v/>
      </c>
      <c r="H33" s="32">
        <f>IF(Auxiliar!$H$14=0,"",IF(INDEX(Equipamentos!$K:$K,Auxiliar!$H$14)="","",INDEX(Equipamentos!$K:$K,Auxiliar!$H$14)))</f>
        <v/>
      </c>
      <c r="I33" s="36">
        <f>IF(Auxiliar!$H$14=0,"",IF(INDEX(Equipamentos!$F:$F,Auxiliar!$H$14)="","",INDEX(Equipamentos!$F:$F,Auxiliar!$H$14)))</f>
        <v/>
      </c>
    </row>
    <row r="34">
      <c r="A34" s="7">
        <f>IF(Auxiliar!$H$15=0,"",IF(INDEX(Equipamentos!$A:$A,Auxiliar!$H$15)="","",INDEX(Equipamentos!$A:$A,Auxiliar!$H$15)))</f>
        <v/>
      </c>
      <c r="B34" s="32">
        <f>IF(Auxiliar!$H$15=0,"",IF(INDEX(Equipamentos!$N:$N,Auxiliar!$H$15)="","",INDEX(Equipamentos!$N:$N,Auxiliar!$H$15)))</f>
        <v/>
      </c>
      <c r="C34" s="32">
        <f>IF(Auxiliar!$H$15=0,"",IF(INDEX(Equipamentos!$L:$L,Auxiliar!$H$15)="","",INDEX(Equipamentos!$L:$L,Auxiliar!$H$15)))</f>
        <v/>
      </c>
      <c r="D34" s="34">
        <f>IF(Auxiliar!$H$15=0,"",IF(INDEX(Equipamentos!$E:$E,Auxiliar!$H$15)="","",INDEX(Equipamentos!$E:$E,Auxiliar!$H$15)))</f>
        <v/>
      </c>
      <c r="E34" s="34">
        <f>IF(Auxiliar!$H$15=0,"",IF(INDEX(Equipamentos!$H:$H,Auxiliar!$H$15)="","",INDEX(Equipamentos!$H:$H,Auxiliar!$H$15)))</f>
        <v/>
      </c>
      <c r="F34" s="34">
        <f>IF(Auxiliar!$H$15=0,"",IF(INDEX(Equipamentos!$I:$I,Auxiliar!$H$15)="","",INDEX(Equipamentos!$I:$I,Auxiliar!$H$15)))</f>
        <v/>
      </c>
      <c r="G34" s="35">
        <f>IF(Auxiliar!$H$15=0,"",IF(INDEX(Equipamentos!$J:$J,Auxiliar!$H$15)="","",INDEX(Equipamentos!$J:$J,Auxiliar!$H$15)))</f>
        <v/>
      </c>
      <c r="H34" s="32">
        <f>IF(Auxiliar!$H$15=0,"",IF(INDEX(Equipamentos!$K:$K,Auxiliar!$H$15)="","",INDEX(Equipamentos!$K:$K,Auxiliar!$H$15)))</f>
        <v/>
      </c>
      <c r="I34" s="36">
        <f>IF(Auxiliar!$H$15=0,"",IF(INDEX(Equipamentos!$F:$F,Auxiliar!$H$15)="","",INDEX(Equipamentos!$F:$F,Auxiliar!$H$15)))</f>
        <v/>
      </c>
    </row>
    <row r="35">
      <c r="A35" s="7">
        <f>IF(Auxiliar!$H$16=0,"",IF(INDEX(Equipamentos!$A:$A,Auxiliar!$H$16)="","",INDEX(Equipamentos!$A:$A,Auxiliar!$H$16)))</f>
        <v/>
      </c>
      <c r="B35" s="32">
        <f>IF(Auxiliar!$H$16=0,"",IF(INDEX(Equipamentos!$N:$N,Auxiliar!$H$16)="","",INDEX(Equipamentos!$N:$N,Auxiliar!$H$16)))</f>
        <v/>
      </c>
      <c r="C35" s="32">
        <f>IF(Auxiliar!$H$16=0,"",IF(INDEX(Equipamentos!$L:$L,Auxiliar!$H$16)="","",INDEX(Equipamentos!$L:$L,Auxiliar!$H$16)))</f>
        <v/>
      </c>
      <c r="D35" s="34">
        <f>IF(Auxiliar!$H$16=0,"",IF(INDEX(Equipamentos!$E:$E,Auxiliar!$H$16)="","",INDEX(Equipamentos!$E:$E,Auxiliar!$H$16)))</f>
        <v/>
      </c>
      <c r="E35" s="34">
        <f>IF(Auxiliar!$H$16=0,"",IF(INDEX(Equipamentos!$H:$H,Auxiliar!$H$16)="","",INDEX(Equipamentos!$H:$H,Auxiliar!$H$16)))</f>
        <v/>
      </c>
      <c r="F35" s="34">
        <f>IF(Auxiliar!$H$16=0,"",IF(INDEX(Equipamentos!$I:$I,Auxiliar!$H$16)="","",INDEX(Equipamentos!$I:$I,Auxiliar!$H$16)))</f>
        <v/>
      </c>
      <c r="G35" s="35">
        <f>IF(Auxiliar!$H$16=0,"",IF(INDEX(Equipamentos!$J:$J,Auxiliar!$H$16)="","",INDEX(Equipamentos!$J:$J,Auxiliar!$H$16)))</f>
        <v/>
      </c>
      <c r="H35" s="32">
        <f>IF(Auxiliar!$H$16=0,"",IF(INDEX(Equipamentos!$K:$K,Auxiliar!$H$16)="","",INDEX(Equipamentos!$K:$K,Auxiliar!$H$16)))</f>
        <v/>
      </c>
      <c r="I35" s="36">
        <f>IF(Auxiliar!$H$16=0,"",IF(INDEX(Equipamentos!$F:$F,Auxiliar!$H$16)="","",INDEX(Equipamentos!$F:$F,Auxiliar!$H$16)))</f>
        <v/>
      </c>
    </row>
    <row r="36">
      <c r="A36" s="7">
        <f>IF(Auxiliar!$H$17=0,"",IF(INDEX(Equipamentos!$A:$A,Auxiliar!$H$17)="","",INDEX(Equipamentos!$A:$A,Auxiliar!$H$17)))</f>
        <v/>
      </c>
      <c r="B36" s="32">
        <f>IF(Auxiliar!$H$17=0,"",IF(INDEX(Equipamentos!$N:$N,Auxiliar!$H$17)="","",INDEX(Equipamentos!$N:$N,Auxiliar!$H$17)))</f>
        <v/>
      </c>
      <c r="C36" s="32">
        <f>IF(Auxiliar!$H$17=0,"",IF(INDEX(Equipamentos!$L:$L,Auxiliar!$H$17)="","",INDEX(Equipamentos!$L:$L,Auxiliar!$H$17)))</f>
        <v/>
      </c>
      <c r="D36" s="34">
        <f>IF(Auxiliar!$H$17=0,"",IF(INDEX(Equipamentos!$E:$E,Auxiliar!$H$17)="","",INDEX(Equipamentos!$E:$E,Auxiliar!$H$17)))</f>
        <v/>
      </c>
      <c r="E36" s="34">
        <f>IF(Auxiliar!$H$17=0,"",IF(INDEX(Equipamentos!$H:$H,Auxiliar!$H$17)="","",INDEX(Equipamentos!$H:$H,Auxiliar!$H$17)))</f>
        <v/>
      </c>
      <c r="F36" s="34">
        <f>IF(Auxiliar!$H$17=0,"",IF(INDEX(Equipamentos!$I:$I,Auxiliar!$H$17)="","",INDEX(Equipamentos!$I:$I,Auxiliar!$H$17)))</f>
        <v/>
      </c>
      <c r="G36" s="35">
        <f>IF(Auxiliar!$H$17=0,"",IF(INDEX(Equipamentos!$J:$J,Auxiliar!$H$17)="","",INDEX(Equipamentos!$J:$J,Auxiliar!$H$17)))</f>
        <v/>
      </c>
      <c r="H36" s="32">
        <f>IF(Auxiliar!$H$17=0,"",IF(INDEX(Equipamentos!$K:$K,Auxiliar!$H$17)="","",INDEX(Equipamentos!$K:$K,Auxiliar!$H$17)))</f>
        <v/>
      </c>
      <c r="I36" s="36">
        <f>IF(Auxiliar!$H$17=0,"",IF(INDEX(Equipamentos!$F:$F,Auxiliar!$H$17)="","",INDEX(Equipamentos!$F:$F,Auxiliar!$H$17)))</f>
        <v/>
      </c>
    </row>
    <row r="37">
      <c r="A37" s="7">
        <f>IF(Auxiliar!$H$18=0,"",IF(INDEX(Equipamentos!$A:$A,Auxiliar!$H$18)="","",INDEX(Equipamentos!$A:$A,Auxiliar!$H$18)))</f>
        <v/>
      </c>
      <c r="B37" s="32">
        <f>IF(Auxiliar!$H$18=0,"",IF(INDEX(Equipamentos!$N:$N,Auxiliar!$H$18)="","",INDEX(Equipamentos!$N:$N,Auxiliar!$H$18)))</f>
        <v/>
      </c>
      <c r="C37" s="32">
        <f>IF(Auxiliar!$H$18=0,"",IF(INDEX(Equipamentos!$L:$L,Auxiliar!$H$18)="","",INDEX(Equipamentos!$L:$L,Auxiliar!$H$18)))</f>
        <v/>
      </c>
      <c r="D37" s="34">
        <f>IF(Auxiliar!$H$18=0,"",IF(INDEX(Equipamentos!$E:$E,Auxiliar!$H$18)="","",INDEX(Equipamentos!$E:$E,Auxiliar!$H$18)))</f>
        <v/>
      </c>
      <c r="E37" s="34">
        <f>IF(Auxiliar!$H$18=0,"",IF(INDEX(Equipamentos!$H:$H,Auxiliar!$H$18)="","",INDEX(Equipamentos!$H:$H,Auxiliar!$H$18)))</f>
        <v/>
      </c>
      <c r="F37" s="34">
        <f>IF(Auxiliar!$H$18=0,"",IF(INDEX(Equipamentos!$I:$I,Auxiliar!$H$18)="","",INDEX(Equipamentos!$I:$I,Auxiliar!$H$18)))</f>
        <v/>
      </c>
      <c r="G37" s="35">
        <f>IF(Auxiliar!$H$18=0,"",IF(INDEX(Equipamentos!$J:$J,Auxiliar!$H$18)="","",INDEX(Equipamentos!$J:$J,Auxiliar!$H$18)))</f>
        <v/>
      </c>
      <c r="H37" s="32">
        <f>IF(Auxiliar!$H$18=0,"",IF(INDEX(Equipamentos!$K:$K,Auxiliar!$H$18)="","",INDEX(Equipamentos!$K:$K,Auxiliar!$H$18)))</f>
        <v/>
      </c>
      <c r="I37" s="36">
        <f>IF(Auxiliar!$H$18=0,"",IF(INDEX(Equipamentos!$F:$F,Auxiliar!$H$18)="","",INDEX(Equipamentos!$F:$F,Auxiliar!$H$18)))</f>
        <v/>
      </c>
    </row>
    <row r="38">
      <c r="A38" s="7">
        <f>IF(Auxiliar!$H$19=0,"",IF(INDEX(Equipamentos!$A:$A,Auxiliar!$H$19)="","",INDEX(Equipamentos!$A:$A,Auxiliar!$H$19)))</f>
        <v/>
      </c>
      <c r="B38" s="32">
        <f>IF(Auxiliar!$H$19=0,"",IF(INDEX(Equipamentos!$N:$N,Auxiliar!$H$19)="","",INDEX(Equipamentos!$N:$N,Auxiliar!$H$19)))</f>
        <v/>
      </c>
      <c r="C38" s="32">
        <f>IF(Auxiliar!$H$19=0,"",IF(INDEX(Equipamentos!$L:$L,Auxiliar!$H$19)="","",INDEX(Equipamentos!$L:$L,Auxiliar!$H$19)))</f>
        <v/>
      </c>
      <c r="D38" s="34">
        <f>IF(Auxiliar!$H$19=0,"",IF(INDEX(Equipamentos!$E:$E,Auxiliar!$H$19)="","",INDEX(Equipamentos!$E:$E,Auxiliar!$H$19)))</f>
        <v/>
      </c>
      <c r="E38" s="34">
        <f>IF(Auxiliar!$H$19=0,"",IF(INDEX(Equipamentos!$H:$H,Auxiliar!$H$19)="","",INDEX(Equipamentos!$H:$H,Auxiliar!$H$19)))</f>
        <v/>
      </c>
      <c r="F38" s="34">
        <f>IF(Auxiliar!$H$19=0,"",IF(INDEX(Equipamentos!$I:$I,Auxiliar!$H$19)="","",INDEX(Equipamentos!$I:$I,Auxiliar!$H$19)))</f>
        <v/>
      </c>
      <c r="G38" s="35">
        <f>IF(Auxiliar!$H$19=0,"",IF(INDEX(Equipamentos!$J:$J,Auxiliar!$H$19)="","",INDEX(Equipamentos!$J:$J,Auxiliar!$H$19)))</f>
        <v/>
      </c>
      <c r="H38" s="32">
        <f>IF(Auxiliar!$H$19=0,"",IF(INDEX(Equipamentos!$K:$K,Auxiliar!$H$19)="","",INDEX(Equipamentos!$K:$K,Auxiliar!$H$19)))</f>
        <v/>
      </c>
      <c r="I38" s="36">
        <f>IF(Auxiliar!$H$19=0,"",IF(INDEX(Equipamentos!$F:$F,Auxiliar!$H$19)="","",INDEX(Equipamentos!$F:$F,Auxiliar!$H$19)))</f>
        <v/>
      </c>
    </row>
    <row r="39">
      <c r="A39" s="7">
        <f>IF(Auxiliar!$H$20=0,"",IF(INDEX(Equipamentos!$A:$A,Auxiliar!$H$20)="","",INDEX(Equipamentos!$A:$A,Auxiliar!$H$20)))</f>
        <v/>
      </c>
      <c r="B39" s="32">
        <f>IF(Auxiliar!$H$20=0,"",IF(INDEX(Equipamentos!$N:$N,Auxiliar!$H$20)="","",INDEX(Equipamentos!$N:$N,Auxiliar!$H$20)))</f>
        <v/>
      </c>
      <c r="C39" s="32">
        <f>IF(Auxiliar!$H$20=0,"",IF(INDEX(Equipamentos!$L:$L,Auxiliar!$H$20)="","",INDEX(Equipamentos!$L:$L,Auxiliar!$H$20)))</f>
        <v/>
      </c>
      <c r="D39" s="34">
        <f>IF(Auxiliar!$H$20=0,"",IF(INDEX(Equipamentos!$E:$E,Auxiliar!$H$20)="","",INDEX(Equipamentos!$E:$E,Auxiliar!$H$20)))</f>
        <v/>
      </c>
      <c r="E39" s="34">
        <f>IF(Auxiliar!$H$20=0,"",IF(INDEX(Equipamentos!$H:$H,Auxiliar!$H$20)="","",INDEX(Equipamentos!$H:$H,Auxiliar!$H$20)))</f>
        <v/>
      </c>
      <c r="F39" s="34">
        <f>IF(Auxiliar!$H$20=0,"",IF(INDEX(Equipamentos!$I:$I,Auxiliar!$H$20)="","",INDEX(Equipamentos!$I:$I,Auxiliar!$H$20)))</f>
        <v/>
      </c>
      <c r="G39" s="35">
        <f>IF(Auxiliar!$H$20=0,"",IF(INDEX(Equipamentos!$J:$J,Auxiliar!$H$20)="","",INDEX(Equipamentos!$J:$J,Auxiliar!$H$20)))</f>
        <v/>
      </c>
      <c r="H39" s="32">
        <f>IF(Auxiliar!$H$20=0,"",IF(INDEX(Equipamentos!$K:$K,Auxiliar!$H$20)="","",INDEX(Equipamentos!$K:$K,Auxiliar!$H$20)))</f>
        <v/>
      </c>
      <c r="I39" s="36">
        <f>IF(Auxiliar!$H$20=0,"",IF(INDEX(Equipamentos!$F:$F,Auxiliar!$H$20)="","",INDEX(Equipamentos!$F:$F,Auxiliar!$H$20)))</f>
        <v/>
      </c>
    </row>
    <row r="40">
      <c r="A40" s="7">
        <f>IF(Auxiliar!$H$21=0,"",IF(INDEX(Equipamentos!$A:$A,Auxiliar!$H$21)="","",INDEX(Equipamentos!$A:$A,Auxiliar!$H$21)))</f>
        <v/>
      </c>
      <c r="B40" s="32">
        <f>IF(Auxiliar!$H$21=0,"",IF(INDEX(Equipamentos!$N:$N,Auxiliar!$H$21)="","",INDEX(Equipamentos!$N:$N,Auxiliar!$H$21)))</f>
        <v/>
      </c>
      <c r="C40" s="32">
        <f>IF(Auxiliar!$H$21=0,"",IF(INDEX(Equipamentos!$L:$L,Auxiliar!$H$21)="","",INDEX(Equipamentos!$L:$L,Auxiliar!$H$21)))</f>
        <v/>
      </c>
      <c r="D40" s="34">
        <f>IF(Auxiliar!$H$21=0,"",IF(INDEX(Equipamentos!$E:$E,Auxiliar!$H$21)="","",INDEX(Equipamentos!$E:$E,Auxiliar!$H$21)))</f>
        <v/>
      </c>
      <c r="E40" s="34">
        <f>IF(Auxiliar!$H$21=0,"",IF(INDEX(Equipamentos!$H:$H,Auxiliar!$H$21)="","",INDEX(Equipamentos!$H:$H,Auxiliar!$H$21)))</f>
        <v/>
      </c>
      <c r="F40" s="34">
        <f>IF(Auxiliar!$H$21=0,"",IF(INDEX(Equipamentos!$I:$I,Auxiliar!$H$21)="","",INDEX(Equipamentos!$I:$I,Auxiliar!$H$21)))</f>
        <v/>
      </c>
      <c r="G40" s="35">
        <f>IF(Auxiliar!$H$21=0,"",IF(INDEX(Equipamentos!$J:$J,Auxiliar!$H$21)="","",INDEX(Equipamentos!$J:$J,Auxiliar!$H$21)))</f>
        <v/>
      </c>
      <c r="H40" s="32">
        <f>IF(Auxiliar!$H$21=0,"",IF(INDEX(Equipamentos!$K:$K,Auxiliar!$H$21)="","",INDEX(Equipamentos!$K:$K,Auxiliar!$H$21)))</f>
        <v/>
      </c>
      <c r="I40" s="36">
        <f>IF(Auxiliar!$H$21=0,"",IF(INDEX(Equipamentos!$F:$F,Auxiliar!$H$21)="","",INDEX(Equipamentos!$F:$F,Auxiliar!$H$21)))</f>
        <v/>
      </c>
    </row>
    <row r="41">
      <c r="A41" s="7">
        <f>IF(Auxiliar!$H$22=0,"",IF(INDEX(Equipamentos!$A:$A,Auxiliar!$H$22)="","",INDEX(Equipamentos!$A:$A,Auxiliar!$H$22)))</f>
        <v/>
      </c>
      <c r="B41" s="32">
        <f>IF(Auxiliar!$H$22=0,"",IF(INDEX(Equipamentos!$N:$N,Auxiliar!$H$22)="","",INDEX(Equipamentos!$N:$N,Auxiliar!$H$22)))</f>
        <v/>
      </c>
      <c r="C41" s="32">
        <f>IF(Auxiliar!$H$22=0,"",IF(INDEX(Equipamentos!$L:$L,Auxiliar!$H$22)="","",INDEX(Equipamentos!$L:$L,Auxiliar!$H$22)))</f>
        <v/>
      </c>
      <c r="D41" s="34">
        <f>IF(Auxiliar!$H$22=0,"",IF(INDEX(Equipamentos!$E:$E,Auxiliar!$H$22)="","",INDEX(Equipamentos!$E:$E,Auxiliar!$H$22)))</f>
        <v/>
      </c>
      <c r="E41" s="34">
        <f>IF(Auxiliar!$H$22=0,"",IF(INDEX(Equipamentos!$H:$H,Auxiliar!$H$22)="","",INDEX(Equipamentos!$H:$H,Auxiliar!$H$22)))</f>
        <v/>
      </c>
      <c r="F41" s="34">
        <f>IF(Auxiliar!$H$22=0,"",IF(INDEX(Equipamentos!$I:$I,Auxiliar!$H$22)="","",INDEX(Equipamentos!$I:$I,Auxiliar!$H$22)))</f>
        <v/>
      </c>
      <c r="G41" s="35">
        <f>IF(Auxiliar!$H$22=0,"",IF(INDEX(Equipamentos!$J:$J,Auxiliar!$H$22)="","",INDEX(Equipamentos!$J:$J,Auxiliar!$H$22)))</f>
        <v/>
      </c>
      <c r="H41" s="32">
        <f>IF(Auxiliar!$H$22=0,"",IF(INDEX(Equipamentos!$K:$K,Auxiliar!$H$22)="","",INDEX(Equipamentos!$K:$K,Auxiliar!$H$22)))</f>
        <v/>
      </c>
      <c r="I41" s="36">
        <f>IF(Auxiliar!$H$22=0,"",IF(INDEX(Equipamentos!$F:$F,Auxiliar!$H$22)="","",INDEX(Equipamentos!$F:$F,Auxiliar!$H$22)))</f>
        <v/>
      </c>
    </row>
    <row r="42">
      <c r="A42" s="7">
        <f>IF(Auxiliar!$H$23=0,"",IF(INDEX(Equipamentos!$A:$A,Auxiliar!$H$23)="","",INDEX(Equipamentos!$A:$A,Auxiliar!$H$23)))</f>
        <v/>
      </c>
      <c r="B42" s="32">
        <f>IF(Auxiliar!$H$23=0,"",IF(INDEX(Equipamentos!$N:$N,Auxiliar!$H$23)="","",INDEX(Equipamentos!$N:$N,Auxiliar!$H$23)))</f>
        <v/>
      </c>
      <c r="C42" s="32">
        <f>IF(Auxiliar!$H$23=0,"",IF(INDEX(Equipamentos!$L:$L,Auxiliar!$H$23)="","",INDEX(Equipamentos!$L:$L,Auxiliar!$H$23)))</f>
        <v/>
      </c>
      <c r="D42" s="34">
        <f>IF(Auxiliar!$H$23=0,"",IF(INDEX(Equipamentos!$E:$E,Auxiliar!$H$23)="","",INDEX(Equipamentos!$E:$E,Auxiliar!$H$23)))</f>
        <v/>
      </c>
      <c r="E42" s="34">
        <f>IF(Auxiliar!$H$23=0,"",IF(INDEX(Equipamentos!$H:$H,Auxiliar!$H$23)="","",INDEX(Equipamentos!$H:$H,Auxiliar!$H$23)))</f>
        <v/>
      </c>
      <c r="F42" s="34">
        <f>IF(Auxiliar!$H$23=0,"",IF(INDEX(Equipamentos!$I:$I,Auxiliar!$H$23)="","",INDEX(Equipamentos!$I:$I,Auxiliar!$H$23)))</f>
        <v/>
      </c>
      <c r="G42" s="35">
        <f>IF(Auxiliar!$H$23=0,"",IF(INDEX(Equipamentos!$J:$J,Auxiliar!$H$23)="","",INDEX(Equipamentos!$J:$J,Auxiliar!$H$23)))</f>
        <v/>
      </c>
      <c r="H42" s="32">
        <f>IF(Auxiliar!$H$23=0,"",IF(INDEX(Equipamentos!$K:$K,Auxiliar!$H$23)="","",INDEX(Equipamentos!$K:$K,Auxiliar!$H$23)))</f>
        <v/>
      </c>
      <c r="I42" s="36">
        <f>IF(Auxiliar!$H$23=0,"",IF(INDEX(Equipamentos!$F:$F,Auxiliar!$H$23)="","",INDEX(Equipamentos!$F:$F,Auxiliar!$H$23)))</f>
        <v/>
      </c>
    </row>
    <row r="43">
      <c r="A43" s="7">
        <f>IF(Auxiliar!$H$24=0,"",IF(INDEX(Equipamentos!$A:$A,Auxiliar!$H$24)="","",INDEX(Equipamentos!$A:$A,Auxiliar!$H$24)))</f>
        <v/>
      </c>
      <c r="B43" s="32">
        <f>IF(Auxiliar!$H$24=0,"",IF(INDEX(Equipamentos!$N:$N,Auxiliar!$H$24)="","",INDEX(Equipamentos!$N:$N,Auxiliar!$H$24)))</f>
        <v/>
      </c>
      <c r="C43" s="32">
        <f>IF(Auxiliar!$H$24=0,"",IF(INDEX(Equipamentos!$L:$L,Auxiliar!$H$24)="","",INDEX(Equipamentos!$L:$L,Auxiliar!$H$24)))</f>
        <v/>
      </c>
      <c r="D43" s="34">
        <f>IF(Auxiliar!$H$24=0,"",IF(INDEX(Equipamentos!$E:$E,Auxiliar!$H$24)="","",INDEX(Equipamentos!$E:$E,Auxiliar!$H$24)))</f>
        <v/>
      </c>
      <c r="E43" s="34">
        <f>IF(Auxiliar!$H$24=0,"",IF(INDEX(Equipamentos!$H:$H,Auxiliar!$H$24)="","",INDEX(Equipamentos!$H:$H,Auxiliar!$H$24)))</f>
        <v/>
      </c>
      <c r="F43" s="34">
        <f>IF(Auxiliar!$H$24=0,"",IF(INDEX(Equipamentos!$I:$I,Auxiliar!$H$24)="","",INDEX(Equipamentos!$I:$I,Auxiliar!$H$24)))</f>
        <v/>
      </c>
      <c r="G43" s="35">
        <f>IF(Auxiliar!$H$24=0,"",IF(INDEX(Equipamentos!$J:$J,Auxiliar!$H$24)="","",INDEX(Equipamentos!$J:$J,Auxiliar!$H$24)))</f>
        <v/>
      </c>
      <c r="H43" s="32">
        <f>IF(Auxiliar!$H$24=0,"",IF(INDEX(Equipamentos!$K:$K,Auxiliar!$H$24)="","",INDEX(Equipamentos!$K:$K,Auxiliar!$H$24)))</f>
        <v/>
      </c>
      <c r="I43" s="36">
        <f>IF(Auxiliar!$H$24=0,"",IF(INDEX(Equipamentos!$F:$F,Auxiliar!$H$24)="","",INDEX(Equipamentos!$F:$F,Auxiliar!$H$24)))</f>
        <v/>
      </c>
    </row>
    <row r="44">
      <c r="A44" s="7">
        <f>IF(Auxiliar!$H$25=0,"",IF(INDEX(Equipamentos!$A:$A,Auxiliar!$H$25)="","",INDEX(Equipamentos!$A:$A,Auxiliar!$H$25)))</f>
        <v/>
      </c>
      <c r="B44" s="32">
        <f>IF(Auxiliar!$H$25=0,"",IF(INDEX(Equipamentos!$N:$N,Auxiliar!$H$25)="","",INDEX(Equipamentos!$N:$N,Auxiliar!$H$25)))</f>
        <v/>
      </c>
      <c r="C44" s="32">
        <f>IF(Auxiliar!$H$25=0,"",IF(INDEX(Equipamentos!$L:$L,Auxiliar!$H$25)="","",INDEX(Equipamentos!$L:$L,Auxiliar!$H$25)))</f>
        <v/>
      </c>
      <c r="D44" s="34">
        <f>IF(Auxiliar!$H$25=0,"",IF(INDEX(Equipamentos!$E:$E,Auxiliar!$H$25)="","",INDEX(Equipamentos!$E:$E,Auxiliar!$H$25)))</f>
        <v/>
      </c>
      <c r="E44" s="34">
        <f>IF(Auxiliar!$H$25=0,"",IF(INDEX(Equipamentos!$H:$H,Auxiliar!$H$25)="","",INDEX(Equipamentos!$H:$H,Auxiliar!$H$25)))</f>
        <v/>
      </c>
      <c r="F44" s="34">
        <f>IF(Auxiliar!$H$25=0,"",IF(INDEX(Equipamentos!$I:$I,Auxiliar!$H$25)="","",INDEX(Equipamentos!$I:$I,Auxiliar!$H$25)))</f>
        <v/>
      </c>
      <c r="G44" s="35">
        <f>IF(Auxiliar!$H$25=0,"",IF(INDEX(Equipamentos!$J:$J,Auxiliar!$H$25)="","",INDEX(Equipamentos!$J:$J,Auxiliar!$H$25)))</f>
        <v/>
      </c>
      <c r="H44" s="32">
        <f>IF(Auxiliar!$H$25=0,"",IF(INDEX(Equipamentos!$K:$K,Auxiliar!$H$25)="","",INDEX(Equipamentos!$K:$K,Auxiliar!$H$25)))</f>
        <v/>
      </c>
      <c r="I44" s="36">
        <f>IF(Auxiliar!$H$25=0,"",IF(INDEX(Equipamentos!$F:$F,Auxiliar!$H$25)="","",INDEX(Equipamentos!$F:$F,Auxiliar!$H$25)))</f>
        <v/>
      </c>
    </row>
    <row r="45">
      <c r="A45" s="7">
        <f>IF(Auxiliar!$H$26=0,"",IF(INDEX(Equipamentos!$A:$A,Auxiliar!$H$26)="","",INDEX(Equipamentos!$A:$A,Auxiliar!$H$26)))</f>
        <v/>
      </c>
      <c r="B45" s="32">
        <f>IF(Auxiliar!$H$26=0,"",IF(INDEX(Equipamentos!$N:$N,Auxiliar!$H$26)="","",INDEX(Equipamentos!$N:$N,Auxiliar!$H$26)))</f>
        <v/>
      </c>
      <c r="C45" s="32">
        <f>IF(Auxiliar!$H$26=0,"",IF(INDEX(Equipamentos!$L:$L,Auxiliar!$H$26)="","",INDEX(Equipamentos!$L:$L,Auxiliar!$H$26)))</f>
        <v/>
      </c>
      <c r="D45" s="34">
        <f>IF(Auxiliar!$H$26=0,"",IF(INDEX(Equipamentos!$E:$E,Auxiliar!$H$26)="","",INDEX(Equipamentos!$E:$E,Auxiliar!$H$26)))</f>
        <v/>
      </c>
      <c r="E45" s="34">
        <f>IF(Auxiliar!$H$26=0,"",IF(INDEX(Equipamentos!$H:$H,Auxiliar!$H$26)="","",INDEX(Equipamentos!$H:$H,Auxiliar!$H$26)))</f>
        <v/>
      </c>
      <c r="F45" s="34">
        <f>IF(Auxiliar!$H$26=0,"",IF(INDEX(Equipamentos!$I:$I,Auxiliar!$H$26)="","",INDEX(Equipamentos!$I:$I,Auxiliar!$H$26)))</f>
        <v/>
      </c>
      <c r="G45" s="35">
        <f>IF(Auxiliar!$H$26=0,"",IF(INDEX(Equipamentos!$J:$J,Auxiliar!$H$26)="","",INDEX(Equipamentos!$J:$J,Auxiliar!$H$26)))</f>
        <v/>
      </c>
      <c r="H45" s="32">
        <f>IF(Auxiliar!$H$26=0,"",IF(INDEX(Equipamentos!$K:$K,Auxiliar!$H$26)="","",INDEX(Equipamentos!$K:$K,Auxiliar!$H$26)))</f>
        <v/>
      </c>
      <c r="I45" s="36">
        <f>IF(Auxiliar!$H$26=0,"",IF(INDEX(Equipamentos!$F:$F,Auxiliar!$H$26)="","",INDEX(Equipamentos!$F:$F,Auxiliar!$H$26)))</f>
        <v/>
      </c>
    </row>
    <row r="46">
      <c r="A46" s="7">
        <f>IF(Auxiliar!$H$27=0,"",IF(INDEX(Equipamentos!$A:$A,Auxiliar!$H$27)="","",INDEX(Equipamentos!$A:$A,Auxiliar!$H$27)))</f>
        <v/>
      </c>
      <c r="B46" s="32">
        <f>IF(Auxiliar!$H$27=0,"",IF(INDEX(Equipamentos!$N:$N,Auxiliar!$H$27)="","",INDEX(Equipamentos!$N:$N,Auxiliar!$H$27)))</f>
        <v/>
      </c>
      <c r="C46" s="32">
        <f>IF(Auxiliar!$H$27=0,"",IF(INDEX(Equipamentos!$L:$L,Auxiliar!$H$27)="","",INDEX(Equipamentos!$L:$L,Auxiliar!$H$27)))</f>
        <v/>
      </c>
      <c r="D46" s="34">
        <f>IF(Auxiliar!$H$27=0,"",IF(INDEX(Equipamentos!$E:$E,Auxiliar!$H$27)="","",INDEX(Equipamentos!$E:$E,Auxiliar!$H$27)))</f>
        <v/>
      </c>
      <c r="E46" s="34">
        <f>IF(Auxiliar!$H$27=0,"",IF(INDEX(Equipamentos!$H:$H,Auxiliar!$H$27)="","",INDEX(Equipamentos!$H:$H,Auxiliar!$H$27)))</f>
        <v/>
      </c>
      <c r="F46" s="34">
        <f>IF(Auxiliar!$H$27=0,"",IF(INDEX(Equipamentos!$I:$I,Auxiliar!$H$27)="","",INDEX(Equipamentos!$I:$I,Auxiliar!$H$27)))</f>
        <v/>
      </c>
      <c r="G46" s="35">
        <f>IF(Auxiliar!$H$27=0,"",IF(INDEX(Equipamentos!$J:$J,Auxiliar!$H$27)="","",INDEX(Equipamentos!$J:$J,Auxiliar!$H$27)))</f>
        <v/>
      </c>
      <c r="H46" s="32">
        <f>IF(Auxiliar!$H$27=0,"",IF(INDEX(Equipamentos!$K:$K,Auxiliar!$H$27)="","",INDEX(Equipamentos!$K:$K,Auxiliar!$H$27)))</f>
        <v/>
      </c>
      <c r="I46" s="36">
        <f>IF(Auxiliar!$H$27=0,"",IF(INDEX(Equipamentos!$F:$F,Auxiliar!$H$27)="","",INDEX(Equipamentos!$F:$F,Auxiliar!$H$27)))</f>
        <v/>
      </c>
    </row>
    <row r="47">
      <c r="A47" s="7">
        <f>IF(Auxiliar!$H$28=0,"",IF(INDEX(Equipamentos!$A:$A,Auxiliar!$H$28)="","",INDEX(Equipamentos!$A:$A,Auxiliar!$H$28)))</f>
        <v/>
      </c>
      <c r="B47" s="32">
        <f>IF(Auxiliar!$H$28=0,"",IF(INDEX(Equipamentos!$N:$N,Auxiliar!$H$28)="","",INDEX(Equipamentos!$N:$N,Auxiliar!$H$28)))</f>
        <v/>
      </c>
      <c r="C47" s="32">
        <f>IF(Auxiliar!$H$28=0,"",IF(INDEX(Equipamentos!$L:$L,Auxiliar!$H$28)="","",INDEX(Equipamentos!$L:$L,Auxiliar!$H$28)))</f>
        <v/>
      </c>
      <c r="D47" s="34">
        <f>IF(Auxiliar!$H$28=0,"",IF(INDEX(Equipamentos!$E:$E,Auxiliar!$H$28)="","",INDEX(Equipamentos!$E:$E,Auxiliar!$H$28)))</f>
        <v/>
      </c>
      <c r="E47" s="34">
        <f>IF(Auxiliar!$H$28=0,"",IF(INDEX(Equipamentos!$H:$H,Auxiliar!$H$28)="","",INDEX(Equipamentos!$H:$H,Auxiliar!$H$28)))</f>
        <v/>
      </c>
      <c r="F47" s="34">
        <f>IF(Auxiliar!$H$28=0,"",IF(INDEX(Equipamentos!$I:$I,Auxiliar!$H$28)="","",INDEX(Equipamentos!$I:$I,Auxiliar!$H$28)))</f>
        <v/>
      </c>
      <c r="G47" s="35">
        <f>IF(Auxiliar!$H$28=0,"",IF(INDEX(Equipamentos!$J:$J,Auxiliar!$H$28)="","",INDEX(Equipamentos!$J:$J,Auxiliar!$H$28)))</f>
        <v/>
      </c>
      <c r="H47" s="32">
        <f>IF(Auxiliar!$H$28=0,"",IF(INDEX(Equipamentos!$K:$K,Auxiliar!$H$28)="","",INDEX(Equipamentos!$K:$K,Auxiliar!$H$28)))</f>
        <v/>
      </c>
      <c r="I47" s="36">
        <f>IF(Auxiliar!$H$28=0,"",IF(INDEX(Equipamentos!$F:$F,Auxiliar!$H$28)="","",INDEX(Equipamentos!$F:$F,Auxiliar!$H$28)))</f>
        <v/>
      </c>
    </row>
    <row r="49">
      <c r="A49" s="4" t="inlineStr">
        <is>
          <t>Gráficos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</row>
  </sheetData>
  <mergeCells count="15">
    <mergeCell ref="D6:E6"/>
    <mergeCell ref="B6:C6"/>
    <mergeCell ref="A2:I2"/>
    <mergeCell ref="H6:I6"/>
    <mergeCell ref="A8:D8"/>
    <mergeCell ref="A19:I19"/>
    <mergeCell ref="A49:I49"/>
    <mergeCell ref="F8:I8"/>
    <mergeCell ref="B5:C5"/>
    <mergeCell ref="F5:G5"/>
    <mergeCell ref="D5:E5"/>
    <mergeCell ref="A1:I1"/>
    <mergeCell ref="F6:G6"/>
    <mergeCell ref="H5:I5"/>
    <mergeCell ref="A3:I3"/>
  </mergeCells>
  <conditionalFormatting sqref="C10:C15">
    <cfRule type="dataBar" priority="1">
      <dataBar showValue="1">
        <cfvo type="num" val="0"/>
        <cfvo type="num" val="1"/>
        <color rgb="005B9BD5"/>
      </dataBar>
    </cfRule>
  </conditionalFormatting>
  <conditionalFormatting sqref="D10:D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conditionalFormatting sqref="H10:H16">
    <cfRule type="dataBar" priority="5">
      <dataBar showValue="1">
        <cfvo type="num" val="0"/>
        <cfvo type="num" val="1"/>
        <color rgb="005B9BD5"/>
      </dataBar>
    </cfRule>
  </conditionalFormatting>
  <conditionalFormatting sqref="I10:I16">
    <cfRule type="cellIs" priority="6" operator="greaterThan" dxfId="1">
      <formula>0</formula>
    </cfRule>
  </conditionalFormatting>
  <conditionalFormatting sqref="G21:G47">
    <cfRule type="dataBar" priority="7">
      <dataBar showValue="1">
        <cfvo type="num" val="0"/>
        <cfvo type="num" val="1"/>
        <color rgb="005B9BD5"/>
      </dataBar>
    </cfRule>
  </conditionalFormatting>
  <conditionalFormatting sqref="H21:H47">
    <cfRule type="cellIs" priority="8" operator="equal" dxfId="0">
      <formula>"Além da meta"</formula>
    </cfRule>
    <cfRule type="cellIs" priority="9" operator="equal" dxfId="1">
      <formula>"Atenção"</formula>
    </cfRule>
    <cfRule type="cellIs" priority="10" operator="equal" dxfId="2">
      <formula>"OK"</formula>
    </cfRule>
  </conditionalFormatting>
  <conditionalFormatting sqref="A21:F47">
    <cfRule type="expression" priority="11" dxfId="3">
      <formula>AND($A21&lt;&gt;"",MOD(ROW(),2)=0)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W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6" customWidth="1" min="4" max="4"/>
    <col width="12" customWidth="1" min="5" max="5"/>
    <col width="12" customWidth="1" min="6" max="6"/>
    <col width="15" customWidth="1" min="7" max="7"/>
    <col width="13" customWidth="1" min="8" max="8"/>
    <col width="13" customWidth="1" min="9" max="9"/>
    <col width="15" customWidth="1" min="10" max="10"/>
    <col width="13" customWidth="1" min="11" max="11"/>
    <col width="6" customWidth="1" min="12" max="12"/>
    <col hidden="1" width="13" customWidth="1" min="13" max="13"/>
    <col width="17" customWidth="1" min="14" max="14"/>
    <col width="15" customWidth="1" min="15" max="15"/>
    <col width="22" customWidth="1" min="16" max="16"/>
    <col hidden="1" width="13" customWidth="1" min="17" max="17"/>
    <col width="13" customWidth="1" min="18" max="18"/>
    <col width="14" customWidth="1" min="19" max="19"/>
    <col width="13" customWidth="1" min="20" max="20"/>
    <col width="14" customWidth="1" min="21" max="21"/>
    <col width="18" customWidth="1" min="22" max="22"/>
    <col hidden="1" width="13" customWidth="1" min="23" max="23"/>
  </cols>
  <sheetData>
    <row r="1" ht="30" customHeight="1">
      <c r="A1" s="37" t="inlineStr">
        <is>
          <t>Tag atual</t>
        </is>
      </c>
      <c r="B1" s="38" t="inlineStr">
        <is>
          <t>Tipo</t>
        </is>
      </c>
      <c r="C1" s="38" t="inlineStr">
        <is>
          <t>Unidade</t>
        </is>
      </c>
      <c r="D1" s="38" t="inlineStr">
        <is>
          <t>MCC</t>
        </is>
      </c>
      <c r="E1" s="38" t="inlineStr">
        <is>
          <t>Meta</t>
        </is>
      </c>
      <c r="F1" s="38" t="inlineStr">
        <is>
          <t>Desde</t>
        </is>
      </c>
      <c r="G1" s="38" t="inlineStr">
        <is>
          <t>Acumulado inicial</t>
        </is>
      </c>
      <c r="H1" s="38" t="inlineStr">
        <is>
          <t>Acumulado</t>
        </is>
      </c>
      <c r="I1" s="38" t="inlineStr">
        <is>
          <t>Falta</t>
        </is>
      </c>
      <c r="J1" s="38" t="inlineStr">
        <is>
          <t>% da vida</t>
        </is>
      </c>
      <c r="K1" s="38" t="inlineStr">
        <is>
          <t>Situação</t>
        </is>
      </c>
      <c r="L1" s="38" t="inlineStr">
        <is>
          <t>Veio</t>
        </is>
      </c>
      <c r="M1" s="38" t="inlineStr">
        <is>
          <t>chave</t>
        </is>
      </c>
      <c r="N1" s="38" t="inlineStr">
        <is>
          <t>Posição</t>
        </is>
      </c>
      <c r="O1" s="38" t="inlineStr">
        <is>
          <t>ID no app</t>
        </is>
      </c>
      <c r="P1" s="38" t="inlineStr">
        <is>
          <t>Veio - Posição</t>
        </is>
      </c>
      <c r="Q1" s="38" t="inlineStr">
        <is>
          <t>ativo</t>
        </is>
      </c>
      <c r="R1" s="38" t="inlineStr">
        <is>
          <t>Última troca</t>
        </is>
      </c>
      <c r="S1" s="38" t="inlineStr">
        <is>
          <t>Tag original</t>
        </is>
      </c>
      <c r="T1" s="38" t="inlineStr">
        <is>
          <t>Meta original</t>
        </is>
      </c>
      <c r="U1" s="38" t="inlineStr">
        <is>
          <t>Desde original</t>
        </is>
      </c>
      <c r="V1" s="38" t="inlineStr">
        <is>
          <t>Acum. inicial original</t>
        </is>
      </c>
      <c r="W1" s="38" t="inlineStr">
        <is>
          <t>idx</t>
        </is>
      </c>
    </row>
    <row r="2">
      <c r="A2" s="7">
        <f>S2</f>
        <v/>
      </c>
      <c r="B2" s="39" t="inlineStr">
        <is>
          <t>Molde</t>
        </is>
      </c>
      <c r="C2" s="32">
        <f>IF(B2="","",IF(B2="Molde","corridas",IF(B2="Oscilador","dias","t")))</f>
        <v/>
      </c>
      <c r="D2" s="40" t="n"/>
      <c r="E2" s="34">
        <f>IF(SUMPRODUCT(MAX((Historico!$B$2:$B$5000=L2)*Historico!$A$2:$A$5000))=0,T2,SUMIFS(Historico!$D:$D,Historico!$B:$B,L2,Historico!$A:$A,SUMPRODUCT(MAX((Historico!$B$2:$B$5000=L2)*Historico!$A$2:$A$5000))))</f>
        <v/>
      </c>
      <c r="F2" s="36" t="n"/>
      <c r="G2" s="34" t="n"/>
      <c r="H2" s="34">
        <f>IF(A2="","",IF(C2="corridas",SUMIFS(Historico!$E:$E,Historico!$B:$B,L2,Historico!$A:$A,SUMPRODUCT(MAX((Historico!$B$2:$B$5000=L2)*Historico!$A$2:$A$5000))),N(G2)+IF(F2="",0,IF(C2="dias",MAX(0,TODAY()-F2),IF(D2=2,SUMIFS(Producao!$D:$D,Producao!$A:$A,"&gt;="&amp;F2),IF(D2=3,SUMIFS(Producao!$E:$E,Producao!$A:$A,"&gt;="&amp;F2),SUMIFS(Producao!$B:$B,Producao!$A:$A,"&gt;="&amp;F2)))))))</f>
        <v/>
      </c>
      <c r="I2" s="34">
        <f>IF(OR(A2="",E2=""),"",E2-H2)</f>
        <v/>
      </c>
      <c r="J2" s="35">
        <f>IF(OR(A2="",N(E2)&lt;=0),"",H2/E2)</f>
        <v/>
      </c>
      <c r="K2" s="32">
        <f>IF(I2="","",IF(I2&lt;0,"Além da meta",IF(J2&gt;=Regras!$B$3,"Atenção","OK")))</f>
        <v/>
      </c>
      <c r="L2" s="39" t="inlineStr">
        <is>
          <t>G</t>
        </is>
      </c>
      <c r="M2">
        <f>IF(J2="",-1,J2+ROW()/1000000000)</f>
        <v/>
      </c>
      <c r="N2" s="41" t="inlineStr">
        <is>
          <t>Molde (relatório)</t>
        </is>
      </c>
      <c r="O2" s="41" t="n"/>
      <c r="P2" s="7" t="n"/>
      <c r="Q2">
        <f>IF(A2&lt;&gt;"",ROW(),"")</f>
        <v/>
      </c>
      <c r="R2" s="42" t="n"/>
      <c r="S2" s="43" t="inlineStr">
        <is>
          <t>Molde G</t>
        </is>
      </c>
      <c r="T2" s="44" t="n">
        <v>1100</v>
      </c>
      <c r="U2" s="45" t="n"/>
      <c r="V2" s="46" t="n"/>
    </row>
    <row r="3">
      <c r="A3" s="7">
        <f>S3</f>
        <v/>
      </c>
      <c r="B3" s="39" t="inlineStr">
        <is>
          <t>Molde</t>
        </is>
      </c>
      <c r="C3" s="32">
        <f>IF(B3="","",IF(B3="Molde","corridas",IF(B3="Oscilador","dias","t")))</f>
        <v/>
      </c>
      <c r="D3" s="40" t="n"/>
      <c r="E3" s="34">
        <f>IF(SUMPRODUCT(MAX((Historico!$B$2:$B$5000=L3)*Historico!$A$2:$A$5000))=0,T3,SUMIFS(Historico!$D:$D,Historico!$B:$B,L3,Historico!$A:$A,SUMPRODUCT(MAX((Historico!$B$2:$B$5000=L3)*Historico!$A$2:$A$5000))))</f>
        <v/>
      </c>
      <c r="F3" s="36" t="n"/>
      <c r="G3" s="34" t="n"/>
      <c r="H3" s="34">
        <f>IF(A3="","",IF(C3="corridas",SUMIFS(Historico!$E:$E,Historico!$B:$B,L3,Historico!$A:$A,SUMPRODUCT(MAX((Historico!$B$2:$B$5000=L3)*Historico!$A$2:$A$5000))),N(G3)+IF(F3="",0,IF(C3="dias",MAX(0,TODAY()-F3),IF(D3=2,SUMIFS(Producao!$D:$D,Producao!$A:$A,"&gt;="&amp;F3),IF(D3=3,SUMIFS(Producao!$E:$E,Producao!$A:$A,"&gt;="&amp;F3),SUMIFS(Producao!$B:$B,Producao!$A:$A,"&gt;="&amp;F3)))))))</f>
        <v/>
      </c>
      <c r="I3" s="34">
        <f>IF(OR(A3="",E3=""),"",E3-H3)</f>
        <v/>
      </c>
      <c r="J3" s="35">
        <f>IF(OR(A3="",N(E3)&lt;=0),"",H3/E3)</f>
        <v/>
      </c>
      <c r="K3" s="32">
        <f>IF(I3="","",IF(I3&lt;0,"Além da meta",IF(J3&gt;=Regras!$B$3,"Atenção","OK")))</f>
        <v/>
      </c>
      <c r="L3" s="39" t="inlineStr">
        <is>
          <t>H</t>
        </is>
      </c>
      <c r="M3">
        <f>IF(J3="",-1,J3+ROW()/1000000000)</f>
        <v/>
      </c>
      <c r="N3" s="41" t="inlineStr">
        <is>
          <t>Molde (relatório)</t>
        </is>
      </c>
      <c r="O3" s="41" t="n"/>
      <c r="P3" s="7" t="n"/>
      <c r="Q3">
        <f>IF(A3&lt;&gt;"",ROW(),"")</f>
        <v/>
      </c>
      <c r="R3" s="42" t="n"/>
      <c r="S3" s="43" t="inlineStr">
        <is>
          <t>Molde H</t>
        </is>
      </c>
      <c r="T3" s="44" t="n">
        <v>1100</v>
      </c>
      <c r="U3" s="45" t="n"/>
      <c r="V3" s="46" t="n"/>
    </row>
    <row r="4">
      <c r="A4" s="7">
        <f>IF(S4="","",IF(W4=0,S4,INDEX(TrocasEquip!$G$2:$G$1000,W4)))</f>
        <v/>
      </c>
      <c r="B4" s="39" t="inlineStr">
        <is>
          <t>Oscilador</t>
        </is>
      </c>
      <c r="C4" s="32">
        <f>IF(B4="","",IF(B4="Molde","corridas",IF(B4="Oscilador","dias","t")))</f>
        <v/>
      </c>
      <c r="D4" s="39" t="n">
        <v>4</v>
      </c>
      <c r="E4" s="34">
        <f>IF(W4=0,T4,IF(INDEX(TrocasEquip!$H$2:$H$1000,W4)="",T4,INDEX(TrocasEquip!$H$2:$H$1000,W4)))</f>
        <v/>
      </c>
      <c r="F4" s="36">
        <f>IF(W4=0,IF(U4="","",U4),R4)</f>
        <v/>
      </c>
      <c r="G4" s="34">
        <f>IF(W4=0,V4,N(INDEX(TrocasEquip!$I$2:$I$1000,W4)))</f>
        <v/>
      </c>
      <c r="H4" s="34">
        <f>IF(A4="","",IF(C4="corridas",SUMIFS(Historico!$E:$E,Historico!$B:$B,L4,Historico!$A:$A,SUMPRODUCT(MAX((Historico!$B$2:$B$5000=L4)*Historico!$A$2:$A$5000))),N(G4)+IF(F4="",0,IF(C4="dias",MAX(0,TODAY()-F4),IF(D4=2,SUMIFS(Producao!$D:$D,Producao!$A:$A,"&gt;="&amp;F4),IF(D4=3,SUMIFS(Producao!$E:$E,Producao!$A:$A,"&gt;="&amp;F4),SUMIFS(Producao!$B:$B,Producao!$A:$A,"&gt;="&amp;F4)))))))</f>
        <v/>
      </c>
      <c r="I4" s="34">
        <f>IF(OR(A4="",E4=""),"",E4-H4)</f>
        <v/>
      </c>
      <c r="J4" s="35">
        <f>IF(OR(A4="",N(E4)&lt;=0),"",H4/E4)</f>
        <v/>
      </c>
      <c r="K4" s="32">
        <f>IF(I4="","",IF(I4&lt;0,"Além da meta",IF(J4&gt;=Regras!$B$3,"Atenção","OK")))</f>
        <v/>
      </c>
      <c r="L4" s="39" t="n"/>
      <c r="M4">
        <f>IF(J4="",-1,J4+ROW()/1000000000)</f>
        <v/>
      </c>
      <c r="N4" s="41" t="inlineStr">
        <is>
          <t>Oscilador</t>
        </is>
      </c>
      <c r="O4" s="41" t="n"/>
      <c r="P4" s="7">
        <f>IF(OR(N4="",L4=""),"",L4&amp;" - "&amp;N4)</f>
        <v/>
      </c>
      <c r="Q4">
        <f>IF(A4&lt;&gt;"",ROW(),"")</f>
        <v/>
      </c>
      <c r="R4" s="42">
        <f>IF(P4="",0,_xlfn.MAXIFS(TrocasEquip!$A$2:$A$1000,TrocasEquip!$B$2:$B$1000,P4))</f>
        <v/>
      </c>
      <c r="S4" s="43" t="inlineStr">
        <is>
          <t>Oscilador</t>
        </is>
      </c>
      <c r="T4" s="44" t="n">
        <v>730</v>
      </c>
      <c r="U4" s="47" t="n">
        <v>46235</v>
      </c>
      <c r="V4" s="44" t="n"/>
      <c r="W4">
        <f>IF(R4=0,0,MATCH(1,INDEX((TrocasEquip!$B$2:$B$1000=P4)*(TrocasEquip!$A$2:$A$1000=R4),0),0))</f>
        <v/>
      </c>
    </row>
    <row r="5">
      <c r="A5" s="7">
        <f>IF(S5="","",IF(W5=0,S5,INDEX(TrocasEquip!$G$2:$G$1000,W5)))</f>
        <v/>
      </c>
      <c r="B5" s="39" t="inlineStr">
        <is>
          <t>Bender</t>
        </is>
      </c>
      <c r="C5" s="32">
        <f>IF(B5="","",IF(B5="Molde","corridas",IF(B5="Oscilador","dias","t")))</f>
        <v/>
      </c>
      <c r="D5" s="39" t="n">
        <v>4</v>
      </c>
      <c r="E5" s="34">
        <f>IF(W5=0,T5,IF(INDEX(TrocasEquip!$H$2:$H$1000,W5)="",T5,INDEX(TrocasEquip!$H$2:$H$1000,W5)))</f>
        <v/>
      </c>
      <c r="F5" s="36">
        <f>IF(W5=0,IF(U5="","",U5),R5)</f>
        <v/>
      </c>
      <c r="G5" s="34">
        <f>IF(W5=0,V5,N(INDEX(TrocasEquip!$I$2:$I$1000,W5)))</f>
        <v/>
      </c>
      <c r="H5" s="34">
        <f>IF(A5="","",IF(C5="corridas",SUMIFS(Historico!$E:$E,Historico!$B:$B,L5,Historico!$A:$A,SUMPRODUCT(MAX((Historico!$B$2:$B$5000=L5)*Historico!$A$2:$A$5000))),N(G5)+IF(F5="",0,IF(C5="dias",MAX(0,TODAY()-F5),IF(D5=2,SUMIFS(Producao!$D:$D,Producao!$A:$A,"&gt;="&amp;F5),IF(D5=3,SUMIFS(Producao!$E:$E,Producao!$A:$A,"&gt;="&amp;F5),SUMIFS(Producao!$B:$B,Producao!$A:$A,"&gt;="&amp;F5)))))))</f>
        <v/>
      </c>
      <c r="I5" s="34">
        <f>IF(OR(A5="",E5=""),"",E5-H5)</f>
        <v/>
      </c>
      <c r="J5" s="35">
        <f>IF(OR(A5="",N(E5)&lt;=0),"",H5/E5)</f>
        <v/>
      </c>
      <c r="K5" s="32">
        <f>IF(I5="","",IF(I5&lt;0,"Além da meta",IF(J5&gt;=Regras!$B$3,"Atenção","OK")))</f>
        <v/>
      </c>
      <c r="L5" s="39" t="n"/>
      <c r="M5">
        <f>IF(J5="",-1,J5+ROW()/1000000000)</f>
        <v/>
      </c>
      <c r="N5" s="41" t="inlineStr">
        <is>
          <t>Bender</t>
        </is>
      </c>
      <c r="O5" s="41" t="n"/>
      <c r="P5" s="7">
        <f>IF(OR(N5="",L5=""),"",L5&amp;" - "&amp;N5)</f>
        <v/>
      </c>
      <c r="Q5">
        <f>IF(A5&lt;&gt;"",ROW(),"")</f>
        <v/>
      </c>
      <c r="R5" s="42">
        <f>IF(P5="",0,_xlfn.MAXIFS(TrocasEquip!$A$2:$A$1000,TrocasEquip!$B$2:$B$1000,P5))</f>
        <v/>
      </c>
      <c r="S5" s="43" t="inlineStr">
        <is>
          <t>Bender</t>
        </is>
      </c>
      <c r="T5" s="44" t="n">
        <v>1100000</v>
      </c>
      <c r="U5" s="47" t="n">
        <v>46235</v>
      </c>
      <c r="V5" s="44" t="n"/>
      <c r="W5">
        <f>IF(R5=0,0,MATCH(1,INDEX((TrocasEquip!$B$2:$B$1000=P5)*(TrocasEquip!$A$2:$A$1000=R5),0),0))</f>
        <v/>
      </c>
    </row>
    <row r="6">
      <c r="A6" s="7">
        <f>IF(S6="","",IF(W6=0,S6,INDEX(TrocasEquip!$G$2:$G$1000,W6)))</f>
        <v/>
      </c>
      <c r="B6" s="39" t="inlineStr">
        <is>
          <t>Bow</t>
        </is>
      </c>
      <c r="C6" s="32">
        <f>IF(B6="","",IF(B6="Molde","corridas",IF(B6="Oscilador","dias","t")))</f>
        <v/>
      </c>
      <c r="D6" s="39" t="n">
        <v>4</v>
      </c>
      <c r="E6" s="34">
        <f>IF(W6=0,T6,IF(INDEX(TrocasEquip!$H$2:$H$1000,W6)="",T6,INDEX(TrocasEquip!$H$2:$H$1000,W6)))</f>
        <v/>
      </c>
      <c r="F6" s="36">
        <f>IF(W6=0,IF(U6="","",U6),R6)</f>
        <v/>
      </c>
      <c r="G6" s="34">
        <f>IF(W6=0,V6,N(INDEX(TrocasEquip!$I$2:$I$1000,W6)))</f>
        <v/>
      </c>
      <c r="H6" s="34">
        <f>IF(A6="","",IF(C6="corridas",SUMIFS(Historico!$E:$E,Historico!$B:$B,L6,Historico!$A:$A,SUMPRODUCT(MAX((Historico!$B$2:$B$5000=L6)*Historico!$A$2:$A$5000))),N(G6)+IF(F6="",0,IF(C6="dias",MAX(0,TODAY()-F6),IF(D6=2,SUMIFS(Producao!$D:$D,Producao!$A:$A,"&gt;="&amp;F6),IF(D6=3,SUMIFS(Producao!$E:$E,Producao!$A:$A,"&gt;="&amp;F6),SUMIFS(Producao!$B:$B,Producao!$A:$A,"&gt;="&amp;F6)))))))</f>
        <v/>
      </c>
      <c r="I6" s="34">
        <f>IF(OR(A6="",E6=""),"",E6-H6)</f>
        <v/>
      </c>
      <c r="J6" s="35">
        <f>IF(OR(A6="",N(E6)&lt;=0),"",H6/E6)</f>
        <v/>
      </c>
      <c r="K6" s="32">
        <f>IF(I6="","",IF(I6&lt;0,"Além da meta",IF(J6&gt;=Regras!$B$3,"Atenção","OK")))</f>
        <v/>
      </c>
      <c r="L6" s="39" t="n"/>
      <c r="M6">
        <f>IF(J6="",-1,J6+ROW()/1000000000)</f>
        <v/>
      </c>
      <c r="N6" s="41" t="inlineStr">
        <is>
          <t>Bow 1</t>
        </is>
      </c>
      <c r="O6" s="41" t="n"/>
      <c r="P6" s="7">
        <f>IF(OR(N6="",L6=""),"",L6&amp;" - "&amp;N6)</f>
        <v/>
      </c>
      <c r="Q6">
        <f>IF(A6&lt;&gt;"",ROW(),"")</f>
        <v/>
      </c>
      <c r="R6" s="42">
        <f>IF(P6="",0,_xlfn.MAXIFS(TrocasEquip!$A$2:$A$1000,TrocasEquip!$B$2:$B$1000,P6))</f>
        <v/>
      </c>
      <c r="S6" s="43" t="inlineStr">
        <is>
          <t>Bow 1</t>
        </is>
      </c>
      <c r="T6" s="44" t="n">
        <v>1900000</v>
      </c>
      <c r="U6" s="47" t="n">
        <v>46235</v>
      </c>
      <c r="V6" s="44" t="n"/>
      <c r="W6">
        <f>IF(R6=0,0,MATCH(1,INDEX((TrocasEquip!$B$2:$B$1000=P6)*(TrocasEquip!$A$2:$A$1000=R6),0),0))</f>
        <v/>
      </c>
    </row>
    <row r="7">
      <c r="A7" s="7">
        <f>IF(S7="","",IF(W7=0,S7,INDEX(TrocasEquip!$G$2:$G$1000,W7)))</f>
        <v/>
      </c>
      <c r="B7" s="39" t="inlineStr">
        <is>
          <t>Bow</t>
        </is>
      </c>
      <c r="C7" s="32">
        <f>IF(B7="","",IF(B7="Molde","corridas",IF(B7="Oscilador","dias","t")))</f>
        <v/>
      </c>
      <c r="D7" s="39" t="n">
        <v>4</v>
      </c>
      <c r="E7" s="34">
        <f>IF(W7=0,T7,IF(INDEX(TrocasEquip!$H$2:$H$1000,W7)="",T7,INDEX(TrocasEquip!$H$2:$H$1000,W7)))</f>
        <v/>
      </c>
      <c r="F7" s="36">
        <f>IF(W7=0,IF(U7="","",U7),R7)</f>
        <v/>
      </c>
      <c r="G7" s="34">
        <f>IF(W7=0,V7,N(INDEX(TrocasEquip!$I$2:$I$1000,W7)))</f>
        <v/>
      </c>
      <c r="H7" s="34">
        <f>IF(A7="","",IF(C7="corridas",SUMIFS(Historico!$E:$E,Historico!$B:$B,L7,Historico!$A:$A,SUMPRODUCT(MAX((Historico!$B$2:$B$5000=L7)*Historico!$A$2:$A$5000))),N(G7)+IF(F7="",0,IF(C7="dias",MAX(0,TODAY()-F7),IF(D7=2,SUMIFS(Producao!$D:$D,Producao!$A:$A,"&gt;="&amp;F7),IF(D7=3,SUMIFS(Producao!$E:$E,Producao!$A:$A,"&gt;="&amp;F7),SUMIFS(Producao!$B:$B,Producao!$A:$A,"&gt;="&amp;F7)))))))</f>
        <v/>
      </c>
      <c r="I7" s="34">
        <f>IF(OR(A7="",E7=""),"",E7-H7)</f>
        <v/>
      </c>
      <c r="J7" s="35">
        <f>IF(OR(A7="",N(E7)&lt;=0),"",H7/E7)</f>
        <v/>
      </c>
      <c r="K7" s="32">
        <f>IF(I7="","",IF(I7&lt;0,"Além da meta",IF(J7&gt;=Regras!$B$3,"Atenção","OK")))</f>
        <v/>
      </c>
      <c r="L7" s="39" t="n"/>
      <c r="M7">
        <f>IF(J7="",-1,J7+ROW()/1000000000)</f>
        <v/>
      </c>
      <c r="N7" s="41" t="inlineStr">
        <is>
          <t>Bow 2</t>
        </is>
      </c>
      <c r="O7" s="41" t="n"/>
      <c r="P7" s="7">
        <f>IF(OR(N7="",L7=""),"",L7&amp;" - "&amp;N7)</f>
        <v/>
      </c>
      <c r="Q7">
        <f>IF(A7&lt;&gt;"",ROW(),"")</f>
        <v/>
      </c>
      <c r="R7" s="42">
        <f>IF(P7="",0,_xlfn.MAXIFS(TrocasEquip!$A$2:$A$1000,TrocasEquip!$B$2:$B$1000,P7))</f>
        <v/>
      </c>
      <c r="S7" s="43" t="inlineStr">
        <is>
          <t>Bow 2</t>
        </is>
      </c>
      <c r="T7" s="44" t="n">
        <v>1900000</v>
      </c>
      <c r="U7" s="47" t="n">
        <v>46235</v>
      </c>
      <c r="V7" s="44" t="n"/>
      <c r="W7">
        <f>IF(R7=0,0,MATCH(1,INDEX((TrocasEquip!$B$2:$B$1000=P7)*(TrocasEquip!$A$2:$A$1000=R7),0),0))</f>
        <v/>
      </c>
    </row>
    <row r="8">
      <c r="A8" s="7">
        <f>IF(S8="","",IF(W8=0,S8,INDEX(TrocasEquip!$G$2:$G$1000,W8)))</f>
        <v/>
      </c>
      <c r="B8" s="39" t="inlineStr">
        <is>
          <t>Bow</t>
        </is>
      </c>
      <c r="C8" s="32">
        <f>IF(B8="","",IF(B8="Molde","corridas",IF(B8="Oscilador","dias","t")))</f>
        <v/>
      </c>
      <c r="D8" s="39" t="n">
        <v>4</v>
      </c>
      <c r="E8" s="34">
        <f>IF(W8=0,T8,IF(INDEX(TrocasEquip!$H$2:$H$1000,W8)="",T8,INDEX(TrocasEquip!$H$2:$H$1000,W8)))</f>
        <v/>
      </c>
      <c r="F8" s="36">
        <f>IF(W8=0,IF(U8="","",U8),R8)</f>
        <v/>
      </c>
      <c r="G8" s="34">
        <f>IF(W8=0,V8,N(INDEX(TrocasEquip!$I$2:$I$1000,W8)))</f>
        <v/>
      </c>
      <c r="H8" s="34">
        <f>IF(A8="","",IF(C8="corridas",SUMIFS(Historico!$E:$E,Historico!$B:$B,L8,Historico!$A:$A,SUMPRODUCT(MAX((Historico!$B$2:$B$5000=L8)*Historico!$A$2:$A$5000))),N(G8)+IF(F8="",0,IF(C8="dias",MAX(0,TODAY()-F8),IF(D8=2,SUMIFS(Producao!$D:$D,Producao!$A:$A,"&gt;="&amp;F8),IF(D8=3,SUMIFS(Producao!$E:$E,Producao!$A:$A,"&gt;="&amp;F8),SUMIFS(Producao!$B:$B,Producao!$A:$A,"&gt;="&amp;F8)))))))</f>
        <v/>
      </c>
      <c r="I8" s="34">
        <f>IF(OR(A8="",E8=""),"",E8-H8)</f>
        <v/>
      </c>
      <c r="J8" s="35">
        <f>IF(OR(A8="",N(E8)&lt;=0),"",H8/E8)</f>
        <v/>
      </c>
      <c r="K8" s="32">
        <f>IF(I8="","",IF(I8&lt;0,"Além da meta",IF(J8&gt;=Regras!$B$3,"Atenção","OK")))</f>
        <v/>
      </c>
      <c r="L8" s="39" t="n"/>
      <c r="M8">
        <f>IF(J8="",-1,J8+ROW()/1000000000)</f>
        <v/>
      </c>
      <c r="N8" s="41" t="inlineStr">
        <is>
          <t>Bow 3</t>
        </is>
      </c>
      <c r="O8" s="41" t="n"/>
      <c r="P8" s="7">
        <f>IF(OR(N8="",L8=""),"",L8&amp;" - "&amp;N8)</f>
        <v/>
      </c>
      <c r="Q8">
        <f>IF(A8&lt;&gt;"",ROW(),"")</f>
        <v/>
      </c>
      <c r="R8" s="42">
        <f>IF(P8="",0,_xlfn.MAXIFS(TrocasEquip!$A$2:$A$1000,TrocasEquip!$B$2:$B$1000,P8))</f>
        <v/>
      </c>
      <c r="S8" s="43" t="inlineStr">
        <is>
          <t>Bow 3</t>
        </is>
      </c>
      <c r="T8" s="44" t="n">
        <v>1900000</v>
      </c>
      <c r="U8" s="47" t="n">
        <v>46235</v>
      </c>
      <c r="V8" s="44" t="n"/>
      <c r="W8">
        <f>IF(R8=0,0,MATCH(1,INDEX((TrocasEquip!$B$2:$B$1000=P8)*(TrocasEquip!$A$2:$A$1000=R8),0),0))</f>
        <v/>
      </c>
    </row>
    <row r="9">
      <c r="A9" s="7">
        <f>IF(S9="","",IF(W9=0,S9,INDEX(TrocasEquip!$G$2:$G$1000,W9)))</f>
        <v/>
      </c>
      <c r="B9" s="39" t="inlineStr">
        <is>
          <t>Bow</t>
        </is>
      </c>
      <c r="C9" s="32">
        <f>IF(B9="","",IF(B9="Molde","corridas",IF(B9="Oscilador","dias","t")))</f>
        <v/>
      </c>
      <c r="D9" s="39" t="n">
        <v>4</v>
      </c>
      <c r="E9" s="34">
        <f>IF(W9=0,T9,IF(INDEX(TrocasEquip!$H$2:$H$1000,W9)="",T9,INDEX(TrocasEquip!$H$2:$H$1000,W9)))</f>
        <v/>
      </c>
      <c r="F9" s="36">
        <f>IF(W9=0,IF(U9="","",U9),R9)</f>
        <v/>
      </c>
      <c r="G9" s="34">
        <f>IF(W9=0,V9,N(INDEX(TrocasEquip!$I$2:$I$1000,W9)))</f>
        <v/>
      </c>
      <c r="H9" s="34">
        <f>IF(A9="","",IF(C9="corridas",SUMIFS(Historico!$E:$E,Historico!$B:$B,L9,Historico!$A:$A,SUMPRODUCT(MAX((Historico!$B$2:$B$5000=L9)*Historico!$A$2:$A$5000))),N(G9)+IF(F9="",0,IF(C9="dias",MAX(0,TODAY()-F9),IF(D9=2,SUMIFS(Producao!$D:$D,Producao!$A:$A,"&gt;="&amp;F9),IF(D9=3,SUMIFS(Producao!$E:$E,Producao!$A:$A,"&gt;="&amp;F9),SUMIFS(Producao!$B:$B,Producao!$A:$A,"&gt;="&amp;F9)))))))</f>
        <v/>
      </c>
      <c r="I9" s="34">
        <f>IF(OR(A9="",E9=""),"",E9-H9)</f>
        <v/>
      </c>
      <c r="J9" s="35">
        <f>IF(OR(A9="",N(E9)&lt;=0),"",H9/E9)</f>
        <v/>
      </c>
      <c r="K9" s="32">
        <f>IF(I9="","",IF(I9&lt;0,"Além da meta",IF(J9&gt;=Regras!$B$3,"Atenção","OK")))</f>
        <v/>
      </c>
      <c r="L9" s="39" t="n"/>
      <c r="M9">
        <f>IF(J9="",-1,J9+ROW()/1000000000)</f>
        <v/>
      </c>
      <c r="N9" s="41" t="inlineStr">
        <is>
          <t>Bow 4</t>
        </is>
      </c>
      <c r="O9" s="41" t="n"/>
      <c r="P9" s="7">
        <f>IF(OR(N9="",L9=""),"",L9&amp;" - "&amp;N9)</f>
        <v/>
      </c>
      <c r="Q9">
        <f>IF(A9&lt;&gt;"",ROW(),"")</f>
        <v/>
      </c>
      <c r="R9" s="42">
        <f>IF(P9="",0,_xlfn.MAXIFS(TrocasEquip!$A$2:$A$1000,TrocasEquip!$B$2:$B$1000,P9))</f>
        <v/>
      </c>
      <c r="S9" s="43" t="inlineStr">
        <is>
          <t>Bow 4</t>
        </is>
      </c>
      <c r="T9" s="44" t="n">
        <v>1900000</v>
      </c>
      <c r="U9" s="47" t="n">
        <v>46235</v>
      </c>
      <c r="V9" s="44" t="n"/>
      <c r="W9">
        <f>IF(R9=0,0,MATCH(1,INDEX((TrocasEquip!$B$2:$B$1000=P9)*(TrocasEquip!$A$2:$A$1000=R9),0),0))</f>
        <v/>
      </c>
    </row>
    <row r="10">
      <c r="A10" s="7">
        <f>IF(S10="","",IF(W10=0,S10,INDEX(TrocasEquip!$G$2:$G$1000,W10)))</f>
        <v/>
      </c>
      <c r="B10" s="39" t="inlineStr">
        <is>
          <t>Bow</t>
        </is>
      </c>
      <c r="C10" s="32">
        <f>IF(B10="","",IF(B10="Molde","corridas",IF(B10="Oscilador","dias","t")))</f>
        <v/>
      </c>
      <c r="D10" s="39" t="n">
        <v>4</v>
      </c>
      <c r="E10" s="34">
        <f>IF(W10=0,T10,IF(INDEX(TrocasEquip!$H$2:$H$1000,W10)="",T10,INDEX(TrocasEquip!$H$2:$H$1000,W10)))</f>
        <v/>
      </c>
      <c r="F10" s="36">
        <f>IF(W10=0,IF(U10="","",U10),R10)</f>
        <v/>
      </c>
      <c r="G10" s="34">
        <f>IF(W10=0,V10,N(INDEX(TrocasEquip!$I$2:$I$1000,W10)))</f>
        <v/>
      </c>
      <c r="H10" s="34">
        <f>IF(A10="","",IF(C10="corridas",SUMIFS(Historico!$E:$E,Historico!$B:$B,L10,Historico!$A:$A,SUMPRODUCT(MAX((Historico!$B$2:$B$5000=L10)*Historico!$A$2:$A$5000))),N(G10)+IF(F10="",0,IF(C10="dias",MAX(0,TODAY()-F10),IF(D10=2,SUMIFS(Producao!$D:$D,Producao!$A:$A,"&gt;="&amp;F10),IF(D10=3,SUMIFS(Producao!$E:$E,Producao!$A:$A,"&gt;="&amp;F10),SUMIFS(Producao!$B:$B,Producao!$A:$A,"&gt;="&amp;F10)))))))</f>
        <v/>
      </c>
      <c r="I10" s="34">
        <f>IF(OR(A10="",E10=""),"",E10-H10)</f>
        <v/>
      </c>
      <c r="J10" s="35">
        <f>IF(OR(A10="",N(E10)&lt;=0),"",H10/E10)</f>
        <v/>
      </c>
      <c r="K10" s="32">
        <f>IF(I10="","",IF(I10&lt;0,"Além da meta",IF(J10&gt;=Regras!$B$3,"Atenção","OK")))</f>
        <v/>
      </c>
      <c r="L10" s="39" t="n"/>
      <c r="M10">
        <f>IF(J10="",-1,J10+ROW()/1000000000)</f>
        <v/>
      </c>
      <c r="N10" s="41" t="inlineStr">
        <is>
          <t>Bow 5</t>
        </is>
      </c>
      <c r="O10" s="41" t="n"/>
      <c r="P10" s="7">
        <f>IF(OR(N10="",L10=""),"",L10&amp;" - "&amp;N10)</f>
        <v/>
      </c>
      <c r="Q10">
        <f>IF(A10&lt;&gt;"",ROW(),"")</f>
        <v/>
      </c>
      <c r="R10" s="42">
        <f>IF(P10="",0,_xlfn.MAXIFS(TrocasEquip!$A$2:$A$1000,TrocasEquip!$B$2:$B$1000,P10))</f>
        <v/>
      </c>
      <c r="S10" s="43" t="inlineStr">
        <is>
          <t>Bow 5</t>
        </is>
      </c>
      <c r="T10" s="44" t="n">
        <v>1900000</v>
      </c>
      <c r="U10" s="47" t="n">
        <v>46235</v>
      </c>
      <c r="V10" s="44" t="n"/>
      <c r="W10">
        <f>IF(R10=0,0,MATCH(1,INDEX((TrocasEquip!$B$2:$B$1000=P10)*(TrocasEquip!$A$2:$A$1000=R10),0),0))</f>
        <v/>
      </c>
    </row>
    <row r="11">
      <c r="A11" s="7">
        <f>IF(S11="","",IF(W11=0,S11,INDEX(TrocasEquip!$G$2:$G$1000,W11)))</f>
        <v/>
      </c>
      <c r="B11" s="39" t="inlineStr">
        <is>
          <t>Straightener R1</t>
        </is>
      </c>
      <c r="C11" s="32">
        <f>IF(B11="","",IF(B11="Molde","corridas",IF(B11="Oscilador","dias","t")))</f>
        <v/>
      </c>
      <c r="D11" s="39" t="n">
        <v>4</v>
      </c>
      <c r="E11" s="34">
        <f>IF(W11=0,T11,IF(INDEX(TrocasEquip!$H$2:$H$1000,W11)="",T11,INDEX(TrocasEquip!$H$2:$H$1000,W11)))</f>
        <v/>
      </c>
      <c r="F11" s="36">
        <f>IF(W11=0,IF(U11="","",U11),R11)</f>
        <v/>
      </c>
      <c r="G11" s="34">
        <f>IF(W11=0,V11,N(INDEX(TrocasEquip!$I$2:$I$1000,W11)))</f>
        <v/>
      </c>
      <c r="H11" s="34">
        <f>IF(A11="","",IF(C11="corridas",SUMIFS(Historico!$E:$E,Historico!$B:$B,L11,Historico!$A:$A,SUMPRODUCT(MAX((Historico!$B$2:$B$5000=L11)*Historico!$A$2:$A$5000))),N(G11)+IF(F11="",0,IF(C11="dias",MAX(0,TODAY()-F11),IF(D11=2,SUMIFS(Producao!$D:$D,Producao!$A:$A,"&gt;="&amp;F11),IF(D11=3,SUMIFS(Producao!$E:$E,Producao!$A:$A,"&gt;="&amp;F11),SUMIFS(Producao!$B:$B,Producao!$A:$A,"&gt;="&amp;F11)))))))</f>
        <v/>
      </c>
      <c r="I11" s="34">
        <f>IF(OR(A11="",E11=""),"",E11-H11)</f>
        <v/>
      </c>
      <c r="J11" s="35">
        <f>IF(OR(A11="",N(E11)&lt;=0),"",H11/E11)</f>
        <v/>
      </c>
      <c r="K11" s="32">
        <f>IF(I11="","",IF(I11&lt;0,"Além da meta",IF(J11&gt;=Regras!$B$3,"Atenção","OK")))</f>
        <v/>
      </c>
      <c r="L11" s="39" t="n"/>
      <c r="M11">
        <f>IF(J11="",-1,J11+ROW()/1000000000)</f>
        <v/>
      </c>
      <c r="N11" s="41" t="inlineStr">
        <is>
          <t>Straightener R1</t>
        </is>
      </c>
      <c r="O11" s="41" t="n"/>
      <c r="P11" s="7">
        <f>IF(OR(N11="",L11=""),"",L11&amp;" - "&amp;N11)</f>
        <v/>
      </c>
      <c r="Q11">
        <f>IF(A11&lt;&gt;"",ROW(),"")</f>
        <v/>
      </c>
      <c r="R11" s="42">
        <f>IF(P11="",0,_xlfn.MAXIFS(TrocasEquip!$A$2:$A$1000,TrocasEquip!$B$2:$B$1000,P11))</f>
        <v/>
      </c>
      <c r="S11" s="43" t="inlineStr">
        <is>
          <t>Straightener R1</t>
        </is>
      </c>
      <c r="T11" s="44" t="n">
        <v>1700000</v>
      </c>
      <c r="U11" s="47" t="n">
        <v>46235</v>
      </c>
      <c r="V11" s="44" t="n"/>
      <c r="W11">
        <f>IF(R11=0,0,MATCH(1,INDEX((TrocasEquip!$B$2:$B$1000=P11)*(TrocasEquip!$A$2:$A$1000=R11),0),0))</f>
        <v/>
      </c>
    </row>
    <row r="12">
      <c r="A12" s="7">
        <f>IF(S12="","",IF(W12=0,S12,INDEX(TrocasEquip!$G$2:$G$1000,W12)))</f>
        <v/>
      </c>
      <c r="B12" s="39" t="inlineStr">
        <is>
          <t>Straightener R2</t>
        </is>
      </c>
      <c r="C12" s="32">
        <f>IF(B12="","",IF(B12="Molde","corridas",IF(B12="Oscilador","dias","t")))</f>
        <v/>
      </c>
      <c r="D12" s="39" t="n">
        <v>4</v>
      </c>
      <c r="E12" s="34">
        <f>IF(W12=0,T12,IF(INDEX(TrocasEquip!$H$2:$H$1000,W12)="",T12,INDEX(TrocasEquip!$H$2:$H$1000,W12)))</f>
        <v/>
      </c>
      <c r="F12" s="36">
        <f>IF(W12=0,IF(U12="","",U12),R12)</f>
        <v/>
      </c>
      <c r="G12" s="34">
        <f>IF(W12=0,V12,N(INDEX(TrocasEquip!$I$2:$I$1000,W12)))</f>
        <v/>
      </c>
      <c r="H12" s="34">
        <f>IF(A12="","",IF(C12="corridas",SUMIFS(Historico!$E:$E,Historico!$B:$B,L12,Historico!$A:$A,SUMPRODUCT(MAX((Historico!$B$2:$B$5000=L12)*Historico!$A$2:$A$5000))),N(G12)+IF(F12="",0,IF(C12="dias",MAX(0,TODAY()-F12),IF(D12=2,SUMIFS(Producao!$D:$D,Producao!$A:$A,"&gt;="&amp;F12),IF(D12=3,SUMIFS(Producao!$E:$E,Producao!$A:$A,"&gt;="&amp;F12),SUMIFS(Producao!$B:$B,Producao!$A:$A,"&gt;="&amp;F12)))))))</f>
        <v/>
      </c>
      <c r="I12" s="34">
        <f>IF(OR(A12="",E12=""),"",E12-H12)</f>
        <v/>
      </c>
      <c r="J12" s="35">
        <f>IF(OR(A12="",N(E12)&lt;=0),"",H12/E12)</f>
        <v/>
      </c>
      <c r="K12" s="32">
        <f>IF(I12="","",IF(I12&lt;0,"Além da meta",IF(J12&gt;=Regras!$B$3,"Atenção","OK")))</f>
        <v/>
      </c>
      <c r="L12" s="39" t="n"/>
      <c r="M12">
        <f>IF(J12="",-1,J12+ROW()/1000000000)</f>
        <v/>
      </c>
      <c r="N12" s="41" t="inlineStr">
        <is>
          <t>Straightener R2</t>
        </is>
      </c>
      <c r="O12" s="41" t="n"/>
      <c r="P12" s="7">
        <f>IF(OR(N12="",L12=""),"",L12&amp;" - "&amp;N12)</f>
        <v/>
      </c>
      <c r="Q12">
        <f>IF(A12&lt;&gt;"",ROW(),"")</f>
        <v/>
      </c>
      <c r="R12" s="42">
        <f>IF(P12="",0,_xlfn.MAXIFS(TrocasEquip!$A$2:$A$1000,TrocasEquip!$B$2:$B$1000,P12))</f>
        <v/>
      </c>
      <c r="S12" s="43" t="inlineStr">
        <is>
          <t>Straightener R2</t>
        </is>
      </c>
      <c r="T12" s="44" t="n">
        <v>1700000</v>
      </c>
      <c r="U12" s="47" t="n">
        <v>46235</v>
      </c>
      <c r="V12" s="44" t="n"/>
      <c r="W12">
        <f>IF(R12=0,0,MATCH(1,INDEX((TrocasEquip!$B$2:$B$1000=P12)*(TrocasEquip!$A$2:$A$1000=R12),0),0))</f>
        <v/>
      </c>
    </row>
    <row r="13">
      <c r="A13" s="7">
        <f>IF(S13="","",IF(W13=0,S13,INDEX(TrocasEquip!$G$2:$G$1000,W13)))</f>
        <v/>
      </c>
      <c r="B13" s="39" t="inlineStr">
        <is>
          <t>Horizontal</t>
        </is>
      </c>
      <c r="C13" s="32">
        <f>IF(B13="","",IF(B13="Molde","corridas",IF(B13="Oscilador","dias","t")))</f>
        <v/>
      </c>
      <c r="D13" s="39" t="n">
        <v>4</v>
      </c>
      <c r="E13" s="34">
        <f>IF(W13=0,T13,IF(INDEX(TrocasEquip!$H$2:$H$1000,W13)="",T13,INDEX(TrocasEquip!$H$2:$H$1000,W13)))</f>
        <v/>
      </c>
      <c r="F13" s="36">
        <f>IF(W13=0,IF(U13="","",U13),R13)</f>
        <v/>
      </c>
      <c r="G13" s="34">
        <f>IF(W13=0,V13,N(INDEX(TrocasEquip!$I$2:$I$1000,W13)))</f>
        <v/>
      </c>
      <c r="H13" s="34">
        <f>IF(A13="","",IF(C13="corridas",SUMIFS(Historico!$E:$E,Historico!$B:$B,L13,Historico!$A:$A,SUMPRODUCT(MAX((Historico!$B$2:$B$5000=L13)*Historico!$A$2:$A$5000))),N(G13)+IF(F13="",0,IF(C13="dias",MAX(0,TODAY()-F13),IF(D13=2,SUMIFS(Producao!$D:$D,Producao!$A:$A,"&gt;="&amp;F13),IF(D13=3,SUMIFS(Producao!$E:$E,Producao!$A:$A,"&gt;="&amp;F13),SUMIFS(Producao!$B:$B,Producao!$A:$A,"&gt;="&amp;F13)))))))</f>
        <v/>
      </c>
      <c r="I13" s="34">
        <f>IF(OR(A13="",E13=""),"",E13-H13)</f>
        <v/>
      </c>
      <c r="J13" s="35">
        <f>IF(OR(A13="",N(E13)&lt;=0),"",H13/E13)</f>
        <v/>
      </c>
      <c r="K13" s="32">
        <f>IF(I13="","",IF(I13&lt;0,"Além da meta",IF(J13&gt;=Regras!$B$3,"Atenção","OK")))</f>
        <v/>
      </c>
      <c r="L13" s="39" t="n"/>
      <c r="M13">
        <f>IF(J13="",-1,J13+ROW()/1000000000)</f>
        <v/>
      </c>
      <c r="N13" s="41" t="inlineStr">
        <is>
          <t>Horizontal 01</t>
        </is>
      </c>
      <c r="O13" s="41" t="n"/>
      <c r="P13" s="7">
        <f>IF(OR(N13="",L13=""),"",L13&amp;" - "&amp;N13)</f>
        <v/>
      </c>
      <c r="Q13">
        <f>IF(A13&lt;&gt;"",ROW(),"")</f>
        <v/>
      </c>
      <c r="R13" s="42">
        <f>IF(P13="",0,_xlfn.MAXIFS(TrocasEquip!$A$2:$A$1000,TrocasEquip!$B$2:$B$1000,P13))</f>
        <v/>
      </c>
      <c r="S13" s="43" t="inlineStr">
        <is>
          <t>Horizontal 01</t>
        </is>
      </c>
      <c r="T13" s="44" t="n">
        <v>3300000</v>
      </c>
      <c r="U13" s="47" t="n">
        <v>46235</v>
      </c>
      <c r="V13" s="44" t="n"/>
      <c r="W13">
        <f>IF(R13=0,0,MATCH(1,INDEX((TrocasEquip!$B$2:$B$1000=P13)*(TrocasEquip!$A$2:$A$1000=R13),0),0))</f>
        <v/>
      </c>
    </row>
    <row r="14">
      <c r="A14" s="7">
        <f>IF(S14="","",IF(W14=0,S14,INDEX(TrocasEquip!$G$2:$G$1000,W14)))</f>
        <v/>
      </c>
      <c r="B14" s="39" t="inlineStr">
        <is>
          <t>Horizontal</t>
        </is>
      </c>
      <c r="C14" s="32">
        <f>IF(B14="","",IF(B14="Molde","corridas",IF(B14="Oscilador","dias","t")))</f>
        <v/>
      </c>
      <c r="D14" s="39" t="n">
        <v>4</v>
      </c>
      <c r="E14" s="34">
        <f>IF(W14=0,T14,IF(INDEX(TrocasEquip!$H$2:$H$1000,W14)="",T14,INDEX(TrocasEquip!$H$2:$H$1000,W14)))</f>
        <v/>
      </c>
      <c r="F14" s="36">
        <f>IF(W14=0,IF(U14="","",U14),R14)</f>
        <v/>
      </c>
      <c r="G14" s="34">
        <f>IF(W14=0,V14,N(INDEX(TrocasEquip!$I$2:$I$1000,W14)))</f>
        <v/>
      </c>
      <c r="H14" s="34">
        <f>IF(A14="","",IF(C14="corridas",SUMIFS(Historico!$E:$E,Historico!$B:$B,L14,Historico!$A:$A,SUMPRODUCT(MAX((Historico!$B$2:$B$5000=L14)*Historico!$A$2:$A$5000))),N(G14)+IF(F14="",0,IF(C14="dias",MAX(0,TODAY()-F14),IF(D14=2,SUMIFS(Producao!$D:$D,Producao!$A:$A,"&gt;="&amp;F14),IF(D14=3,SUMIFS(Producao!$E:$E,Producao!$A:$A,"&gt;="&amp;F14),SUMIFS(Producao!$B:$B,Producao!$A:$A,"&gt;="&amp;F14)))))))</f>
        <v/>
      </c>
      <c r="I14" s="34">
        <f>IF(OR(A14="",E14=""),"",E14-H14)</f>
        <v/>
      </c>
      <c r="J14" s="35">
        <f>IF(OR(A14="",N(E14)&lt;=0),"",H14/E14)</f>
        <v/>
      </c>
      <c r="K14" s="32">
        <f>IF(I14="","",IF(I14&lt;0,"Além da meta",IF(J14&gt;=Regras!$B$3,"Atenção","OK")))</f>
        <v/>
      </c>
      <c r="L14" s="39" t="n"/>
      <c r="M14">
        <f>IF(J14="",-1,J14+ROW()/1000000000)</f>
        <v/>
      </c>
      <c r="N14" s="41" t="inlineStr">
        <is>
          <t>Horizontal 02</t>
        </is>
      </c>
      <c r="O14" s="41" t="n"/>
      <c r="P14" s="7">
        <f>IF(OR(N14="",L14=""),"",L14&amp;" - "&amp;N14)</f>
        <v/>
      </c>
      <c r="Q14">
        <f>IF(A14&lt;&gt;"",ROW(),"")</f>
        <v/>
      </c>
      <c r="R14" s="42">
        <f>IF(P14="",0,_xlfn.MAXIFS(TrocasEquip!$A$2:$A$1000,TrocasEquip!$B$2:$B$1000,P14))</f>
        <v/>
      </c>
      <c r="S14" s="43" t="inlineStr">
        <is>
          <t>Horizontal 02</t>
        </is>
      </c>
      <c r="T14" s="44" t="n">
        <v>3300000</v>
      </c>
      <c r="U14" s="47" t="n">
        <v>46235</v>
      </c>
      <c r="V14" s="44" t="n"/>
      <c r="W14">
        <f>IF(R14=0,0,MATCH(1,INDEX((TrocasEquip!$B$2:$B$1000=P14)*(TrocasEquip!$A$2:$A$1000=R14),0),0))</f>
        <v/>
      </c>
    </row>
    <row r="15">
      <c r="A15" s="7">
        <f>IF(S15="","",IF(W15=0,S15,INDEX(TrocasEquip!$G$2:$G$1000,W15)))</f>
        <v/>
      </c>
      <c r="B15" s="39" t="inlineStr">
        <is>
          <t>Horizontal</t>
        </is>
      </c>
      <c r="C15" s="32">
        <f>IF(B15="","",IF(B15="Molde","corridas",IF(B15="Oscilador","dias","t")))</f>
        <v/>
      </c>
      <c r="D15" s="39" t="n">
        <v>4</v>
      </c>
      <c r="E15" s="34">
        <f>IF(W15=0,T15,IF(INDEX(TrocasEquip!$H$2:$H$1000,W15)="",T15,INDEX(TrocasEquip!$H$2:$H$1000,W15)))</f>
        <v/>
      </c>
      <c r="F15" s="36">
        <f>IF(W15=0,IF(U15="","",U15),R15)</f>
        <v/>
      </c>
      <c r="G15" s="34">
        <f>IF(W15=0,V15,N(INDEX(TrocasEquip!$I$2:$I$1000,W15)))</f>
        <v/>
      </c>
      <c r="H15" s="34">
        <f>IF(A15="","",IF(C15="corridas",SUMIFS(Historico!$E:$E,Historico!$B:$B,L15,Historico!$A:$A,SUMPRODUCT(MAX((Historico!$B$2:$B$5000=L15)*Historico!$A$2:$A$5000))),N(G15)+IF(F15="",0,IF(C15="dias",MAX(0,TODAY()-F15),IF(D15=2,SUMIFS(Producao!$D:$D,Producao!$A:$A,"&gt;="&amp;F15),IF(D15=3,SUMIFS(Producao!$E:$E,Producao!$A:$A,"&gt;="&amp;F15),SUMIFS(Producao!$B:$B,Producao!$A:$A,"&gt;="&amp;F15)))))))</f>
        <v/>
      </c>
      <c r="I15" s="34">
        <f>IF(OR(A15="",E15=""),"",E15-H15)</f>
        <v/>
      </c>
      <c r="J15" s="35">
        <f>IF(OR(A15="",N(E15)&lt;=0),"",H15/E15)</f>
        <v/>
      </c>
      <c r="K15" s="32">
        <f>IF(I15="","",IF(I15&lt;0,"Além da meta",IF(J15&gt;=Regras!$B$3,"Atenção","OK")))</f>
        <v/>
      </c>
      <c r="L15" s="39" t="n"/>
      <c r="M15">
        <f>IF(J15="",-1,J15+ROW()/1000000000)</f>
        <v/>
      </c>
      <c r="N15" s="41" t="inlineStr">
        <is>
          <t>Horizontal 03</t>
        </is>
      </c>
      <c r="O15" s="41" t="n"/>
      <c r="P15" s="7">
        <f>IF(OR(N15="",L15=""),"",L15&amp;" - "&amp;N15)</f>
        <v/>
      </c>
      <c r="Q15">
        <f>IF(A15&lt;&gt;"",ROW(),"")</f>
        <v/>
      </c>
      <c r="R15" s="42">
        <f>IF(P15="",0,_xlfn.MAXIFS(TrocasEquip!$A$2:$A$1000,TrocasEquip!$B$2:$B$1000,P15))</f>
        <v/>
      </c>
      <c r="S15" s="43" t="inlineStr">
        <is>
          <t>Horizontal 03</t>
        </is>
      </c>
      <c r="T15" s="44" t="n">
        <v>3300000</v>
      </c>
      <c r="U15" s="47" t="n">
        <v>46235</v>
      </c>
      <c r="V15" s="44" t="n"/>
      <c r="W15">
        <f>IF(R15=0,0,MATCH(1,INDEX((TrocasEquip!$B$2:$B$1000=P15)*(TrocasEquip!$A$2:$A$1000=R15),0),0))</f>
        <v/>
      </c>
    </row>
    <row r="16">
      <c r="A16" s="7">
        <f>IF(S16="","",IF(W16=0,S16,INDEX(TrocasEquip!$G$2:$G$1000,W16)))</f>
        <v/>
      </c>
      <c r="B16" s="39" t="inlineStr">
        <is>
          <t>Horizontal</t>
        </is>
      </c>
      <c r="C16" s="32">
        <f>IF(B16="","",IF(B16="Molde","corridas",IF(B16="Oscilador","dias","t")))</f>
        <v/>
      </c>
      <c r="D16" s="39" t="n">
        <v>4</v>
      </c>
      <c r="E16" s="34">
        <f>IF(W16=0,T16,IF(INDEX(TrocasEquip!$H$2:$H$1000,W16)="",T16,INDEX(TrocasEquip!$H$2:$H$1000,W16)))</f>
        <v/>
      </c>
      <c r="F16" s="36">
        <f>IF(W16=0,IF(U16="","",U16),R16)</f>
        <v/>
      </c>
      <c r="G16" s="34">
        <f>IF(W16=0,V16,N(INDEX(TrocasEquip!$I$2:$I$1000,W16)))</f>
        <v/>
      </c>
      <c r="H16" s="34">
        <f>IF(A16="","",IF(C16="corridas",SUMIFS(Historico!$E:$E,Historico!$B:$B,L16,Historico!$A:$A,SUMPRODUCT(MAX((Historico!$B$2:$B$5000=L16)*Historico!$A$2:$A$5000))),N(G16)+IF(F16="",0,IF(C16="dias",MAX(0,TODAY()-F16),IF(D16=2,SUMIFS(Producao!$D:$D,Producao!$A:$A,"&gt;="&amp;F16),IF(D16=3,SUMIFS(Producao!$E:$E,Producao!$A:$A,"&gt;="&amp;F16),SUMIFS(Producao!$B:$B,Producao!$A:$A,"&gt;="&amp;F16)))))))</f>
        <v/>
      </c>
      <c r="I16" s="34">
        <f>IF(OR(A16="",E16=""),"",E16-H16)</f>
        <v/>
      </c>
      <c r="J16" s="35">
        <f>IF(OR(A16="",N(E16)&lt;=0),"",H16/E16)</f>
        <v/>
      </c>
      <c r="K16" s="32">
        <f>IF(I16="","",IF(I16&lt;0,"Além da meta",IF(J16&gt;=Regras!$B$3,"Atenção","OK")))</f>
        <v/>
      </c>
      <c r="L16" s="39" t="n"/>
      <c r="M16">
        <f>IF(J16="",-1,J16+ROW()/1000000000)</f>
        <v/>
      </c>
      <c r="N16" s="41" t="inlineStr">
        <is>
          <t>Horizontal 04</t>
        </is>
      </c>
      <c r="O16" s="41" t="n"/>
      <c r="P16" s="7">
        <f>IF(OR(N16="",L16=""),"",L16&amp;" - "&amp;N16)</f>
        <v/>
      </c>
      <c r="Q16">
        <f>IF(A16&lt;&gt;"",ROW(),"")</f>
        <v/>
      </c>
      <c r="R16" s="42">
        <f>IF(P16="",0,_xlfn.MAXIFS(TrocasEquip!$A$2:$A$1000,TrocasEquip!$B$2:$B$1000,P16))</f>
        <v/>
      </c>
      <c r="S16" s="43" t="inlineStr">
        <is>
          <t>Horizontal 04</t>
        </is>
      </c>
      <c r="T16" s="44" t="n">
        <v>3300000</v>
      </c>
      <c r="U16" s="47" t="n">
        <v>46235</v>
      </c>
      <c r="V16" s="44" t="n"/>
      <c r="W16">
        <f>IF(R16=0,0,MATCH(1,INDEX((TrocasEquip!$B$2:$B$1000=P16)*(TrocasEquip!$A$2:$A$1000=R16),0),0))</f>
        <v/>
      </c>
    </row>
    <row r="17">
      <c r="A17" s="7">
        <f>IF(S17="","",IF(W17=0,S17,INDEX(TrocasEquip!$G$2:$G$1000,W17)))</f>
        <v/>
      </c>
      <c r="B17" s="39" t="inlineStr">
        <is>
          <t>Horizontal</t>
        </is>
      </c>
      <c r="C17" s="32">
        <f>IF(B17="","",IF(B17="Molde","corridas",IF(B17="Oscilador","dias","t")))</f>
        <v/>
      </c>
      <c r="D17" s="39" t="n">
        <v>4</v>
      </c>
      <c r="E17" s="34">
        <f>IF(W17=0,T17,IF(INDEX(TrocasEquip!$H$2:$H$1000,W17)="",T17,INDEX(TrocasEquip!$H$2:$H$1000,W17)))</f>
        <v/>
      </c>
      <c r="F17" s="36">
        <f>IF(W17=0,IF(U17="","",U17),R17)</f>
        <v/>
      </c>
      <c r="G17" s="34">
        <f>IF(W17=0,V17,N(INDEX(TrocasEquip!$I$2:$I$1000,W17)))</f>
        <v/>
      </c>
      <c r="H17" s="34">
        <f>IF(A17="","",IF(C17="corridas",SUMIFS(Historico!$E:$E,Historico!$B:$B,L17,Historico!$A:$A,SUMPRODUCT(MAX((Historico!$B$2:$B$5000=L17)*Historico!$A$2:$A$5000))),N(G17)+IF(F17="",0,IF(C17="dias",MAX(0,TODAY()-F17),IF(D17=2,SUMIFS(Producao!$D:$D,Producao!$A:$A,"&gt;="&amp;F17),IF(D17=3,SUMIFS(Producao!$E:$E,Producao!$A:$A,"&gt;="&amp;F17),SUMIFS(Producao!$B:$B,Producao!$A:$A,"&gt;="&amp;F17)))))))</f>
        <v/>
      </c>
      <c r="I17" s="34">
        <f>IF(OR(A17="",E17=""),"",E17-H17)</f>
        <v/>
      </c>
      <c r="J17" s="35">
        <f>IF(OR(A17="",N(E17)&lt;=0),"",H17/E17)</f>
        <v/>
      </c>
      <c r="K17" s="32">
        <f>IF(I17="","",IF(I17&lt;0,"Além da meta",IF(J17&gt;=Regras!$B$3,"Atenção","OK")))</f>
        <v/>
      </c>
      <c r="L17" s="39" t="n"/>
      <c r="M17">
        <f>IF(J17="",-1,J17+ROW()/1000000000)</f>
        <v/>
      </c>
      <c r="N17" s="41" t="inlineStr">
        <is>
          <t>Horizontal 05</t>
        </is>
      </c>
      <c r="O17" s="41" t="n"/>
      <c r="P17" s="7">
        <f>IF(OR(N17="",L17=""),"",L17&amp;" - "&amp;N17)</f>
        <v/>
      </c>
      <c r="Q17">
        <f>IF(A17&lt;&gt;"",ROW(),"")</f>
        <v/>
      </c>
      <c r="R17" s="42">
        <f>IF(P17="",0,_xlfn.MAXIFS(TrocasEquip!$A$2:$A$1000,TrocasEquip!$B$2:$B$1000,P17))</f>
        <v/>
      </c>
      <c r="S17" s="43" t="inlineStr">
        <is>
          <t>Horizontal 05</t>
        </is>
      </c>
      <c r="T17" s="44" t="n">
        <v>3300000</v>
      </c>
      <c r="U17" s="47" t="n">
        <v>46235</v>
      </c>
      <c r="V17" s="44" t="n"/>
      <c r="W17">
        <f>IF(R17=0,0,MATCH(1,INDEX((TrocasEquip!$B$2:$B$1000=P17)*(TrocasEquip!$A$2:$A$1000=R17),0),0))</f>
        <v/>
      </c>
    </row>
    <row r="18">
      <c r="A18" s="7">
        <f>IF(S18="","",IF(W18=0,S18,INDEX(TrocasEquip!$G$2:$G$1000,W18)))</f>
        <v/>
      </c>
      <c r="B18" s="39" t="inlineStr">
        <is>
          <t>Horizontal</t>
        </is>
      </c>
      <c r="C18" s="32">
        <f>IF(B18="","",IF(B18="Molde","corridas",IF(B18="Oscilador","dias","t")))</f>
        <v/>
      </c>
      <c r="D18" s="39" t="n">
        <v>4</v>
      </c>
      <c r="E18" s="34">
        <f>IF(W18=0,T18,IF(INDEX(TrocasEquip!$H$2:$H$1000,W18)="",T18,INDEX(TrocasEquip!$H$2:$H$1000,W18)))</f>
        <v/>
      </c>
      <c r="F18" s="36">
        <f>IF(W18=0,IF(U18="","",U18),R18)</f>
        <v/>
      </c>
      <c r="G18" s="34">
        <f>IF(W18=0,V18,N(INDEX(TrocasEquip!$I$2:$I$1000,W18)))</f>
        <v/>
      </c>
      <c r="H18" s="34">
        <f>IF(A18="","",IF(C18="corridas",SUMIFS(Historico!$E:$E,Historico!$B:$B,L18,Historico!$A:$A,SUMPRODUCT(MAX((Historico!$B$2:$B$5000=L18)*Historico!$A$2:$A$5000))),N(G18)+IF(F18="",0,IF(C18="dias",MAX(0,TODAY()-F18),IF(D18=2,SUMIFS(Producao!$D:$D,Producao!$A:$A,"&gt;="&amp;F18),IF(D18=3,SUMIFS(Producao!$E:$E,Producao!$A:$A,"&gt;="&amp;F18),SUMIFS(Producao!$B:$B,Producao!$A:$A,"&gt;="&amp;F18)))))))</f>
        <v/>
      </c>
      <c r="I18" s="34">
        <f>IF(OR(A18="",E18=""),"",E18-H18)</f>
        <v/>
      </c>
      <c r="J18" s="35">
        <f>IF(OR(A18="",N(E18)&lt;=0),"",H18/E18)</f>
        <v/>
      </c>
      <c r="K18" s="32">
        <f>IF(I18="","",IF(I18&lt;0,"Além da meta",IF(J18&gt;=Regras!$B$3,"Atenção","OK")))</f>
        <v/>
      </c>
      <c r="L18" s="39" t="n"/>
      <c r="M18">
        <f>IF(J18="",-1,J18+ROW()/1000000000)</f>
        <v/>
      </c>
      <c r="N18" s="41" t="inlineStr">
        <is>
          <t>Horizontal 06</t>
        </is>
      </c>
      <c r="O18" s="41" t="n"/>
      <c r="P18" s="7">
        <f>IF(OR(N18="",L18=""),"",L18&amp;" - "&amp;N18)</f>
        <v/>
      </c>
      <c r="Q18">
        <f>IF(A18&lt;&gt;"",ROW(),"")</f>
        <v/>
      </c>
      <c r="R18" s="42">
        <f>IF(P18="",0,_xlfn.MAXIFS(TrocasEquip!$A$2:$A$1000,TrocasEquip!$B$2:$B$1000,P18))</f>
        <v/>
      </c>
      <c r="S18" s="43" t="inlineStr">
        <is>
          <t>Horizontal 06</t>
        </is>
      </c>
      <c r="T18" s="44" t="n">
        <v>3300000</v>
      </c>
      <c r="U18" s="47" t="n">
        <v>46235</v>
      </c>
      <c r="V18" s="44" t="n"/>
      <c r="W18">
        <f>IF(R18=0,0,MATCH(1,INDEX((TrocasEquip!$B$2:$B$1000=P18)*(TrocasEquip!$A$2:$A$1000=R18),0),0))</f>
        <v/>
      </c>
    </row>
    <row r="19">
      <c r="A19" s="7">
        <f>IF(S19="","",IF(W19=0,S19,INDEX(TrocasEquip!$G$2:$G$1000,W19)))</f>
        <v/>
      </c>
      <c r="B19" s="39" t="inlineStr">
        <is>
          <t>Horizontal</t>
        </is>
      </c>
      <c r="C19" s="32">
        <f>IF(B19="","",IF(B19="Molde","corridas",IF(B19="Oscilador","dias","t")))</f>
        <v/>
      </c>
      <c r="D19" s="39" t="n">
        <v>4</v>
      </c>
      <c r="E19" s="34">
        <f>IF(W19=0,T19,IF(INDEX(TrocasEquip!$H$2:$H$1000,W19)="",T19,INDEX(TrocasEquip!$H$2:$H$1000,W19)))</f>
        <v/>
      </c>
      <c r="F19" s="36">
        <f>IF(W19=0,IF(U19="","",U19),R19)</f>
        <v/>
      </c>
      <c r="G19" s="34">
        <f>IF(W19=0,V19,N(INDEX(TrocasEquip!$I$2:$I$1000,W19)))</f>
        <v/>
      </c>
      <c r="H19" s="34">
        <f>IF(A19="","",IF(C19="corridas",SUMIFS(Historico!$E:$E,Historico!$B:$B,L19,Historico!$A:$A,SUMPRODUCT(MAX((Historico!$B$2:$B$5000=L19)*Historico!$A$2:$A$5000))),N(G19)+IF(F19="",0,IF(C19="dias",MAX(0,TODAY()-F19),IF(D19=2,SUMIFS(Producao!$D:$D,Producao!$A:$A,"&gt;="&amp;F19),IF(D19=3,SUMIFS(Producao!$E:$E,Producao!$A:$A,"&gt;="&amp;F19),SUMIFS(Producao!$B:$B,Producao!$A:$A,"&gt;="&amp;F19)))))))</f>
        <v/>
      </c>
      <c r="I19" s="34">
        <f>IF(OR(A19="",E19=""),"",E19-H19)</f>
        <v/>
      </c>
      <c r="J19" s="35">
        <f>IF(OR(A19="",N(E19)&lt;=0),"",H19/E19)</f>
        <v/>
      </c>
      <c r="K19" s="32">
        <f>IF(I19="","",IF(I19&lt;0,"Além da meta",IF(J19&gt;=Regras!$B$3,"Atenção","OK")))</f>
        <v/>
      </c>
      <c r="L19" s="39" t="n"/>
      <c r="M19">
        <f>IF(J19="",-1,J19+ROW()/1000000000)</f>
        <v/>
      </c>
      <c r="N19" s="41" t="inlineStr">
        <is>
          <t>Horizontal 07</t>
        </is>
      </c>
      <c r="O19" s="41" t="n"/>
      <c r="P19" s="7">
        <f>IF(OR(N19="",L19=""),"",L19&amp;" - "&amp;N19)</f>
        <v/>
      </c>
      <c r="Q19">
        <f>IF(A19&lt;&gt;"",ROW(),"")</f>
        <v/>
      </c>
      <c r="R19" s="42">
        <f>IF(P19="",0,_xlfn.MAXIFS(TrocasEquip!$A$2:$A$1000,TrocasEquip!$B$2:$B$1000,P19))</f>
        <v/>
      </c>
      <c r="S19" s="43" t="inlineStr">
        <is>
          <t>Horizontal 07</t>
        </is>
      </c>
      <c r="T19" s="44" t="n">
        <v>3300000</v>
      </c>
      <c r="U19" s="47" t="n">
        <v>46235</v>
      </c>
      <c r="V19" s="44" t="n"/>
      <c r="W19">
        <f>IF(R19=0,0,MATCH(1,INDEX((TrocasEquip!$B$2:$B$1000=P19)*(TrocasEquip!$A$2:$A$1000=R19),0),0))</f>
        <v/>
      </c>
    </row>
    <row r="20">
      <c r="A20" s="7">
        <f>IF(S20="","",IF(W20=0,S20,INDEX(TrocasEquip!$G$2:$G$1000,W20)))</f>
        <v/>
      </c>
      <c r="B20" s="39" t="inlineStr">
        <is>
          <t>Horizontal</t>
        </is>
      </c>
      <c r="C20" s="32">
        <f>IF(B20="","",IF(B20="Molde","corridas",IF(B20="Oscilador","dias","t")))</f>
        <v/>
      </c>
      <c r="D20" s="39" t="n">
        <v>4</v>
      </c>
      <c r="E20" s="34">
        <f>IF(W20=0,T20,IF(INDEX(TrocasEquip!$H$2:$H$1000,W20)="",T20,INDEX(TrocasEquip!$H$2:$H$1000,W20)))</f>
        <v/>
      </c>
      <c r="F20" s="36">
        <f>IF(W20=0,IF(U20="","",U20),R20)</f>
        <v/>
      </c>
      <c r="G20" s="34">
        <f>IF(W20=0,V20,N(INDEX(TrocasEquip!$I$2:$I$1000,W20)))</f>
        <v/>
      </c>
      <c r="H20" s="34">
        <f>IF(A20="","",IF(C20="corridas",SUMIFS(Historico!$E:$E,Historico!$B:$B,L20,Historico!$A:$A,SUMPRODUCT(MAX((Historico!$B$2:$B$5000=L20)*Historico!$A$2:$A$5000))),N(G20)+IF(F20="",0,IF(C20="dias",MAX(0,TODAY()-F20),IF(D20=2,SUMIFS(Producao!$D:$D,Producao!$A:$A,"&gt;="&amp;F20),IF(D20=3,SUMIFS(Producao!$E:$E,Producao!$A:$A,"&gt;="&amp;F20),SUMIFS(Producao!$B:$B,Producao!$A:$A,"&gt;="&amp;F20)))))))</f>
        <v/>
      </c>
      <c r="I20" s="34">
        <f>IF(OR(A20="",E20=""),"",E20-H20)</f>
        <v/>
      </c>
      <c r="J20" s="35">
        <f>IF(OR(A20="",N(E20)&lt;=0),"",H20/E20)</f>
        <v/>
      </c>
      <c r="K20" s="32">
        <f>IF(I20="","",IF(I20&lt;0,"Além da meta",IF(J20&gt;=Regras!$B$3,"Atenção","OK")))</f>
        <v/>
      </c>
      <c r="L20" s="39" t="n"/>
      <c r="M20">
        <f>IF(J20="",-1,J20+ROW()/1000000000)</f>
        <v/>
      </c>
      <c r="N20" s="41" t="inlineStr">
        <is>
          <t>Horizontal 08</t>
        </is>
      </c>
      <c r="O20" s="41" t="n"/>
      <c r="P20" s="7">
        <f>IF(OR(N20="",L20=""),"",L20&amp;" - "&amp;N20)</f>
        <v/>
      </c>
      <c r="Q20">
        <f>IF(A20&lt;&gt;"",ROW(),"")</f>
        <v/>
      </c>
      <c r="R20" s="42">
        <f>IF(P20="",0,_xlfn.MAXIFS(TrocasEquip!$A$2:$A$1000,TrocasEquip!$B$2:$B$1000,P20))</f>
        <v/>
      </c>
      <c r="S20" s="43" t="inlineStr">
        <is>
          <t>Horizontal 08</t>
        </is>
      </c>
      <c r="T20" s="44" t="n">
        <v>3300000</v>
      </c>
      <c r="U20" s="47" t="n">
        <v>46235</v>
      </c>
      <c r="V20" s="44" t="n"/>
      <c r="W20">
        <f>IF(R20=0,0,MATCH(1,INDEX((TrocasEquip!$B$2:$B$1000=P20)*(TrocasEquip!$A$2:$A$1000=R20),0),0))</f>
        <v/>
      </c>
    </row>
    <row r="21">
      <c r="A21" s="7">
        <f>IF(S21="","",IF(W21=0,S21,INDEX(TrocasEquip!$G$2:$G$1000,W21)))</f>
        <v/>
      </c>
      <c r="B21" s="39" t="inlineStr">
        <is>
          <t>Horizontal</t>
        </is>
      </c>
      <c r="C21" s="32">
        <f>IF(B21="","",IF(B21="Molde","corridas",IF(B21="Oscilador","dias","t")))</f>
        <v/>
      </c>
      <c r="D21" s="39" t="n">
        <v>4</v>
      </c>
      <c r="E21" s="34">
        <f>IF(W21=0,T21,IF(INDEX(TrocasEquip!$H$2:$H$1000,W21)="",T21,INDEX(TrocasEquip!$H$2:$H$1000,W21)))</f>
        <v/>
      </c>
      <c r="F21" s="36">
        <f>IF(W21=0,IF(U21="","",U21),R21)</f>
        <v/>
      </c>
      <c r="G21" s="34">
        <f>IF(W21=0,V21,N(INDEX(TrocasEquip!$I$2:$I$1000,W21)))</f>
        <v/>
      </c>
      <c r="H21" s="34">
        <f>IF(A21="","",IF(C21="corridas",SUMIFS(Historico!$E:$E,Historico!$B:$B,L21,Historico!$A:$A,SUMPRODUCT(MAX((Historico!$B$2:$B$5000=L21)*Historico!$A$2:$A$5000))),N(G21)+IF(F21="",0,IF(C21="dias",MAX(0,TODAY()-F21),IF(D21=2,SUMIFS(Producao!$D:$D,Producao!$A:$A,"&gt;="&amp;F21),IF(D21=3,SUMIFS(Producao!$E:$E,Producao!$A:$A,"&gt;="&amp;F21),SUMIFS(Producao!$B:$B,Producao!$A:$A,"&gt;="&amp;F21)))))))</f>
        <v/>
      </c>
      <c r="I21" s="34">
        <f>IF(OR(A21="",E21=""),"",E21-H21)</f>
        <v/>
      </c>
      <c r="J21" s="35">
        <f>IF(OR(A21="",N(E21)&lt;=0),"",H21/E21)</f>
        <v/>
      </c>
      <c r="K21" s="32">
        <f>IF(I21="","",IF(I21&lt;0,"Além da meta",IF(J21&gt;=Regras!$B$3,"Atenção","OK")))</f>
        <v/>
      </c>
      <c r="L21" s="39" t="n"/>
      <c r="M21">
        <f>IF(J21="",-1,J21+ROW()/1000000000)</f>
        <v/>
      </c>
      <c r="N21" s="41" t="inlineStr">
        <is>
          <t>Horizontal 09</t>
        </is>
      </c>
      <c r="O21" s="41" t="n"/>
      <c r="P21" s="7">
        <f>IF(OR(N21="",L21=""),"",L21&amp;" - "&amp;N21)</f>
        <v/>
      </c>
      <c r="Q21">
        <f>IF(A21&lt;&gt;"",ROW(),"")</f>
        <v/>
      </c>
      <c r="R21" s="42">
        <f>IF(P21="",0,_xlfn.MAXIFS(TrocasEquip!$A$2:$A$1000,TrocasEquip!$B$2:$B$1000,P21))</f>
        <v/>
      </c>
      <c r="S21" s="43" t="inlineStr">
        <is>
          <t>Horizontal 09</t>
        </is>
      </c>
      <c r="T21" s="44" t="n">
        <v>3300000</v>
      </c>
      <c r="U21" s="47" t="n">
        <v>46235</v>
      </c>
      <c r="V21" s="44" t="n"/>
      <c r="W21">
        <f>IF(R21=0,0,MATCH(1,INDEX((TrocasEquip!$B$2:$B$1000=P21)*(TrocasEquip!$A$2:$A$1000=R21),0),0))</f>
        <v/>
      </c>
    </row>
    <row r="22">
      <c r="A22" s="7">
        <f>IF(S22="","",IF(W22=0,S22,INDEX(TrocasEquip!$G$2:$G$1000,W22)))</f>
        <v/>
      </c>
      <c r="B22" s="39" t="inlineStr">
        <is>
          <t>Horizontal</t>
        </is>
      </c>
      <c r="C22" s="32">
        <f>IF(B22="","",IF(B22="Molde","corridas",IF(B22="Oscilador","dias","t")))</f>
        <v/>
      </c>
      <c r="D22" s="39" t="n">
        <v>4</v>
      </c>
      <c r="E22" s="34">
        <f>IF(W22=0,T22,IF(INDEX(TrocasEquip!$H$2:$H$1000,W22)="",T22,INDEX(TrocasEquip!$H$2:$H$1000,W22)))</f>
        <v/>
      </c>
      <c r="F22" s="36">
        <f>IF(W22=0,IF(U22="","",U22),R22)</f>
        <v/>
      </c>
      <c r="G22" s="34">
        <f>IF(W22=0,V22,N(INDEX(TrocasEquip!$I$2:$I$1000,W22)))</f>
        <v/>
      </c>
      <c r="H22" s="34">
        <f>IF(A22="","",IF(C22="corridas",SUMIFS(Historico!$E:$E,Historico!$B:$B,L22,Historico!$A:$A,SUMPRODUCT(MAX((Historico!$B$2:$B$5000=L22)*Historico!$A$2:$A$5000))),N(G22)+IF(F22="",0,IF(C22="dias",MAX(0,TODAY()-F22),IF(D22=2,SUMIFS(Producao!$D:$D,Producao!$A:$A,"&gt;="&amp;F22),IF(D22=3,SUMIFS(Producao!$E:$E,Producao!$A:$A,"&gt;="&amp;F22),SUMIFS(Producao!$B:$B,Producao!$A:$A,"&gt;="&amp;F22)))))))</f>
        <v/>
      </c>
      <c r="I22" s="34">
        <f>IF(OR(A22="",E22=""),"",E22-H22)</f>
        <v/>
      </c>
      <c r="J22" s="35">
        <f>IF(OR(A22="",N(E22)&lt;=0),"",H22/E22)</f>
        <v/>
      </c>
      <c r="K22" s="32">
        <f>IF(I22="","",IF(I22&lt;0,"Além da meta",IF(J22&gt;=Regras!$B$3,"Atenção","OK")))</f>
        <v/>
      </c>
      <c r="L22" s="39" t="n"/>
      <c r="M22">
        <f>IF(J22="",-1,J22+ROW()/1000000000)</f>
        <v/>
      </c>
      <c r="N22" s="41" t="inlineStr">
        <is>
          <t>Horizontal 10</t>
        </is>
      </c>
      <c r="O22" s="41" t="n"/>
      <c r="P22" s="7">
        <f>IF(OR(N22="",L22=""),"",L22&amp;" - "&amp;N22)</f>
        <v/>
      </c>
      <c r="Q22">
        <f>IF(A22&lt;&gt;"",ROW(),"")</f>
        <v/>
      </c>
      <c r="R22" s="42">
        <f>IF(P22="",0,_xlfn.MAXIFS(TrocasEquip!$A$2:$A$1000,TrocasEquip!$B$2:$B$1000,P22))</f>
        <v/>
      </c>
      <c r="S22" s="43" t="inlineStr">
        <is>
          <t>Horizontal 10</t>
        </is>
      </c>
      <c r="T22" s="44" t="n">
        <v>3300000</v>
      </c>
      <c r="U22" s="47" t="n">
        <v>46235</v>
      </c>
      <c r="V22" s="44" t="n"/>
      <c r="W22">
        <f>IF(R22=0,0,MATCH(1,INDEX((TrocasEquip!$B$2:$B$1000=P22)*(TrocasEquip!$A$2:$A$1000=R22),0),0))</f>
        <v/>
      </c>
    </row>
    <row r="23">
      <c r="A23" s="7">
        <f>IF(S23="","",IF(W23=0,S23,INDEX(TrocasEquip!$G$2:$G$1000,W23)))</f>
        <v/>
      </c>
      <c r="B23" s="39" t="n"/>
      <c r="C23" s="32">
        <f>IF(B23="","",IF(B23="Molde","corridas",IF(B23="Oscilador","dias","t")))</f>
        <v/>
      </c>
      <c r="D23" s="39" t="n"/>
      <c r="E23" s="34">
        <f>IF(W23=0,T23,IF(INDEX(TrocasEquip!$H$2:$H$1000,W23)="",T23,INDEX(TrocasEquip!$H$2:$H$1000,W23)))</f>
        <v/>
      </c>
      <c r="F23" s="36">
        <f>IF(W23=0,IF(U23="","",U23),R23)</f>
        <v/>
      </c>
      <c r="G23" s="34">
        <f>IF(W23=0,V23,N(INDEX(TrocasEquip!$I$2:$I$1000,W23)))</f>
        <v/>
      </c>
      <c r="H23" s="34">
        <f>IF(A23="","",IF(C23="corridas",SUMIFS(Historico!$E:$E,Historico!$B:$B,L23,Historico!$A:$A,SUMPRODUCT(MAX((Historico!$B$2:$B$5000=L23)*Historico!$A$2:$A$5000))),N(G23)+IF(F23="",0,IF(C23="dias",MAX(0,TODAY()-F23),IF(D23=2,SUMIFS(Producao!$D:$D,Producao!$A:$A,"&gt;="&amp;F23),IF(D23=3,SUMIFS(Producao!$E:$E,Producao!$A:$A,"&gt;="&amp;F23),SUMIFS(Producao!$B:$B,Producao!$A:$A,"&gt;="&amp;F23)))))))</f>
        <v/>
      </c>
      <c r="I23" s="34">
        <f>IF(OR(A23="",E23=""),"",E23-H23)</f>
        <v/>
      </c>
      <c r="J23" s="35">
        <f>IF(OR(A23="",N(E23)&lt;=0),"",H23/E23)</f>
        <v/>
      </c>
      <c r="K23" s="32">
        <f>IF(I23="","",IF(I23&lt;0,"Além da meta",IF(J23&gt;=Regras!$B$3,"Atenção","OK")))</f>
        <v/>
      </c>
      <c r="L23" s="39" t="n"/>
      <c r="M23">
        <f>IF(J23="",-1,J23+ROW()/1000000000)</f>
        <v/>
      </c>
      <c r="N23" s="41" t="n"/>
      <c r="O23" s="41" t="n"/>
      <c r="P23" s="7">
        <f>IF(OR(N23="",L23=""),"",L23&amp;" - "&amp;N23)</f>
        <v/>
      </c>
      <c r="Q23">
        <f>IF(A23&lt;&gt;"",ROW(),"")</f>
        <v/>
      </c>
      <c r="R23" s="42">
        <f>IF(P23="",0,_xlfn.MAXIFS(TrocasEquip!$A$2:$A$1000,TrocasEquip!$B$2:$B$1000,P23))</f>
        <v/>
      </c>
      <c r="S23" s="43" t="n"/>
      <c r="T23" s="44" t="n"/>
      <c r="U23" s="47" t="n"/>
      <c r="V23" s="44" t="n"/>
      <c r="W23">
        <f>IF(R23=0,0,MATCH(1,INDEX((TrocasEquip!$B$2:$B$1000=P23)*(TrocasEquip!$A$2:$A$1000=R23),0),0))</f>
        <v/>
      </c>
    </row>
    <row r="24">
      <c r="A24" s="7">
        <f>IF(S24="","",IF(W24=0,S24,INDEX(TrocasEquip!$G$2:$G$1000,W24)))</f>
        <v/>
      </c>
      <c r="B24" s="39" t="n"/>
      <c r="C24" s="32">
        <f>IF(B24="","",IF(B24="Molde","corridas",IF(B24="Oscilador","dias","t")))</f>
        <v/>
      </c>
      <c r="D24" s="39" t="n"/>
      <c r="E24" s="34">
        <f>IF(W24=0,T24,IF(INDEX(TrocasEquip!$H$2:$H$1000,W24)="",T24,INDEX(TrocasEquip!$H$2:$H$1000,W24)))</f>
        <v/>
      </c>
      <c r="F24" s="36">
        <f>IF(W24=0,IF(U24="","",U24),R24)</f>
        <v/>
      </c>
      <c r="G24" s="34">
        <f>IF(W24=0,V24,N(INDEX(TrocasEquip!$I$2:$I$1000,W24)))</f>
        <v/>
      </c>
      <c r="H24" s="34">
        <f>IF(A24="","",IF(C24="corridas",SUMIFS(Historico!$E:$E,Historico!$B:$B,L24,Historico!$A:$A,SUMPRODUCT(MAX((Historico!$B$2:$B$5000=L24)*Historico!$A$2:$A$5000))),N(G24)+IF(F24="",0,IF(C24="dias",MAX(0,TODAY()-F24),IF(D24=2,SUMIFS(Producao!$D:$D,Producao!$A:$A,"&gt;="&amp;F24),IF(D24=3,SUMIFS(Producao!$E:$E,Producao!$A:$A,"&gt;="&amp;F24),SUMIFS(Producao!$B:$B,Producao!$A:$A,"&gt;="&amp;F24)))))))</f>
        <v/>
      </c>
      <c r="I24" s="34">
        <f>IF(OR(A24="",E24=""),"",E24-H24)</f>
        <v/>
      </c>
      <c r="J24" s="35">
        <f>IF(OR(A24="",N(E24)&lt;=0),"",H24/E24)</f>
        <v/>
      </c>
      <c r="K24" s="32">
        <f>IF(I24="","",IF(I24&lt;0,"Além da meta",IF(J24&gt;=Regras!$B$3,"Atenção","OK")))</f>
        <v/>
      </c>
      <c r="L24" s="39" t="n"/>
      <c r="M24">
        <f>IF(J24="",-1,J24+ROW()/1000000000)</f>
        <v/>
      </c>
      <c r="N24" s="41" t="n"/>
      <c r="O24" s="41" t="n"/>
      <c r="P24" s="7">
        <f>IF(OR(N24="",L24=""),"",L24&amp;" - "&amp;N24)</f>
        <v/>
      </c>
      <c r="Q24">
        <f>IF(A24&lt;&gt;"",ROW(),"")</f>
        <v/>
      </c>
      <c r="R24" s="42">
        <f>IF(P24="",0,_xlfn.MAXIFS(TrocasEquip!$A$2:$A$1000,TrocasEquip!$B$2:$B$1000,P24))</f>
        <v/>
      </c>
      <c r="S24" s="43" t="n"/>
      <c r="T24" s="44" t="n"/>
      <c r="U24" s="47" t="n"/>
      <c r="V24" s="44" t="n"/>
      <c r="W24">
        <f>IF(R24=0,0,MATCH(1,INDEX((TrocasEquip!$B$2:$B$1000=P24)*(TrocasEquip!$A$2:$A$1000=R24),0),0))</f>
        <v/>
      </c>
    </row>
    <row r="25">
      <c r="A25" s="7">
        <f>IF(S25="","",IF(W25=0,S25,INDEX(TrocasEquip!$G$2:$G$1000,W25)))</f>
        <v/>
      </c>
      <c r="B25" s="39" t="n"/>
      <c r="C25" s="32">
        <f>IF(B25="","",IF(B25="Molde","corridas",IF(B25="Oscilador","dias","t")))</f>
        <v/>
      </c>
      <c r="D25" s="39" t="n"/>
      <c r="E25" s="34">
        <f>IF(W25=0,T25,IF(INDEX(TrocasEquip!$H$2:$H$1000,W25)="",T25,INDEX(TrocasEquip!$H$2:$H$1000,W25)))</f>
        <v/>
      </c>
      <c r="F25" s="36">
        <f>IF(W25=0,IF(U25="","",U25),R25)</f>
        <v/>
      </c>
      <c r="G25" s="34">
        <f>IF(W25=0,V25,N(INDEX(TrocasEquip!$I$2:$I$1000,W25)))</f>
        <v/>
      </c>
      <c r="H25" s="34">
        <f>IF(A25="","",IF(C25="corridas",SUMIFS(Historico!$E:$E,Historico!$B:$B,L25,Historico!$A:$A,SUMPRODUCT(MAX((Historico!$B$2:$B$5000=L25)*Historico!$A$2:$A$5000))),N(G25)+IF(F25="",0,IF(C25="dias",MAX(0,TODAY()-F25),IF(D25=2,SUMIFS(Producao!$D:$D,Producao!$A:$A,"&gt;="&amp;F25),IF(D25=3,SUMIFS(Producao!$E:$E,Producao!$A:$A,"&gt;="&amp;F25),SUMIFS(Producao!$B:$B,Producao!$A:$A,"&gt;="&amp;F25)))))))</f>
        <v/>
      </c>
      <c r="I25" s="34">
        <f>IF(OR(A25="",E25=""),"",E25-H25)</f>
        <v/>
      </c>
      <c r="J25" s="35">
        <f>IF(OR(A25="",N(E25)&lt;=0),"",H25/E25)</f>
        <v/>
      </c>
      <c r="K25" s="32">
        <f>IF(I25="","",IF(I25&lt;0,"Além da meta",IF(J25&gt;=Regras!$B$3,"Atenção","OK")))</f>
        <v/>
      </c>
      <c r="L25" s="39" t="n"/>
      <c r="M25">
        <f>IF(J25="",-1,J25+ROW()/1000000000)</f>
        <v/>
      </c>
      <c r="N25" s="41" t="n"/>
      <c r="O25" s="41" t="n"/>
      <c r="P25" s="7">
        <f>IF(OR(N25="",L25=""),"",L25&amp;" - "&amp;N25)</f>
        <v/>
      </c>
      <c r="Q25">
        <f>IF(A25&lt;&gt;"",ROW(),"")</f>
        <v/>
      </c>
      <c r="R25" s="42">
        <f>IF(P25="",0,_xlfn.MAXIFS(TrocasEquip!$A$2:$A$1000,TrocasEquip!$B$2:$B$1000,P25))</f>
        <v/>
      </c>
      <c r="S25" s="43" t="n"/>
      <c r="T25" s="44" t="n"/>
      <c r="U25" s="47" t="n"/>
      <c r="V25" s="44" t="n"/>
      <c r="W25">
        <f>IF(R25=0,0,MATCH(1,INDEX((TrocasEquip!$B$2:$B$1000=P25)*(TrocasEquip!$A$2:$A$1000=R25),0),0))</f>
        <v/>
      </c>
    </row>
    <row r="26">
      <c r="A26" s="7">
        <f>IF(S26="","",IF(W26=0,S26,INDEX(TrocasEquip!$G$2:$G$1000,W26)))</f>
        <v/>
      </c>
      <c r="B26" s="39" t="n"/>
      <c r="C26" s="32">
        <f>IF(B26="","",IF(B26="Molde","corridas",IF(B26="Oscilador","dias","t")))</f>
        <v/>
      </c>
      <c r="D26" s="39" t="n"/>
      <c r="E26" s="34">
        <f>IF(W26=0,T26,IF(INDEX(TrocasEquip!$H$2:$H$1000,W26)="",T26,INDEX(TrocasEquip!$H$2:$H$1000,W26)))</f>
        <v/>
      </c>
      <c r="F26" s="36">
        <f>IF(W26=0,IF(U26="","",U26),R26)</f>
        <v/>
      </c>
      <c r="G26" s="34">
        <f>IF(W26=0,V26,N(INDEX(TrocasEquip!$I$2:$I$1000,W26)))</f>
        <v/>
      </c>
      <c r="H26" s="34">
        <f>IF(A26="","",IF(C26="corridas",SUMIFS(Historico!$E:$E,Historico!$B:$B,L26,Historico!$A:$A,SUMPRODUCT(MAX((Historico!$B$2:$B$5000=L26)*Historico!$A$2:$A$5000))),N(G26)+IF(F26="",0,IF(C26="dias",MAX(0,TODAY()-F26),IF(D26=2,SUMIFS(Producao!$D:$D,Producao!$A:$A,"&gt;="&amp;F26),IF(D26=3,SUMIFS(Producao!$E:$E,Producao!$A:$A,"&gt;="&amp;F26),SUMIFS(Producao!$B:$B,Producao!$A:$A,"&gt;="&amp;F26)))))))</f>
        <v/>
      </c>
      <c r="I26" s="34">
        <f>IF(OR(A26="",E26=""),"",E26-H26)</f>
        <v/>
      </c>
      <c r="J26" s="35">
        <f>IF(OR(A26="",N(E26)&lt;=0),"",H26/E26)</f>
        <v/>
      </c>
      <c r="K26" s="32">
        <f>IF(I26="","",IF(I26&lt;0,"Além da meta",IF(J26&gt;=Regras!$B$3,"Atenção","OK")))</f>
        <v/>
      </c>
      <c r="L26" s="39" t="n"/>
      <c r="M26">
        <f>IF(J26="",-1,J26+ROW()/1000000000)</f>
        <v/>
      </c>
      <c r="N26" s="41" t="n"/>
      <c r="O26" s="41" t="n"/>
      <c r="P26" s="7">
        <f>IF(OR(N26="",L26=""),"",L26&amp;" - "&amp;N26)</f>
        <v/>
      </c>
      <c r="Q26">
        <f>IF(A26&lt;&gt;"",ROW(),"")</f>
        <v/>
      </c>
      <c r="R26" s="42">
        <f>IF(P26="",0,_xlfn.MAXIFS(TrocasEquip!$A$2:$A$1000,TrocasEquip!$B$2:$B$1000,P26))</f>
        <v/>
      </c>
      <c r="S26" s="43" t="n"/>
      <c r="T26" s="44" t="n"/>
      <c r="U26" s="47" t="n"/>
      <c r="V26" s="44" t="n"/>
      <c r="W26">
        <f>IF(R26=0,0,MATCH(1,INDEX((TrocasEquip!$B$2:$B$1000=P26)*(TrocasEquip!$A$2:$A$1000=R26),0),0))</f>
        <v/>
      </c>
    </row>
    <row r="27">
      <c r="A27" s="7">
        <f>IF(S27="","",IF(W27=0,S27,INDEX(TrocasEquip!$G$2:$G$1000,W27)))</f>
        <v/>
      </c>
      <c r="B27" s="39" t="n"/>
      <c r="C27" s="32">
        <f>IF(B27="","",IF(B27="Molde","corridas",IF(B27="Oscilador","dias","t")))</f>
        <v/>
      </c>
      <c r="D27" s="39" t="n"/>
      <c r="E27" s="34">
        <f>IF(W27=0,T27,IF(INDEX(TrocasEquip!$H$2:$H$1000,W27)="",T27,INDEX(TrocasEquip!$H$2:$H$1000,W27)))</f>
        <v/>
      </c>
      <c r="F27" s="36">
        <f>IF(W27=0,IF(U27="","",U27),R27)</f>
        <v/>
      </c>
      <c r="G27" s="34">
        <f>IF(W27=0,V27,N(INDEX(TrocasEquip!$I$2:$I$1000,W27)))</f>
        <v/>
      </c>
      <c r="H27" s="34">
        <f>IF(A27="","",IF(C27="corridas",SUMIFS(Historico!$E:$E,Historico!$B:$B,L27,Historico!$A:$A,SUMPRODUCT(MAX((Historico!$B$2:$B$5000=L27)*Historico!$A$2:$A$5000))),N(G27)+IF(F27="",0,IF(C27="dias",MAX(0,TODAY()-F27),IF(D27=2,SUMIFS(Producao!$D:$D,Producao!$A:$A,"&gt;="&amp;F27),IF(D27=3,SUMIFS(Producao!$E:$E,Producao!$A:$A,"&gt;="&amp;F27),SUMIFS(Producao!$B:$B,Producao!$A:$A,"&gt;="&amp;F27)))))))</f>
        <v/>
      </c>
      <c r="I27" s="34">
        <f>IF(OR(A27="",E27=""),"",E27-H27)</f>
        <v/>
      </c>
      <c r="J27" s="35">
        <f>IF(OR(A27="",N(E27)&lt;=0),"",H27/E27)</f>
        <v/>
      </c>
      <c r="K27" s="32">
        <f>IF(I27="","",IF(I27&lt;0,"Além da meta",IF(J27&gt;=Regras!$B$3,"Atenção","OK")))</f>
        <v/>
      </c>
      <c r="L27" s="39" t="n"/>
      <c r="M27">
        <f>IF(J27="",-1,J27+ROW()/1000000000)</f>
        <v/>
      </c>
      <c r="N27" s="41" t="n"/>
      <c r="O27" s="41" t="n"/>
      <c r="P27" s="7">
        <f>IF(OR(N27="",L27=""),"",L27&amp;" - "&amp;N27)</f>
        <v/>
      </c>
      <c r="Q27">
        <f>IF(A27&lt;&gt;"",ROW(),"")</f>
        <v/>
      </c>
      <c r="R27" s="42">
        <f>IF(P27="",0,_xlfn.MAXIFS(TrocasEquip!$A$2:$A$1000,TrocasEquip!$B$2:$B$1000,P27))</f>
        <v/>
      </c>
      <c r="S27" s="43" t="n"/>
      <c r="T27" s="44" t="n"/>
      <c r="U27" s="47" t="n"/>
      <c r="V27" s="44" t="n"/>
      <c r="W27">
        <f>IF(R27=0,0,MATCH(1,INDEX((TrocasEquip!$B$2:$B$1000=P27)*(TrocasEquip!$A$2:$A$1000=R27),0),0))</f>
        <v/>
      </c>
    </row>
    <row r="28">
      <c r="A28" s="7">
        <f>IF(S28="","",IF(W28=0,S28,INDEX(TrocasEquip!$G$2:$G$1000,W28)))</f>
        <v/>
      </c>
      <c r="B28" s="39" t="n"/>
      <c r="C28" s="32">
        <f>IF(B28="","",IF(B28="Molde","corridas",IF(B28="Oscilador","dias","t")))</f>
        <v/>
      </c>
      <c r="D28" s="39" t="n"/>
      <c r="E28" s="34">
        <f>IF(W28=0,T28,IF(INDEX(TrocasEquip!$H$2:$H$1000,W28)="",T28,INDEX(TrocasEquip!$H$2:$H$1000,W28)))</f>
        <v/>
      </c>
      <c r="F28" s="36">
        <f>IF(W28=0,IF(U28="","",U28),R28)</f>
        <v/>
      </c>
      <c r="G28" s="34">
        <f>IF(W28=0,V28,N(INDEX(TrocasEquip!$I$2:$I$1000,W28)))</f>
        <v/>
      </c>
      <c r="H28" s="34">
        <f>IF(A28="","",IF(C28="corridas",SUMIFS(Historico!$E:$E,Historico!$B:$B,L28,Historico!$A:$A,SUMPRODUCT(MAX((Historico!$B$2:$B$5000=L28)*Historico!$A$2:$A$5000))),N(G28)+IF(F28="",0,IF(C28="dias",MAX(0,TODAY()-F28),IF(D28=2,SUMIFS(Producao!$D:$D,Producao!$A:$A,"&gt;="&amp;F28),IF(D28=3,SUMIFS(Producao!$E:$E,Producao!$A:$A,"&gt;="&amp;F28),SUMIFS(Producao!$B:$B,Producao!$A:$A,"&gt;="&amp;F28)))))))</f>
        <v/>
      </c>
      <c r="I28" s="34">
        <f>IF(OR(A28="",E28=""),"",E28-H28)</f>
        <v/>
      </c>
      <c r="J28" s="35">
        <f>IF(OR(A28="",N(E28)&lt;=0),"",H28/E28)</f>
        <v/>
      </c>
      <c r="K28" s="32">
        <f>IF(I28="","",IF(I28&lt;0,"Além da meta",IF(J28&gt;=Regras!$B$3,"Atenção","OK")))</f>
        <v/>
      </c>
      <c r="L28" s="39" t="n"/>
      <c r="M28">
        <f>IF(J28="",-1,J28+ROW()/1000000000)</f>
        <v/>
      </c>
      <c r="N28" s="41" t="n"/>
      <c r="O28" s="41" t="n"/>
      <c r="P28" s="7">
        <f>IF(OR(N28="",L28=""),"",L28&amp;" - "&amp;N28)</f>
        <v/>
      </c>
      <c r="Q28">
        <f>IF(A28&lt;&gt;"",ROW(),"")</f>
        <v/>
      </c>
      <c r="R28" s="42">
        <f>IF(P28="",0,_xlfn.MAXIFS(TrocasEquip!$A$2:$A$1000,TrocasEquip!$B$2:$B$1000,P28))</f>
        <v/>
      </c>
      <c r="S28" s="43" t="n"/>
      <c r="T28" s="44" t="n"/>
      <c r="U28" s="47" t="n"/>
      <c r="V28" s="44" t="n"/>
      <c r="W28">
        <f>IF(R28=0,0,MATCH(1,INDEX((TrocasEquip!$B$2:$B$1000=P28)*(TrocasEquip!$A$2:$A$1000=R28),0),0))</f>
        <v/>
      </c>
    </row>
    <row r="29">
      <c r="A29" s="7">
        <f>IF(S29="","",IF(W29=0,S29,INDEX(TrocasEquip!$G$2:$G$1000,W29)))</f>
        <v/>
      </c>
      <c r="B29" s="39" t="n"/>
      <c r="C29" s="32">
        <f>IF(B29="","",IF(B29="Molde","corridas",IF(B29="Oscilador","dias","t")))</f>
        <v/>
      </c>
      <c r="D29" s="39" t="n"/>
      <c r="E29" s="34">
        <f>IF(W29=0,T29,IF(INDEX(TrocasEquip!$H$2:$H$1000,W29)="",T29,INDEX(TrocasEquip!$H$2:$H$1000,W29)))</f>
        <v/>
      </c>
      <c r="F29" s="36">
        <f>IF(W29=0,IF(U29="","",U29),R29)</f>
        <v/>
      </c>
      <c r="G29" s="34">
        <f>IF(W29=0,V29,N(INDEX(TrocasEquip!$I$2:$I$1000,W29)))</f>
        <v/>
      </c>
      <c r="H29" s="34">
        <f>IF(A29="","",IF(C29="corridas",SUMIFS(Historico!$E:$E,Historico!$B:$B,L29,Historico!$A:$A,SUMPRODUCT(MAX((Historico!$B$2:$B$5000=L29)*Historico!$A$2:$A$5000))),N(G29)+IF(F29="",0,IF(C29="dias",MAX(0,TODAY()-F29),IF(D29=2,SUMIFS(Producao!$D:$D,Producao!$A:$A,"&gt;="&amp;F29),IF(D29=3,SUMIFS(Producao!$E:$E,Producao!$A:$A,"&gt;="&amp;F29),SUMIFS(Producao!$B:$B,Producao!$A:$A,"&gt;="&amp;F29)))))))</f>
        <v/>
      </c>
      <c r="I29" s="34">
        <f>IF(OR(A29="",E29=""),"",E29-H29)</f>
        <v/>
      </c>
      <c r="J29" s="35">
        <f>IF(OR(A29="",N(E29)&lt;=0),"",H29/E29)</f>
        <v/>
      </c>
      <c r="K29" s="32">
        <f>IF(I29="","",IF(I29&lt;0,"Além da meta",IF(J29&gt;=Regras!$B$3,"Atenção","OK")))</f>
        <v/>
      </c>
      <c r="L29" s="39" t="n"/>
      <c r="M29">
        <f>IF(J29="",-1,J29+ROW()/1000000000)</f>
        <v/>
      </c>
      <c r="N29" s="41" t="n"/>
      <c r="O29" s="41" t="n"/>
      <c r="P29" s="7">
        <f>IF(OR(N29="",L29=""),"",L29&amp;" - "&amp;N29)</f>
        <v/>
      </c>
      <c r="Q29">
        <f>IF(A29&lt;&gt;"",ROW(),"")</f>
        <v/>
      </c>
      <c r="R29" s="42">
        <f>IF(P29="",0,_xlfn.MAXIFS(TrocasEquip!$A$2:$A$1000,TrocasEquip!$B$2:$B$1000,P29))</f>
        <v/>
      </c>
      <c r="S29" s="43" t="n"/>
      <c r="T29" s="44" t="n"/>
      <c r="U29" s="47" t="n"/>
      <c r="V29" s="44" t="n"/>
      <c r="W29">
        <f>IF(R29=0,0,MATCH(1,INDEX((TrocasEquip!$B$2:$B$1000=P29)*(TrocasEquip!$A$2:$A$1000=R29),0),0))</f>
        <v/>
      </c>
    </row>
    <row r="30">
      <c r="A30" s="7">
        <f>IF(S30="","",IF(W30=0,S30,INDEX(TrocasEquip!$G$2:$G$1000,W30)))</f>
        <v/>
      </c>
      <c r="B30" s="39" t="n"/>
      <c r="C30" s="32">
        <f>IF(B30="","",IF(B30="Molde","corridas",IF(B30="Oscilador","dias","t")))</f>
        <v/>
      </c>
      <c r="D30" s="39" t="n"/>
      <c r="E30" s="34">
        <f>IF(W30=0,T30,IF(INDEX(TrocasEquip!$H$2:$H$1000,W30)="",T30,INDEX(TrocasEquip!$H$2:$H$1000,W30)))</f>
        <v/>
      </c>
      <c r="F30" s="36">
        <f>IF(W30=0,IF(U30="","",U30),R30)</f>
        <v/>
      </c>
      <c r="G30" s="34">
        <f>IF(W30=0,V30,N(INDEX(TrocasEquip!$I$2:$I$1000,W30)))</f>
        <v/>
      </c>
      <c r="H30" s="34">
        <f>IF(A30="","",IF(C30="corridas",SUMIFS(Historico!$E:$E,Historico!$B:$B,L30,Historico!$A:$A,SUMPRODUCT(MAX((Historico!$B$2:$B$5000=L30)*Historico!$A$2:$A$5000))),N(G30)+IF(F30="",0,IF(C30="dias",MAX(0,TODAY()-F30),IF(D30=2,SUMIFS(Producao!$D:$D,Producao!$A:$A,"&gt;="&amp;F30),IF(D30=3,SUMIFS(Producao!$E:$E,Producao!$A:$A,"&gt;="&amp;F30),SUMIFS(Producao!$B:$B,Producao!$A:$A,"&gt;="&amp;F30)))))))</f>
        <v/>
      </c>
      <c r="I30" s="34">
        <f>IF(OR(A30="",E30=""),"",E30-H30)</f>
        <v/>
      </c>
      <c r="J30" s="35">
        <f>IF(OR(A30="",N(E30)&lt;=0),"",H30/E30)</f>
        <v/>
      </c>
      <c r="K30" s="32">
        <f>IF(I30="","",IF(I30&lt;0,"Além da meta",IF(J30&gt;=Regras!$B$3,"Atenção","OK")))</f>
        <v/>
      </c>
      <c r="L30" s="39" t="n"/>
      <c r="M30">
        <f>IF(J30="",-1,J30+ROW()/1000000000)</f>
        <v/>
      </c>
      <c r="N30" s="41" t="n"/>
      <c r="O30" s="41" t="n"/>
      <c r="P30" s="7">
        <f>IF(OR(N30="",L30=""),"",L30&amp;" - "&amp;N30)</f>
        <v/>
      </c>
      <c r="Q30">
        <f>IF(A30&lt;&gt;"",ROW(),"")</f>
        <v/>
      </c>
      <c r="R30" s="42">
        <f>IF(P30="",0,_xlfn.MAXIFS(TrocasEquip!$A$2:$A$1000,TrocasEquip!$B$2:$B$1000,P30))</f>
        <v/>
      </c>
      <c r="S30" s="43" t="n"/>
      <c r="T30" s="44" t="n"/>
      <c r="U30" s="47" t="n"/>
      <c r="V30" s="44" t="n"/>
      <c r="W30">
        <f>IF(R30=0,0,MATCH(1,INDEX((TrocasEquip!$B$2:$B$1000=P30)*(TrocasEquip!$A$2:$A$1000=R30),0),0))</f>
        <v/>
      </c>
    </row>
    <row r="31">
      <c r="A31" s="7">
        <f>IF(S31="","",IF(W31=0,S31,INDEX(TrocasEquip!$G$2:$G$1000,W31)))</f>
        <v/>
      </c>
      <c r="B31" s="39" t="n"/>
      <c r="C31" s="32">
        <f>IF(B31="","",IF(B31="Molde","corridas",IF(B31="Oscilador","dias","t")))</f>
        <v/>
      </c>
      <c r="D31" s="39" t="n"/>
      <c r="E31" s="34">
        <f>IF(W31=0,T31,IF(INDEX(TrocasEquip!$H$2:$H$1000,W31)="",T31,INDEX(TrocasEquip!$H$2:$H$1000,W31)))</f>
        <v/>
      </c>
      <c r="F31" s="36">
        <f>IF(W31=0,IF(U31="","",U31),R31)</f>
        <v/>
      </c>
      <c r="G31" s="34">
        <f>IF(W31=0,V31,N(INDEX(TrocasEquip!$I$2:$I$1000,W31)))</f>
        <v/>
      </c>
      <c r="H31" s="34">
        <f>IF(A31="","",IF(C31="corridas",SUMIFS(Historico!$E:$E,Historico!$B:$B,L31,Historico!$A:$A,SUMPRODUCT(MAX((Historico!$B$2:$B$5000=L31)*Historico!$A$2:$A$5000))),N(G31)+IF(F31="",0,IF(C31="dias",MAX(0,TODAY()-F31),IF(D31=2,SUMIFS(Producao!$D:$D,Producao!$A:$A,"&gt;="&amp;F31),IF(D31=3,SUMIFS(Producao!$E:$E,Producao!$A:$A,"&gt;="&amp;F31),SUMIFS(Producao!$B:$B,Producao!$A:$A,"&gt;="&amp;F31)))))))</f>
        <v/>
      </c>
      <c r="I31" s="34">
        <f>IF(OR(A31="",E31=""),"",E31-H31)</f>
        <v/>
      </c>
      <c r="J31" s="35">
        <f>IF(OR(A31="",N(E31)&lt;=0),"",H31/E31)</f>
        <v/>
      </c>
      <c r="K31" s="32">
        <f>IF(I31="","",IF(I31&lt;0,"Além da meta",IF(J31&gt;=Regras!$B$3,"Atenção","OK")))</f>
        <v/>
      </c>
      <c r="L31" s="39" t="n"/>
      <c r="M31">
        <f>IF(J31="",-1,J31+ROW()/1000000000)</f>
        <v/>
      </c>
      <c r="N31" s="41" t="n"/>
      <c r="O31" s="41" t="n"/>
      <c r="P31" s="7">
        <f>IF(OR(N31="",L31=""),"",L31&amp;" - "&amp;N31)</f>
        <v/>
      </c>
      <c r="Q31">
        <f>IF(A31&lt;&gt;"",ROW(),"")</f>
        <v/>
      </c>
      <c r="R31" s="42">
        <f>IF(P31="",0,_xlfn.MAXIFS(TrocasEquip!$A$2:$A$1000,TrocasEquip!$B$2:$B$1000,P31))</f>
        <v/>
      </c>
      <c r="S31" s="43" t="n"/>
      <c r="T31" s="44" t="n"/>
      <c r="U31" s="47" t="n"/>
      <c r="V31" s="44" t="n"/>
      <c r="W31">
        <f>IF(R31=0,0,MATCH(1,INDEX((TrocasEquip!$B$2:$B$1000=P31)*(TrocasEquip!$A$2:$A$1000=R31),0),0))</f>
        <v/>
      </c>
    </row>
    <row r="32">
      <c r="A32" s="7">
        <f>IF(S32="","",IF(W32=0,S32,INDEX(TrocasEquip!$G$2:$G$1000,W32)))</f>
        <v/>
      </c>
      <c r="B32" s="39" t="n"/>
      <c r="C32" s="32">
        <f>IF(B32="","",IF(B32="Molde","corridas",IF(B32="Oscilador","dias","t")))</f>
        <v/>
      </c>
      <c r="D32" s="39" t="n"/>
      <c r="E32" s="34">
        <f>IF(W32=0,T32,IF(INDEX(TrocasEquip!$H$2:$H$1000,W32)="",T32,INDEX(TrocasEquip!$H$2:$H$1000,W32)))</f>
        <v/>
      </c>
      <c r="F32" s="36">
        <f>IF(W32=0,IF(U32="","",U32),R32)</f>
        <v/>
      </c>
      <c r="G32" s="34">
        <f>IF(W32=0,V32,N(INDEX(TrocasEquip!$I$2:$I$1000,W32)))</f>
        <v/>
      </c>
      <c r="H32" s="34">
        <f>IF(A32="","",IF(C32="corridas",SUMIFS(Historico!$E:$E,Historico!$B:$B,L32,Historico!$A:$A,SUMPRODUCT(MAX((Historico!$B$2:$B$5000=L32)*Historico!$A$2:$A$5000))),N(G32)+IF(F32="",0,IF(C32="dias",MAX(0,TODAY()-F32),IF(D32=2,SUMIFS(Producao!$D:$D,Producao!$A:$A,"&gt;="&amp;F32),IF(D32=3,SUMIFS(Producao!$E:$E,Producao!$A:$A,"&gt;="&amp;F32),SUMIFS(Producao!$B:$B,Producao!$A:$A,"&gt;="&amp;F32)))))))</f>
        <v/>
      </c>
      <c r="I32" s="34">
        <f>IF(OR(A32="",E32=""),"",E32-H32)</f>
        <v/>
      </c>
      <c r="J32" s="35">
        <f>IF(OR(A32="",N(E32)&lt;=0),"",H32/E32)</f>
        <v/>
      </c>
      <c r="K32" s="32">
        <f>IF(I32="","",IF(I32&lt;0,"Além da meta",IF(J32&gt;=Regras!$B$3,"Atenção","OK")))</f>
        <v/>
      </c>
      <c r="L32" s="39" t="n"/>
      <c r="M32">
        <f>IF(J32="",-1,J32+ROW()/1000000000)</f>
        <v/>
      </c>
      <c r="N32" s="41" t="n"/>
      <c r="O32" s="41" t="n"/>
      <c r="P32" s="7">
        <f>IF(OR(N32="",L32=""),"",L32&amp;" - "&amp;N32)</f>
        <v/>
      </c>
      <c r="Q32">
        <f>IF(A32&lt;&gt;"",ROW(),"")</f>
        <v/>
      </c>
      <c r="R32" s="42">
        <f>IF(P32="",0,_xlfn.MAXIFS(TrocasEquip!$A$2:$A$1000,TrocasEquip!$B$2:$B$1000,P32))</f>
        <v/>
      </c>
      <c r="S32" s="43" t="n"/>
      <c r="T32" s="44" t="n"/>
      <c r="U32" s="47" t="n"/>
      <c r="V32" s="44" t="n"/>
      <c r="W32">
        <f>IF(R32=0,0,MATCH(1,INDEX((TrocasEquip!$B$2:$B$1000=P32)*(TrocasEquip!$A$2:$A$1000=R32),0),0))</f>
        <v/>
      </c>
    </row>
    <row r="33">
      <c r="A33" s="7">
        <f>IF(S33="","",IF(W33=0,S33,INDEX(TrocasEquip!$G$2:$G$1000,W33)))</f>
        <v/>
      </c>
      <c r="B33" s="39" t="n"/>
      <c r="C33" s="32">
        <f>IF(B33="","",IF(B33="Molde","corridas",IF(B33="Oscilador","dias","t")))</f>
        <v/>
      </c>
      <c r="D33" s="39" t="n"/>
      <c r="E33" s="34">
        <f>IF(W33=0,T33,IF(INDEX(TrocasEquip!$H$2:$H$1000,W33)="",T33,INDEX(TrocasEquip!$H$2:$H$1000,W33)))</f>
        <v/>
      </c>
      <c r="F33" s="36">
        <f>IF(W33=0,IF(U33="","",U33),R33)</f>
        <v/>
      </c>
      <c r="G33" s="34">
        <f>IF(W33=0,V33,N(INDEX(TrocasEquip!$I$2:$I$1000,W33)))</f>
        <v/>
      </c>
      <c r="H33" s="34">
        <f>IF(A33="","",IF(C33="corridas",SUMIFS(Historico!$E:$E,Historico!$B:$B,L33,Historico!$A:$A,SUMPRODUCT(MAX((Historico!$B$2:$B$5000=L33)*Historico!$A$2:$A$5000))),N(G33)+IF(F33="",0,IF(C33="dias",MAX(0,TODAY()-F33),IF(D33=2,SUMIFS(Producao!$D:$D,Producao!$A:$A,"&gt;="&amp;F33),IF(D33=3,SUMIFS(Producao!$E:$E,Producao!$A:$A,"&gt;="&amp;F33),SUMIFS(Producao!$B:$B,Producao!$A:$A,"&gt;="&amp;F33)))))))</f>
        <v/>
      </c>
      <c r="I33" s="34">
        <f>IF(OR(A33="",E33=""),"",E33-H33)</f>
        <v/>
      </c>
      <c r="J33" s="35">
        <f>IF(OR(A33="",N(E33)&lt;=0),"",H33/E33)</f>
        <v/>
      </c>
      <c r="K33" s="32">
        <f>IF(I33="","",IF(I33&lt;0,"Além da meta",IF(J33&gt;=Regras!$B$3,"Atenção","OK")))</f>
        <v/>
      </c>
      <c r="L33" s="39" t="n"/>
      <c r="M33">
        <f>IF(J33="",-1,J33+ROW()/1000000000)</f>
        <v/>
      </c>
      <c r="N33" s="41" t="n"/>
      <c r="O33" s="41" t="n"/>
      <c r="P33" s="7">
        <f>IF(OR(N33="",L33=""),"",L33&amp;" - "&amp;N33)</f>
        <v/>
      </c>
      <c r="Q33">
        <f>IF(A33&lt;&gt;"",ROW(),"")</f>
        <v/>
      </c>
      <c r="R33" s="42">
        <f>IF(P33="",0,_xlfn.MAXIFS(TrocasEquip!$A$2:$A$1000,TrocasEquip!$B$2:$B$1000,P33))</f>
        <v/>
      </c>
      <c r="S33" s="43" t="n"/>
      <c r="T33" s="44" t="n"/>
      <c r="U33" s="47" t="n"/>
      <c r="V33" s="44" t="n"/>
      <c r="W33">
        <f>IF(R33=0,0,MATCH(1,INDEX((TrocasEquip!$B$2:$B$1000=P33)*(TrocasEquip!$A$2:$A$1000=R33),0),0))</f>
        <v/>
      </c>
    </row>
    <row r="34">
      <c r="A34" s="7">
        <f>IF(S34="","",IF(W34=0,S34,INDEX(TrocasEquip!$G$2:$G$1000,W34)))</f>
        <v/>
      </c>
      <c r="B34" s="39" t="n"/>
      <c r="C34" s="32">
        <f>IF(B34="","",IF(B34="Molde","corridas",IF(B34="Oscilador","dias","t")))</f>
        <v/>
      </c>
      <c r="D34" s="39" t="n"/>
      <c r="E34" s="34">
        <f>IF(W34=0,T34,IF(INDEX(TrocasEquip!$H$2:$H$1000,W34)="",T34,INDEX(TrocasEquip!$H$2:$H$1000,W34)))</f>
        <v/>
      </c>
      <c r="F34" s="36">
        <f>IF(W34=0,IF(U34="","",U34),R34)</f>
        <v/>
      </c>
      <c r="G34" s="34">
        <f>IF(W34=0,V34,N(INDEX(TrocasEquip!$I$2:$I$1000,W34)))</f>
        <v/>
      </c>
      <c r="H34" s="34">
        <f>IF(A34="","",IF(C34="corridas",SUMIFS(Historico!$E:$E,Historico!$B:$B,L34,Historico!$A:$A,SUMPRODUCT(MAX((Historico!$B$2:$B$5000=L34)*Historico!$A$2:$A$5000))),N(G34)+IF(F34="",0,IF(C34="dias",MAX(0,TODAY()-F34),IF(D34=2,SUMIFS(Producao!$D:$D,Producao!$A:$A,"&gt;="&amp;F34),IF(D34=3,SUMIFS(Producao!$E:$E,Producao!$A:$A,"&gt;="&amp;F34),SUMIFS(Producao!$B:$B,Producao!$A:$A,"&gt;="&amp;F34)))))))</f>
        <v/>
      </c>
      <c r="I34" s="34">
        <f>IF(OR(A34="",E34=""),"",E34-H34)</f>
        <v/>
      </c>
      <c r="J34" s="35">
        <f>IF(OR(A34="",N(E34)&lt;=0),"",H34/E34)</f>
        <v/>
      </c>
      <c r="K34" s="32">
        <f>IF(I34="","",IF(I34&lt;0,"Além da meta",IF(J34&gt;=Regras!$B$3,"Atenção","OK")))</f>
        <v/>
      </c>
      <c r="L34" s="39" t="n"/>
      <c r="M34">
        <f>IF(J34="",-1,J34+ROW()/1000000000)</f>
        <v/>
      </c>
      <c r="N34" s="41" t="n"/>
      <c r="O34" s="41" t="n"/>
      <c r="P34" s="7">
        <f>IF(OR(N34="",L34=""),"",L34&amp;" - "&amp;N34)</f>
        <v/>
      </c>
      <c r="Q34">
        <f>IF(A34&lt;&gt;"",ROW(),"")</f>
        <v/>
      </c>
      <c r="R34" s="42">
        <f>IF(P34="",0,_xlfn.MAXIFS(TrocasEquip!$A$2:$A$1000,TrocasEquip!$B$2:$B$1000,P34))</f>
        <v/>
      </c>
      <c r="S34" s="43" t="n"/>
      <c r="T34" s="44" t="n"/>
      <c r="U34" s="47" t="n"/>
      <c r="V34" s="44" t="n"/>
      <c r="W34">
        <f>IF(R34=0,0,MATCH(1,INDEX((TrocasEquip!$B$2:$B$1000=P34)*(TrocasEquip!$A$2:$A$1000=R34),0),0))</f>
        <v/>
      </c>
    </row>
    <row r="35">
      <c r="A35" s="7">
        <f>IF(S35="","",IF(W35=0,S35,INDEX(TrocasEquip!$G$2:$G$1000,W35)))</f>
        <v/>
      </c>
      <c r="B35" s="39" t="n"/>
      <c r="C35" s="32">
        <f>IF(B35="","",IF(B35="Molde","corridas",IF(B35="Oscilador","dias","t")))</f>
        <v/>
      </c>
      <c r="D35" s="39" t="n"/>
      <c r="E35" s="34">
        <f>IF(W35=0,T35,IF(INDEX(TrocasEquip!$H$2:$H$1000,W35)="",T35,INDEX(TrocasEquip!$H$2:$H$1000,W35)))</f>
        <v/>
      </c>
      <c r="F35" s="36">
        <f>IF(W35=0,IF(U35="","",U35),R35)</f>
        <v/>
      </c>
      <c r="G35" s="34">
        <f>IF(W35=0,V35,N(INDEX(TrocasEquip!$I$2:$I$1000,W35)))</f>
        <v/>
      </c>
      <c r="H35" s="34">
        <f>IF(A35="","",IF(C35="corridas",SUMIFS(Historico!$E:$E,Historico!$B:$B,L35,Historico!$A:$A,SUMPRODUCT(MAX((Historico!$B$2:$B$5000=L35)*Historico!$A$2:$A$5000))),N(G35)+IF(F35="",0,IF(C35="dias",MAX(0,TODAY()-F35),IF(D35=2,SUMIFS(Producao!$D:$D,Producao!$A:$A,"&gt;="&amp;F35),IF(D35=3,SUMIFS(Producao!$E:$E,Producao!$A:$A,"&gt;="&amp;F35),SUMIFS(Producao!$B:$B,Producao!$A:$A,"&gt;="&amp;F35)))))))</f>
        <v/>
      </c>
      <c r="I35" s="34">
        <f>IF(OR(A35="",E35=""),"",E35-H35)</f>
        <v/>
      </c>
      <c r="J35" s="35">
        <f>IF(OR(A35="",N(E35)&lt;=0),"",H35/E35)</f>
        <v/>
      </c>
      <c r="K35" s="32">
        <f>IF(I35="","",IF(I35&lt;0,"Além da meta",IF(J35&gt;=Regras!$B$3,"Atenção","OK")))</f>
        <v/>
      </c>
      <c r="L35" s="39" t="n"/>
      <c r="M35">
        <f>IF(J35="",-1,J35+ROW()/1000000000)</f>
        <v/>
      </c>
      <c r="N35" s="41" t="n"/>
      <c r="O35" s="41" t="n"/>
      <c r="P35" s="7">
        <f>IF(OR(N35="",L35=""),"",L35&amp;" - "&amp;N35)</f>
        <v/>
      </c>
      <c r="Q35">
        <f>IF(A35&lt;&gt;"",ROW(),"")</f>
        <v/>
      </c>
      <c r="R35" s="42">
        <f>IF(P35="",0,_xlfn.MAXIFS(TrocasEquip!$A$2:$A$1000,TrocasEquip!$B$2:$B$1000,P35))</f>
        <v/>
      </c>
      <c r="S35" s="43" t="n"/>
      <c r="T35" s="44" t="n"/>
      <c r="U35" s="47" t="n"/>
      <c r="V35" s="44" t="n"/>
      <c r="W35">
        <f>IF(R35=0,0,MATCH(1,INDEX((TrocasEquip!$B$2:$B$1000=P35)*(TrocasEquip!$A$2:$A$1000=R35),0),0))</f>
        <v/>
      </c>
    </row>
    <row r="36">
      <c r="A36" s="7">
        <f>IF(S36="","",IF(W36=0,S36,INDEX(TrocasEquip!$G$2:$G$1000,W36)))</f>
        <v/>
      </c>
      <c r="B36" s="39" t="n"/>
      <c r="C36" s="32">
        <f>IF(B36="","",IF(B36="Molde","corridas",IF(B36="Oscilador","dias","t")))</f>
        <v/>
      </c>
      <c r="D36" s="39" t="n"/>
      <c r="E36" s="34">
        <f>IF(W36=0,T36,IF(INDEX(TrocasEquip!$H$2:$H$1000,W36)="",T36,INDEX(TrocasEquip!$H$2:$H$1000,W36)))</f>
        <v/>
      </c>
      <c r="F36" s="36">
        <f>IF(W36=0,IF(U36="","",U36),R36)</f>
        <v/>
      </c>
      <c r="G36" s="34">
        <f>IF(W36=0,V36,N(INDEX(TrocasEquip!$I$2:$I$1000,W36)))</f>
        <v/>
      </c>
      <c r="H36" s="34">
        <f>IF(A36="","",IF(C36="corridas",SUMIFS(Historico!$E:$E,Historico!$B:$B,L36,Historico!$A:$A,SUMPRODUCT(MAX((Historico!$B$2:$B$5000=L36)*Historico!$A$2:$A$5000))),N(G36)+IF(F36="",0,IF(C36="dias",MAX(0,TODAY()-F36),IF(D36=2,SUMIFS(Producao!$D:$D,Producao!$A:$A,"&gt;="&amp;F36),IF(D36=3,SUMIFS(Producao!$E:$E,Producao!$A:$A,"&gt;="&amp;F36),SUMIFS(Producao!$B:$B,Producao!$A:$A,"&gt;="&amp;F36)))))))</f>
        <v/>
      </c>
      <c r="I36" s="34">
        <f>IF(OR(A36="",E36=""),"",E36-H36)</f>
        <v/>
      </c>
      <c r="J36" s="35">
        <f>IF(OR(A36="",N(E36)&lt;=0),"",H36/E36)</f>
        <v/>
      </c>
      <c r="K36" s="32">
        <f>IF(I36="","",IF(I36&lt;0,"Além da meta",IF(J36&gt;=Regras!$B$3,"Atenção","OK")))</f>
        <v/>
      </c>
      <c r="L36" s="39" t="n"/>
      <c r="M36">
        <f>IF(J36="",-1,J36+ROW()/1000000000)</f>
        <v/>
      </c>
      <c r="N36" s="41" t="n"/>
      <c r="O36" s="41" t="n"/>
      <c r="P36" s="7">
        <f>IF(OR(N36="",L36=""),"",L36&amp;" - "&amp;N36)</f>
        <v/>
      </c>
      <c r="Q36">
        <f>IF(A36&lt;&gt;"",ROW(),"")</f>
        <v/>
      </c>
      <c r="R36" s="42">
        <f>IF(P36="",0,_xlfn.MAXIFS(TrocasEquip!$A$2:$A$1000,TrocasEquip!$B$2:$B$1000,P36))</f>
        <v/>
      </c>
      <c r="S36" s="43" t="n"/>
      <c r="T36" s="44" t="n"/>
      <c r="U36" s="47" t="n"/>
      <c r="V36" s="44" t="n"/>
      <c r="W36">
        <f>IF(R36=0,0,MATCH(1,INDEX((TrocasEquip!$B$2:$B$1000=P36)*(TrocasEquip!$A$2:$A$1000=R36),0),0))</f>
        <v/>
      </c>
    </row>
    <row r="37">
      <c r="A37" s="7">
        <f>IF(S37="","",IF(W37=0,S37,INDEX(TrocasEquip!$G$2:$G$1000,W37)))</f>
        <v/>
      </c>
      <c r="B37" s="39" t="n"/>
      <c r="C37" s="32">
        <f>IF(B37="","",IF(B37="Molde","corridas",IF(B37="Oscilador","dias","t")))</f>
        <v/>
      </c>
      <c r="D37" s="39" t="n"/>
      <c r="E37" s="34">
        <f>IF(W37=0,T37,IF(INDEX(TrocasEquip!$H$2:$H$1000,W37)="",T37,INDEX(TrocasEquip!$H$2:$H$1000,W37)))</f>
        <v/>
      </c>
      <c r="F37" s="36">
        <f>IF(W37=0,IF(U37="","",U37),R37)</f>
        <v/>
      </c>
      <c r="G37" s="34">
        <f>IF(W37=0,V37,N(INDEX(TrocasEquip!$I$2:$I$1000,W37)))</f>
        <v/>
      </c>
      <c r="H37" s="34">
        <f>IF(A37="","",IF(C37="corridas",SUMIFS(Historico!$E:$E,Historico!$B:$B,L37,Historico!$A:$A,SUMPRODUCT(MAX((Historico!$B$2:$B$5000=L37)*Historico!$A$2:$A$5000))),N(G37)+IF(F37="",0,IF(C37="dias",MAX(0,TODAY()-F37),IF(D37=2,SUMIFS(Producao!$D:$D,Producao!$A:$A,"&gt;="&amp;F37),IF(D37=3,SUMIFS(Producao!$E:$E,Producao!$A:$A,"&gt;="&amp;F37),SUMIFS(Producao!$B:$B,Producao!$A:$A,"&gt;="&amp;F37)))))))</f>
        <v/>
      </c>
      <c r="I37" s="34">
        <f>IF(OR(A37="",E37=""),"",E37-H37)</f>
        <v/>
      </c>
      <c r="J37" s="35">
        <f>IF(OR(A37="",N(E37)&lt;=0),"",H37/E37)</f>
        <v/>
      </c>
      <c r="K37" s="32">
        <f>IF(I37="","",IF(I37&lt;0,"Além da meta",IF(J37&gt;=Regras!$B$3,"Atenção","OK")))</f>
        <v/>
      </c>
      <c r="L37" s="39" t="n"/>
      <c r="M37">
        <f>IF(J37="",-1,J37+ROW()/1000000000)</f>
        <v/>
      </c>
      <c r="N37" s="41" t="n"/>
      <c r="O37" s="41" t="n"/>
      <c r="P37" s="7">
        <f>IF(OR(N37="",L37=""),"",L37&amp;" - "&amp;N37)</f>
        <v/>
      </c>
      <c r="Q37">
        <f>IF(A37&lt;&gt;"",ROW(),"")</f>
        <v/>
      </c>
      <c r="R37" s="42">
        <f>IF(P37="",0,_xlfn.MAXIFS(TrocasEquip!$A$2:$A$1000,TrocasEquip!$B$2:$B$1000,P37))</f>
        <v/>
      </c>
      <c r="S37" s="43" t="n"/>
      <c r="T37" s="44" t="n"/>
      <c r="U37" s="47" t="n"/>
      <c r="V37" s="44" t="n"/>
      <c r="W37">
        <f>IF(R37=0,0,MATCH(1,INDEX((TrocasEquip!$B$2:$B$1000=P37)*(TrocasEquip!$A$2:$A$1000=R37),0),0))</f>
        <v/>
      </c>
    </row>
    <row r="38">
      <c r="A38" s="7">
        <f>IF(S38="","",IF(W38=0,S38,INDEX(TrocasEquip!$G$2:$G$1000,W38)))</f>
        <v/>
      </c>
      <c r="B38" s="39" t="n"/>
      <c r="C38" s="32">
        <f>IF(B38="","",IF(B38="Molde","corridas",IF(B38="Oscilador","dias","t")))</f>
        <v/>
      </c>
      <c r="D38" s="39" t="n"/>
      <c r="E38" s="34">
        <f>IF(W38=0,T38,IF(INDEX(TrocasEquip!$H$2:$H$1000,W38)="",T38,INDEX(TrocasEquip!$H$2:$H$1000,W38)))</f>
        <v/>
      </c>
      <c r="F38" s="36">
        <f>IF(W38=0,IF(U38="","",U38),R38)</f>
        <v/>
      </c>
      <c r="G38" s="34">
        <f>IF(W38=0,V38,N(INDEX(TrocasEquip!$I$2:$I$1000,W38)))</f>
        <v/>
      </c>
      <c r="H38" s="34">
        <f>IF(A38="","",IF(C38="corridas",SUMIFS(Historico!$E:$E,Historico!$B:$B,L38,Historico!$A:$A,SUMPRODUCT(MAX((Historico!$B$2:$B$5000=L38)*Historico!$A$2:$A$5000))),N(G38)+IF(F38="",0,IF(C38="dias",MAX(0,TODAY()-F38),IF(D38=2,SUMIFS(Producao!$D:$D,Producao!$A:$A,"&gt;="&amp;F38),IF(D38=3,SUMIFS(Producao!$E:$E,Producao!$A:$A,"&gt;="&amp;F38),SUMIFS(Producao!$B:$B,Producao!$A:$A,"&gt;="&amp;F38)))))))</f>
        <v/>
      </c>
      <c r="I38" s="34">
        <f>IF(OR(A38="",E38=""),"",E38-H38)</f>
        <v/>
      </c>
      <c r="J38" s="35">
        <f>IF(OR(A38="",N(E38)&lt;=0),"",H38/E38)</f>
        <v/>
      </c>
      <c r="K38" s="32">
        <f>IF(I38="","",IF(I38&lt;0,"Além da meta",IF(J38&gt;=Regras!$B$3,"Atenção","OK")))</f>
        <v/>
      </c>
      <c r="L38" s="39" t="n"/>
      <c r="M38">
        <f>IF(J38="",-1,J38+ROW()/1000000000)</f>
        <v/>
      </c>
      <c r="N38" s="41" t="n"/>
      <c r="O38" s="41" t="n"/>
      <c r="P38" s="7">
        <f>IF(OR(N38="",L38=""),"",L38&amp;" - "&amp;N38)</f>
        <v/>
      </c>
      <c r="Q38">
        <f>IF(A38&lt;&gt;"",ROW(),"")</f>
        <v/>
      </c>
      <c r="R38" s="42">
        <f>IF(P38="",0,_xlfn.MAXIFS(TrocasEquip!$A$2:$A$1000,TrocasEquip!$B$2:$B$1000,P38))</f>
        <v/>
      </c>
      <c r="S38" s="43" t="n"/>
      <c r="T38" s="44" t="n"/>
      <c r="U38" s="47" t="n"/>
      <c r="V38" s="44" t="n"/>
      <c r="W38">
        <f>IF(R38=0,0,MATCH(1,INDEX((TrocasEquip!$B$2:$B$1000=P38)*(TrocasEquip!$A$2:$A$1000=R38),0),0))</f>
        <v/>
      </c>
    </row>
    <row r="39">
      <c r="A39" s="7">
        <f>IF(S39="","",IF(W39=0,S39,INDEX(TrocasEquip!$G$2:$G$1000,W39)))</f>
        <v/>
      </c>
      <c r="B39" s="39" t="n"/>
      <c r="C39" s="32">
        <f>IF(B39="","",IF(B39="Molde","corridas",IF(B39="Oscilador","dias","t")))</f>
        <v/>
      </c>
      <c r="D39" s="39" t="n"/>
      <c r="E39" s="34">
        <f>IF(W39=0,T39,IF(INDEX(TrocasEquip!$H$2:$H$1000,W39)="",T39,INDEX(TrocasEquip!$H$2:$H$1000,W39)))</f>
        <v/>
      </c>
      <c r="F39" s="36">
        <f>IF(W39=0,IF(U39="","",U39),R39)</f>
        <v/>
      </c>
      <c r="G39" s="34">
        <f>IF(W39=0,V39,N(INDEX(TrocasEquip!$I$2:$I$1000,W39)))</f>
        <v/>
      </c>
      <c r="H39" s="34">
        <f>IF(A39="","",IF(C39="corridas",SUMIFS(Historico!$E:$E,Historico!$B:$B,L39,Historico!$A:$A,SUMPRODUCT(MAX((Historico!$B$2:$B$5000=L39)*Historico!$A$2:$A$5000))),N(G39)+IF(F39="",0,IF(C39="dias",MAX(0,TODAY()-F39),IF(D39=2,SUMIFS(Producao!$D:$D,Producao!$A:$A,"&gt;="&amp;F39),IF(D39=3,SUMIFS(Producao!$E:$E,Producao!$A:$A,"&gt;="&amp;F39),SUMIFS(Producao!$B:$B,Producao!$A:$A,"&gt;="&amp;F39)))))))</f>
        <v/>
      </c>
      <c r="I39" s="34">
        <f>IF(OR(A39="",E39=""),"",E39-H39)</f>
        <v/>
      </c>
      <c r="J39" s="35">
        <f>IF(OR(A39="",N(E39)&lt;=0),"",H39/E39)</f>
        <v/>
      </c>
      <c r="K39" s="32">
        <f>IF(I39="","",IF(I39&lt;0,"Além da meta",IF(J39&gt;=Regras!$B$3,"Atenção","OK")))</f>
        <v/>
      </c>
      <c r="L39" s="39" t="n"/>
      <c r="M39">
        <f>IF(J39="",-1,J39+ROW()/1000000000)</f>
        <v/>
      </c>
      <c r="N39" s="41" t="n"/>
      <c r="O39" s="41" t="n"/>
      <c r="P39" s="7">
        <f>IF(OR(N39="",L39=""),"",L39&amp;" - "&amp;N39)</f>
        <v/>
      </c>
      <c r="Q39">
        <f>IF(A39&lt;&gt;"",ROW(),"")</f>
        <v/>
      </c>
      <c r="R39" s="42">
        <f>IF(P39="",0,_xlfn.MAXIFS(TrocasEquip!$A$2:$A$1000,TrocasEquip!$B$2:$B$1000,P39))</f>
        <v/>
      </c>
      <c r="S39" s="43" t="n"/>
      <c r="T39" s="44" t="n"/>
      <c r="U39" s="47" t="n"/>
      <c r="V39" s="44" t="n"/>
      <c r="W39">
        <f>IF(R39=0,0,MATCH(1,INDEX((TrocasEquip!$B$2:$B$1000=P39)*(TrocasEquip!$A$2:$A$1000=R39),0),0))</f>
        <v/>
      </c>
    </row>
    <row r="40">
      <c r="A40" s="7">
        <f>IF(S40="","",IF(W40=0,S40,INDEX(TrocasEquip!$G$2:$G$1000,W40)))</f>
        <v/>
      </c>
      <c r="B40" s="39" t="n"/>
      <c r="C40" s="32">
        <f>IF(B40="","",IF(B40="Molde","corridas",IF(B40="Oscilador","dias","t")))</f>
        <v/>
      </c>
      <c r="D40" s="39" t="n"/>
      <c r="E40" s="34">
        <f>IF(W40=0,T40,IF(INDEX(TrocasEquip!$H$2:$H$1000,W40)="",T40,INDEX(TrocasEquip!$H$2:$H$1000,W40)))</f>
        <v/>
      </c>
      <c r="F40" s="36">
        <f>IF(W40=0,IF(U40="","",U40),R40)</f>
        <v/>
      </c>
      <c r="G40" s="34">
        <f>IF(W40=0,V40,N(INDEX(TrocasEquip!$I$2:$I$1000,W40)))</f>
        <v/>
      </c>
      <c r="H40" s="34">
        <f>IF(A40="","",IF(C40="corridas",SUMIFS(Historico!$E:$E,Historico!$B:$B,L40,Historico!$A:$A,SUMPRODUCT(MAX((Historico!$B$2:$B$5000=L40)*Historico!$A$2:$A$5000))),N(G40)+IF(F40="",0,IF(C40="dias",MAX(0,TODAY()-F40),IF(D40=2,SUMIFS(Producao!$D:$D,Producao!$A:$A,"&gt;="&amp;F40),IF(D40=3,SUMIFS(Producao!$E:$E,Producao!$A:$A,"&gt;="&amp;F40),SUMIFS(Producao!$B:$B,Producao!$A:$A,"&gt;="&amp;F40)))))))</f>
        <v/>
      </c>
      <c r="I40" s="34">
        <f>IF(OR(A40="",E40=""),"",E40-H40)</f>
        <v/>
      </c>
      <c r="J40" s="35">
        <f>IF(OR(A40="",N(E40)&lt;=0),"",H40/E40)</f>
        <v/>
      </c>
      <c r="K40" s="32">
        <f>IF(I40="","",IF(I40&lt;0,"Além da meta",IF(J40&gt;=Regras!$B$3,"Atenção","OK")))</f>
        <v/>
      </c>
      <c r="L40" s="39" t="n"/>
      <c r="M40">
        <f>IF(J40="",-1,J40+ROW()/1000000000)</f>
        <v/>
      </c>
      <c r="N40" s="41" t="n"/>
      <c r="O40" s="41" t="n"/>
      <c r="P40" s="7">
        <f>IF(OR(N40="",L40=""),"",L40&amp;" - "&amp;N40)</f>
        <v/>
      </c>
      <c r="Q40">
        <f>IF(A40&lt;&gt;"",ROW(),"")</f>
        <v/>
      </c>
      <c r="R40" s="42">
        <f>IF(P40="",0,_xlfn.MAXIFS(TrocasEquip!$A$2:$A$1000,TrocasEquip!$B$2:$B$1000,P40))</f>
        <v/>
      </c>
      <c r="S40" s="43" t="n"/>
      <c r="T40" s="44" t="n"/>
      <c r="U40" s="47" t="n"/>
      <c r="V40" s="44" t="n"/>
      <c r="W40">
        <f>IF(R40=0,0,MATCH(1,INDEX((TrocasEquip!$B$2:$B$1000=P40)*(TrocasEquip!$A$2:$A$1000=R40),0),0))</f>
        <v/>
      </c>
    </row>
    <row r="41">
      <c r="A41" s="7">
        <f>IF(S41="","",IF(W41=0,S41,INDEX(TrocasEquip!$G$2:$G$1000,W41)))</f>
        <v/>
      </c>
      <c r="B41" s="39" t="n"/>
      <c r="C41" s="32">
        <f>IF(B41="","",IF(B41="Molde","corridas",IF(B41="Oscilador","dias","t")))</f>
        <v/>
      </c>
      <c r="D41" s="39" t="n"/>
      <c r="E41" s="34">
        <f>IF(W41=0,T41,IF(INDEX(TrocasEquip!$H$2:$H$1000,W41)="",T41,INDEX(TrocasEquip!$H$2:$H$1000,W41)))</f>
        <v/>
      </c>
      <c r="F41" s="36">
        <f>IF(W41=0,IF(U41="","",U41),R41)</f>
        <v/>
      </c>
      <c r="G41" s="34">
        <f>IF(W41=0,V41,N(INDEX(TrocasEquip!$I$2:$I$1000,W41)))</f>
        <v/>
      </c>
      <c r="H41" s="34">
        <f>IF(A41="","",IF(C41="corridas",SUMIFS(Historico!$E:$E,Historico!$B:$B,L41,Historico!$A:$A,SUMPRODUCT(MAX((Historico!$B$2:$B$5000=L41)*Historico!$A$2:$A$5000))),N(G41)+IF(F41="",0,IF(C41="dias",MAX(0,TODAY()-F41),IF(D41=2,SUMIFS(Producao!$D:$D,Producao!$A:$A,"&gt;="&amp;F41),IF(D41=3,SUMIFS(Producao!$E:$E,Producao!$A:$A,"&gt;="&amp;F41),SUMIFS(Producao!$B:$B,Producao!$A:$A,"&gt;="&amp;F41)))))))</f>
        <v/>
      </c>
      <c r="I41" s="34">
        <f>IF(OR(A41="",E41=""),"",E41-H41)</f>
        <v/>
      </c>
      <c r="J41" s="35">
        <f>IF(OR(A41="",N(E41)&lt;=0),"",H41/E41)</f>
        <v/>
      </c>
      <c r="K41" s="32">
        <f>IF(I41="","",IF(I41&lt;0,"Além da meta",IF(J41&gt;=Regras!$B$3,"Atenção","OK")))</f>
        <v/>
      </c>
      <c r="L41" s="39" t="n"/>
      <c r="M41">
        <f>IF(J41="",-1,J41+ROW()/1000000000)</f>
        <v/>
      </c>
      <c r="N41" s="41" t="n"/>
      <c r="O41" s="41" t="n"/>
      <c r="P41" s="7">
        <f>IF(OR(N41="",L41=""),"",L41&amp;" - "&amp;N41)</f>
        <v/>
      </c>
      <c r="Q41">
        <f>IF(A41&lt;&gt;"",ROW(),"")</f>
        <v/>
      </c>
      <c r="R41" s="42">
        <f>IF(P41="",0,_xlfn.MAXIFS(TrocasEquip!$A$2:$A$1000,TrocasEquip!$B$2:$B$1000,P41))</f>
        <v/>
      </c>
      <c r="S41" s="43" t="n"/>
      <c r="T41" s="44" t="n"/>
      <c r="U41" s="47" t="n"/>
      <c r="V41" s="44" t="n"/>
      <c r="W41">
        <f>IF(R41=0,0,MATCH(1,INDEX((TrocasEquip!$B$2:$B$1000=P41)*(TrocasEquip!$A$2:$A$1000=R41),0),0))</f>
        <v/>
      </c>
    </row>
    <row r="42">
      <c r="A42" s="7">
        <f>IF(S42="","",IF(W42=0,S42,INDEX(TrocasEquip!$G$2:$G$1000,W42)))</f>
        <v/>
      </c>
      <c r="B42" s="39" t="n"/>
      <c r="C42" s="32">
        <f>IF(B42="","",IF(B42="Molde","corridas",IF(B42="Oscilador","dias","t")))</f>
        <v/>
      </c>
      <c r="D42" s="39" t="n"/>
      <c r="E42" s="34">
        <f>IF(W42=0,T42,IF(INDEX(TrocasEquip!$H$2:$H$1000,W42)="",T42,INDEX(TrocasEquip!$H$2:$H$1000,W42)))</f>
        <v/>
      </c>
      <c r="F42" s="36">
        <f>IF(W42=0,IF(U42="","",U42),R42)</f>
        <v/>
      </c>
      <c r="G42" s="34">
        <f>IF(W42=0,V42,N(INDEX(TrocasEquip!$I$2:$I$1000,W42)))</f>
        <v/>
      </c>
      <c r="H42" s="34">
        <f>IF(A42="","",IF(C42="corridas",SUMIFS(Historico!$E:$E,Historico!$B:$B,L42,Historico!$A:$A,SUMPRODUCT(MAX((Historico!$B$2:$B$5000=L42)*Historico!$A$2:$A$5000))),N(G42)+IF(F42="",0,IF(C42="dias",MAX(0,TODAY()-F42),IF(D42=2,SUMIFS(Producao!$D:$D,Producao!$A:$A,"&gt;="&amp;F42),IF(D42=3,SUMIFS(Producao!$E:$E,Producao!$A:$A,"&gt;="&amp;F42),SUMIFS(Producao!$B:$B,Producao!$A:$A,"&gt;="&amp;F42)))))))</f>
        <v/>
      </c>
      <c r="I42" s="34">
        <f>IF(OR(A42="",E42=""),"",E42-H42)</f>
        <v/>
      </c>
      <c r="J42" s="35">
        <f>IF(OR(A42="",N(E42)&lt;=0),"",H42/E42)</f>
        <v/>
      </c>
      <c r="K42" s="32">
        <f>IF(I42="","",IF(I42&lt;0,"Além da meta",IF(J42&gt;=Regras!$B$3,"Atenção","OK")))</f>
        <v/>
      </c>
      <c r="L42" s="39" t="n"/>
      <c r="M42">
        <f>IF(J42="",-1,J42+ROW()/1000000000)</f>
        <v/>
      </c>
      <c r="N42" s="41" t="n"/>
      <c r="O42" s="41" t="n"/>
      <c r="P42" s="7">
        <f>IF(OR(N42="",L42=""),"",L42&amp;" - "&amp;N42)</f>
        <v/>
      </c>
      <c r="Q42">
        <f>IF(A42&lt;&gt;"",ROW(),"")</f>
        <v/>
      </c>
      <c r="R42" s="42">
        <f>IF(P42="",0,_xlfn.MAXIFS(TrocasEquip!$A$2:$A$1000,TrocasEquip!$B$2:$B$1000,P42))</f>
        <v/>
      </c>
      <c r="S42" s="43" t="n"/>
      <c r="T42" s="44" t="n"/>
      <c r="U42" s="47" t="n"/>
      <c r="V42" s="44" t="n"/>
      <c r="W42">
        <f>IF(R42=0,0,MATCH(1,INDEX((TrocasEquip!$B$2:$B$1000=P42)*(TrocasEquip!$A$2:$A$1000=R42),0),0))</f>
        <v/>
      </c>
    </row>
    <row r="43">
      <c r="A43" s="7">
        <f>IF(S43="","",IF(W43=0,S43,INDEX(TrocasEquip!$G$2:$G$1000,W43)))</f>
        <v/>
      </c>
      <c r="B43" s="39" t="n"/>
      <c r="C43" s="32">
        <f>IF(B43="","",IF(B43="Molde","corridas",IF(B43="Oscilador","dias","t")))</f>
        <v/>
      </c>
      <c r="D43" s="39" t="n"/>
      <c r="E43" s="34">
        <f>IF(W43=0,T43,IF(INDEX(TrocasEquip!$H$2:$H$1000,W43)="",T43,INDEX(TrocasEquip!$H$2:$H$1000,W43)))</f>
        <v/>
      </c>
      <c r="F43" s="36">
        <f>IF(W43=0,IF(U43="","",U43),R43)</f>
        <v/>
      </c>
      <c r="G43" s="34">
        <f>IF(W43=0,V43,N(INDEX(TrocasEquip!$I$2:$I$1000,W43)))</f>
        <v/>
      </c>
      <c r="H43" s="34">
        <f>IF(A43="","",IF(C43="corridas",SUMIFS(Historico!$E:$E,Historico!$B:$B,L43,Historico!$A:$A,SUMPRODUCT(MAX((Historico!$B$2:$B$5000=L43)*Historico!$A$2:$A$5000))),N(G43)+IF(F43="",0,IF(C43="dias",MAX(0,TODAY()-F43),IF(D43=2,SUMIFS(Producao!$D:$D,Producao!$A:$A,"&gt;="&amp;F43),IF(D43=3,SUMIFS(Producao!$E:$E,Producao!$A:$A,"&gt;="&amp;F43),SUMIFS(Producao!$B:$B,Producao!$A:$A,"&gt;="&amp;F43)))))))</f>
        <v/>
      </c>
      <c r="I43" s="34">
        <f>IF(OR(A43="",E43=""),"",E43-H43)</f>
        <v/>
      </c>
      <c r="J43" s="35">
        <f>IF(OR(A43="",N(E43)&lt;=0),"",H43/E43)</f>
        <v/>
      </c>
      <c r="K43" s="32">
        <f>IF(I43="","",IF(I43&lt;0,"Além da meta",IF(J43&gt;=Regras!$B$3,"Atenção","OK")))</f>
        <v/>
      </c>
      <c r="L43" s="39" t="n"/>
      <c r="M43">
        <f>IF(J43="",-1,J43+ROW()/1000000000)</f>
        <v/>
      </c>
      <c r="N43" s="41" t="n"/>
      <c r="O43" s="41" t="n"/>
      <c r="P43" s="7">
        <f>IF(OR(N43="",L43=""),"",L43&amp;" - "&amp;N43)</f>
        <v/>
      </c>
      <c r="Q43">
        <f>IF(A43&lt;&gt;"",ROW(),"")</f>
        <v/>
      </c>
      <c r="R43" s="42">
        <f>IF(P43="",0,_xlfn.MAXIFS(TrocasEquip!$A$2:$A$1000,TrocasEquip!$B$2:$B$1000,P43))</f>
        <v/>
      </c>
      <c r="S43" s="43" t="n"/>
      <c r="T43" s="44" t="n"/>
      <c r="U43" s="47" t="n"/>
      <c r="V43" s="44" t="n"/>
      <c r="W43">
        <f>IF(R43=0,0,MATCH(1,INDEX((TrocasEquip!$B$2:$B$1000=P43)*(TrocasEquip!$A$2:$A$1000=R43),0),0))</f>
        <v/>
      </c>
    </row>
    <row r="44">
      <c r="A44" s="7">
        <f>IF(S44="","",IF(W44=0,S44,INDEX(TrocasEquip!$G$2:$G$1000,W44)))</f>
        <v/>
      </c>
      <c r="B44" s="39" t="n"/>
      <c r="C44" s="32">
        <f>IF(B44="","",IF(B44="Molde","corridas",IF(B44="Oscilador","dias","t")))</f>
        <v/>
      </c>
      <c r="D44" s="39" t="n"/>
      <c r="E44" s="34">
        <f>IF(W44=0,T44,IF(INDEX(TrocasEquip!$H$2:$H$1000,W44)="",T44,INDEX(TrocasEquip!$H$2:$H$1000,W44)))</f>
        <v/>
      </c>
      <c r="F44" s="36">
        <f>IF(W44=0,IF(U44="","",U44),R44)</f>
        <v/>
      </c>
      <c r="G44" s="34">
        <f>IF(W44=0,V44,N(INDEX(TrocasEquip!$I$2:$I$1000,W44)))</f>
        <v/>
      </c>
      <c r="H44" s="34">
        <f>IF(A44="","",IF(C44="corridas",SUMIFS(Historico!$E:$E,Historico!$B:$B,L44,Historico!$A:$A,SUMPRODUCT(MAX((Historico!$B$2:$B$5000=L44)*Historico!$A$2:$A$5000))),N(G44)+IF(F44="",0,IF(C44="dias",MAX(0,TODAY()-F44),IF(D44=2,SUMIFS(Producao!$D:$D,Producao!$A:$A,"&gt;="&amp;F44),IF(D44=3,SUMIFS(Producao!$E:$E,Producao!$A:$A,"&gt;="&amp;F44),SUMIFS(Producao!$B:$B,Producao!$A:$A,"&gt;="&amp;F44)))))))</f>
        <v/>
      </c>
      <c r="I44" s="34">
        <f>IF(OR(A44="",E44=""),"",E44-H44)</f>
        <v/>
      </c>
      <c r="J44" s="35">
        <f>IF(OR(A44="",N(E44)&lt;=0),"",H44/E44)</f>
        <v/>
      </c>
      <c r="K44" s="32">
        <f>IF(I44="","",IF(I44&lt;0,"Além da meta",IF(J44&gt;=Regras!$B$3,"Atenção","OK")))</f>
        <v/>
      </c>
      <c r="L44" s="39" t="n"/>
      <c r="M44">
        <f>IF(J44="",-1,J44+ROW()/1000000000)</f>
        <v/>
      </c>
      <c r="N44" s="41" t="n"/>
      <c r="O44" s="41" t="n"/>
      <c r="P44" s="7">
        <f>IF(OR(N44="",L44=""),"",L44&amp;" - "&amp;N44)</f>
        <v/>
      </c>
      <c r="Q44">
        <f>IF(A44&lt;&gt;"",ROW(),"")</f>
        <v/>
      </c>
      <c r="R44" s="42">
        <f>IF(P44="",0,_xlfn.MAXIFS(TrocasEquip!$A$2:$A$1000,TrocasEquip!$B$2:$B$1000,P44))</f>
        <v/>
      </c>
      <c r="S44" s="43" t="n"/>
      <c r="T44" s="44" t="n"/>
      <c r="U44" s="47" t="n"/>
      <c r="V44" s="44" t="n"/>
      <c r="W44">
        <f>IF(R44=0,0,MATCH(1,INDEX((TrocasEquip!$B$2:$B$1000=P44)*(TrocasEquip!$A$2:$A$1000=R44),0),0))</f>
        <v/>
      </c>
    </row>
    <row r="45">
      <c r="A45" s="7">
        <f>IF(S45="","",IF(W45=0,S45,INDEX(TrocasEquip!$G$2:$G$1000,W45)))</f>
        <v/>
      </c>
      <c r="B45" s="39" t="n"/>
      <c r="C45" s="32">
        <f>IF(B45="","",IF(B45="Molde","corridas",IF(B45="Oscilador","dias","t")))</f>
        <v/>
      </c>
      <c r="D45" s="39" t="n"/>
      <c r="E45" s="34">
        <f>IF(W45=0,T45,IF(INDEX(TrocasEquip!$H$2:$H$1000,W45)="",T45,INDEX(TrocasEquip!$H$2:$H$1000,W45)))</f>
        <v/>
      </c>
      <c r="F45" s="36">
        <f>IF(W45=0,IF(U45="","",U45),R45)</f>
        <v/>
      </c>
      <c r="G45" s="34">
        <f>IF(W45=0,V45,N(INDEX(TrocasEquip!$I$2:$I$1000,W45)))</f>
        <v/>
      </c>
      <c r="H45" s="34">
        <f>IF(A45="","",IF(C45="corridas",SUMIFS(Historico!$E:$E,Historico!$B:$B,L45,Historico!$A:$A,SUMPRODUCT(MAX((Historico!$B$2:$B$5000=L45)*Historico!$A$2:$A$5000))),N(G45)+IF(F45="",0,IF(C45="dias",MAX(0,TODAY()-F45),IF(D45=2,SUMIFS(Producao!$D:$D,Producao!$A:$A,"&gt;="&amp;F45),IF(D45=3,SUMIFS(Producao!$E:$E,Producao!$A:$A,"&gt;="&amp;F45),SUMIFS(Producao!$B:$B,Producao!$A:$A,"&gt;="&amp;F45)))))))</f>
        <v/>
      </c>
      <c r="I45" s="34">
        <f>IF(OR(A45="",E45=""),"",E45-H45)</f>
        <v/>
      </c>
      <c r="J45" s="35">
        <f>IF(OR(A45="",N(E45)&lt;=0),"",H45/E45)</f>
        <v/>
      </c>
      <c r="K45" s="32">
        <f>IF(I45="","",IF(I45&lt;0,"Além da meta",IF(J45&gt;=Regras!$B$3,"Atenção","OK")))</f>
        <v/>
      </c>
      <c r="L45" s="39" t="n"/>
      <c r="M45">
        <f>IF(J45="",-1,J45+ROW()/1000000000)</f>
        <v/>
      </c>
      <c r="N45" s="41" t="n"/>
      <c r="O45" s="41" t="n"/>
      <c r="P45" s="7">
        <f>IF(OR(N45="",L45=""),"",L45&amp;" - "&amp;N45)</f>
        <v/>
      </c>
      <c r="Q45">
        <f>IF(A45&lt;&gt;"",ROW(),"")</f>
        <v/>
      </c>
      <c r="R45" s="42">
        <f>IF(P45="",0,_xlfn.MAXIFS(TrocasEquip!$A$2:$A$1000,TrocasEquip!$B$2:$B$1000,P45))</f>
        <v/>
      </c>
      <c r="S45" s="43" t="n"/>
      <c r="T45" s="44" t="n"/>
      <c r="U45" s="47" t="n"/>
      <c r="V45" s="44" t="n"/>
      <c r="W45">
        <f>IF(R45=0,0,MATCH(1,INDEX((TrocasEquip!$B$2:$B$1000=P45)*(TrocasEquip!$A$2:$A$1000=R45),0),0))</f>
        <v/>
      </c>
    </row>
    <row r="46">
      <c r="A46" s="7">
        <f>IF(S46="","",IF(W46=0,S46,INDEX(TrocasEquip!$G$2:$G$1000,W46)))</f>
        <v/>
      </c>
      <c r="B46" s="39" t="n"/>
      <c r="C46" s="32">
        <f>IF(B46="","",IF(B46="Molde","corridas",IF(B46="Oscilador","dias","t")))</f>
        <v/>
      </c>
      <c r="D46" s="39" t="n"/>
      <c r="E46" s="34">
        <f>IF(W46=0,T46,IF(INDEX(TrocasEquip!$H$2:$H$1000,W46)="",T46,INDEX(TrocasEquip!$H$2:$H$1000,W46)))</f>
        <v/>
      </c>
      <c r="F46" s="36">
        <f>IF(W46=0,IF(U46="","",U46),R46)</f>
        <v/>
      </c>
      <c r="G46" s="34">
        <f>IF(W46=0,V46,N(INDEX(TrocasEquip!$I$2:$I$1000,W46)))</f>
        <v/>
      </c>
      <c r="H46" s="34">
        <f>IF(A46="","",IF(C46="corridas",SUMIFS(Historico!$E:$E,Historico!$B:$B,L46,Historico!$A:$A,SUMPRODUCT(MAX((Historico!$B$2:$B$5000=L46)*Historico!$A$2:$A$5000))),N(G46)+IF(F46="",0,IF(C46="dias",MAX(0,TODAY()-F46),IF(D46=2,SUMIFS(Producao!$D:$D,Producao!$A:$A,"&gt;="&amp;F46),IF(D46=3,SUMIFS(Producao!$E:$E,Producao!$A:$A,"&gt;="&amp;F46),SUMIFS(Producao!$B:$B,Producao!$A:$A,"&gt;="&amp;F46)))))))</f>
        <v/>
      </c>
      <c r="I46" s="34">
        <f>IF(OR(A46="",E46=""),"",E46-H46)</f>
        <v/>
      </c>
      <c r="J46" s="35">
        <f>IF(OR(A46="",N(E46)&lt;=0),"",H46/E46)</f>
        <v/>
      </c>
      <c r="K46" s="32">
        <f>IF(I46="","",IF(I46&lt;0,"Além da meta",IF(J46&gt;=Regras!$B$3,"Atenção","OK")))</f>
        <v/>
      </c>
      <c r="L46" s="39" t="n"/>
      <c r="M46">
        <f>IF(J46="",-1,J46+ROW()/1000000000)</f>
        <v/>
      </c>
      <c r="N46" s="41" t="n"/>
      <c r="O46" s="41" t="n"/>
      <c r="P46" s="7">
        <f>IF(OR(N46="",L46=""),"",L46&amp;" - "&amp;N46)</f>
        <v/>
      </c>
      <c r="Q46">
        <f>IF(A46&lt;&gt;"",ROW(),"")</f>
        <v/>
      </c>
      <c r="R46" s="42">
        <f>IF(P46="",0,_xlfn.MAXIFS(TrocasEquip!$A$2:$A$1000,TrocasEquip!$B$2:$B$1000,P46))</f>
        <v/>
      </c>
      <c r="S46" s="43" t="n"/>
      <c r="T46" s="44" t="n"/>
      <c r="U46" s="47" t="n"/>
      <c r="V46" s="44" t="n"/>
      <c r="W46">
        <f>IF(R46=0,0,MATCH(1,INDEX((TrocasEquip!$B$2:$B$1000=P46)*(TrocasEquip!$A$2:$A$1000=R46),0),0))</f>
        <v/>
      </c>
    </row>
    <row r="47">
      <c r="A47" s="7">
        <f>IF(S47="","",IF(W47=0,S47,INDEX(TrocasEquip!$G$2:$G$1000,W47)))</f>
        <v/>
      </c>
      <c r="B47" s="39" t="n"/>
      <c r="C47" s="32">
        <f>IF(B47="","",IF(B47="Molde","corridas",IF(B47="Oscilador","dias","t")))</f>
        <v/>
      </c>
      <c r="D47" s="39" t="n"/>
      <c r="E47" s="34">
        <f>IF(W47=0,T47,IF(INDEX(TrocasEquip!$H$2:$H$1000,W47)="",T47,INDEX(TrocasEquip!$H$2:$H$1000,W47)))</f>
        <v/>
      </c>
      <c r="F47" s="36">
        <f>IF(W47=0,IF(U47="","",U47),R47)</f>
        <v/>
      </c>
      <c r="G47" s="34">
        <f>IF(W47=0,V47,N(INDEX(TrocasEquip!$I$2:$I$1000,W47)))</f>
        <v/>
      </c>
      <c r="H47" s="34">
        <f>IF(A47="","",IF(C47="corridas",SUMIFS(Historico!$E:$E,Historico!$B:$B,L47,Historico!$A:$A,SUMPRODUCT(MAX((Historico!$B$2:$B$5000=L47)*Historico!$A$2:$A$5000))),N(G47)+IF(F47="",0,IF(C47="dias",MAX(0,TODAY()-F47),IF(D47=2,SUMIFS(Producao!$D:$D,Producao!$A:$A,"&gt;="&amp;F47),IF(D47=3,SUMIFS(Producao!$E:$E,Producao!$A:$A,"&gt;="&amp;F47),SUMIFS(Producao!$B:$B,Producao!$A:$A,"&gt;="&amp;F47)))))))</f>
        <v/>
      </c>
      <c r="I47" s="34">
        <f>IF(OR(A47="",E47=""),"",E47-H47)</f>
        <v/>
      </c>
      <c r="J47" s="35">
        <f>IF(OR(A47="",N(E47)&lt;=0),"",H47/E47)</f>
        <v/>
      </c>
      <c r="K47" s="32">
        <f>IF(I47="","",IF(I47&lt;0,"Além da meta",IF(J47&gt;=Regras!$B$3,"Atenção","OK")))</f>
        <v/>
      </c>
      <c r="L47" s="39" t="n"/>
      <c r="M47">
        <f>IF(J47="",-1,J47+ROW()/1000000000)</f>
        <v/>
      </c>
      <c r="N47" s="41" t="n"/>
      <c r="O47" s="41" t="n"/>
      <c r="P47" s="7">
        <f>IF(OR(N47="",L47=""),"",L47&amp;" - "&amp;N47)</f>
        <v/>
      </c>
      <c r="Q47">
        <f>IF(A47&lt;&gt;"",ROW(),"")</f>
        <v/>
      </c>
      <c r="R47" s="42">
        <f>IF(P47="",0,_xlfn.MAXIFS(TrocasEquip!$A$2:$A$1000,TrocasEquip!$B$2:$B$1000,P47))</f>
        <v/>
      </c>
      <c r="S47" s="43" t="n"/>
      <c r="T47" s="44" t="n"/>
      <c r="U47" s="47" t="n"/>
      <c r="V47" s="44" t="n"/>
      <c r="W47">
        <f>IF(R47=0,0,MATCH(1,INDEX((TrocasEquip!$B$2:$B$1000=P47)*(TrocasEquip!$A$2:$A$1000=R47),0),0))</f>
        <v/>
      </c>
    </row>
    <row r="48">
      <c r="A48" s="7">
        <f>IF(S48="","",IF(W48=0,S48,INDEX(TrocasEquip!$G$2:$G$1000,W48)))</f>
        <v/>
      </c>
      <c r="B48" s="39" t="n"/>
      <c r="C48" s="32">
        <f>IF(B48="","",IF(B48="Molde","corridas",IF(B48="Oscilador","dias","t")))</f>
        <v/>
      </c>
      <c r="D48" s="39" t="n"/>
      <c r="E48" s="34">
        <f>IF(W48=0,T48,IF(INDEX(TrocasEquip!$H$2:$H$1000,W48)="",T48,INDEX(TrocasEquip!$H$2:$H$1000,W48)))</f>
        <v/>
      </c>
      <c r="F48" s="36">
        <f>IF(W48=0,IF(U48="","",U48),R48)</f>
        <v/>
      </c>
      <c r="G48" s="34">
        <f>IF(W48=0,V48,N(INDEX(TrocasEquip!$I$2:$I$1000,W48)))</f>
        <v/>
      </c>
      <c r="H48" s="34">
        <f>IF(A48="","",IF(C48="corridas",SUMIFS(Historico!$E:$E,Historico!$B:$B,L48,Historico!$A:$A,SUMPRODUCT(MAX((Historico!$B$2:$B$5000=L48)*Historico!$A$2:$A$5000))),N(G48)+IF(F48="",0,IF(C48="dias",MAX(0,TODAY()-F48),IF(D48=2,SUMIFS(Producao!$D:$D,Producao!$A:$A,"&gt;="&amp;F48),IF(D48=3,SUMIFS(Producao!$E:$E,Producao!$A:$A,"&gt;="&amp;F48),SUMIFS(Producao!$B:$B,Producao!$A:$A,"&gt;="&amp;F48)))))))</f>
        <v/>
      </c>
      <c r="I48" s="34">
        <f>IF(OR(A48="",E48=""),"",E48-H48)</f>
        <v/>
      </c>
      <c r="J48" s="35">
        <f>IF(OR(A48="",N(E48)&lt;=0),"",H48/E48)</f>
        <v/>
      </c>
      <c r="K48" s="32">
        <f>IF(I48="","",IF(I48&lt;0,"Além da meta",IF(J48&gt;=Regras!$B$3,"Atenção","OK")))</f>
        <v/>
      </c>
      <c r="L48" s="39" t="n"/>
      <c r="M48">
        <f>IF(J48="",-1,J48+ROW()/1000000000)</f>
        <v/>
      </c>
      <c r="N48" s="41" t="n"/>
      <c r="O48" s="41" t="n"/>
      <c r="P48" s="7">
        <f>IF(OR(N48="",L48=""),"",L48&amp;" - "&amp;N48)</f>
        <v/>
      </c>
      <c r="Q48">
        <f>IF(A48&lt;&gt;"",ROW(),"")</f>
        <v/>
      </c>
      <c r="R48" s="42">
        <f>IF(P48="",0,_xlfn.MAXIFS(TrocasEquip!$A$2:$A$1000,TrocasEquip!$B$2:$B$1000,P48))</f>
        <v/>
      </c>
      <c r="S48" s="43" t="n"/>
      <c r="T48" s="44" t="n"/>
      <c r="U48" s="47" t="n"/>
      <c r="V48" s="44" t="n"/>
      <c r="W48">
        <f>IF(R48=0,0,MATCH(1,INDEX((TrocasEquip!$B$2:$B$1000=P48)*(TrocasEquip!$A$2:$A$1000=R48),0),0))</f>
        <v/>
      </c>
    </row>
    <row r="49">
      <c r="A49" s="7">
        <f>IF(S49="","",IF(W49=0,S49,INDEX(TrocasEquip!$G$2:$G$1000,W49)))</f>
        <v/>
      </c>
      <c r="B49" s="39" t="n"/>
      <c r="C49" s="32">
        <f>IF(B49="","",IF(B49="Molde","corridas",IF(B49="Oscilador","dias","t")))</f>
        <v/>
      </c>
      <c r="D49" s="39" t="n"/>
      <c r="E49" s="34">
        <f>IF(W49=0,T49,IF(INDEX(TrocasEquip!$H$2:$H$1000,W49)="",T49,INDEX(TrocasEquip!$H$2:$H$1000,W49)))</f>
        <v/>
      </c>
      <c r="F49" s="36">
        <f>IF(W49=0,IF(U49="","",U49),R49)</f>
        <v/>
      </c>
      <c r="G49" s="34">
        <f>IF(W49=0,V49,N(INDEX(TrocasEquip!$I$2:$I$1000,W49)))</f>
        <v/>
      </c>
      <c r="H49" s="34">
        <f>IF(A49="","",IF(C49="corridas",SUMIFS(Historico!$E:$E,Historico!$B:$B,L49,Historico!$A:$A,SUMPRODUCT(MAX((Historico!$B$2:$B$5000=L49)*Historico!$A$2:$A$5000))),N(G49)+IF(F49="",0,IF(C49="dias",MAX(0,TODAY()-F49),IF(D49=2,SUMIFS(Producao!$D:$D,Producao!$A:$A,"&gt;="&amp;F49),IF(D49=3,SUMIFS(Producao!$E:$E,Producao!$A:$A,"&gt;="&amp;F49),SUMIFS(Producao!$B:$B,Producao!$A:$A,"&gt;="&amp;F49)))))))</f>
        <v/>
      </c>
      <c r="I49" s="34">
        <f>IF(OR(A49="",E49=""),"",E49-H49)</f>
        <v/>
      </c>
      <c r="J49" s="35">
        <f>IF(OR(A49="",N(E49)&lt;=0),"",H49/E49)</f>
        <v/>
      </c>
      <c r="K49" s="32">
        <f>IF(I49="","",IF(I49&lt;0,"Além da meta",IF(J49&gt;=Regras!$B$3,"Atenção","OK")))</f>
        <v/>
      </c>
      <c r="L49" s="39" t="n"/>
      <c r="M49">
        <f>IF(J49="",-1,J49+ROW()/1000000000)</f>
        <v/>
      </c>
      <c r="N49" s="41" t="n"/>
      <c r="O49" s="41" t="n"/>
      <c r="P49" s="7">
        <f>IF(OR(N49="",L49=""),"",L49&amp;" - "&amp;N49)</f>
        <v/>
      </c>
      <c r="Q49">
        <f>IF(A49&lt;&gt;"",ROW(),"")</f>
        <v/>
      </c>
      <c r="R49" s="42">
        <f>IF(P49="",0,_xlfn.MAXIFS(TrocasEquip!$A$2:$A$1000,TrocasEquip!$B$2:$B$1000,P49))</f>
        <v/>
      </c>
      <c r="S49" s="43" t="n"/>
      <c r="T49" s="44" t="n"/>
      <c r="U49" s="47" t="n"/>
      <c r="V49" s="44" t="n"/>
      <c r="W49">
        <f>IF(R49=0,0,MATCH(1,INDEX((TrocasEquip!$B$2:$B$1000=P49)*(TrocasEquip!$A$2:$A$1000=R49),0),0))</f>
        <v/>
      </c>
    </row>
    <row r="50">
      <c r="A50" s="7">
        <f>IF(S50="","",IF(W50=0,S50,INDEX(TrocasEquip!$G$2:$G$1000,W50)))</f>
        <v/>
      </c>
      <c r="B50" s="39" t="n"/>
      <c r="C50" s="32">
        <f>IF(B50="","",IF(B50="Molde","corridas",IF(B50="Oscilador","dias","t")))</f>
        <v/>
      </c>
      <c r="D50" s="39" t="n"/>
      <c r="E50" s="34">
        <f>IF(W50=0,T50,IF(INDEX(TrocasEquip!$H$2:$H$1000,W50)="",T50,INDEX(TrocasEquip!$H$2:$H$1000,W50)))</f>
        <v/>
      </c>
      <c r="F50" s="36">
        <f>IF(W50=0,IF(U50="","",U50),R50)</f>
        <v/>
      </c>
      <c r="G50" s="34">
        <f>IF(W50=0,V50,N(INDEX(TrocasEquip!$I$2:$I$1000,W50)))</f>
        <v/>
      </c>
      <c r="H50" s="34">
        <f>IF(A50="","",IF(C50="corridas",SUMIFS(Historico!$E:$E,Historico!$B:$B,L50,Historico!$A:$A,SUMPRODUCT(MAX((Historico!$B$2:$B$5000=L50)*Historico!$A$2:$A$5000))),N(G50)+IF(F50="",0,IF(C50="dias",MAX(0,TODAY()-F50),IF(D50=2,SUMIFS(Producao!$D:$D,Producao!$A:$A,"&gt;="&amp;F50),IF(D50=3,SUMIFS(Producao!$E:$E,Producao!$A:$A,"&gt;="&amp;F50),SUMIFS(Producao!$B:$B,Producao!$A:$A,"&gt;="&amp;F50)))))))</f>
        <v/>
      </c>
      <c r="I50" s="34">
        <f>IF(OR(A50="",E50=""),"",E50-H50)</f>
        <v/>
      </c>
      <c r="J50" s="35">
        <f>IF(OR(A50="",N(E50)&lt;=0),"",H50/E50)</f>
        <v/>
      </c>
      <c r="K50" s="32">
        <f>IF(I50="","",IF(I50&lt;0,"Além da meta",IF(J50&gt;=Regras!$B$3,"Atenção","OK")))</f>
        <v/>
      </c>
      <c r="L50" s="39" t="n"/>
      <c r="M50">
        <f>IF(J50="",-1,J50+ROW()/1000000000)</f>
        <v/>
      </c>
      <c r="N50" s="41" t="n"/>
      <c r="O50" s="41" t="n"/>
      <c r="P50" s="7">
        <f>IF(OR(N50="",L50=""),"",L50&amp;" - "&amp;N50)</f>
        <v/>
      </c>
      <c r="Q50">
        <f>IF(A50&lt;&gt;"",ROW(),"")</f>
        <v/>
      </c>
      <c r="R50" s="42">
        <f>IF(P50="",0,_xlfn.MAXIFS(TrocasEquip!$A$2:$A$1000,TrocasEquip!$B$2:$B$1000,P50))</f>
        <v/>
      </c>
      <c r="S50" s="43" t="n"/>
      <c r="T50" s="44" t="n"/>
      <c r="U50" s="47" t="n"/>
      <c r="V50" s="44" t="n"/>
      <c r="W50">
        <f>IF(R50=0,0,MATCH(1,INDEX((TrocasEquip!$B$2:$B$1000=P50)*(TrocasEquip!$A$2:$A$1000=R50),0),0))</f>
        <v/>
      </c>
    </row>
    <row r="51">
      <c r="A51" s="7">
        <f>IF(S51="","",IF(W51=0,S51,INDEX(TrocasEquip!$G$2:$G$1000,W51)))</f>
        <v/>
      </c>
      <c r="B51" s="39" t="n"/>
      <c r="C51" s="32">
        <f>IF(B51="","",IF(B51="Molde","corridas",IF(B51="Oscilador","dias","t")))</f>
        <v/>
      </c>
      <c r="D51" s="39" t="n"/>
      <c r="E51" s="34">
        <f>IF(W51=0,T51,IF(INDEX(TrocasEquip!$H$2:$H$1000,W51)="",T51,INDEX(TrocasEquip!$H$2:$H$1000,W51)))</f>
        <v/>
      </c>
      <c r="F51" s="36">
        <f>IF(W51=0,IF(U51="","",U51),R51)</f>
        <v/>
      </c>
      <c r="G51" s="34">
        <f>IF(W51=0,V51,N(INDEX(TrocasEquip!$I$2:$I$1000,W51)))</f>
        <v/>
      </c>
      <c r="H51" s="34">
        <f>IF(A51="","",IF(C51="corridas",SUMIFS(Historico!$E:$E,Historico!$B:$B,L51,Historico!$A:$A,SUMPRODUCT(MAX((Historico!$B$2:$B$5000=L51)*Historico!$A$2:$A$5000))),N(G51)+IF(F51="",0,IF(C51="dias",MAX(0,TODAY()-F51),IF(D51=2,SUMIFS(Producao!$D:$D,Producao!$A:$A,"&gt;="&amp;F51),IF(D51=3,SUMIFS(Producao!$E:$E,Producao!$A:$A,"&gt;="&amp;F51),SUMIFS(Producao!$B:$B,Producao!$A:$A,"&gt;="&amp;F51)))))))</f>
        <v/>
      </c>
      <c r="I51" s="34">
        <f>IF(OR(A51="",E51=""),"",E51-H51)</f>
        <v/>
      </c>
      <c r="J51" s="35">
        <f>IF(OR(A51="",N(E51)&lt;=0),"",H51/E51)</f>
        <v/>
      </c>
      <c r="K51" s="32">
        <f>IF(I51="","",IF(I51&lt;0,"Além da meta",IF(J51&gt;=Regras!$B$3,"Atenção","OK")))</f>
        <v/>
      </c>
      <c r="L51" s="39" t="n"/>
      <c r="M51">
        <f>IF(J51="",-1,J51+ROW()/1000000000)</f>
        <v/>
      </c>
      <c r="N51" s="41" t="n"/>
      <c r="O51" s="41" t="n"/>
      <c r="P51" s="7">
        <f>IF(OR(N51="",L51=""),"",L51&amp;" - "&amp;N51)</f>
        <v/>
      </c>
      <c r="Q51">
        <f>IF(A51&lt;&gt;"",ROW(),"")</f>
        <v/>
      </c>
      <c r="R51" s="42">
        <f>IF(P51="",0,_xlfn.MAXIFS(TrocasEquip!$A$2:$A$1000,TrocasEquip!$B$2:$B$1000,P51))</f>
        <v/>
      </c>
      <c r="S51" s="43" t="n"/>
      <c r="T51" s="44" t="n"/>
      <c r="U51" s="47" t="n"/>
      <c r="V51" s="44" t="n"/>
      <c r="W51">
        <f>IF(R51=0,0,MATCH(1,INDEX((TrocasEquip!$B$2:$B$1000=P51)*(TrocasEquip!$A$2:$A$1000=R51),0),0))</f>
        <v/>
      </c>
    </row>
    <row r="52">
      <c r="A52" s="7">
        <f>IF(S52="","",IF(W52=0,S52,INDEX(TrocasEquip!$G$2:$G$1000,W52)))</f>
        <v/>
      </c>
      <c r="B52" s="39" t="n"/>
      <c r="C52" s="32">
        <f>IF(B52="","",IF(B52="Molde","corridas",IF(B52="Oscilador","dias","t")))</f>
        <v/>
      </c>
      <c r="D52" s="39" t="n"/>
      <c r="E52" s="34">
        <f>IF(W52=0,T52,IF(INDEX(TrocasEquip!$H$2:$H$1000,W52)="",T52,INDEX(TrocasEquip!$H$2:$H$1000,W52)))</f>
        <v/>
      </c>
      <c r="F52" s="36">
        <f>IF(W52=0,IF(U52="","",U52),R52)</f>
        <v/>
      </c>
      <c r="G52" s="34">
        <f>IF(W52=0,V52,N(INDEX(TrocasEquip!$I$2:$I$1000,W52)))</f>
        <v/>
      </c>
      <c r="H52" s="34">
        <f>IF(A52="","",IF(C52="corridas",SUMIFS(Historico!$E:$E,Historico!$B:$B,L52,Historico!$A:$A,SUMPRODUCT(MAX((Historico!$B$2:$B$5000=L52)*Historico!$A$2:$A$5000))),N(G52)+IF(F52="",0,IF(C52="dias",MAX(0,TODAY()-F52),IF(D52=2,SUMIFS(Producao!$D:$D,Producao!$A:$A,"&gt;="&amp;F52),IF(D52=3,SUMIFS(Producao!$E:$E,Producao!$A:$A,"&gt;="&amp;F52),SUMIFS(Producao!$B:$B,Producao!$A:$A,"&gt;="&amp;F52)))))))</f>
        <v/>
      </c>
      <c r="I52" s="34">
        <f>IF(OR(A52="",E52=""),"",E52-H52)</f>
        <v/>
      </c>
      <c r="J52" s="35">
        <f>IF(OR(A52="",N(E52)&lt;=0),"",H52/E52)</f>
        <v/>
      </c>
      <c r="K52" s="32">
        <f>IF(I52="","",IF(I52&lt;0,"Além da meta",IF(J52&gt;=Regras!$B$3,"Atenção","OK")))</f>
        <v/>
      </c>
      <c r="L52" s="39" t="n"/>
      <c r="M52">
        <f>IF(J52="",-1,J52+ROW()/1000000000)</f>
        <v/>
      </c>
      <c r="N52" s="41" t="n"/>
      <c r="O52" s="41" t="n"/>
      <c r="P52" s="7">
        <f>IF(OR(N52="",L52=""),"",L52&amp;" - "&amp;N52)</f>
        <v/>
      </c>
      <c r="Q52">
        <f>IF(A52&lt;&gt;"",ROW(),"")</f>
        <v/>
      </c>
      <c r="R52" s="42">
        <f>IF(P52="",0,_xlfn.MAXIFS(TrocasEquip!$A$2:$A$1000,TrocasEquip!$B$2:$B$1000,P52))</f>
        <v/>
      </c>
      <c r="S52" s="43" t="n"/>
      <c r="T52" s="44" t="n"/>
      <c r="U52" s="47" t="n"/>
      <c r="V52" s="44" t="n"/>
      <c r="W52">
        <f>IF(R52=0,0,MATCH(1,INDEX((TrocasEquip!$B$2:$B$1000=P52)*(TrocasEquip!$A$2:$A$1000=R52),0),0))</f>
        <v/>
      </c>
    </row>
    <row r="53">
      <c r="A53" s="7">
        <f>IF(S53="","",IF(W53=0,S53,INDEX(TrocasEquip!$G$2:$G$1000,W53)))</f>
        <v/>
      </c>
      <c r="B53" s="39" t="n"/>
      <c r="C53" s="32">
        <f>IF(B53="","",IF(B53="Molde","corridas",IF(B53="Oscilador","dias","t")))</f>
        <v/>
      </c>
      <c r="D53" s="39" t="n"/>
      <c r="E53" s="34">
        <f>IF(W53=0,T53,IF(INDEX(TrocasEquip!$H$2:$H$1000,W53)="",T53,INDEX(TrocasEquip!$H$2:$H$1000,W53)))</f>
        <v/>
      </c>
      <c r="F53" s="36">
        <f>IF(W53=0,IF(U53="","",U53),R53)</f>
        <v/>
      </c>
      <c r="G53" s="34">
        <f>IF(W53=0,V53,N(INDEX(TrocasEquip!$I$2:$I$1000,W53)))</f>
        <v/>
      </c>
      <c r="H53" s="34">
        <f>IF(A53="","",IF(C53="corridas",SUMIFS(Historico!$E:$E,Historico!$B:$B,L53,Historico!$A:$A,SUMPRODUCT(MAX((Historico!$B$2:$B$5000=L53)*Historico!$A$2:$A$5000))),N(G53)+IF(F53="",0,IF(C53="dias",MAX(0,TODAY()-F53),IF(D53=2,SUMIFS(Producao!$D:$D,Producao!$A:$A,"&gt;="&amp;F53),IF(D53=3,SUMIFS(Producao!$E:$E,Producao!$A:$A,"&gt;="&amp;F53),SUMIFS(Producao!$B:$B,Producao!$A:$A,"&gt;="&amp;F53)))))))</f>
        <v/>
      </c>
      <c r="I53" s="34">
        <f>IF(OR(A53="",E53=""),"",E53-H53)</f>
        <v/>
      </c>
      <c r="J53" s="35">
        <f>IF(OR(A53="",N(E53)&lt;=0),"",H53/E53)</f>
        <v/>
      </c>
      <c r="K53" s="32">
        <f>IF(I53="","",IF(I53&lt;0,"Além da meta",IF(J53&gt;=Regras!$B$3,"Atenção","OK")))</f>
        <v/>
      </c>
      <c r="L53" s="39" t="n"/>
      <c r="M53">
        <f>IF(J53="",-1,J53+ROW()/1000000000)</f>
        <v/>
      </c>
      <c r="N53" s="41" t="n"/>
      <c r="O53" s="41" t="n"/>
      <c r="P53" s="7">
        <f>IF(OR(N53="",L53=""),"",L53&amp;" - "&amp;N53)</f>
        <v/>
      </c>
      <c r="Q53">
        <f>IF(A53&lt;&gt;"",ROW(),"")</f>
        <v/>
      </c>
      <c r="R53" s="42">
        <f>IF(P53="",0,_xlfn.MAXIFS(TrocasEquip!$A$2:$A$1000,TrocasEquip!$B$2:$B$1000,P53))</f>
        <v/>
      </c>
      <c r="S53" s="43" t="n"/>
      <c r="T53" s="44" t="n"/>
      <c r="U53" s="47" t="n"/>
      <c r="V53" s="44" t="n"/>
      <c r="W53">
        <f>IF(R53=0,0,MATCH(1,INDEX((TrocasEquip!$B$2:$B$1000=P53)*(TrocasEquip!$A$2:$A$1000=R53),0),0))</f>
        <v/>
      </c>
    </row>
    <row r="54">
      <c r="A54" s="7">
        <f>IF(S54="","",IF(W54=0,S54,INDEX(TrocasEquip!$G$2:$G$1000,W54)))</f>
        <v/>
      </c>
      <c r="B54" s="39" t="n"/>
      <c r="C54" s="32">
        <f>IF(B54="","",IF(B54="Molde","corridas",IF(B54="Oscilador","dias","t")))</f>
        <v/>
      </c>
      <c r="D54" s="39" t="n"/>
      <c r="E54" s="34">
        <f>IF(W54=0,T54,IF(INDEX(TrocasEquip!$H$2:$H$1000,W54)="",T54,INDEX(TrocasEquip!$H$2:$H$1000,W54)))</f>
        <v/>
      </c>
      <c r="F54" s="36">
        <f>IF(W54=0,IF(U54="","",U54),R54)</f>
        <v/>
      </c>
      <c r="G54" s="34">
        <f>IF(W54=0,V54,N(INDEX(TrocasEquip!$I$2:$I$1000,W54)))</f>
        <v/>
      </c>
      <c r="H54" s="34">
        <f>IF(A54="","",IF(C54="corridas",SUMIFS(Historico!$E:$E,Historico!$B:$B,L54,Historico!$A:$A,SUMPRODUCT(MAX((Historico!$B$2:$B$5000=L54)*Historico!$A$2:$A$5000))),N(G54)+IF(F54="",0,IF(C54="dias",MAX(0,TODAY()-F54),IF(D54=2,SUMIFS(Producao!$D:$D,Producao!$A:$A,"&gt;="&amp;F54),IF(D54=3,SUMIFS(Producao!$E:$E,Producao!$A:$A,"&gt;="&amp;F54),SUMIFS(Producao!$B:$B,Producao!$A:$A,"&gt;="&amp;F54)))))))</f>
        <v/>
      </c>
      <c r="I54" s="34">
        <f>IF(OR(A54="",E54=""),"",E54-H54)</f>
        <v/>
      </c>
      <c r="J54" s="35">
        <f>IF(OR(A54="",N(E54)&lt;=0),"",H54/E54)</f>
        <v/>
      </c>
      <c r="K54" s="32">
        <f>IF(I54="","",IF(I54&lt;0,"Além da meta",IF(J54&gt;=Regras!$B$3,"Atenção","OK")))</f>
        <v/>
      </c>
      <c r="L54" s="39" t="n"/>
      <c r="M54">
        <f>IF(J54="",-1,J54+ROW()/1000000000)</f>
        <v/>
      </c>
      <c r="N54" s="41" t="n"/>
      <c r="O54" s="41" t="n"/>
      <c r="P54" s="7">
        <f>IF(OR(N54="",L54=""),"",L54&amp;" - "&amp;N54)</f>
        <v/>
      </c>
      <c r="Q54">
        <f>IF(A54&lt;&gt;"",ROW(),"")</f>
        <v/>
      </c>
      <c r="R54" s="42">
        <f>IF(P54="",0,_xlfn.MAXIFS(TrocasEquip!$A$2:$A$1000,TrocasEquip!$B$2:$B$1000,P54))</f>
        <v/>
      </c>
      <c r="S54" s="43" t="n"/>
      <c r="T54" s="44" t="n"/>
      <c r="U54" s="47" t="n"/>
      <c r="V54" s="44" t="n"/>
      <c r="W54">
        <f>IF(R54=0,0,MATCH(1,INDEX((TrocasEquip!$B$2:$B$1000=P54)*(TrocasEquip!$A$2:$A$1000=R54),0),0))</f>
        <v/>
      </c>
    </row>
    <row r="55">
      <c r="A55" s="7">
        <f>IF(S55="","",IF(W55=0,S55,INDEX(TrocasEquip!$G$2:$G$1000,W55)))</f>
        <v/>
      </c>
      <c r="B55" s="39" t="n"/>
      <c r="C55" s="32">
        <f>IF(B55="","",IF(B55="Molde","corridas",IF(B55="Oscilador","dias","t")))</f>
        <v/>
      </c>
      <c r="D55" s="39" t="n"/>
      <c r="E55" s="34">
        <f>IF(W55=0,T55,IF(INDEX(TrocasEquip!$H$2:$H$1000,W55)="",T55,INDEX(TrocasEquip!$H$2:$H$1000,W55)))</f>
        <v/>
      </c>
      <c r="F55" s="36">
        <f>IF(W55=0,IF(U55="","",U55),R55)</f>
        <v/>
      </c>
      <c r="G55" s="34">
        <f>IF(W55=0,V55,N(INDEX(TrocasEquip!$I$2:$I$1000,W55)))</f>
        <v/>
      </c>
      <c r="H55" s="34">
        <f>IF(A55="","",IF(C55="corridas",SUMIFS(Historico!$E:$E,Historico!$B:$B,L55,Historico!$A:$A,SUMPRODUCT(MAX((Historico!$B$2:$B$5000=L55)*Historico!$A$2:$A$5000))),N(G55)+IF(F55="",0,IF(C55="dias",MAX(0,TODAY()-F55),IF(D55=2,SUMIFS(Producao!$D:$D,Producao!$A:$A,"&gt;="&amp;F55),IF(D55=3,SUMIFS(Producao!$E:$E,Producao!$A:$A,"&gt;="&amp;F55),SUMIFS(Producao!$B:$B,Producao!$A:$A,"&gt;="&amp;F55)))))))</f>
        <v/>
      </c>
      <c r="I55" s="34">
        <f>IF(OR(A55="",E55=""),"",E55-H55)</f>
        <v/>
      </c>
      <c r="J55" s="35">
        <f>IF(OR(A55="",N(E55)&lt;=0),"",H55/E55)</f>
        <v/>
      </c>
      <c r="K55" s="32">
        <f>IF(I55="","",IF(I55&lt;0,"Além da meta",IF(J55&gt;=Regras!$B$3,"Atenção","OK")))</f>
        <v/>
      </c>
      <c r="L55" s="39" t="n"/>
      <c r="M55">
        <f>IF(J55="",-1,J55+ROW()/1000000000)</f>
        <v/>
      </c>
      <c r="N55" s="41" t="n"/>
      <c r="O55" s="41" t="n"/>
      <c r="P55" s="7">
        <f>IF(OR(N55="",L55=""),"",L55&amp;" - "&amp;N55)</f>
        <v/>
      </c>
      <c r="Q55">
        <f>IF(A55&lt;&gt;"",ROW(),"")</f>
        <v/>
      </c>
      <c r="R55" s="42">
        <f>IF(P55="",0,_xlfn.MAXIFS(TrocasEquip!$A$2:$A$1000,TrocasEquip!$B$2:$B$1000,P55))</f>
        <v/>
      </c>
      <c r="S55" s="43" t="n"/>
      <c r="T55" s="44" t="n"/>
      <c r="U55" s="47" t="n"/>
      <c r="V55" s="44" t="n"/>
      <c r="W55">
        <f>IF(R55=0,0,MATCH(1,INDEX((TrocasEquip!$B$2:$B$1000=P55)*(TrocasEquip!$A$2:$A$1000=R55),0),0))</f>
        <v/>
      </c>
    </row>
    <row r="56">
      <c r="A56" s="7">
        <f>IF(S56="","",IF(W56=0,S56,INDEX(TrocasEquip!$G$2:$G$1000,W56)))</f>
        <v/>
      </c>
      <c r="B56" s="39" t="n"/>
      <c r="C56" s="32">
        <f>IF(B56="","",IF(B56="Molde","corridas",IF(B56="Oscilador","dias","t")))</f>
        <v/>
      </c>
      <c r="D56" s="39" t="n"/>
      <c r="E56" s="34">
        <f>IF(W56=0,T56,IF(INDEX(TrocasEquip!$H$2:$H$1000,W56)="",T56,INDEX(TrocasEquip!$H$2:$H$1000,W56)))</f>
        <v/>
      </c>
      <c r="F56" s="36">
        <f>IF(W56=0,IF(U56="","",U56),R56)</f>
        <v/>
      </c>
      <c r="G56" s="34">
        <f>IF(W56=0,V56,N(INDEX(TrocasEquip!$I$2:$I$1000,W56)))</f>
        <v/>
      </c>
      <c r="H56" s="34">
        <f>IF(A56="","",IF(C56="corridas",SUMIFS(Historico!$E:$E,Historico!$B:$B,L56,Historico!$A:$A,SUMPRODUCT(MAX((Historico!$B$2:$B$5000=L56)*Historico!$A$2:$A$5000))),N(G56)+IF(F56="",0,IF(C56="dias",MAX(0,TODAY()-F56),IF(D56=2,SUMIFS(Producao!$D:$D,Producao!$A:$A,"&gt;="&amp;F56),IF(D56=3,SUMIFS(Producao!$E:$E,Producao!$A:$A,"&gt;="&amp;F56),SUMIFS(Producao!$B:$B,Producao!$A:$A,"&gt;="&amp;F56)))))))</f>
        <v/>
      </c>
      <c r="I56" s="34">
        <f>IF(OR(A56="",E56=""),"",E56-H56)</f>
        <v/>
      </c>
      <c r="J56" s="35">
        <f>IF(OR(A56="",N(E56)&lt;=0),"",H56/E56)</f>
        <v/>
      </c>
      <c r="K56" s="32">
        <f>IF(I56="","",IF(I56&lt;0,"Além da meta",IF(J56&gt;=Regras!$B$3,"Atenção","OK")))</f>
        <v/>
      </c>
      <c r="L56" s="39" t="n"/>
      <c r="M56">
        <f>IF(J56="",-1,J56+ROW()/1000000000)</f>
        <v/>
      </c>
      <c r="N56" s="41" t="n"/>
      <c r="O56" s="41" t="n"/>
      <c r="P56" s="7">
        <f>IF(OR(N56="",L56=""),"",L56&amp;" - "&amp;N56)</f>
        <v/>
      </c>
      <c r="Q56">
        <f>IF(A56&lt;&gt;"",ROW(),"")</f>
        <v/>
      </c>
      <c r="R56" s="42">
        <f>IF(P56="",0,_xlfn.MAXIFS(TrocasEquip!$A$2:$A$1000,TrocasEquip!$B$2:$B$1000,P56))</f>
        <v/>
      </c>
      <c r="S56" s="43" t="n"/>
      <c r="T56" s="44" t="n"/>
      <c r="U56" s="47" t="n"/>
      <c r="V56" s="44" t="n"/>
      <c r="W56">
        <f>IF(R56=0,0,MATCH(1,INDEX((TrocasEquip!$B$2:$B$1000=P56)*(TrocasEquip!$A$2:$A$1000=R56),0),0))</f>
        <v/>
      </c>
    </row>
    <row r="57">
      <c r="A57" s="7">
        <f>IF(S57="","",IF(W57=0,S57,INDEX(TrocasEquip!$G$2:$G$1000,W57)))</f>
        <v/>
      </c>
      <c r="B57" s="39" t="n"/>
      <c r="C57" s="32">
        <f>IF(B57="","",IF(B57="Molde","corridas",IF(B57="Oscilador","dias","t")))</f>
        <v/>
      </c>
      <c r="D57" s="39" t="n"/>
      <c r="E57" s="34">
        <f>IF(W57=0,T57,IF(INDEX(TrocasEquip!$H$2:$H$1000,W57)="",T57,INDEX(TrocasEquip!$H$2:$H$1000,W57)))</f>
        <v/>
      </c>
      <c r="F57" s="36">
        <f>IF(W57=0,IF(U57="","",U57),R57)</f>
        <v/>
      </c>
      <c r="G57" s="34">
        <f>IF(W57=0,V57,N(INDEX(TrocasEquip!$I$2:$I$1000,W57)))</f>
        <v/>
      </c>
      <c r="H57" s="34">
        <f>IF(A57="","",IF(C57="corridas",SUMIFS(Historico!$E:$E,Historico!$B:$B,L57,Historico!$A:$A,SUMPRODUCT(MAX((Historico!$B$2:$B$5000=L57)*Historico!$A$2:$A$5000))),N(G57)+IF(F57="",0,IF(C57="dias",MAX(0,TODAY()-F57),IF(D57=2,SUMIFS(Producao!$D:$D,Producao!$A:$A,"&gt;="&amp;F57),IF(D57=3,SUMIFS(Producao!$E:$E,Producao!$A:$A,"&gt;="&amp;F57),SUMIFS(Producao!$B:$B,Producao!$A:$A,"&gt;="&amp;F57)))))))</f>
        <v/>
      </c>
      <c r="I57" s="34">
        <f>IF(OR(A57="",E57=""),"",E57-H57)</f>
        <v/>
      </c>
      <c r="J57" s="35">
        <f>IF(OR(A57="",N(E57)&lt;=0),"",H57/E57)</f>
        <v/>
      </c>
      <c r="K57" s="32">
        <f>IF(I57="","",IF(I57&lt;0,"Além da meta",IF(J57&gt;=Regras!$B$3,"Atenção","OK")))</f>
        <v/>
      </c>
      <c r="L57" s="39" t="n"/>
      <c r="M57">
        <f>IF(J57="",-1,J57+ROW()/1000000000)</f>
        <v/>
      </c>
      <c r="N57" s="41" t="n"/>
      <c r="O57" s="41" t="n"/>
      <c r="P57" s="7">
        <f>IF(OR(N57="",L57=""),"",L57&amp;" - "&amp;N57)</f>
        <v/>
      </c>
      <c r="Q57">
        <f>IF(A57&lt;&gt;"",ROW(),"")</f>
        <v/>
      </c>
      <c r="R57" s="42">
        <f>IF(P57="",0,_xlfn.MAXIFS(TrocasEquip!$A$2:$A$1000,TrocasEquip!$B$2:$B$1000,P57))</f>
        <v/>
      </c>
      <c r="S57" s="43" t="n"/>
      <c r="T57" s="44" t="n"/>
      <c r="U57" s="47" t="n"/>
      <c r="V57" s="44" t="n"/>
      <c r="W57">
        <f>IF(R57=0,0,MATCH(1,INDEX((TrocasEquip!$B$2:$B$1000=P57)*(TrocasEquip!$A$2:$A$1000=R57),0),0))</f>
        <v/>
      </c>
    </row>
    <row r="58">
      <c r="A58" s="7">
        <f>IF(S58="","",IF(W58=0,S58,INDEX(TrocasEquip!$G$2:$G$1000,W58)))</f>
        <v/>
      </c>
      <c r="B58" s="39" t="n"/>
      <c r="C58" s="32">
        <f>IF(B58="","",IF(B58="Molde","corridas",IF(B58="Oscilador","dias","t")))</f>
        <v/>
      </c>
      <c r="D58" s="39" t="n"/>
      <c r="E58" s="34">
        <f>IF(W58=0,T58,IF(INDEX(TrocasEquip!$H$2:$H$1000,W58)="",T58,INDEX(TrocasEquip!$H$2:$H$1000,W58)))</f>
        <v/>
      </c>
      <c r="F58" s="36">
        <f>IF(W58=0,IF(U58="","",U58),R58)</f>
        <v/>
      </c>
      <c r="G58" s="34">
        <f>IF(W58=0,V58,N(INDEX(TrocasEquip!$I$2:$I$1000,W58)))</f>
        <v/>
      </c>
      <c r="H58" s="34">
        <f>IF(A58="","",IF(C58="corridas",SUMIFS(Historico!$E:$E,Historico!$B:$B,L58,Historico!$A:$A,SUMPRODUCT(MAX((Historico!$B$2:$B$5000=L58)*Historico!$A$2:$A$5000))),N(G58)+IF(F58="",0,IF(C58="dias",MAX(0,TODAY()-F58),IF(D58=2,SUMIFS(Producao!$D:$D,Producao!$A:$A,"&gt;="&amp;F58),IF(D58=3,SUMIFS(Producao!$E:$E,Producao!$A:$A,"&gt;="&amp;F58),SUMIFS(Producao!$B:$B,Producao!$A:$A,"&gt;="&amp;F58)))))))</f>
        <v/>
      </c>
      <c r="I58" s="34">
        <f>IF(OR(A58="",E58=""),"",E58-H58)</f>
        <v/>
      </c>
      <c r="J58" s="35">
        <f>IF(OR(A58="",N(E58)&lt;=0),"",H58/E58)</f>
        <v/>
      </c>
      <c r="K58" s="32">
        <f>IF(I58="","",IF(I58&lt;0,"Além da meta",IF(J58&gt;=Regras!$B$3,"Atenção","OK")))</f>
        <v/>
      </c>
      <c r="L58" s="39" t="n"/>
      <c r="M58">
        <f>IF(J58="",-1,J58+ROW()/1000000000)</f>
        <v/>
      </c>
      <c r="N58" s="41" t="n"/>
      <c r="O58" s="41" t="n"/>
      <c r="P58" s="7">
        <f>IF(OR(N58="",L58=""),"",L58&amp;" - "&amp;N58)</f>
        <v/>
      </c>
      <c r="Q58">
        <f>IF(A58&lt;&gt;"",ROW(),"")</f>
        <v/>
      </c>
      <c r="R58" s="42">
        <f>IF(P58="",0,_xlfn.MAXIFS(TrocasEquip!$A$2:$A$1000,TrocasEquip!$B$2:$B$1000,P58))</f>
        <v/>
      </c>
      <c r="S58" s="43" t="n"/>
      <c r="T58" s="44" t="n"/>
      <c r="U58" s="47" t="n"/>
      <c r="V58" s="44" t="n"/>
      <c r="W58">
        <f>IF(R58=0,0,MATCH(1,INDEX((TrocasEquip!$B$2:$B$1000=P58)*(TrocasEquip!$A$2:$A$1000=R58),0),0))</f>
        <v/>
      </c>
    </row>
    <row r="59">
      <c r="A59" s="7">
        <f>IF(S59="","",IF(W59=0,S59,INDEX(TrocasEquip!$G$2:$G$1000,W59)))</f>
        <v/>
      </c>
      <c r="B59" s="39" t="n"/>
      <c r="C59" s="32">
        <f>IF(B59="","",IF(B59="Molde","corridas",IF(B59="Oscilador","dias","t")))</f>
        <v/>
      </c>
      <c r="D59" s="39" t="n"/>
      <c r="E59" s="34">
        <f>IF(W59=0,T59,IF(INDEX(TrocasEquip!$H$2:$H$1000,W59)="",T59,INDEX(TrocasEquip!$H$2:$H$1000,W59)))</f>
        <v/>
      </c>
      <c r="F59" s="36">
        <f>IF(W59=0,IF(U59="","",U59),R59)</f>
        <v/>
      </c>
      <c r="G59" s="34">
        <f>IF(W59=0,V59,N(INDEX(TrocasEquip!$I$2:$I$1000,W59)))</f>
        <v/>
      </c>
      <c r="H59" s="34">
        <f>IF(A59="","",IF(C59="corridas",SUMIFS(Historico!$E:$E,Historico!$B:$B,L59,Historico!$A:$A,SUMPRODUCT(MAX((Historico!$B$2:$B$5000=L59)*Historico!$A$2:$A$5000))),N(G59)+IF(F59="",0,IF(C59="dias",MAX(0,TODAY()-F59),IF(D59=2,SUMIFS(Producao!$D:$D,Producao!$A:$A,"&gt;="&amp;F59),IF(D59=3,SUMIFS(Producao!$E:$E,Producao!$A:$A,"&gt;="&amp;F59),SUMIFS(Producao!$B:$B,Producao!$A:$A,"&gt;="&amp;F59)))))))</f>
        <v/>
      </c>
      <c r="I59" s="34">
        <f>IF(OR(A59="",E59=""),"",E59-H59)</f>
        <v/>
      </c>
      <c r="J59" s="35">
        <f>IF(OR(A59="",N(E59)&lt;=0),"",H59/E59)</f>
        <v/>
      </c>
      <c r="K59" s="32">
        <f>IF(I59="","",IF(I59&lt;0,"Além da meta",IF(J59&gt;=Regras!$B$3,"Atenção","OK")))</f>
        <v/>
      </c>
      <c r="L59" s="39" t="n"/>
      <c r="M59">
        <f>IF(J59="",-1,J59+ROW()/1000000000)</f>
        <v/>
      </c>
      <c r="N59" s="41" t="n"/>
      <c r="O59" s="41" t="n"/>
      <c r="P59" s="7">
        <f>IF(OR(N59="",L59=""),"",L59&amp;" - "&amp;N59)</f>
        <v/>
      </c>
      <c r="Q59">
        <f>IF(A59&lt;&gt;"",ROW(),"")</f>
        <v/>
      </c>
      <c r="R59" s="42">
        <f>IF(P59="",0,_xlfn.MAXIFS(TrocasEquip!$A$2:$A$1000,TrocasEquip!$B$2:$B$1000,P59))</f>
        <v/>
      </c>
      <c r="S59" s="43" t="n"/>
      <c r="T59" s="44" t="n"/>
      <c r="U59" s="47" t="n"/>
      <c r="V59" s="44" t="n"/>
      <c r="W59">
        <f>IF(R59=0,0,MATCH(1,INDEX((TrocasEquip!$B$2:$B$1000=P59)*(TrocasEquip!$A$2:$A$1000=R59),0),0))</f>
        <v/>
      </c>
    </row>
    <row r="60">
      <c r="A60" s="7">
        <f>IF(S60="","",IF(W60=0,S60,INDEX(TrocasEquip!$G$2:$G$1000,W60)))</f>
        <v/>
      </c>
      <c r="B60" s="39" t="n"/>
      <c r="C60" s="32">
        <f>IF(B60="","",IF(B60="Molde","corridas",IF(B60="Oscilador","dias","t")))</f>
        <v/>
      </c>
      <c r="D60" s="39" t="n"/>
      <c r="E60" s="34">
        <f>IF(W60=0,T60,IF(INDEX(TrocasEquip!$H$2:$H$1000,W60)="",T60,INDEX(TrocasEquip!$H$2:$H$1000,W60)))</f>
        <v/>
      </c>
      <c r="F60" s="36">
        <f>IF(W60=0,IF(U60="","",U60),R60)</f>
        <v/>
      </c>
      <c r="G60" s="34">
        <f>IF(W60=0,V60,N(INDEX(TrocasEquip!$I$2:$I$1000,W60)))</f>
        <v/>
      </c>
      <c r="H60" s="34">
        <f>IF(A60="","",IF(C60="corridas",SUMIFS(Historico!$E:$E,Historico!$B:$B,L60,Historico!$A:$A,SUMPRODUCT(MAX((Historico!$B$2:$B$5000=L60)*Historico!$A$2:$A$5000))),N(G60)+IF(F60="",0,IF(C60="dias",MAX(0,TODAY()-F60),IF(D60=2,SUMIFS(Producao!$D:$D,Producao!$A:$A,"&gt;="&amp;F60),IF(D60=3,SUMIFS(Producao!$E:$E,Producao!$A:$A,"&gt;="&amp;F60),SUMIFS(Producao!$B:$B,Producao!$A:$A,"&gt;="&amp;F60)))))))</f>
        <v/>
      </c>
      <c r="I60" s="34">
        <f>IF(OR(A60="",E60=""),"",E60-H60)</f>
        <v/>
      </c>
      <c r="J60" s="35">
        <f>IF(OR(A60="",N(E60)&lt;=0),"",H60/E60)</f>
        <v/>
      </c>
      <c r="K60" s="32">
        <f>IF(I60="","",IF(I60&lt;0,"Além da meta",IF(J60&gt;=Regras!$B$3,"Atenção","OK")))</f>
        <v/>
      </c>
      <c r="L60" s="39" t="n"/>
      <c r="M60">
        <f>IF(J60="",-1,J60+ROW()/1000000000)</f>
        <v/>
      </c>
      <c r="N60" s="41" t="n"/>
      <c r="O60" s="41" t="n"/>
      <c r="P60" s="7">
        <f>IF(OR(N60="",L60=""),"",L60&amp;" - "&amp;N60)</f>
        <v/>
      </c>
      <c r="Q60">
        <f>IF(A60&lt;&gt;"",ROW(),"")</f>
        <v/>
      </c>
      <c r="R60" s="42">
        <f>IF(P60="",0,_xlfn.MAXIFS(TrocasEquip!$A$2:$A$1000,TrocasEquip!$B$2:$B$1000,P60))</f>
        <v/>
      </c>
      <c r="S60" s="43" t="n"/>
      <c r="T60" s="44" t="n"/>
      <c r="U60" s="47" t="n"/>
      <c r="V60" s="44" t="n"/>
      <c r="W60">
        <f>IF(R60=0,0,MATCH(1,INDEX((TrocasEquip!$B$2:$B$1000=P60)*(TrocasEquip!$A$2:$A$1000=R60),0),0))</f>
        <v/>
      </c>
    </row>
    <row r="61">
      <c r="A61" s="7">
        <f>IF(S61="","",IF(W61=0,S61,INDEX(TrocasEquip!$G$2:$G$1000,W61)))</f>
        <v/>
      </c>
      <c r="B61" s="39" t="n"/>
      <c r="C61" s="32">
        <f>IF(B61="","",IF(B61="Molde","corridas",IF(B61="Oscilador","dias","t")))</f>
        <v/>
      </c>
      <c r="D61" s="39" t="n"/>
      <c r="E61" s="34">
        <f>IF(W61=0,T61,IF(INDEX(TrocasEquip!$H$2:$H$1000,W61)="",T61,INDEX(TrocasEquip!$H$2:$H$1000,W61)))</f>
        <v/>
      </c>
      <c r="F61" s="36">
        <f>IF(W61=0,IF(U61="","",U61),R61)</f>
        <v/>
      </c>
      <c r="G61" s="34">
        <f>IF(W61=0,V61,N(INDEX(TrocasEquip!$I$2:$I$1000,W61)))</f>
        <v/>
      </c>
      <c r="H61" s="34">
        <f>IF(A61="","",IF(C61="corridas",SUMIFS(Historico!$E:$E,Historico!$B:$B,L61,Historico!$A:$A,SUMPRODUCT(MAX((Historico!$B$2:$B$5000=L61)*Historico!$A$2:$A$5000))),N(G61)+IF(F61="",0,IF(C61="dias",MAX(0,TODAY()-F61),IF(D61=2,SUMIFS(Producao!$D:$D,Producao!$A:$A,"&gt;="&amp;F61),IF(D61=3,SUMIFS(Producao!$E:$E,Producao!$A:$A,"&gt;="&amp;F61),SUMIFS(Producao!$B:$B,Producao!$A:$A,"&gt;="&amp;F61)))))))</f>
        <v/>
      </c>
      <c r="I61" s="34">
        <f>IF(OR(A61="",E61=""),"",E61-H61)</f>
        <v/>
      </c>
      <c r="J61" s="35">
        <f>IF(OR(A61="",N(E61)&lt;=0),"",H61/E61)</f>
        <v/>
      </c>
      <c r="K61" s="32">
        <f>IF(I61="","",IF(I61&lt;0,"Além da meta",IF(J61&gt;=Regras!$B$3,"Atenção","OK")))</f>
        <v/>
      </c>
      <c r="L61" s="39" t="n"/>
      <c r="M61">
        <f>IF(J61="",-1,J61+ROW()/1000000000)</f>
        <v/>
      </c>
      <c r="N61" s="41" t="n"/>
      <c r="O61" s="41" t="n"/>
      <c r="P61" s="7">
        <f>IF(OR(N61="",L61=""),"",L61&amp;" - "&amp;N61)</f>
        <v/>
      </c>
      <c r="Q61">
        <f>IF(A61&lt;&gt;"",ROW(),"")</f>
        <v/>
      </c>
      <c r="R61" s="42">
        <f>IF(P61="",0,_xlfn.MAXIFS(TrocasEquip!$A$2:$A$1000,TrocasEquip!$B$2:$B$1000,P61))</f>
        <v/>
      </c>
      <c r="S61" s="43" t="n"/>
      <c r="T61" s="44" t="n"/>
      <c r="U61" s="47" t="n"/>
      <c r="V61" s="44" t="n"/>
      <c r="W61">
        <f>IF(R61=0,0,MATCH(1,INDEX((TrocasEquip!$B$2:$B$1000=P61)*(TrocasEquip!$A$2:$A$1000=R61),0),0))</f>
        <v/>
      </c>
    </row>
    <row r="64">
      <c r="A64" s="48" t="inlineStr">
        <is>
          <t>Uma linha por POSIÇÃO. Tag atual, Meta, Desde e Acumulado inicial são automáticos: vêm da última troca em TrocasEquip (ou dos valores 'original').</t>
        </is>
      </c>
    </row>
    <row r="65">
      <c r="A65" s="49" t="inlineStr">
        <is>
          <t>Amarelo = você digita: Tipo, MCC, Veio, Posição e os valores 'original' (a peça que estava na posição quando a planilha começou).</t>
        </is>
      </c>
    </row>
    <row r="66">
      <c r="A66" s="49" t="inlineStr">
        <is>
          <t>Trocou uma peça? Só na aba TrocasEquip: data, posição, tag que entrou, motivo (meta e acumulado inicial da nova se precisar). Aqui atualiza sozinho.</t>
        </is>
      </c>
    </row>
    <row r="67">
      <c r="A67" s="49" t="inlineStr">
        <is>
          <t>Molde: automático pelo relatório (corridas e vida programada do veio G ou H). Oscilador conta dias; componentes somam as toneladas da MCC desde 'Desde'.</t>
        </is>
      </c>
    </row>
    <row r="68">
      <c r="A68" s="50" t="inlineStr">
        <is>
          <t>ATENÇÃO: os valores 'original' vieram do app em 20/10/2026. Confira tags TESTE, tags repetidas e osciladores.</t>
        </is>
      </c>
    </row>
  </sheetData>
  <conditionalFormatting sqref="J2:J61">
    <cfRule type="dataBar" priority="1">
      <dataBar showValue="1">
        <cfvo type="num" val="0"/>
        <cfvo type="num" val="1"/>
        <color rgb="005B9BD5"/>
      </dataBar>
    </cfRule>
  </conditionalFormatting>
  <conditionalFormatting sqref="K2:K6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4">
    <dataValidation sqref="B2:B61" showDropDown="0" showInputMessage="0" showErrorMessage="0" allowBlank="1" type="list">
      <formula1>"Molde,Oscilador,Bender,Bow,Straightener R1,Straightener R2,Horizontal"</formula1>
    </dataValidation>
    <dataValidation sqref="D2:D61" showDropDown="0" showInputMessage="0" showErrorMessage="0" allowBlank="1" type="list">
      <formula1>"2,3,4"</formula1>
    </dataValidation>
    <dataValidation sqref="L2:L61" showDropDown="0" showInputMessage="0" showErrorMessage="0" allowBlank="1" type="list">
      <formula1>"C,D,E,F,G,H"</formula1>
    </dataValidation>
    <dataValidation sqref="U2:U61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38" t="inlineStr">
        <is>
          <t>Veio</t>
        </is>
      </c>
      <c r="B1" s="38" t="inlineStr">
        <is>
          <t>MCC</t>
        </is>
      </c>
      <c r="C1" s="38" t="inlineStr">
        <is>
          <t>Molde atual</t>
        </is>
      </c>
      <c r="D1" s="38" t="inlineStr">
        <is>
          <t>Meta</t>
        </is>
      </c>
      <c r="E1" s="38" t="inlineStr">
        <is>
          <t>Acumulado</t>
        </is>
      </c>
      <c r="F1" s="38" t="inlineStr">
        <is>
          <t>Falta</t>
        </is>
      </c>
      <c r="G1" s="38" t="inlineStr">
        <is>
          <t>% da vida</t>
        </is>
      </c>
      <c r="H1" s="38" t="inlineStr">
        <is>
          <t>Situação</t>
        </is>
      </c>
      <c r="I1" s="38" t="inlineStr">
        <is>
          <t>Trocas (qtd)</t>
        </is>
      </c>
      <c r="J1" s="38" t="inlineStr">
        <is>
          <t>Corridas médias na saída</t>
        </is>
      </c>
      <c r="K1" s="38" t="inlineStr">
        <is>
          <t>Última troca</t>
        </is>
      </c>
      <c r="L1" s="38" t="inlineStr">
        <is>
          <t>Dias parado</t>
        </is>
      </c>
      <c r="M1" s="38" t="inlineStr">
        <is>
          <t>Dados de</t>
        </is>
      </c>
    </row>
    <row r="2">
      <c r="A2" s="51" t="inlineStr">
        <is>
          <t>C</t>
        </is>
      </c>
      <c r="B2" s="32" t="inlineStr">
        <is>
          <t>MCC2</t>
        </is>
      </c>
      <c r="C2" s="32">
        <f>IF(M2=0,"",SUMIFS(Historico!$C:$C,Historico!$B:$B,A2,Historico!$A:$A,M2))</f>
        <v/>
      </c>
      <c r="D2" s="52">
        <f>IF(M2=0,"",SUMIFS(Historico!$D:$D,Historico!$B:$B,A2,Historico!$A:$A,M2))</f>
        <v/>
      </c>
      <c r="E2" s="52">
        <f>IF(M2=0,"",SUMIFS(Historico!$E:$E,Historico!$B:$B,A2,Historico!$A:$A,M2))</f>
        <v/>
      </c>
      <c r="F2" s="52">
        <f>IF(M2=0,"",D2-E2)</f>
        <v/>
      </c>
      <c r="G2" s="33">
        <f>IF(M2=0,"",IF(N(D2)&gt;0,E2/D2,""))</f>
        <v/>
      </c>
      <c r="H2" s="32">
        <f>IF(M2=0,"",IF(F2&lt;0,"Além da meta",IF(G2&gt;=Regras!$B$3,"Atenção","OK")))</f>
        <v/>
      </c>
      <c r="I2" s="32">
        <f>COUNTIFS(Trocas!$B:$B,A2)</f>
        <v/>
      </c>
      <c r="J2" s="52">
        <f>IFERROR(AVERAGEIFS(Trocas!$E:$E,Trocas!$B:$B,A2),"-")</f>
        <v/>
      </c>
      <c r="K2" s="36">
        <f>IF(I2=0,"-",SUMPRODUCT(MAX((Trocas!$B$2:$B$5000=A2)*Trocas!$A$2:$A$5000)))</f>
        <v/>
      </c>
      <c r="L2" s="32">
        <f>SUMIFS(Paradas!$E:$E,Paradas!$C:$C,A2)</f>
        <v/>
      </c>
      <c r="M2" s="42">
        <f>SUMPRODUCT(MAX((Historico!$B$2:$B$5000=A2)*Historico!$A$2:$A$5000))</f>
        <v/>
      </c>
    </row>
    <row r="3">
      <c r="A3" s="51" t="inlineStr">
        <is>
          <t>D</t>
        </is>
      </c>
      <c r="B3" s="32" t="inlineStr">
        <is>
          <t>MCC2</t>
        </is>
      </c>
      <c r="C3" s="32">
        <f>IF(M3=0,"",SUMIFS(Historico!$C:$C,Historico!$B:$B,A3,Historico!$A:$A,M3))</f>
        <v/>
      </c>
      <c r="D3" s="52">
        <f>IF(M3=0,"",SUMIFS(Historico!$D:$D,Historico!$B:$B,A3,Historico!$A:$A,M3))</f>
        <v/>
      </c>
      <c r="E3" s="52">
        <f>IF(M3=0,"",SUMIFS(Historico!$E:$E,Historico!$B:$B,A3,Historico!$A:$A,M3))</f>
        <v/>
      </c>
      <c r="F3" s="52">
        <f>IF(M3=0,"",D3-E3)</f>
        <v/>
      </c>
      <c r="G3" s="33">
        <f>IF(M3=0,"",IF(N(D3)&gt;0,E3/D3,""))</f>
        <v/>
      </c>
      <c r="H3" s="32">
        <f>IF(M3=0,"",IF(F3&lt;0,"Além da meta",IF(G3&gt;=Regras!$B$3,"Atenção","OK")))</f>
        <v/>
      </c>
      <c r="I3" s="32">
        <f>COUNTIFS(Trocas!$B:$B,A3)</f>
        <v/>
      </c>
      <c r="J3" s="52">
        <f>IFERROR(AVERAGEIFS(Trocas!$E:$E,Trocas!$B:$B,A3),"-")</f>
        <v/>
      </c>
      <c r="K3" s="36">
        <f>IF(I3=0,"-",SUMPRODUCT(MAX((Trocas!$B$2:$B$5000=A3)*Trocas!$A$2:$A$5000)))</f>
        <v/>
      </c>
      <c r="L3" s="32">
        <f>SUMIFS(Paradas!$E:$E,Paradas!$C:$C,A3)</f>
        <v/>
      </c>
      <c r="M3" s="42">
        <f>SUMPRODUCT(MAX((Historico!$B$2:$B$5000=A3)*Historico!$A$2:$A$5000))</f>
        <v/>
      </c>
    </row>
    <row r="4">
      <c r="A4" s="51" t="inlineStr">
        <is>
          <t>E</t>
        </is>
      </c>
      <c r="B4" s="32" t="inlineStr">
        <is>
          <t>MCC3</t>
        </is>
      </c>
      <c r="C4" s="32">
        <f>IF(M4=0,"",SUMIFS(Historico!$C:$C,Historico!$B:$B,A4,Historico!$A:$A,M4))</f>
        <v/>
      </c>
      <c r="D4" s="52">
        <f>IF(M4=0,"",SUMIFS(Historico!$D:$D,Historico!$B:$B,A4,Historico!$A:$A,M4))</f>
        <v/>
      </c>
      <c r="E4" s="52">
        <f>IF(M4=0,"",SUMIFS(Historico!$E:$E,Historico!$B:$B,A4,Historico!$A:$A,M4))</f>
        <v/>
      </c>
      <c r="F4" s="52">
        <f>IF(M4=0,"",D4-E4)</f>
        <v/>
      </c>
      <c r="G4" s="33">
        <f>IF(M4=0,"",IF(N(D4)&gt;0,E4/D4,""))</f>
        <v/>
      </c>
      <c r="H4" s="32">
        <f>IF(M4=0,"",IF(F4&lt;0,"Além da meta",IF(G4&gt;=Regras!$B$3,"Atenção","OK")))</f>
        <v/>
      </c>
      <c r="I4" s="32">
        <f>COUNTIFS(Trocas!$B:$B,A4)</f>
        <v/>
      </c>
      <c r="J4" s="52">
        <f>IFERROR(AVERAGEIFS(Trocas!$E:$E,Trocas!$B:$B,A4),"-")</f>
        <v/>
      </c>
      <c r="K4" s="36">
        <f>IF(I4=0,"-",SUMPRODUCT(MAX((Trocas!$B$2:$B$5000=A4)*Trocas!$A$2:$A$5000)))</f>
        <v/>
      </c>
      <c r="L4" s="32">
        <f>SUMIFS(Paradas!$E:$E,Paradas!$C:$C,A4)</f>
        <v/>
      </c>
      <c r="M4" s="42">
        <f>SUMPRODUCT(MAX((Historico!$B$2:$B$5000=A4)*Historico!$A$2:$A$5000))</f>
        <v/>
      </c>
    </row>
    <row r="5">
      <c r="A5" s="51" t="inlineStr">
        <is>
          <t>F</t>
        </is>
      </c>
      <c r="B5" s="32" t="inlineStr">
        <is>
          <t>MCC3</t>
        </is>
      </c>
      <c r="C5" s="32">
        <f>IF(M5=0,"",SUMIFS(Historico!$C:$C,Historico!$B:$B,A5,Historico!$A:$A,M5))</f>
        <v/>
      </c>
      <c r="D5" s="52">
        <f>IF(M5=0,"",SUMIFS(Historico!$D:$D,Historico!$B:$B,A5,Historico!$A:$A,M5))</f>
        <v/>
      </c>
      <c r="E5" s="52">
        <f>IF(M5=0,"",SUMIFS(Historico!$E:$E,Historico!$B:$B,A5,Historico!$A:$A,M5))</f>
        <v/>
      </c>
      <c r="F5" s="52">
        <f>IF(M5=0,"",D5-E5)</f>
        <v/>
      </c>
      <c r="G5" s="33">
        <f>IF(M5=0,"",IF(N(D5)&gt;0,E5/D5,""))</f>
        <v/>
      </c>
      <c r="H5" s="32">
        <f>IF(M5=0,"",IF(F5&lt;0,"Além da meta",IF(G5&gt;=Regras!$B$3,"Atenção","OK")))</f>
        <v/>
      </c>
      <c r="I5" s="32">
        <f>COUNTIFS(Trocas!$B:$B,A5)</f>
        <v/>
      </c>
      <c r="J5" s="52">
        <f>IFERROR(AVERAGEIFS(Trocas!$E:$E,Trocas!$B:$B,A5),"-")</f>
        <v/>
      </c>
      <c r="K5" s="36">
        <f>IF(I5=0,"-",SUMPRODUCT(MAX((Trocas!$B$2:$B$5000=A5)*Trocas!$A$2:$A$5000)))</f>
        <v/>
      </c>
      <c r="L5" s="32">
        <f>SUMIFS(Paradas!$E:$E,Paradas!$C:$C,A5)</f>
        <v/>
      </c>
      <c r="M5" s="42">
        <f>SUMPRODUCT(MAX((Historico!$B$2:$B$5000=A5)*Historico!$A$2:$A$5000))</f>
        <v/>
      </c>
    </row>
    <row r="6">
      <c r="A6" s="51" t="inlineStr">
        <is>
          <t>G</t>
        </is>
      </c>
      <c r="B6" s="32" t="inlineStr">
        <is>
          <t>MCC4</t>
        </is>
      </c>
      <c r="C6" s="32">
        <f>IF(M6=0,"",SUMIFS(Historico!$C:$C,Historico!$B:$B,A6,Historico!$A:$A,M6))</f>
        <v/>
      </c>
      <c r="D6" s="52">
        <f>IF(M6=0,"",SUMIFS(Historico!$D:$D,Historico!$B:$B,A6,Historico!$A:$A,M6))</f>
        <v/>
      </c>
      <c r="E6" s="52">
        <f>IF(M6=0,"",SUMIFS(Historico!$E:$E,Historico!$B:$B,A6,Historico!$A:$A,M6))</f>
        <v/>
      </c>
      <c r="F6" s="52">
        <f>IF(M6=0,"",D6-E6)</f>
        <v/>
      </c>
      <c r="G6" s="33">
        <f>IF(M6=0,"",IF(N(D6)&gt;0,E6/D6,""))</f>
        <v/>
      </c>
      <c r="H6" s="32">
        <f>IF(M6=0,"",IF(F6&lt;0,"Além da meta",IF(G6&gt;=Regras!$B$3,"Atenção","OK")))</f>
        <v/>
      </c>
      <c r="I6" s="32">
        <f>COUNTIFS(Trocas!$B:$B,A6)</f>
        <v/>
      </c>
      <c r="J6" s="52">
        <f>IFERROR(AVERAGEIFS(Trocas!$E:$E,Trocas!$B:$B,A6),"-")</f>
        <v/>
      </c>
      <c r="K6" s="36">
        <f>IF(I6=0,"-",SUMPRODUCT(MAX((Trocas!$B$2:$B$5000=A6)*Trocas!$A$2:$A$5000)))</f>
        <v/>
      </c>
      <c r="L6" s="32">
        <f>SUMIFS(Paradas!$E:$E,Paradas!$C:$C,A6)</f>
        <v/>
      </c>
      <c r="M6" s="42">
        <f>SUMPRODUCT(MAX((Historico!$B$2:$B$5000=A6)*Historico!$A$2:$A$5000))</f>
        <v/>
      </c>
    </row>
    <row r="7">
      <c r="A7" s="51" t="inlineStr">
        <is>
          <t>H</t>
        </is>
      </c>
      <c r="B7" s="32" t="inlineStr">
        <is>
          <t>MCC4</t>
        </is>
      </c>
      <c r="C7" s="32">
        <f>IF(M7=0,"",SUMIFS(Historico!$C:$C,Historico!$B:$B,A7,Historico!$A:$A,M7))</f>
        <v/>
      </c>
      <c r="D7" s="52">
        <f>IF(M7=0,"",SUMIFS(Historico!$D:$D,Historico!$B:$B,A7,Historico!$A:$A,M7))</f>
        <v/>
      </c>
      <c r="E7" s="52">
        <f>IF(M7=0,"",SUMIFS(Historico!$E:$E,Historico!$B:$B,A7,Historico!$A:$A,M7))</f>
        <v/>
      </c>
      <c r="F7" s="52">
        <f>IF(M7=0,"",D7-E7)</f>
        <v/>
      </c>
      <c r="G7" s="33">
        <f>IF(M7=0,"",IF(N(D7)&gt;0,E7/D7,""))</f>
        <v/>
      </c>
      <c r="H7" s="32">
        <f>IF(M7=0,"",IF(F7&lt;0,"Além da meta",IF(G7&gt;=Regras!$B$3,"Atenção","OK")))</f>
        <v/>
      </c>
      <c r="I7" s="32">
        <f>COUNTIFS(Trocas!$B:$B,A7)</f>
        <v/>
      </c>
      <c r="J7" s="52">
        <f>IFERROR(AVERAGEIFS(Trocas!$E:$E,Trocas!$B:$B,A7),"-")</f>
        <v/>
      </c>
      <c r="K7" s="36">
        <f>IF(I7=0,"-",SUMPRODUCT(MAX((Trocas!$B$2:$B$5000=A7)*Trocas!$A$2:$A$5000)))</f>
        <v/>
      </c>
      <c r="L7" s="32">
        <f>SUMIFS(Paradas!$E:$E,Paradas!$C:$C,A7)</f>
        <v/>
      </c>
      <c r="M7" s="42">
        <f>SUMPRODUCT(MAX((Historico!$B$2:$B$5000=A7)*Historico!$A$2:$A$5000))</f>
        <v/>
      </c>
    </row>
    <row r="9">
      <c r="A9" s="49" t="inlineStr">
        <is>
          <t>Todos os veios (C a H) com o último relatório importado. Corridas médias na saída = média das trocas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Q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4" customWidth="1" min="3" max="3"/>
    <col width="18" customWidth="1" min="4" max="4"/>
    <col width="9" customWidth="1" min="5" max="5"/>
    <col width="15" customWidth="1" min="6" max="6"/>
    <col width="15" customWidth="1" min="7" max="7"/>
    <col width="16" customWidth="1" min="8" max="8"/>
    <col width="18" customWidth="1" min="9" max="9"/>
    <col width="35" customWidth="1" min="10" max="10"/>
    <col width="30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42" customHeight="1">
      <c r="A1" s="53" t="inlineStr">
        <is>
          <t>Data da troca</t>
        </is>
      </c>
      <c r="B1" s="53" t="inlineStr">
        <is>
          <t>Posição (veio - posição)</t>
        </is>
      </c>
      <c r="C1" s="53" t="inlineStr">
        <is>
          <t>Tag que saiu</t>
        </is>
      </c>
      <c r="D1" s="53" t="inlineStr">
        <is>
          <t>Acumulado na saída</t>
        </is>
      </c>
      <c r="E1" s="53" t="inlineStr">
        <is>
          <t>Unidade</t>
        </is>
      </c>
      <c r="F1" s="53" t="inlineStr">
        <is>
          <t>% da vida na saída</t>
        </is>
      </c>
      <c r="G1" s="53" t="inlineStr">
        <is>
          <t>Tag que entrou</t>
        </is>
      </c>
      <c r="H1" s="53" t="inlineStr">
        <is>
          <t>Meta da nova (vazio = mesma)</t>
        </is>
      </c>
      <c r="I1" s="53" t="inlineStr">
        <is>
          <t>Acum. inicial da nova (vazio = 0)</t>
        </is>
      </c>
      <c r="J1" s="53" t="inlineStr">
        <is>
          <t>Motivo</t>
        </is>
      </c>
      <c r="K1" s="53" t="inlineStr">
        <is>
          <t>Observação</t>
        </is>
      </c>
      <c r="L1" s="53" t="inlineStr">
        <is>
          <t>data anterior</t>
        </is>
      </c>
      <c r="M1" s="53" t="inlineStr">
        <is>
          <t>idx anterior</t>
        </is>
      </c>
      <c r="N1" s="53" t="inlineStr">
        <is>
          <t>linha posição</t>
        </is>
      </c>
      <c r="O1" s="53" t="inlineStr">
        <is>
          <t>desde anterior</t>
        </is>
      </c>
      <c r="P1" s="53" t="inlineStr">
        <is>
          <t>inicial anterior</t>
        </is>
      </c>
      <c r="Q1" s="53" t="inlineStr">
        <is>
          <t>meta anterior</t>
        </is>
      </c>
    </row>
    <row r="2">
      <c r="A2" s="54" t="n"/>
      <c r="B2" s="55" t="n"/>
      <c r="C2">
        <f>IF(B2="","",IF(N2="","posição não encontrada",IF(M2=0,INDEX(Equipamentos!$S$2:$S$61,N2),INDEX(TrocasEquip!$G$2:$G$1000,M2))))</f>
        <v/>
      </c>
      <c r="D2" s="56">
        <f>IF(OR(A2="",N2=""),"",P2+IF(E2="dias",MAX(0,A2-O2),IF(INDEX(Equipamentos!$D$2:$D$61,N2)=2,SUMIFS(Producao!$D:$D,Producao!$A:$A,"&gt;="&amp;O2,Producao!$A:$A,"&lt;"&amp;A2),IF(INDEX(Equipamentos!$D$2:$D$61,N2)=3,SUMIFS(Producao!$E:$E,Producao!$A:$A,"&gt;="&amp;O2,Producao!$A:$A,"&lt;"&amp;A2),SUMIFS(Producao!$B:$B,Producao!$A:$A,"&gt;="&amp;O2,Producao!$A:$A,"&lt;"&amp;A2)))))</f>
        <v/>
      </c>
      <c r="E2">
        <f>IF(N2="","",INDEX(Equipamentos!$C$2:$C$61,N2))</f>
        <v/>
      </c>
      <c r="F2" s="57">
        <f>IF(OR(D2="",N(Q2)&lt;=0),"",D2/Q2)</f>
        <v/>
      </c>
      <c r="G2" s="55" t="n"/>
      <c r="H2" s="58" t="n"/>
      <c r="I2" s="58" t="n"/>
      <c r="J2" s="55" t="n"/>
      <c r="K2" s="55" t="n"/>
      <c r="L2">
        <f>IF(OR(A2="",B2=""),"",_xlfn.MAXIFS(TrocasEquip!$A$2:$A$1000,TrocasEquip!$B$2:$B$1000,B2,TrocasEquip!$A$2:$A$1000,"&lt;"&amp;A2))</f>
        <v/>
      </c>
      <c r="M2">
        <f>IF(N(L2)=0,0,MATCH(1,INDEX((TrocasEquip!$B$2:$B$1000=B2)*(TrocasEquip!$A$2:$A$1000=L2),0),0))</f>
        <v/>
      </c>
      <c r="N2">
        <f>IF(B2="","",IFERROR(MATCH(B2,Equipamentos!$P$2:$P$61,0),""))</f>
        <v/>
      </c>
      <c r="O2">
        <f>IF(N2="","",IF(M2=0,INDEX(Equipamentos!$U$2:$U$61,N2),L2))</f>
        <v/>
      </c>
      <c r="P2">
        <f>IF(N2="","",IF(M2=0,N(INDEX(Equipamentos!$V$2:$V$61,N2)),N(INDEX(TrocasEquip!$I$2:$I$1000,M2))))</f>
        <v/>
      </c>
      <c r="Q2">
        <f>IF(N2="","",IF(M2=0,INDEX(Equipamentos!$T$2:$T$61,N2),IF(INDEX(TrocasEquip!$H$2:$H$1000,M2)="",INDEX(Equipamentos!$T$2:$T$61,N2),INDEX(TrocasEquip!$H$2:$H$1000,M2))))</f>
        <v/>
      </c>
    </row>
    <row r="3">
      <c r="A3" s="54" t="n"/>
      <c r="B3" s="55" t="n"/>
      <c r="C3">
        <f>IF(B3="","",IF(N3="","posição não encontrada",IF(M3=0,INDEX(Equipamentos!$S$2:$S$61,N3),INDEX(TrocasEquip!$G$2:$G$1000,M3))))</f>
        <v/>
      </c>
      <c r="D3" s="56">
        <f>IF(OR(A3="",N3=""),"",P3+IF(E3="dias",MAX(0,A3-O3),IF(INDEX(Equipamentos!$D$2:$D$61,N3)=2,SUMIFS(Producao!$D:$D,Producao!$A:$A,"&gt;="&amp;O3,Producao!$A:$A,"&lt;"&amp;A3),IF(INDEX(Equipamentos!$D$2:$D$61,N3)=3,SUMIFS(Producao!$E:$E,Producao!$A:$A,"&gt;="&amp;O3,Producao!$A:$A,"&lt;"&amp;A3),SUMIFS(Producao!$B:$B,Producao!$A:$A,"&gt;="&amp;O3,Producao!$A:$A,"&lt;"&amp;A3)))))</f>
        <v/>
      </c>
      <c r="E3">
        <f>IF(N3="","",INDEX(Equipamentos!$C$2:$C$61,N3))</f>
        <v/>
      </c>
      <c r="F3" s="57">
        <f>IF(OR(D3="",N(Q3)&lt;=0),"",D3/Q3)</f>
        <v/>
      </c>
      <c r="G3" s="55" t="n"/>
      <c r="H3" s="58" t="n"/>
      <c r="I3" s="58" t="n"/>
      <c r="J3" s="55" t="n"/>
      <c r="K3" s="55" t="n"/>
      <c r="L3">
        <f>IF(OR(A3="",B3=""),"",_xlfn.MAXIFS(TrocasEquip!$A$2:$A$1000,TrocasEquip!$B$2:$B$1000,B3,TrocasEquip!$A$2:$A$1000,"&lt;"&amp;A3))</f>
        <v/>
      </c>
      <c r="M3">
        <f>IF(N(L3)=0,0,MATCH(1,INDEX((TrocasEquip!$B$2:$B$1000=B3)*(TrocasEquip!$A$2:$A$1000=L3),0),0))</f>
        <v/>
      </c>
      <c r="N3">
        <f>IF(B3="","",IFERROR(MATCH(B3,Equipamentos!$P$2:$P$61,0),""))</f>
        <v/>
      </c>
      <c r="O3">
        <f>IF(N3="","",IF(M3=0,INDEX(Equipamentos!$U$2:$U$61,N3),L3))</f>
        <v/>
      </c>
      <c r="P3">
        <f>IF(N3="","",IF(M3=0,N(INDEX(Equipamentos!$V$2:$V$61,N3)),N(INDEX(TrocasEquip!$I$2:$I$1000,M3))))</f>
        <v/>
      </c>
      <c r="Q3">
        <f>IF(N3="","",IF(M3=0,INDEX(Equipamentos!$T$2:$T$61,N3),IF(INDEX(TrocasEquip!$H$2:$H$1000,M3)="",INDEX(Equipamentos!$T$2:$T$61,N3),INDEX(TrocasEquip!$H$2:$H$1000,M3))))</f>
        <v/>
      </c>
    </row>
    <row r="4">
      <c r="A4" s="54" t="n"/>
      <c r="B4" s="55" t="n"/>
      <c r="C4">
        <f>IF(B4="","",IF(N4="","posição não encontrada",IF(M4=0,INDEX(Equipamentos!$S$2:$S$61,N4),INDEX(TrocasEquip!$G$2:$G$1000,M4))))</f>
        <v/>
      </c>
      <c r="D4" s="56">
        <f>IF(OR(A4="",N4=""),"",P4+IF(E4="dias",MAX(0,A4-O4),IF(INDEX(Equipamentos!$D$2:$D$61,N4)=2,SUMIFS(Producao!$D:$D,Producao!$A:$A,"&gt;="&amp;O4,Producao!$A:$A,"&lt;"&amp;A4),IF(INDEX(Equipamentos!$D$2:$D$61,N4)=3,SUMIFS(Producao!$E:$E,Producao!$A:$A,"&gt;="&amp;O4,Producao!$A:$A,"&lt;"&amp;A4),SUMIFS(Producao!$B:$B,Producao!$A:$A,"&gt;="&amp;O4,Producao!$A:$A,"&lt;"&amp;A4)))))</f>
        <v/>
      </c>
      <c r="E4">
        <f>IF(N4="","",INDEX(Equipamentos!$C$2:$C$61,N4))</f>
        <v/>
      </c>
      <c r="F4" s="57">
        <f>IF(OR(D4="",N(Q4)&lt;=0),"",D4/Q4)</f>
        <v/>
      </c>
      <c r="G4" s="55" t="n"/>
      <c r="H4" s="58" t="n"/>
      <c r="I4" s="58" t="n"/>
      <c r="J4" s="55" t="n"/>
      <c r="K4" s="55" t="n"/>
      <c r="L4">
        <f>IF(OR(A4="",B4=""),"",_xlfn.MAXIFS(TrocasEquip!$A$2:$A$1000,TrocasEquip!$B$2:$B$1000,B4,TrocasEquip!$A$2:$A$1000,"&lt;"&amp;A4))</f>
        <v/>
      </c>
      <c r="M4">
        <f>IF(N(L4)=0,0,MATCH(1,INDEX((TrocasEquip!$B$2:$B$1000=B4)*(TrocasEquip!$A$2:$A$1000=L4),0),0))</f>
        <v/>
      </c>
      <c r="N4">
        <f>IF(B4="","",IFERROR(MATCH(B4,Equipamentos!$P$2:$P$61,0),""))</f>
        <v/>
      </c>
      <c r="O4">
        <f>IF(N4="","",IF(M4=0,INDEX(Equipamentos!$U$2:$U$61,N4),L4))</f>
        <v/>
      </c>
      <c r="P4">
        <f>IF(N4="","",IF(M4=0,N(INDEX(Equipamentos!$V$2:$V$61,N4)),N(INDEX(TrocasEquip!$I$2:$I$1000,M4))))</f>
        <v/>
      </c>
      <c r="Q4">
        <f>IF(N4="","",IF(M4=0,INDEX(Equipamentos!$T$2:$T$61,N4),IF(INDEX(TrocasEquip!$H$2:$H$1000,M4)="",INDEX(Equipamentos!$T$2:$T$61,N4),INDEX(TrocasEquip!$H$2:$H$1000,M4))))</f>
        <v/>
      </c>
    </row>
    <row r="5">
      <c r="A5" s="54" t="n"/>
      <c r="B5" s="55" t="n"/>
      <c r="C5">
        <f>IF(B5="","",IF(N5="","posição não encontrada",IF(M5=0,INDEX(Equipamentos!$S$2:$S$61,N5),INDEX(TrocasEquip!$G$2:$G$1000,M5))))</f>
        <v/>
      </c>
      <c r="D5" s="56">
        <f>IF(OR(A5="",N5=""),"",P5+IF(E5="dias",MAX(0,A5-O5),IF(INDEX(Equipamentos!$D$2:$D$61,N5)=2,SUMIFS(Producao!$D:$D,Producao!$A:$A,"&gt;="&amp;O5,Producao!$A:$A,"&lt;"&amp;A5),IF(INDEX(Equipamentos!$D$2:$D$61,N5)=3,SUMIFS(Producao!$E:$E,Producao!$A:$A,"&gt;="&amp;O5,Producao!$A:$A,"&lt;"&amp;A5),SUMIFS(Producao!$B:$B,Producao!$A:$A,"&gt;="&amp;O5,Producao!$A:$A,"&lt;"&amp;A5)))))</f>
        <v/>
      </c>
      <c r="E5">
        <f>IF(N5="","",INDEX(Equipamentos!$C$2:$C$61,N5))</f>
        <v/>
      </c>
      <c r="F5" s="57">
        <f>IF(OR(D5="",N(Q5)&lt;=0),"",D5/Q5)</f>
        <v/>
      </c>
      <c r="G5" s="55" t="n"/>
      <c r="H5" s="58" t="n"/>
      <c r="I5" s="58" t="n"/>
      <c r="J5" s="55" t="n"/>
      <c r="K5" s="55" t="n"/>
      <c r="L5">
        <f>IF(OR(A5="",B5=""),"",_xlfn.MAXIFS(TrocasEquip!$A$2:$A$1000,TrocasEquip!$B$2:$B$1000,B5,TrocasEquip!$A$2:$A$1000,"&lt;"&amp;A5))</f>
        <v/>
      </c>
      <c r="M5">
        <f>IF(N(L5)=0,0,MATCH(1,INDEX((TrocasEquip!$B$2:$B$1000=B5)*(TrocasEquip!$A$2:$A$1000=L5),0),0))</f>
        <v/>
      </c>
      <c r="N5">
        <f>IF(B5="","",IFERROR(MATCH(B5,Equipamentos!$P$2:$P$61,0),""))</f>
        <v/>
      </c>
      <c r="O5">
        <f>IF(N5="","",IF(M5=0,INDEX(Equipamentos!$U$2:$U$61,N5),L5))</f>
        <v/>
      </c>
      <c r="P5">
        <f>IF(N5="","",IF(M5=0,N(INDEX(Equipamentos!$V$2:$V$61,N5)),N(INDEX(TrocasEquip!$I$2:$I$1000,M5))))</f>
        <v/>
      </c>
      <c r="Q5">
        <f>IF(N5="","",IF(M5=0,INDEX(Equipamentos!$T$2:$T$61,N5),IF(INDEX(TrocasEquip!$H$2:$H$1000,M5)="",INDEX(Equipamentos!$T$2:$T$61,N5),INDEX(TrocasEquip!$H$2:$H$1000,M5))))</f>
        <v/>
      </c>
    </row>
    <row r="6">
      <c r="A6" s="54" t="n"/>
      <c r="B6" s="55" t="n"/>
      <c r="C6">
        <f>IF(B6="","",IF(N6="","posição não encontrada",IF(M6=0,INDEX(Equipamentos!$S$2:$S$61,N6),INDEX(TrocasEquip!$G$2:$G$1000,M6))))</f>
        <v/>
      </c>
      <c r="D6" s="56">
        <f>IF(OR(A6="",N6=""),"",P6+IF(E6="dias",MAX(0,A6-O6),IF(INDEX(Equipamentos!$D$2:$D$61,N6)=2,SUMIFS(Producao!$D:$D,Producao!$A:$A,"&gt;="&amp;O6,Producao!$A:$A,"&lt;"&amp;A6),IF(INDEX(Equipamentos!$D$2:$D$61,N6)=3,SUMIFS(Producao!$E:$E,Producao!$A:$A,"&gt;="&amp;O6,Producao!$A:$A,"&lt;"&amp;A6),SUMIFS(Producao!$B:$B,Producao!$A:$A,"&gt;="&amp;O6,Producao!$A:$A,"&lt;"&amp;A6)))))</f>
        <v/>
      </c>
      <c r="E6">
        <f>IF(N6="","",INDEX(Equipamentos!$C$2:$C$61,N6))</f>
        <v/>
      </c>
      <c r="F6" s="57">
        <f>IF(OR(D6="",N(Q6)&lt;=0),"",D6/Q6)</f>
        <v/>
      </c>
      <c r="G6" s="55" t="n"/>
      <c r="H6" s="58" t="n"/>
      <c r="I6" s="58" t="n"/>
      <c r="J6" s="55" t="n"/>
      <c r="K6" s="55" t="n"/>
      <c r="L6">
        <f>IF(OR(A6="",B6=""),"",_xlfn.MAXIFS(TrocasEquip!$A$2:$A$1000,TrocasEquip!$B$2:$B$1000,B6,TrocasEquip!$A$2:$A$1000,"&lt;"&amp;A6))</f>
        <v/>
      </c>
      <c r="M6">
        <f>IF(N(L6)=0,0,MATCH(1,INDEX((TrocasEquip!$B$2:$B$1000=B6)*(TrocasEquip!$A$2:$A$1000=L6),0),0))</f>
        <v/>
      </c>
      <c r="N6">
        <f>IF(B6="","",IFERROR(MATCH(B6,Equipamentos!$P$2:$P$61,0),""))</f>
        <v/>
      </c>
      <c r="O6">
        <f>IF(N6="","",IF(M6=0,INDEX(Equipamentos!$U$2:$U$61,N6),L6))</f>
        <v/>
      </c>
      <c r="P6">
        <f>IF(N6="","",IF(M6=0,N(INDEX(Equipamentos!$V$2:$V$61,N6)),N(INDEX(TrocasEquip!$I$2:$I$1000,M6))))</f>
        <v/>
      </c>
      <c r="Q6">
        <f>IF(N6="","",IF(M6=0,INDEX(Equipamentos!$T$2:$T$61,N6),IF(INDEX(TrocasEquip!$H$2:$H$1000,M6)="",INDEX(Equipamentos!$T$2:$T$61,N6),INDEX(TrocasEquip!$H$2:$H$1000,M6))))</f>
        <v/>
      </c>
    </row>
    <row r="7">
      <c r="A7" s="54" t="n"/>
      <c r="B7" s="55" t="n"/>
      <c r="C7">
        <f>IF(B7="","",IF(N7="","posição não encontrada",IF(M7=0,INDEX(Equipamentos!$S$2:$S$61,N7),INDEX(TrocasEquip!$G$2:$G$1000,M7))))</f>
        <v/>
      </c>
      <c r="D7" s="56">
        <f>IF(OR(A7="",N7=""),"",P7+IF(E7="dias",MAX(0,A7-O7),IF(INDEX(Equipamentos!$D$2:$D$61,N7)=2,SUMIFS(Producao!$D:$D,Producao!$A:$A,"&gt;="&amp;O7,Producao!$A:$A,"&lt;"&amp;A7),IF(INDEX(Equipamentos!$D$2:$D$61,N7)=3,SUMIFS(Producao!$E:$E,Producao!$A:$A,"&gt;="&amp;O7,Producao!$A:$A,"&lt;"&amp;A7),SUMIFS(Producao!$B:$B,Producao!$A:$A,"&gt;="&amp;O7,Producao!$A:$A,"&lt;"&amp;A7)))))</f>
        <v/>
      </c>
      <c r="E7">
        <f>IF(N7="","",INDEX(Equipamentos!$C$2:$C$61,N7))</f>
        <v/>
      </c>
      <c r="F7" s="57">
        <f>IF(OR(D7="",N(Q7)&lt;=0),"",D7/Q7)</f>
        <v/>
      </c>
      <c r="G7" s="55" t="n"/>
      <c r="H7" s="58" t="n"/>
      <c r="I7" s="58" t="n"/>
      <c r="J7" s="55" t="n"/>
      <c r="K7" s="55" t="n"/>
      <c r="L7">
        <f>IF(OR(A7="",B7=""),"",_xlfn.MAXIFS(TrocasEquip!$A$2:$A$1000,TrocasEquip!$B$2:$B$1000,B7,TrocasEquip!$A$2:$A$1000,"&lt;"&amp;A7))</f>
        <v/>
      </c>
      <c r="M7">
        <f>IF(N(L7)=0,0,MATCH(1,INDEX((TrocasEquip!$B$2:$B$1000=B7)*(TrocasEquip!$A$2:$A$1000=L7),0),0))</f>
        <v/>
      </c>
      <c r="N7">
        <f>IF(B7="","",IFERROR(MATCH(B7,Equipamentos!$P$2:$P$61,0),""))</f>
        <v/>
      </c>
      <c r="O7">
        <f>IF(N7="","",IF(M7=0,INDEX(Equipamentos!$U$2:$U$61,N7),L7))</f>
        <v/>
      </c>
      <c r="P7">
        <f>IF(N7="","",IF(M7=0,N(INDEX(Equipamentos!$V$2:$V$61,N7)),N(INDEX(TrocasEquip!$I$2:$I$1000,M7))))</f>
        <v/>
      </c>
      <c r="Q7">
        <f>IF(N7="","",IF(M7=0,INDEX(Equipamentos!$T$2:$T$61,N7),IF(INDEX(TrocasEquip!$H$2:$H$1000,M7)="",INDEX(Equipamentos!$T$2:$T$61,N7),INDEX(TrocasEquip!$H$2:$H$1000,M7))))</f>
        <v/>
      </c>
    </row>
    <row r="8">
      <c r="A8" s="54" t="n"/>
      <c r="B8" s="55" t="n"/>
      <c r="C8">
        <f>IF(B8="","",IF(N8="","posição não encontrada",IF(M8=0,INDEX(Equipamentos!$S$2:$S$61,N8),INDEX(TrocasEquip!$G$2:$G$1000,M8))))</f>
        <v/>
      </c>
      <c r="D8" s="56">
        <f>IF(OR(A8="",N8=""),"",P8+IF(E8="dias",MAX(0,A8-O8),IF(INDEX(Equipamentos!$D$2:$D$61,N8)=2,SUMIFS(Producao!$D:$D,Producao!$A:$A,"&gt;="&amp;O8,Producao!$A:$A,"&lt;"&amp;A8),IF(INDEX(Equipamentos!$D$2:$D$61,N8)=3,SUMIFS(Producao!$E:$E,Producao!$A:$A,"&gt;="&amp;O8,Producao!$A:$A,"&lt;"&amp;A8),SUMIFS(Producao!$B:$B,Producao!$A:$A,"&gt;="&amp;O8,Producao!$A:$A,"&lt;"&amp;A8)))))</f>
        <v/>
      </c>
      <c r="E8">
        <f>IF(N8="","",INDEX(Equipamentos!$C$2:$C$61,N8))</f>
        <v/>
      </c>
      <c r="F8" s="57">
        <f>IF(OR(D8="",N(Q8)&lt;=0),"",D8/Q8)</f>
        <v/>
      </c>
      <c r="G8" s="55" t="n"/>
      <c r="H8" s="58" t="n"/>
      <c r="I8" s="58" t="n"/>
      <c r="J8" s="55" t="n"/>
      <c r="K8" s="55" t="n"/>
      <c r="L8">
        <f>IF(OR(A8="",B8=""),"",_xlfn.MAXIFS(TrocasEquip!$A$2:$A$1000,TrocasEquip!$B$2:$B$1000,B8,TrocasEquip!$A$2:$A$1000,"&lt;"&amp;A8))</f>
        <v/>
      </c>
      <c r="M8">
        <f>IF(N(L8)=0,0,MATCH(1,INDEX((TrocasEquip!$B$2:$B$1000=B8)*(TrocasEquip!$A$2:$A$1000=L8),0),0))</f>
        <v/>
      </c>
      <c r="N8">
        <f>IF(B8="","",IFERROR(MATCH(B8,Equipamentos!$P$2:$P$61,0),""))</f>
        <v/>
      </c>
      <c r="O8">
        <f>IF(N8="","",IF(M8=0,INDEX(Equipamentos!$U$2:$U$61,N8),L8))</f>
        <v/>
      </c>
      <c r="P8">
        <f>IF(N8="","",IF(M8=0,N(INDEX(Equipamentos!$V$2:$V$61,N8)),N(INDEX(TrocasEquip!$I$2:$I$1000,M8))))</f>
        <v/>
      </c>
      <c r="Q8">
        <f>IF(N8="","",IF(M8=0,INDEX(Equipamentos!$T$2:$T$61,N8),IF(INDEX(TrocasEquip!$H$2:$H$1000,M8)="",INDEX(Equipamentos!$T$2:$T$61,N8),INDEX(TrocasEquip!$H$2:$H$1000,M8))))</f>
        <v/>
      </c>
    </row>
    <row r="9">
      <c r="A9" s="54" t="n"/>
      <c r="B9" s="55" t="n"/>
      <c r="C9">
        <f>IF(B9="","",IF(N9="","posição não encontrada",IF(M9=0,INDEX(Equipamentos!$S$2:$S$61,N9),INDEX(TrocasEquip!$G$2:$G$1000,M9))))</f>
        <v/>
      </c>
      <c r="D9" s="56">
        <f>IF(OR(A9="",N9=""),"",P9+IF(E9="dias",MAX(0,A9-O9),IF(INDEX(Equipamentos!$D$2:$D$61,N9)=2,SUMIFS(Producao!$D:$D,Producao!$A:$A,"&gt;="&amp;O9,Producao!$A:$A,"&lt;"&amp;A9),IF(INDEX(Equipamentos!$D$2:$D$61,N9)=3,SUMIFS(Producao!$E:$E,Producao!$A:$A,"&gt;="&amp;O9,Producao!$A:$A,"&lt;"&amp;A9),SUMIFS(Producao!$B:$B,Producao!$A:$A,"&gt;="&amp;O9,Producao!$A:$A,"&lt;"&amp;A9)))))</f>
        <v/>
      </c>
      <c r="E9">
        <f>IF(N9="","",INDEX(Equipamentos!$C$2:$C$61,N9))</f>
        <v/>
      </c>
      <c r="F9" s="57">
        <f>IF(OR(D9="",N(Q9)&lt;=0),"",D9/Q9)</f>
        <v/>
      </c>
      <c r="G9" s="55" t="n"/>
      <c r="H9" s="58" t="n"/>
      <c r="I9" s="58" t="n"/>
      <c r="J9" s="55" t="n"/>
      <c r="K9" s="55" t="n"/>
      <c r="L9">
        <f>IF(OR(A9="",B9=""),"",_xlfn.MAXIFS(TrocasEquip!$A$2:$A$1000,TrocasEquip!$B$2:$B$1000,B9,TrocasEquip!$A$2:$A$1000,"&lt;"&amp;A9))</f>
        <v/>
      </c>
      <c r="M9">
        <f>IF(N(L9)=0,0,MATCH(1,INDEX((TrocasEquip!$B$2:$B$1000=B9)*(TrocasEquip!$A$2:$A$1000=L9),0),0))</f>
        <v/>
      </c>
      <c r="N9">
        <f>IF(B9="","",IFERROR(MATCH(B9,Equipamentos!$P$2:$P$61,0),""))</f>
        <v/>
      </c>
      <c r="O9">
        <f>IF(N9="","",IF(M9=0,INDEX(Equipamentos!$U$2:$U$61,N9),L9))</f>
        <v/>
      </c>
      <c r="P9">
        <f>IF(N9="","",IF(M9=0,N(INDEX(Equipamentos!$V$2:$V$61,N9)),N(INDEX(TrocasEquip!$I$2:$I$1000,M9))))</f>
        <v/>
      </c>
      <c r="Q9">
        <f>IF(N9="","",IF(M9=0,INDEX(Equipamentos!$T$2:$T$61,N9),IF(INDEX(TrocasEquip!$H$2:$H$1000,M9)="",INDEX(Equipamentos!$T$2:$T$61,N9),INDEX(TrocasEquip!$H$2:$H$1000,M9))))</f>
        <v/>
      </c>
    </row>
    <row r="10">
      <c r="A10" s="54" t="n"/>
      <c r="B10" s="55" t="n"/>
      <c r="C10">
        <f>IF(B10="","",IF(N10="","posição não encontrada",IF(M10=0,INDEX(Equipamentos!$S$2:$S$61,N10),INDEX(TrocasEquip!$G$2:$G$1000,M10))))</f>
        <v/>
      </c>
      <c r="D10" s="56">
        <f>IF(OR(A10="",N10=""),"",P10+IF(E10="dias",MAX(0,A10-O10),IF(INDEX(Equipamentos!$D$2:$D$61,N10)=2,SUMIFS(Producao!$D:$D,Producao!$A:$A,"&gt;="&amp;O10,Producao!$A:$A,"&lt;"&amp;A10),IF(INDEX(Equipamentos!$D$2:$D$61,N10)=3,SUMIFS(Producao!$E:$E,Producao!$A:$A,"&gt;="&amp;O10,Producao!$A:$A,"&lt;"&amp;A10),SUMIFS(Producao!$B:$B,Producao!$A:$A,"&gt;="&amp;O10,Producao!$A:$A,"&lt;"&amp;A10)))))</f>
        <v/>
      </c>
      <c r="E10">
        <f>IF(N10="","",INDEX(Equipamentos!$C$2:$C$61,N10))</f>
        <v/>
      </c>
      <c r="F10" s="57">
        <f>IF(OR(D10="",N(Q10)&lt;=0),"",D10/Q10)</f>
        <v/>
      </c>
      <c r="G10" s="55" t="n"/>
      <c r="H10" s="58" t="n"/>
      <c r="I10" s="58" t="n"/>
      <c r="J10" s="55" t="n"/>
      <c r="K10" s="55" t="n"/>
      <c r="L10">
        <f>IF(OR(A10="",B10=""),"",_xlfn.MAXIFS(TrocasEquip!$A$2:$A$1000,TrocasEquip!$B$2:$B$1000,B10,TrocasEquip!$A$2:$A$1000,"&lt;"&amp;A10))</f>
        <v/>
      </c>
      <c r="M10">
        <f>IF(N(L10)=0,0,MATCH(1,INDEX((TrocasEquip!$B$2:$B$1000=B10)*(TrocasEquip!$A$2:$A$1000=L10),0),0))</f>
        <v/>
      </c>
      <c r="N10">
        <f>IF(B10="","",IFERROR(MATCH(B10,Equipamentos!$P$2:$P$61,0),""))</f>
        <v/>
      </c>
      <c r="O10">
        <f>IF(N10="","",IF(M10=0,INDEX(Equipamentos!$U$2:$U$61,N10),L10))</f>
        <v/>
      </c>
      <c r="P10">
        <f>IF(N10="","",IF(M10=0,N(INDEX(Equipamentos!$V$2:$V$61,N10)),N(INDEX(TrocasEquip!$I$2:$I$1000,M10))))</f>
        <v/>
      </c>
      <c r="Q10">
        <f>IF(N10="","",IF(M10=0,INDEX(Equipamentos!$T$2:$T$61,N10),IF(INDEX(TrocasEquip!$H$2:$H$1000,M10)="",INDEX(Equipamentos!$T$2:$T$61,N10),INDEX(TrocasEquip!$H$2:$H$1000,M10))))</f>
        <v/>
      </c>
    </row>
    <row r="11">
      <c r="A11" s="54" t="n"/>
      <c r="B11" s="55" t="n"/>
      <c r="C11">
        <f>IF(B11="","",IF(N11="","posição não encontrada",IF(M11=0,INDEX(Equipamentos!$S$2:$S$61,N11),INDEX(TrocasEquip!$G$2:$G$1000,M11))))</f>
        <v/>
      </c>
      <c r="D11" s="56">
        <f>IF(OR(A11="",N11=""),"",P11+IF(E11="dias",MAX(0,A11-O11),IF(INDEX(Equipamentos!$D$2:$D$61,N11)=2,SUMIFS(Producao!$D:$D,Producao!$A:$A,"&gt;="&amp;O11,Producao!$A:$A,"&lt;"&amp;A11),IF(INDEX(Equipamentos!$D$2:$D$61,N11)=3,SUMIFS(Producao!$E:$E,Producao!$A:$A,"&gt;="&amp;O11,Producao!$A:$A,"&lt;"&amp;A11),SUMIFS(Producao!$B:$B,Producao!$A:$A,"&gt;="&amp;O11,Producao!$A:$A,"&lt;"&amp;A11)))))</f>
        <v/>
      </c>
      <c r="E11">
        <f>IF(N11="","",INDEX(Equipamentos!$C$2:$C$61,N11))</f>
        <v/>
      </c>
      <c r="F11" s="57">
        <f>IF(OR(D11="",N(Q11)&lt;=0),"",D11/Q11)</f>
        <v/>
      </c>
      <c r="G11" s="55" t="n"/>
      <c r="H11" s="58" t="n"/>
      <c r="I11" s="58" t="n"/>
      <c r="J11" s="55" t="n"/>
      <c r="K11" s="55" t="n"/>
      <c r="L11">
        <f>IF(OR(A11="",B11=""),"",_xlfn.MAXIFS(TrocasEquip!$A$2:$A$1000,TrocasEquip!$B$2:$B$1000,B11,TrocasEquip!$A$2:$A$1000,"&lt;"&amp;A11))</f>
        <v/>
      </c>
      <c r="M11">
        <f>IF(N(L11)=0,0,MATCH(1,INDEX((TrocasEquip!$B$2:$B$1000=B11)*(TrocasEquip!$A$2:$A$1000=L11),0),0))</f>
        <v/>
      </c>
      <c r="N11">
        <f>IF(B11="","",IFERROR(MATCH(B11,Equipamentos!$P$2:$P$61,0),""))</f>
        <v/>
      </c>
      <c r="O11">
        <f>IF(N11="","",IF(M11=0,INDEX(Equipamentos!$U$2:$U$61,N11),L11))</f>
        <v/>
      </c>
      <c r="P11">
        <f>IF(N11="","",IF(M11=0,N(INDEX(Equipamentos!$V$2:$V$61,N11)),N(INDEX(TrocasEquip!$I$2:$I$1000,M11))))</f>
        <v/>
      </c>
      <c r="Q11">
        <f>IF(N11="","",IF(M11=0,INDEX(Equipamentos!$T$2:$T$61,N11),IF(INDEX(TrocasEquip!$H$2:$H$1000,M11)="",INDEX(Equipamentos!$T$2:$T$61,N11),INDEX(TrocasEquip!$H$2:$H$1000,M11))))</f>
        <v/>
      </c>
    </row>
    <row r="12">
      <c r="A12" s="54" t="n"/>
      <c r="B12" s="55" t="n"/>
      <c r="C12">
        <f>IF(B12="","",IF(N12="","posição não encontrada",IF(M12=0,INDEX(Equipamentos!$S$2:$S$61,N12),INDEX(TrocasEquip!$G$2:$G$1000,M12))))</f>
        <v/>
      </c>
      <c r="D12" s="56">
        <f>IF(OR(A12="",N12=""),"",P12+IF(E12="dias",MAX(0,A12-O12),IF(INDEX(Equipamentos!$D$2:$D$61,N12)=2,SUMIFS(Producao!$D:$D,Producao!$A:$A,"&gt;="&amp;O12,Producao!$A:$A,"&lt;"&amp;A12),IF(INDEX(Equipamentos!$D$2:$D$61,N12)=3,SUMIFS(Producao!$E:$E,Producao!$A:$A,"&gt;="&amp;O12,Producao!$A:$A,"&lt;"&amp;A12),SUMIFS(Producao!$B:$B,Producao!$A:$A,"&gt;="&amp;O12,Producao!$A:$A,"&lt;"&amp;A12)))))</f>
        <v/>
      </c>
      <c r="E12">
        <f>IF(N12="","",INDEX(Equipamentos!$C$2:$C$61,N12))</f>
        <v/>
      </c>
      <c r="F12" s="57">
        <f>IF(OR(D12="",N(Q12)&lt;=0),"",D12/Q12)</f>
        <v/>
      </c>
      <c r="G12" s="55" t="n"/>
      <c r="H12" s="58" t="n"/>
      <c r="I12" s="58" t="n"/>
      <c r="J12" s="55" t="n"/>
      <c r="K12" s="55" t="n"/>
      <c r="L12">
        <f>IF(OR(A12="",B12=""),"",_xlfn.MAXIFS(TrocasEquip!$A$2:$A$1000,TrocasEquip!$B$2:$B$1000,B12,TrocasEquip!$A$2:$A$1000,"&lt;"&amp;A12))</f>
        <v/>
      </c>
      <c r="M12">
        <f>IF(N(L12)=0,0,MATCH(1,INDEX((TrocasEquip!$B$2:$B$1000=B12)*(TrocasEquip!$A$2:$A$1000=L12),0),0))</f>
        <v/>
      </c>
      <c r="N12">
        <f>IF(B12="","",IFERROR(MATCH(B12,Equipamentos!$P$2:$P$61,0),""))</f>
        <v/>
      </c>
      <c r="O12">
        <f>IF(N12="","",IF(M12=0,INDEX(Equipamentos!$U$2:$U$61,N12),L12))</f>
        <v/>
      </c>
      <c r="P12">
        <f>IF(N12="","",IF(M12=0,N(INDEX(Equipamentos!$V$2:$V$61,N12)),N(INDEX(TrocasEquip!$I$2:$I$1000,M12))))</f>
        <v/>
      </c>
      <c r="Q12">
        <f>IF(N12="","",IF(M12=0,INDEX(Equipamentos!$T$2:$T$61,N12),IF(INDEX(TrocasEquip!$H$2:$H$1000,M12)="",INDEX(Equipamentos!$T$2:$T$61,N12),INDEX(TrocasEquip!$H$2:$H$1000,M12))))</f>
        <v/>
      </c>
    </row>
    <row r="13">
      <c r="A13" s="54" t="n"/>
      <c r="B13" s="55" t="n"/>
      <c r="C13">
        <f>IF(B13="","",IF(N13="","posição não encontrada",IF(M13=0,INDEX(Equipamentos!$S$2:$S$61,N13),INDEX(TrocasEquip!$G$2:$G$1000,M13))))</f>
        <v/>
      </c>
      <c r="D13" s="56">
        <f>IF(OR(A13="",N13=""),"",P13+IF(E13="dias",MAX(0,A13-O13),IF(INDEX(Equipamentos!$D$2:$D$61,N13)=2,SUMIFS(Producao!$D:$D,Producao!$A:$A,"&gt;="&amp;O13,Producao!$A:$A,"&lt;"&amp;A13),IF(INDEX(Equipamentos!$D$2:$D$61,N13)=3,SUMIFS(Producao!$E:$E,Producao!$A:$A,"&gt;="&amp;O13,Producao!$A:$A,"&lt;"&amp;A13),SUMIFS(Producao!$B:$B,Producao!$A:$A,"&gt;="&amp;O13,Producao!$A:$A,"&lt;"&amp;A13)))))</f>
        <v/>
      </c>
      <c r="E13">
        <f>IF(N13="","",INDEX(Equipamentos!$C$2:$C$61,N13))</f>
        <v/>
      </c>
      <c r="F13" s="57">
        <f>IF(OR(D13="",N(Q13)&lt;=0),"",D13/Q13)</f>
        <v/>
      </c>
      <c r="G13" s="55" t="n"/>
      <c r="H13" s="58" t="n"/>
      <c r="I13" s="58" t="n"/>
      <c r="J13" s="55" t="n"/>
      <c r="K13" s="55" t="n"/>
      <c r="L13">
        <f>IF(OR(A13="",B13=""),"",_xlfn.MAXIFS(TrocasEquip!$A$2:$A$1000,TrocasEquip!$B$2:$B$1000,B13,TrocasEquip!$A$2:$A$1000,"&lt;"&amp;A13))</f>
        <v/>
      </c>
      <c r="M13">
        <f>IF(N(L13)=0,0,MATCH(1,INDEX((TrocasEquip!$B$2:$B$1000=B13)*(TrocasEquip!$A$2:$A$1000=L13),0),0))</f>
        <v/>
      </c>
      <c r="N13">
        <f>IF(B13="","",IFERROR(MATCH(B13,Equipamentos!$P$2:$P$61,0),""))</f>
        <v/>
      </c>
      <c r="O13">
        <f>IF(N13="","",IF(M13=0,INDEX(Equipamentos!$U$2:$U$61,N13),L13))</f>
        <v/>
      </c>
      <c r="P13">
        <f>IF(N13="","",IF(M13=0,N(INDEX(Equipamentos!$V$2:$V$61,N13)),N(INDEX(TrocasEquip!$I$2:$I$1000,M13))))</f>
        <v/>
      </c>
      <c r="Q13">
        <f>IF(N13="","",IF(M13=0,INDEX(Equipamentos!$T$2:$T$61,N13),IF(INDEX(TrocasEquip!$H$2:$H$1000,M13)="",INDEX(Equipamentos!$T$2:$T$61,N13),INDEX(TrocasEquip!$H$2:$H$1000,M13))))</f>
        <v/>
      </c>
    </row>
    <row r="14">
      <c r="A14" s="54" t="n"/>
      <c r="B14" s="55" t="n"/>
      <c r="C14">
        <f>IF(B14="","",IF(N14="","posição não encontrada",IF(M14=0,INDEX(Equipamentos!$S$2:$S$61,N14),INDEX(TrocasEquip!$G$2:$G$1000,M14))))</f>
        <v/>
      </c>
      <c r="D14" s="56">
        <f>IF(OR(A14="",N14=""),"",P14+IF(E14="dias",MAX(0,A14-O14),IF(INDEX(Equipamentos!$D$2:$D$61,N14)=2,SUMIFS(Producao!$D:$D,Producao!$A:$A,"&gt;="&amp;O14,Producao!$A:$A,"&lt;"&amp;A14),IF(INDEX(Equipamentos!$D$2:$D$61,N14)=3,SUMIFS(Producao!$E:$E,Producao!$A:$A,"&gt;="&amp;O14,Producao!$A:$A,"&lt;"&amp;A14),SUMIFS(Producao!$B:$B,Producao!$A:$A,"&gt;="&amp;O14,Producao!$A:$A,"&lt;"&amp;A14)))))</f>
        <v/>
      </c>
      <c r="E14">
        <f>IF(N14="","",INDEX(Equipamentos!$C$2:$C$61,N14))</f>
        <v/>
      </c>
      <c r="F14" s="57">
        <f>IF(OR(D14="",N(Q14)&lt;=0),"",D14/Q14)</f>
        <v/>
      </c>
      <c r="G14" s="55" t="n"/>
      <c r="H14" s="58" t="n"/>
      <c r="I14" s="58" t="n"/>
      <c r="J14" s="55" t="n"/>
      <c r="K14" s="55" t="n"/>
      <c r="L14">
        <f>IF(OR(A14="",B14=""),"",_xlfn.MAXIFS(TrocasEquip!$A$2:$A$1000,TrocasEquip!$B$2:$B$1000,B14,TrocasEquip!$A$2:$A$1000,"&lt;"&amp;A14))</f>
        <v/>
      </c>
      <c r="M14">
        <f>IF(N(L14)=0,0,MATCH(1,INDEX((TrocasEquip!$B$2:$B$1000=B14)*(TrocasEquip!$A$2:$A$1000=L14),0),0))</f>
        <v/>
      </c>
      <c r="N14">
        <f>IF(B14="","",IFERROR(MATCH(B14,Equipamentos!$P$2:$P$61,0),""))</f>
        <v/>
      </c>
      <c r="O14">
        <f>IF(N14="","",IF(M14=0,INDEX(Equipamentos!$U$2:$U$61,N14),L14))</f>
        <v/>
      </c>
      <c r="P14">
        <f>IF(N14="","",IF(M14=0,N(INDEX(Equipamentos!$V$2:$V$61,N14)),N(INDEX(TrocasEquip!$I$2:$I$1000,M14))))</f>
        <v/>
      </c>
      <c r="Q14">
        <f>IF(N14="","",IF(M14=0,INDEX(Equipamentos!$T$2:$T$61,N14),IF(INDEX(TrocasEquip!$H$2:$H$1000,M14)="",INDEX(Equipamentos!$T$2:$T$61,N14),INDEX(TrocasEquip!$H$2:$H$1000,M14))))</f>
        <v/>
      </c>
    </row>
    <row r="15">
      <c r="A15" s="54" t="n"/>
      <c r="B15" s="55" t="n"/>
      <c r="C15">
        <f>IF(B15="","",IF(N15="","posição não encontrada",IF(M15=0,INDEX(Equipamentos!$S$2:$S$61,N15),INDEX(TrocasEquip!$G$2:$G$1000,M15))))</f>
        <v/>
      </c>
      <c r="D15" s="56">
        <f>IF(OR(A15="",N15=""),"",P15+IF(E15="dias",MAX(0,A15-O15),IF(INDEX(Equipamentos!$D$2:$D$61,N15)=2,SUMIFS(Producao!$D:$D,Producao!$A:$A,"&gt;="&amp;O15,Producao!$A:$A,"&lt;"&amp;A15),IF(INDEX(Equipamentos!$D$2:$D$61,N15)=3,SUMIFS(Producao!$E:$E,Producao!$A:$A,"&gt;="&amp;O15,Producao!$A:$A,"&lt;"&amp;A15),SUMIFS(Producao!$B:$B,Producao!$A:$A,"&gt;="&amp;O15,Producao!$A:$A,"&lt;"&amp;A15)))))</f>
        <v/>
      </c>
      <c r="E15">
        <f>IF(N15="","",INDEX(Equipamentos!$C$2:$C$61,N15))</f>
        <v/>
      </c>
      <c r="F15" s="57">
        <f>IF(OR(D15="",N(Q15)&lt;=0),"",D15/Q15)</f>
        <v/>
      </c>
      <c r="G15" s="55" t="n"/>
      <c r="H15" s="58" t="n"/>
      <c r="I15" s="58" t="n"/>
      <c r="J15" s="55" t="n"/>
      <c r="K15" s="55" t="n"/>
      <c r="L15">
        <f>IF(OR(A15="",B15=""),"",_xlfn.MAXIFS(TrocasEquip!$A$2:$A$1000,TrocasEquip!$B$2:$B$1000,B15,TrocasEquip!$A$2:$A$1000,"&lt;"&amp;A15))</f>
        <v/>
      </c>
      <c r="M15">
        <f>IF(N(L15)=0,0,MATCH(1,INDEX((TrocasEquip!$B$2:$B$1000=B15)*(TrocasEquip!$A$2:$A$1000=L15),0),0))</f>
        <v/>
      </c>
      <c r="N15">
        <f>IF(B15="","",IFERROR(MATCH(B15,Equipamentos!$P$2:$P$61,0),""))</f>
        <v/>
      </c>
      <c r="O15">
        <f>IF(N15="","",IF(M15=0,INDEX(Equipamentos!$U$2:$U$61,N15),L15))</f>
        <v/>
      </c>
      <c r="P15">
        <f>IF(N15="","",IF(M15=0,N(INDEX(Equipamentos!$V$2:$V$61,N15)),N(INDEX(TrocasEquip!$I$2:$I$1000,M15))))</f>
        <v/>
      </c>
      <c r="Q15">
        <f>IF(N15="","",IF(M15=0,INDEX(Equipamentos!$T$2:$T$61,N15),IF(INDEX(TrocasEquip!$H$2:$H$1000,M15)="",INDEX(Equipamentos!$T$2:$T$61,N15),INDEX(TrocasEquip!$H$2:$H$1000,M15))))</f>
        <v/>
      </c>
    </row>
    <row r="16">
      <c r="A16" s="54" t="n"/>
      <c r="B16" s="55" t="n"/>
      <c r="C16">
        <f>IF(B16="","",IF(N16="","posição não encontrada",IF(M16=0,INDEX(Equipamentos!$S$2:$S$61,N16),INDEX(TrocasEquip!$G$2:$G$1000,M16))))</f>
        <v/>
      </c>
      <c r="D16" s="56">
        <f>IF(OR(A16="",N16=""),"",P16+IF(E16="dias",MAX(0,A16-O16),IF(INDEX(Equipamentos!$D$2:$D$61,N16)=2,SUMIFS(Producao!$D:$D,Producao!$A:$A,"&gt;="&amp;O16,Producao!$A:$A,"&lt;"&amp;A16),IF(INDEX(Equipamentos!$D$2:$D$61,N16)=3,SUMIFS(Producao!$E:$E,Producao!$A:$A,"&gt;="&amp;O16,Producao!$A:$A,"&lt;"&amp;A16),SUMIFS(Producao!$B:$B,Producao!$A:$A,"&gt;="&amp;O16,Producao!$A:$A,"&lt;"&amp;A16)))))</f>
        <v/>
      </c>
      <c r="E16">
        <f>IF(N16="","",INDEX(Equipamentos!$C$2:$C$61,N16))</f>
        <v/>
      </c>
      <c r="F16" s="57">
        <f>IF(OR(D16="",N(Q16)&lt;=0),"",D16/Q16)</f>
        <v/>
      </c>
      <c r="G16" s="55" t="n"/>
      <c r="H16" s="58" t="n"/>
      <c r="I16" s="58" t="n"/>
      <c r="J16" s="55" t="n"/>
      <c r="K16" s="55" t="n"/>
      <c r="L16">
        <f>IF(OR(A16="",B16=""),"",_xlfn.MAXIFS(TrocasEquip!$A$2:$A$1000,TrocasEquip!$B$2:$B$1000,B16,TrocasEquip!$A$2:$A$1000,"&lt;"&amp;A16))</f>
        <v/>
      </c>
      <c r="M16">
        <f>IF(N(L16)=0,0,MATCH(1,INDEX((TrocasEquip!$B$2:$B$1000=B16)*(TrocasEquip!$A$2:$A$1000=L16),0),0))</f>
        <v/>
      </c>
      <c r="N16">
        <f>IF(B16="","",IFERROR(MATCH(B16,Equipamentos!$P$2:$P$61,0),""))</f>
        <v/>
      </c>
      <c r="O16">
        <f>IF(N16="","",IF(M16=0,INDEX(Equipamentos!$U$2:$U$61,N16),L16))</f>
        <v/>
      </c>
      <c r="P16">
        <f>IF(N16="","",IF(M16=0,N(INDEX(Equipamentos!$V$2:$V$61,N16)),N(INDEX(TrocasEquip!$I$2:$I$1000,M16))))</f>
        <v/>
      </c>
      <c r="Q16">
        <f>IF(N16="","",IF(M16=0,INDEX(Equipamentos!$T$2:$T$61,N16),IF(INDEX(TrocasEquip!$H$2:$H$1000,M16)="",INDEX(Equipamentos!$T$2:$T$61,N16),INDEX(TrocasEquip!$H$2:$H$1000,M16))))</f>
        <v/>
      </c>
    </row>
    <row r="17">
      <c r="A17" s="54" t="n"/>
      <c r="B17" s="55" t="n"/>
      <c r="C17">
        <f>IF(B17="","",IF(N17="","posição não encontrada",IF(M17=0,INDEX(Equipamentos!$S$2:$S$61,N17),INDEX(TrocasEquip!$G$2:$G$1000,M17))))</f>
        <v/>
      </c>
      <c r="D17" s="56">
        <f>IF(OR(A17="",N17=""),"",P17+IF(E17="dias",MAX(0,A17-O17),IF(INDEX(Equipamentos!$D$2:$D$61,N17)=2,SUMIFS(Producao!$D:$D,Producao!$A:$A,"&gt;="&amp;O17,Producao!$A:$A,"&lt;"&amp;A17),IF(INDEX(Equipamentos!$D$2:$D$61,N17)=3,SUMIFS(Producao!$E:$E,Producao!$A:$A,"&gt;="&amp;O17,Producao!$A:$A,"&lt;"&amp;A17),SUMIFS(Producao!$B:$B,Producao!$A:$A,"&gt;="&amp;O17,Producao!$A:$A,"&lt;"&amp;A17)))))</f>
        <v/>
      </c>
      <c r="E17">
        <f>IF(N17="","",INDEX(Equipamentos!$C$2:$C$61,N17))</f>
        <v/>
      </c>
      <c r="F17" s="57">
        <f>IF(OR(D17="",N(Q17)&lt;=0),"",D17/Q17)</f>
        <v/>
      </c>
      <c r="G17" s="55" t="n"/>
      <c r="H17" s="58" t="n"/>
      <c r="I17" s="58" t="n"/>
      <c r="J17" s="55" t="n"/>
      <c r="K17" s="55" t="n"/>
      <c r="L17">
        <f>IF(OR(A17="",B17=""),"",_xlfn.MAXIFS(TrocasEquip!$A$2:$A$1000,TrocasEquip!$B$2:$B$1000,B17,TrocasEquip!$A$2:$A$1000,"&lt;"&amp;A17))</f>
        <v/>
      </c>
      <c r="M17">
        <f>IF(N(L17)=0,0,MATCH(1,INDEX((TrocasEquip!$B$2:$B$1000=B17)*(TrocasEquip!$A$2:$A$1000=L17),0),0))</f>
        <v/>
      </c>
      <c r="N17">
        <f>IF(B17="","",IFERROR(MATCH(B17,Equipamentos!$P$2:$P$61,0),""))</f>
        <v/>
      </c>
      <c r="O17">
        <f>IF(N17="","",IF(M17=0,INDEX(Equipamentos!$U$2:$U$61,N17),L17))</f>
        <v/>
      </c>
      <c r="P17">
        <f>IF(N17="","",IF(M17=0,N(INDEX(Equipamentos!$V$2:$V$61,N17)),N(INDEX(TrocasEquip!$I$2:$I$1000,M17))))</f>
        <v/>
      </c>
      <c r="Q17">
        <f>IF(N17="","",IF(M17=0,INDEX(Equipamentos!$T$2:$T$61,N17),IF(INDEX(TrocasEquip!$H$2:$H$1000,M17)="",INDEX(Equipamentos!$T$2:$T$61,N17),INDEX(TrocasEquip!$H$2:$H$1000,M17))))</f>
        <v/>
      </c>
    </row>
    <row r="18">
      <c r="A18" s="54" t="n"/>
      <c r="B18" s="55" t="n"/>
      <c r="C18">
        <f>IF(B18="","",IF(N18="","posição não encontrada",IF(M18=0,INDEX(Equipamentos!$S$2:$S$61,N18),INDEX(TrocasEquip!$G$2:$G$1000,M18))))</f>
        <v/>
      </c>
      <c r="D18" s="56">
        <f>IF(OR(A18="",N18=""),"",P18+IF(E18="dias",MAX(0,A18-O18),IF(INDEX(Equipamentos!$D$2:$D$61,N18)=2,SUMIFS(Producao!$D:$D,Producao!$A:$A,"&gt;="&amp;O18,Producao!$A:$A,"&lt;"&amp;A18),IF(INDEX(Equipamentos!$D$2:$D$61,N18)=3,SUMIFS(Producao!$E:$E,Producao!$A:$A,"&gt;="&amp;O18,Producao!$A:$A,"&lt;"&amp;A18),SUMIFS(Producao!$B:$B,Producao!$A:$A,"&gt;="&amp;O18,Producao!$A:$A,"&lt;"&amp;A18)))))</f>
        <v/>
      </c>
      <c r="E18">
        <f>IF(N18="","",INDEX(Equipamentos!$C$2:$C$61,N18))</f>
        <v/>
      </c>
      <c r="F18" s="57">
        <f>IF(OR(D18="",N(Q18)&lt;=0),"",D18/Q18)</f>
        <v/>
      </c>
      <c r="G18" s="55" t="n"/>
      <c r="H18" s="58" t="n"/>
      <c r="I18" s="58" t="n"/>
      <c r="J18" s="55" t="n"/>
      <c r="K18" s="55" t="n"/>
      <c r="L18">
        <f>IF(OR(A18="",B18=""),"",_xlfn.MAXIFS(TrocasEquip!$A$2:$A$1000,TrocasEquip!$B$2:$B$1000,B18,TrocasEquip!$A$2:$A$1000,"&lt;"&amp;A18))</f>
        <v/>
      </c>
      <c r="M18">
        <f>IF(N(L18)=0,0,MATCH(1,INDEX((TrocasEquip!$B$2:$B$1000=B18)*(TrocasEquip!$A$2:$A$1000=L18),0),0))</f>
        <v/>
      </c>
      <c r="N18">
        <f>IF(B18="","",IFERROR(MATCH(B18,Equipamentos!$P$2:$P$61,0),""))</f>
        <v/>
      </c>
      <c r="O18">
        <f>IF(N18="","",IF(M18=0,INDEX(Equipamentos!$U$2:$U$61,N18),L18))</f>
        <v/>
      </c>
      <c r="P18">
        <f>IF(N18="","",IF(M18=0,N(INDEX(Equipamentos!$V$2:$V$61,N18)),N(INDEX(TrocasEquip!$I$2:$I$1000,M18))))</f>
        <v/>
      </c>
      <c r="Q18">
        <f>IF(N18="","",IF(M18=0,INDEX(Equipamentos!$T$2:$T$61,N18),IF(INDEX(TrocasEquip!$H$2:$H$1000,M18)="",INDEX(Equipamentos!$T$2:$T$61,N18),INDEX(TrocasEquip!$H$2:$H$1000,M18))))</f>
        <v/>
      </c>
    </row>
    <row r="19">
      <c r="A19" s="54" t="n"/>
      <c r="B19" s="55" t="n"/>
      <c r="C19">
        <f>IF(B19="","",IF(N19="","posição não encontrada",IF(M19=0,INDEX(Equipamentos!$S$2:$S$61,N19),INDEX(TrocasEquip!$G$2:$G$1000,M19))))</f>
        <v/>
      </c>
      <c r="D19" s="56">
        <f>IF(OR(A19="",N19=""),"",P19+IF(E19="dias",MAX(0,A19-O19),IF(INDEX(Equipamentos!$D$2:$D$61,N19)=2,SUMIFS(Producao!$D:$D,Producao!$A:$A,"&gt;="&amp;O19,Producao!$A:$A,"&lt;"&amp;A19),IF(INDEX(Equipamentos!$D$2:$D$61,N19)=3,SUMIFS(Producao!$E:$E,Producao!$A:$A,"&gt;="&amp;O19,Producao!$A:$A,"&lt;"&amp;A19),SUMIFS(Producao!$B:$B,Producao!$A:$A,"&gt;="&amp;O19,Producao!$A:$A,"&lt;"&amp;A19)))))</f>
        <v/>
      </c>
      <c r="E19">
        <f>IF(N19="","",INDEX(Equipamentos!$C$2:$C$61,N19))</f>
        <v/>
      </c>
      <c r="F19" s="57">
        <f>IF(OR(D19="",N(Q19)&lt;=0),"",D19/Q19)</f>
        <v/>
      </c>
      <c r="G19" s="55" t="n"/>
      <c r="H19" s="58" t="n"/>
      <c r="I19" s="58" t="n"/>
      <c r="J19" s="55" t="n"/>
      <c r="K19" s="55" t="n"/>
      <c r="L19">
        <f>IF(OR(A19="",B19=""),"",_xlfn.MAXIFS(TrocasEquip!$A$2:$A$1000,TrocasEquip!$B$2:$B$1000,B19,TrocasEquip!$A$2:$A$1000,"&lt;"&amp;A19))</f>
        <v/>
      </c>
      <c r="M19">
        <f>IF(N(L19)=0,0,MATCH(1,INDEX((TrocasEquip!$B$2:$B$1000=B19)*(TrocasEquip!$A$2:$A$1000=L19),0),0))</f>
        <v/>
      </c>
      <c r="N19">
        <f>IF(B19="","",IFERROR(MATCH(B19,Equipamentos!$P$2:$P$61,0),""))</f>
        <v/>
      </c>
      <c r="O19">
        <f>IF(N19="","",IF(M19=0,INDEX(Equipamentos!$U$2:$U$61,N19),L19))</f>
        <v/>
      </c>
      <c r="P19">
        <f>IF(N19="","",IF(M19=0,N(INDEX(Equipamentos!$V$2:$V$61,N19)),N(INDEX(TrocasEquip!$I$2:$I$1000,M19))))</f>
        <v/>
      </c>
      <c r="Q19">
        <f>IF(N19="","",IF(M19=0,INDEX(Equipamentos!$T$2:$T$61,N19),IF(INDEX(TrocasEquip!$H$2:$H$1000,M19)="",INDEX(Equipamentos!$T$2:$T$61,N19),INDEX(TrocasEquip!$H$2:$H$1000,M19))))</f>
        <v/>
      </c>
    </row>
    <row r="20">
      <c r="A20" s="54" t="n"/>
      <c r="B20" s="55" t="n"/>
      <c r="C20">
        <f>IF(B20="","",IF(N20="","posição não encontrada",IF(M20=0,INDEX(Equipamentos!$S$2:$S$61,N20),INDEX(TrocasEquip!$G$2:$G$1000,M20))))</f>
        <v/>
      </c>
      <c r="D20" s="56">
        <f>IF(OR(A20="",N20=""),"",P20+IF(E20="dias",MAX(0,A20-O20),IF(INDEX(Equipamentos!$D$2:$D$61,N20)=2,SUMIFS(Producao!$D:$D,Producao!$A:$A,"&gt;="&amp;O20,Producao!$A:$A,"&lt;"&amp;A20),IF(INDEX(Equipamentos!$D$2:$D$61,N20)=3,SUMIFS(Producao!$E:$E,Producao!$A:$A,"&gt;="&amp;O20,Producao!$A:$A,"&lt;"&amp;A20),SUMIFS(Producao!$B:$B,Producao!$A:$A,"&gt;="&amp;O20,Producao!$A:$A,"&lt;"&amp;A20)))))</f>
        <v/>
      </c>
      <c r="E20">
        <f>IF(N20="","",INDEX(Equipamentos!$C$2:$C$61,N20))</f>
        <v/>
      </c>
      <c r="F20" s="57">
        <f>IF(OR(D20="",N(Q20)&lt;=0),"",D20/Q20)</f>
        <v/>
      </c>
      <c r="G20" s="55" t="n"/>
      <c r="H20" s="58" t="n"/>
      <c r="I20" s="58" t="n"/>
      <c r="J20" s="55" t="n"/>
      <c r="K20" s="55" t="n"/>
      <c r="L20">
        <f>IF(OR(A20="",B20=""),"",_xlfn.MAXIFS(TrocasEquip!$A$2:$A$1000,TrocasEquip!$B$2:$B$1000,B20,TrocasEquip!$A$2:$A$1000,"&lt;"&amp;A20))</f>
        <v/>
      </c>
      <c r="M20">
        <f>IF(N(L20)=0,0,MATCH(1,INDEX((TrocasEquip!$B$2:$B$1000=B20)*(TrocasEquip!$A$2:$A$1000=L20),0),0))</f>
        <v/>
      </c>
      <c r="N20">
        <f>IF(B20="","",IFERROR(MATCH(B20,Equipamentos!$P$2:$P$61,0),""))</f>
        <v/>
      </c>
      <c r="O20">
        <f>IF(N20="","",IF(M20=0,INDEX(Equipamentos!$U$2:$U$61,N20),L20))</f>
        <v/>
      </c>
      <c r="P20">
        <f>IF(N20="","",IF(M20=0,N(INDEX(Equipamentos!$V$2:$V$61,N20)),N(INDEX(TrocasEquip!$I$2:$I$1000,M20))))</f>
        <v/>
      </c>
      <c r="Q20">
        <f>IF(N20="","",IF(M20=0,INDEX(Equipamentos!$T$2:$T$61,N20),IF(INDEX(TrocasEquip!$H$2:$H$1000,M20)="",INDEX(Equipamentos!$T$2:$T$61,N20),INDEX(TrocasEquip!$H$2:$H$1000,M20))))</f>
        <v/>
      </c>
    </row>
    <row r="21">
      <c r="A21" s="54" t="n"/>
      <c r="B21" s="55" t="n"/>
      <c r="C21">
        <f>IF(B21="","",IF(N21="","posição não encontrada",IF(M21=0,INDEX(Equipamentos!$S$2:$S$61,N21),INDEX(TrocasEquip!$G$2:$G$1000,M21))))</f>
        <v/>
      </c>
      <c r="D21" s="56">
        <f>IF(OR(A21="",N21=""),"",P21+IF(E21="dias",MAX(0,A21-O21),IF(INDEX(Equipamentos!$D$2:$D$61,N21)=2,SUMIFS(Producao!$D:$D,Producao!$A:$A,"&gt;="&amp;O21,Producao!$A:$A,"&lt;"&amp;A21),IF(INDEX(Equipamentos!$D$2:$D$61,N21)=3,SUMIFS(Producao!$E:$E,Producao!$A:$A,"&gt;="&amp;O21,Producao!$A:$A,"&lt;"&amp;A21),SUMIFS(Producao!$B:$B,Producao!$A:$A,"&gt;="&amp;O21,Producao!$A:$A,"&lt;"&amp;A21)))))</f>
        <v/>
      </c>
      <c r="E21">
        <f>IF(N21="","",INDEX(Equipamentos!$C$2:$C$61,N21))</f>
        <v/>
      </c>
      <c r="F21" s="57">
        <f>IF(OR(D21="",N(Q21)&lt;=0),"",D21/Q21)</f>
        <v/>
      </c>
      <c r="G21" s="55" t="n"/>
      <c r="H21" s="58" t="n"/>
      <c r="I21" s="58" t="n"/>
      <c r="J21" s="55" t="n"/>
      <c r="K21" s="55" t="n"/>
      <c r="L21">
        <f>IF(OR(A21="",B21=""),"",_xlfn.MAXIFS(TrocasEquip!$A$2:$A$1000,TrocasEquip!$B$2:$B$1000,B21,TrocasEquip!$A$2:$A$1000,"&lt;"&amp;A21))</f>
        <v/>
      </c>
      <c r="M21">
        <f>IF(N(L21)=0,0,MATCH(1,INDEX((TrocasEquip!$B$2:$B$1000=B21)*(TrocasEquip!$A$2:$A$1000=L21),0),0))</f>
        <v/>
      </c>
      <c r="N21">
        <f>IF(B21="","",IFERROR(MATCH(B21,Equipamentos!$P$2:$P$61,0),""))</f>
        <v/>
      </c>
      <c r="O21">
        <f>IF(N21="","",IF(M21=0,INDEX(Equipamentos!$U$2:$U$61,N21),L21))</f>
        <v/>
      </c>
      <c r="P21">
        <f>IF(N21="","",IF(M21=0,N(INDEX(Equipamentos!$V$2:$V$61,N21)),N(INDEX(TrocasEquip!$I$2:$I$1000,M21))))</f>
        <v/>
      </c>
      <c r="Q21">
        <f>IF(N21="","",IF(M21=0,INDEX(Equipamentos!$T$2:$T$61,N21),IF(INDEX(TrocasEquip!$H$2:$H$1000,M21)="",INDEX(Equipamentos!$T$2:$T$61,N21),INDEX(TrocasEquip!$H$2:$H$1000,M21))))</f>
        <v/>
      </c>
    </row>
    <row r="22">
      <c r="A22" s="54" t="n"/>
      <c r="B22" s="55" t="n"/>
      <c r="C22">
        <f>IF(B22="","",IF(N22="","posição não encontrada",IF(M22=0,INDEX(Equipamentos!$S$2:$S$61,N22),INDEX(TrocasEquip!$G$2:$G$1000,M22))))</f>
        <v/>
      </c>
      <c r="D22" s="56">
        <f>IF(OR(A22="",N22=""),"",P22+IF(E22="dias",MAX(0,A22-O22),IF(INDEX(Equipamentos!$D$2:$D$61,N22)=2,SUMIFS(Producao!$D:$D,Producao!$A:$A,"&gt;="&amp;O22,Producao!$A:$A,"&lt;"&amp;A22),IF(INDEX(Equipamentos!$D$2:$D$61,N22)=3,SUMIFS(Producao!$E:$E,Producao!$A:$A,"&gt;="&amp;O22,Producao!$A:$A,"&lt;"&amp;A22),SUMIFS(Producao!$B:$B,Producao!$A:$A,"&gt;="&amp;O22,Producao!$A:$A,"&lt;"&amp;A22)))))</f>
        <v/>
      </c>
      <c r="E22">
        <f>IF(N22="","",INDEX(Equipamentos!$C$2:$C$61,N22))</f>
        <v/>
      </c>
      <c r="F22" s="57">
        <f>IF(OR(D22="",N(Q22)&lt;=0),"",D22/Q22)</f>
        <v/>
      </c>
      <c r="G22" s="55" t="n"/>
      <c r="H22" s="58" t="n"/>
      <c r="I22" s="58" t="n"/>
      <c r="J22" s="55" t="n"/>
      <c r="K22" s="55" t="n"/>
      <c r="L22">
        <f>IF(OR(A22="",B22=""),"",_xlfn.MAXIFS(TrocasEquip!$A$2:$A$1000,TrocasEquip!$B$2:$B$1000,B22,TrocasEquip!$A$2:$A$1000,"&lt;"&amp;A22))</f>
        <v/>
      </c>
      <c r="M22">
        <f>IF(N(L22)=0,0,MATCH(1,INDEX((TrocasEquip!$B$2:$B$1000=B22)*(TrocasEquip!$A$2:$A$1000=L22),0),0))</f>
        <v/>
      </c>
      <c r="N22">
        <f>IF(B22="","",IFERROR(MATCH(B22,Equipamentos!$P$2:$P$61,0),""))</f>
        <v/>
      </c>
      <c r="O22">
        <f>IF(N22="","",IF(M22=0,INDEX(Equipamentos!$U$2:$U$61,N22),L22))</f>
        <v/>
      </c>
      <c r="P22">
        <f>IF(N22="","",IF(M22=0,N(INDEX(Equipamentos!$V$2:$V$61,N22)),N(INDEX(TrocasEquip!$I$2:$I$1000,M22))))</f>
        <v/>
      </c>
      <c r="Q22">
        <f>IF(N22="","",IF(M22=0,INDEX(Equipamentos!$T$2:$T$61,N22),IF(INDEX(TrocasEquip!$H$2:$H$1000,M22)="",INDEX(Equipamentos!$T$2:$T$61,N22),INDEX(TrocasEquip!$H$2:$H$1000,M22))))</f>
        <v/>
      </c>
    </row>
    <row r="23">
      <c r="A23" s="54" t="n"/>
      <c r="B23" s="55" t="n"/>
      <c r="C23">
        <f>IF(B23="","",IF(N23="","posição não encontrada",IF(M23=0,INDEX(Equipamentos!$S$2:$S$61,N23),INDEX(TrocasEquip!$G$2:$G$1000,M23))))</f>
        <v/>
      </c>
      <c r="D23" s="56">
        <f>IF(OR(A23="",N23=""),"",P23+IF(E23="dias",MAX(0,A23-O23),IF(INDEX(Equipamentos!$D$2:$D$61,N23)=2,SUMIFS(Producao!$D:$D,Producao!$A:$A,"&gt;="&amp;O23,Producao!$A:$A,"&lt;"&amp;A23),IF(INDEX(Equipamentos!$D$2:$D$61,N23)=3,SUMIFS(Producao!$E:$E,Producao!$A:$A,"&gt;="&amp;O23,Producao!$A:$A,"&lt;"&amp;A23),SUMIFS(Producao!$B:$B,Producao!$A:$A,"&gt;="&amp;O23,Producao!$A:$A,"&lt;"&amp;A23)))))</f>
        <v/>
      </c>
      <c r="E23">
        <f>IF(N23="","",INDEX(Equipamentos!$C$2:$C$61,N23))</f>
        <v/>
      </c>
      <c r="F23" s="57">
        <f>IF(OR(D23="",N(Q23)&lt;=0),"",D23/Q23)</f>
        <v/>
      </c>
      <c r="G23" s="55" t="n"/>
      <c r="H23" s="58" t="n"/>
      <c r="I23" s="58" t="n"/>
      <c r="J23" s="55" t="n"/>
      <c r="K23" s="55" t="n"/>
      <c r="L23">
        <f>IF(OR(A23="",B23=""),"",_xlfn.MAXIFS(TrocasEquip!$A$2:$A$1000,TrocasEquip!$B$2:$B$1000,B23,TrocasEquip!$A$2:$A$1000,"&lt;"&amp;A23))</f>
        <v/>
      </c>
      <c r="M23">
        <f>IF(N(L23)=0,0,MATCH(1,INDEX((TrocasEquip!$B$2:$B$1000=B23)*(TrocasEquip!$A$2:$A$1000=L23),0),0))</f>
        <v/>
      </c>
      <c r="N23">
        <f>IF(B23="","",IFERROR(MATCH(B23,Equipamentos!$P$2:$P$61,0),""))</f>
        <v/>
      </c>
      <c r="O23">
        <f>IF(N23="","",IF(M23=0,INDEX(Equipamentos!$U$2:$U$61,N23),L23))</f>
        <v/>
      </c>
      <c r="P23">
        <f>IF(N23="","",IF(M23=0,N(INDEX(Equipamentos!$V$2:$V$61,N23)),N(INDEX(TrocasEquip!$I$2:$I$1000,M23))))</f>
        <v/>
      </c>
      <c r="Q23">
        <f>IF(N23="","",IF(M23=0,INDEX(Equipamentos!$T$2:$T$61,N23),IF(INDEX(TrocasEquip!$H$2:$H$1000,M23)="",INDEX(Equipamentos!$T$2:$T$61,N23),INDEX(TrocasEquip!$H$2:$H$1000,M23))))</f>
        <v/>
      </c>
    </row>
    <row r="24">
      <c r="A24" s="54" t="n"/>
      <c r="B24" s="55" t="n"/>
      <c r="C24">
        <f>IF(B24="","",IF(N24="","posição não encontrada",IF(M24=0,INDEX(Equipamentos!$S$2:$S$61,N24),INDEX(TrocasEquip!$G$2:$G$1000,M24))))</f>
        <v/>
      </c>
      <c r="D24" s="56">
        <f>IF(OR(A24="",N24=""),"",P24+IF(E24="dias",MAX(0,A24-O24),IF(INDEX(Equipamentos!$D$2:$D$61,N24)=2,SUMIFS(Producao!$D:$D,Producao!$A:$A,"&gt;="&amp;O24,Producao!$A:$A,"&lt;"&amp;A24),IF(INDEX(Equipamentos!$D$2:$D$61,N24)=3,SUMIFS(Producao!$E:$E,Producao!$A:$A,"&gt;="&amp;O24,Producao!$A:$A,"&lt;"&amp;A24),SUMIFS(Producao!$B:$B,Producao!$A:$A,"&gt;="&amp;O24,Producao!$A:$A,"&lt;"&amp;A24)))))</f>
        <v/>
      </c>
      <c r="E24">
        <f>IF(N24="","",INDEX(Equipamentos!$C$2:$C$61,N24))</f>
        <v/>
      </c>
      <c r="F24" s="57">
        <f>IF(OR(D24="",N(Q24)&lt;=0),"",D24/Q24)</f>
        <v/>
      </c>
      <c r="G24" s="55" t="n"/>
      <c r="H24" s="58" t="n"/>
      <c r="I24" s="58" t="n"/>
      <c r="J24" s="55" t="n"/>
      <c r="K24" s="55" t="n"/>
      <c r="L24">
        <f>IF(OR(A24="",B24=""),"",_xlfn.MAXIFS(TrocasEquip!$A$2:$A$1000,TrocasEquip!$B$2:$B$1000,B24,TrocasEquip!$A$2:$A$1000,"&lt;"&amp;A24))</f>
        <v/>
      </c>
      <c r="M24">
        <f>IF(N(L24)=0,0,MATCH(1,INDEX((TrocasEquip!$B$2:$B$1000=B24)*(TrocasEquip!$A$2:$A$1000=L24),0),0))</f>
        <v/>
      </c>
      <c r="N24">
        <f>IF(B24="","",IFERROR(MATCH(B24,Equipamentos!$P$2:$P$61,0),""))</f>
        <v/>
      </c>
      <c r="O24">
        <f>IF(N24="","",IF(M24=0,INDEX(Equipamentos!$U$2:$U$61,N24),L24))</f>
        <v/>
      </c>
      <c r="P24">
        <f>IF(N24="","",IF(M24=0,N(INDEX(Equipamentos!$V$2:$V$61,N24)),N(INDEX(TrocasEquip!$I$2:$I$1000,M24))))</f>
        <v/>
      </c>
      <c r="Q24">
        <f>IF(N24="","",IF(M24=0,INDEX(Equipamentos!$T$2:$T$61,N24),IF(INDEX(TrocasEquip!$H$2:$H$1000,M24)="",INDEX(Equipamentos!$T$2:$T$61,N24),INDEX(TrocasEquip!$H$2:$H$1000,M24))))</f>
        <v/>
      </c>
    </row>
    <row r="25">
      <c r="A25" s="54" t="n"/>
      <c r="B25" s="55" t="n"/>
      <c r="C25">
        <f>IF(B25="","",IF(N25="","posição não encontrada",IF(M25=0,INDEX(Equipamentos!$S$2:$S$61,N25),INDEX(TrocasEquip!$G$2:$G$1000,M25))))</f>
        <v/>
      </c>
      <c r="D25" s="56">
        <f>IF(OR(A25="",N25=""),"",P25+IF(E25="dias",MAX(0,A25-O25),IF(INDEX(Equipamentos!$D$2:$D$61,N25)=2,SUMIFS(Producao!$D:$D,Producao!$A:$A,"&gt;="&amp;O25,Producao!$A:$A,"&lt;"&amp;A25),IF(INDEX(Equipamentos!$D$2:$D$61,N25)=3,SUMIFS(Producao!$E:$E,Producao!$A:$A,"&gt;="&amp;O25,Producao!$A:$A,"&lt;"&amp;A25),SUMIFS(Producao!$B:$B,Producao!$A:$A,"&gt;="&amp;O25,Producao!$A:$A,"&lt;"&amp;A25)))))</f>
        <v/>
      </c>
      <c r="E25">
        <f>IF(N25="","",INDEX(Equipamentos!$C$2:$C$61,N25))</f>
        <v/>
      </c>
      <c r="F25" s="57">
        <f>IF(OR(D25="",N(Q25)&lt;=0),"",D25/Q25)</f>
        <v/>
      </c>
      <c r="G25" s="55" t="n"/>
      <c r="H25" s="58" t="n"/>
      <c r="I25" s="58" t="n"/>
      <c r="J25" s="55" t="n"/>
      <c r="K25" s="55" t="n"/>
      <c r="L25">
        <f>IF(OR(A25="",B25=""),"",_xlfn.MAXIFS(TrocasEquip!$A$2:$A$1000,TrocasEquip!$B$2:$B$1000,B25,TrocasEquip!$A$2:$A$1000,"&lt;"&amp;A25))</f>
        <v/>
      </c>
      <c r="M25">
        <f>IF(N(L25)=0,0,MATCH(1,INDEX((TrocasEquip!$B$2:$B$1000=B25)*(TrocasEquip!$A$2:$A$1000=L25),0),0))</f>
        <v/>
      </c>
      <c r="N25">
        <f>IF(B25="","",IFERROR(MATCH(B25,Equipamentos!$P$2:$P$61,0),""))</f>
        <v/>
      </c>
      <c r="O25">
        <f>IF(N25="","",IF(M25=0,INDEX(Equipamentos!$U$2:$U$61,N25),L25))</f>
        <v/>
      </c>
      <c r="P25">
        <f>IF(N25="","",IF(M25=0,N(INDEX(Equipamentos!$V$2:$V$61,N25)),N(INDEX(TrocasEquip!$I$2:$I$1000,M25))))</f>
        <v/>
      </c>
      <c r="Q25">
        <f>IF(N25="","",IF(M25=0,INDEX(Equipamentos!$T$2:$T$61,N25),IF(INDEX(TrocasEquip!$H$2:$H$1000,M25)="",INDEX(Equipamentos!$T$2:$T$61,N25),INDEX(TrocasEquip!$H$2:$H$1000,M25))))</f>
        <v/>
      </c>
    </row>
    <row r="26">
      <c r="A26" s="54" t="n"/>
      <c r="B26" s="55" t="n"/>
      <c r="C26">
        <f>IF(B26="","",IF(N26="","posição não encontrada",IF(M26=0,INDEX(Equipamentos!$S$2:$S$61,N26),INDEX(TrocasEquip!$G$2:$G$1000,M26))))</f>
        <v/>
      </c>
      <c r="D26" s="56">
        <f>IF(OR(A26="",N26=""),"",P26+IF(E26="dias",MAX(0,A26-O26),IF(INDEX(Equipamentos!$D$2:$D$61,N26)=2,SUMIFS(Producao!$D:$D,Producao!$A:$A,"&gt;="&amp;O26,Producao!$A:$A,"&lt;"&amp;A26),IF(INDEX(Equipamentos!$D$2:$D$61,N26)=3,SUMIFS(Producao!$E:$E,Producao!$A:$A,"&gt;="&amp;O26,Producao!$A:$A,"&lt;"&amp;A26),SUMIFS(Producao!$B:$B,Producao!$A:$A,"&gt;="&amp;O26,Producao!$A:$A,"&lt;"&amp;A26)))))</f>
        <v/>
      </c>
      <c r="E26">
        <f>IF(N26="","",INDEX(Equipamentos!$C$2:$C$61,N26))</f>
        <v/>
      </c>
      <c r="F26" s="57">
        <f>IF(OR(D26="",N(Q26)&lt;=0),"",D26/Q26)</f>
        <v/>
      </c>
      <c r="G26" s="55" t="n"/>
      <c r="H26" s="58" t="n"/>
      <c r="I26" s="58" t="n"/>
      <c r="J26" s="55" t="n"/>
      <c r="K26" s="55" t="n"/>
      <c r="L26">
        <f>IF(OR(A26="",B26=""),"",_xlfn.MAXIFS(TrocasEquip!$A$2:$A$1000,TrocasEquip!$B$2:$B$1000,B26,TrocasEquip!$A$2:$A$1000,"&lt;"&amp;A26))</f>
        <v/>
      </c>
      <c r="M26">
        <f>IF(N(L26)=0,0,MATCH(1,INDEX((TrocasEquip!$B$2:$B$1000=B26)*(TrocasEquip!$A$2:$A$1000=L26),0),0))</f>
        <v/>
      </c>
      <c r="N26">
        <f>IF(B26="","",IFERROR(MATCH(B26,Equipamentos!$P$2:$P$61,0),""))</f>
        <v/>
      </c>
      <c r="O26">
        <f>IF(N26="","",IF(M26=0,INDEX(Equipamentos!$U$2:$U$61,N26),L26))</f>
        <v/>
      </c>
      <c r="P26">
        <f>IF(N26="","",IF(M26=0,N(INDEX(Equipamentos!$V$2:$V$61,N26)),N(INDEX(TrocasEquip!$I$2:$I$1000,M26))))</f>
        <v/>
      </c>
      <c r="Q26">
        <f>IF(N26="","",IF(M26=0,INDEX(Equipamentos!$T$2:$T$61,N26),IF(INDEX(TrocasEquip!$H$2:$H$1000,M26)="",INDEX(Equipamentos!$T$2:$T$61,N26),INDEX(TrocasEquip!$H$2:$H$1000,M26))))</f>
        <v/>
      </c>
    </row>
    <row r="27">
      <c r="A27" s="54" t="n"/>
      <c r="B27" s="55" t="n"/>
      <c r="C27">
        <f>IF(B27="","",IF(N27="","posição não encontrada",IF(M27=0,INDEX(Equipamentos!$S$2:$S$61,N27),INDEX(TrocasEquip!$G$2:$G$1000,M27))))</f>
        <v/>
      </c>
      <c r="D27" s="56">
        <f>IF(OR(A27="",N27=""),"",P27+IF(E27="dias",MAX(0,A27-O27),IF(INDEX(Equipamentos!$D$2:$D$61,N27)=2,SUMIFS(Producao!$D:$D,Producao!$A:$A,"&gt;="&amp;O27,Producao!$A:$A,"&lt;"&amp;A27),IF(INDEX(Equipamentos!$D$2:$D$61,N27)=3,SUMIFS(Producao!$E:$E,Producao!$A:$A,"&gt;="&amp;O27,Producao!$A:$A,"&lt;"&amp;A27),SUMIFS(Producao!$B:$B,Producao!$A:$A,"&gt;="&amp;O27,Producao!$A:$A,"&lt;"&amp;A27)))))</f>
        <v/>
      </c>
      <c r="E27">
        <f>IF(N27="","",INDEX(Equipamentos!$C$2:$C$61,N27))</f>
        <v/>
      </c>
      <c r="F27" s="57">
        <f>IF(OR(D27="",N(Q27)&lt;=0),"",D27/Q27)</f>
        <v/>
      </c>
      <c r="G27" s="55" t="n"/>
      <c r="H27" s="58" t="n"/>
      <c r="I27" s="58" t="n"/>
      <c r="J27" s="55" t="n"/>
      <c r="K27" s="55" t="n"/>
      <c r="L27">
        <f>IF(OR(A27="",B27=""),"",_xlfn.MAXIFS(TrocasEquip!$A$2:$A$1000,TrocasEquip!$B$2:$B$1000,B27,TrocasEquip!$A$2:$A$1000,"&lt;"&amp;A27))</f>
        <v/>
      </c>
      <c r="M27">
        <f>IF(N(L27)=0,0,MATCH(1,INDEX((TrocasEquip!$B$2:$B$1000=B27)*(TrocasEquip!$A$2:$A$1000=L27),0),0))</f>
        <v/>
      </c>
      <c r="N27">
        <f>IF(B27="","",IFERROR(MATCH(B27,Equipamentos!$P$2:$P$61,0),""))</f>
        <v/>
      </c>
      <c r="O27">
        <f>IF(N27="","",IF(M27=0,INDEX(Equipamentos!$U$2:$U$61,N27),L27))</f>
        <v/>
      </c>
      <c r="P27">
        <f>IF(N27="","",IF(M27=0,N(INDEX(Equipamentos!$V$2:$V$61,N27)),N(INDEX(TrocasEquip!$I$2:$I$1000,M27))))</f>
        <v/>
      </c>
      <c r="Q27">
        <f>IF(N27="","",IF(M27=0,INDEX(Equipamentos!$T$2:$T$61,N27),IF(INDEX(TrocasEquip!$H$2:$H$1000,M27)="",INDEX(Equipamentos!$T$2:$T$61,N27),INDEX(TrocasEquip!$H$2:$H$1000,M27))))</f>
        <v/>
      </c>
    </row>
    <row r="28">
      <c r="A28" s="54" t="n"/>
      <c r="B28" s="55" t="n"/>
      <c r="C28">
        <f>IF(B28="","",IF(N28="","posição não encontrada",IF(M28=0,INDEX(Equipamentos!$S$2:$S$61,N28),INDEX(TrocasEquip!$G$2:$G$1000,M28))))</f>
        <v/>
      </c>
      <c r="D28" s="56">
        <f>IF(OR(A28="",N28=""),"",P28+IF(E28="dias",MAX(0,A28-O28),IF(INDEX(Equipamentos!$D$2:$D$61,N28)=2,SUMIFS(Producao!$D:$D,Producao!$A:$A,"&gt;="&amp;O28,Producao!$A:$A,"&lt;"&amp;A28),IF(INDEX(Equipamentos!$D$2:$D$61,N28)=3,SUMIFS(Producao!$E:$E,Producao!$A:$A,"&gt;="&amp;O28,Producao!$A:$A,"&lt;"&amp;A28),SUMIFS(Producao!$B:$B,Producao!$A:$A,"&gt;="&amp;O28,Producao!$A:$A,"&lt;"&amp;A28)))))</f>
        <v/>
      </c>
      <c r="E28">
        <f>IF(N28="","",INDEX(Equipamentos!$C$2:$C$61,N28))</f>
        <v/>
      </c>
      <c r="F28" s="57">
        <f>IF(OR(D28="",N(Q28)&lt;=0),"",D28/Q28)</f>
        <v/>
      </c>
      <c r="G28" s="55" t="n"/>
      <c r="H28" s="58" t="n"/>
      <c r="I28" s="58" t="n"/>
      <c r="J28" s="55" t="n"/>
      <c r="K28" s="55" t="n"/>
      <c r="L28">
        <f>IF(OR(A28="",B28=""),"",_xlfn.MAXIFS(TrocasEquip!$A$2:$A$1000,TrocasEquip!$B$2:$B$1000,B28,TrocasEquip!$A$2:$A$1000,"&lt;"&amp;A28))</f>
        <v/>
      </c>
      <c r="M28">
        <f>IF(N(L28)=0,0,MATCH(1,INDEX((TrocasEquip!$B$2:$B$1000=B28)*(TrocasEquip!$A$2:$A$1000=L28),0),0))</f>
        <v/>
      </c>
      <c r="N28">
        <f>IF(B28="","",IFERROR(MATCH(B28,Equipamentos!$P$2:$P$61,0),""))</f>
        <v/>
      </c>
      <c r="O28">
        <f>IF(N28="","",IF(M28=0,INDEX(Equipamentos!$U$2:$U$61,N28),L28))</f>
        <v/>
      </c>
      <c r="P28">
        <f>IF(N28="","",IF(M28=0,N(INDEX(Equipamentos!$V$2:$V$61,N28)),N(INDEX(TrocasEquip!$I$2:$I$1000,M28))))</f>
        <v/>
      </c>
      <c r="Q28">
        <f>IF(N28="","",IF(M28=0,INDEX(Equipamentos!$T$2:$T$61,N28),IF(INDEX(TrocasEquip!$H$2:$H$1000,M28)="",INDEX(Equipamentos!$T$2:$T$61,N28),INDEX(TrocasEquip!$H$2:$H$1000,M28))))</f>
        <v/>
      </c>
    </row>
    <row r="29">
      <c r="A29" s="54" t="n"/>
      <c r="B29" s="55" t="n"/>
      <c r="C29">
        <f>IF(B29="","",IF(N29="","posição não encontrada",IF(M29=0,INDEX(Equipamentos!$S$2:$S$61,N29),INDEX(TrocasEquip!$G$2:$G$1000,M29))))</f>
        <v/>
      </c>
      <c r="D29" s="56">
        <f>IF(OR(A29="",N29=""),"",P29+IF(E29="dias",MAX(0,A29-O29),IF(INDEX(Equipamentos!$D$2:$D$61,N29)=2,SUMIFS(Producao!$D:$D,Producao!$A:$A,"&gt;="&amp;O29,Producao!$A:$A,"&lt;"&amp;A29),IF(INDEX(Equipamentos!$D$2:$D$61,N29)=3,SUMIFS(Producao!$E:$E,Producao!$A:$A,"&gt;="&amp;O29,Producao!$A:$A,"&lt;"&amp;A29),SUMIFS(Producao!$B:$B,Producao!$A:$A,"&gt;="&amp;O29,Producao!$A:$A,"&lt;"&amp;A29)))))</f>
        <v/>
      </c>
      <c r="E29">
        <f>IF(N29="","",INDEX(Equipamentos!$C$2:$C$61,N29))</f>
        <v/>
      </c>
      <c r="F29" s="57">
        <f>IF(OR(D29="",N(Q29)&lt;=0),"",D29/Q29)</f>
        <v/>
      </c>
      <c r="G29" s="55" t="n"/>
      <c r="H29" s="58" t="n"/>
      <c r="I29" s="58" t="n"/>
      <c r="J29" s="55" t="n"/>
      <c r="K29" s="55" t="n"/>
      <c r="L29">
        <f>IF(OR(A29="",B29=""),"",_xlfn.MAXIFS(TrocasEquip!$A$2:$A$1000,TrocasEquip!$B$2:$B$1000,B29,TrocasEquip!$A$2:$A$1000,"&lt;"&amp;A29))</f>
        <v/>
      </c>
      <c r="M29">
        <f>IF(N(L29)=0,0,MATCH(1,INDEX((TrocasEquip!$B$2:$B$1000=B29)*(TrocasEquip!$A$2:$A$1000=L29),0),0))</f>
        <v/>
      </c>
      <c r="N29">
        <f>IF(B29="","",IFERROR(MATCH(B29,Equipamentos!$P$2:$P$61,0),""))</f>
        <v/>
      </c>
      <c r="O29">
        <f>IF(N29="","",IF(M29=0,INDEX(Equipamentos!$U$2:$U$61,N29),L29))</f>
        <v/>
      </c>
      <c r="P29">
        <f>IF(N29="","",IF(M29=0,N(INDEX(Equipamentos!$V$2:$V$61,N29)),N(INDEX(TrocasEquip!$I$2:$I$1000,M29))))</f>
        <v/>
      </c>
      <c r="Q29">
        <f>IF(N29="","",IF(M29=0,INDEX(Equipamentos!$T$2:$T$61,N29),IF(INDEX(TrocasEquip!$H$2:$H$1000,M29)="",INDEX(Equipamentos!$T$2:$T$61,N29),INDEX(TrocasEquip!$H$2:$H$1000,M29))))</f>
        <v/>
      </c>
    </row>
    <row r="30">
      <c r="A30" s="54" t="n"/>
      <c r="B30" s="55" t="n"/>
      <c r="C30">
        <f>IF(B30="","",IF(N30="","posição não encontrada",IF(M30=0,INDEX(Equipamentos!$S$2:$S$61,N30),INDEX(TrocasEquip!$G$2:$G$1000,M30))))</f>
        <v/>
      </c>
      <c r="D30" s="56">
        <f>IF(OR(A30="",N30=""),"",P30+IF(E30="dias",MAX(0,A30-O30),IF(INDEX(Equipamentos!$D$2:$D$61,N30)=2,SUMIFS(Producao!$D:$D,Producao!$A:$A,"&gt;="&amp;O30,Producao!$A:$A,"&lt;"&amp;A30),IF(INDEX(Equipamentos!$D$2:$D$61,N30)=3,SUMIFS(Producao!$E:$E,Producao!$A:$A,"&gt;="&amp;O30,Producao!$A:$A,"&lt;"&amp;A30),SUMIFS(Producao!$B:$B,Producao!$A:$A,"&gt;="&amp;O30,Producao!$A:$A,"&lt;"&amp;A30)))))</f>
        <v/>
      </c>
      <c r="E30">
        <f>IF(N30="","",INDEX(Equipamentos!$C$2:$C$61,N30))</f>
        <v/>
      </c>
      <c r="F30" s="57">
        <f>IF(OR(D30="",N(Q30)&lt;=0),"",D30/Q30)</f>
        <v/>
      </c>
      <c r="G30" s="55" t="n"/>
      <c r="H30" s="58" t="n"/>
      <c r="I30" s="58" t="n"/>
      <c r="J30" s="55" t="n"/>
      <c r="K30" s="55" t="n"/>
      <c r="L30">
        <f>IF(OR(A30="",B30=""),"",_xlfn.MAXIFS(TrocasEquip!$A$2:$A$1000,TrocasEquip!$B$2:$B$1000,B30,TrocasEquip!$A$2:$A$1000,"&lt;"&amp;A30))</f>
        <v/>
      </c>
      <c r="M30">
        <f>IF(N(L30)=0,0,MATCH(1,INDEX((TrocasEquip!$B$2:$B$1000=B30)*(TrocasEquip!$A$2:$A$1000=L30),0),0))</f>
        <v/>
      </c>
      <c r="N30">
        <f>IF(B30="","",IFERROR(MATCH(B30,Equipamentos!$P$2:$P$61,0),""))</f>
        <v/>
      </c>
      <c r="O30">
        <f>IF(N30="","",IF(M30=0,INDEX(Equipamentos!$U$2:$U$61,N30),L30))</f>
        <v/>
      </c>
      <c r="P30">
        <f>IF(N30="","",IF(M30=0,N(INDEX(Equipamentos!$V$2:$V$61,N30)),N(INDEX(TrocasEquip!$I$2:$I$1000,M30))))</f>
        <v/>
      </c>
      <c r="Q30">
        <f>IF(N30="","",IF(M30=0,INDEX(Equipamentos!$T$2:$T$61,N30),IF(INDEX(TrocasEquip!$H$2:$H$1000,M30)="",INDEX(Equipamentos!$T$2:$T$61,N30),INDEX(TrocasEquip!$H$2:$H$1000,M30))))</f>
        <v/>
      </c>
    </row>
    <row r="31">
      <c r="A31" s="54" t="n"/>
      <c r="B31" s="55" t="n"/>
      <c r="C31">
        <f>IF(B31="","",IF(N31="","posição não encontrada",IF(M31=0,INDEX(Equipamentos!$S$2:$S$61,N31),INDEX(TrocasEquip!$G$2:$G$1000,M31))))</f>
        <v/>
      </c>
      <c r="D31" s="56">
        <f>IF(OR(A31="",N31=""),"",P31+IF(E31="dias",MAX(0,A31-O31),IF(INDEX(Equipamentos!$D$2:$D$61,N31)=2,SUMIFS(Producao!$D:$D,Producao!$A:$A,"&gt;="&amp;O31,Producao!$A:$A,"&lt;"&amp;A31),IF(INDEX(Equipamentos!$D$2:$D$61,N31)=3,SUMIFS(Producao!$E:$E,Producao!$A:$A,"&gt;="&amp;O31,Producao!$A:$A,"&lt;"&amp;A31),SUMIFS(Producao!$B:$B,Producao!$A:$A,"&gt;="&amp;O31,Producao!$A:$A,"&lt;"&amp;A31)))))</f>
        <v/>
      </c>
      <c r="E31">
        <f>IF(N31="","",INDEX(Equipamentos!$C$2:$C$61,N31))</f>
        <v/>
      </c>
      <c r="F31" s="57">
        <f>IF(OR(D31="",N(Q31)&lt;=0),"",D31/Q31)</f>
        <v/>
      </c>
      <c r="G31" s="55" t="n"/>
      <c r="H31" s="58" t="n"/>
      <c r="I31" s="58" t="n"/>
      <c r="J31" s="55" t="n"/>
      <c r="K31" s="55" t="n"/>
      <c r="L31">
        <f>IF(OR(A31="",B31=""),"",_xlfn.MAXIFS(TrocasEquip!$A$2:$A$1000,TrocasEquip!$B$2:$B$1000,B31,TrocasEquip!$A$2:$A$1000,"&lt;"&amp;A31))</f>
        <v/>
      </c>
      <c r="M31">
        <f>IF(N(L31)=0,0,MATCH(1,INDEX((TrocasEquip!$B$2:$B$1000=B31)*(TrocasEquip!$A$2:$A$1000=L31),0),0))</f>
        <v/>
      </c>
      <c r="N31">
        <f>IF(B31="","",IFERROR(MATCH(B31,Equipamentos!$P$2:$P$61,0),""))</f>
        <v/>
      </c>
      <c r="O31">
        <f>IF(N31="","",IF(M31=0,INDEX(Equipamentos!$U$2:$U$61,N31),L31))</f>
        <v/>
      </c>
      <c r="P31">
        <f>IF(N31="","",IF(M31=0,N(INDEX(Equipamentos!$V$2:$V$61,N31)),N(INDEX(TrocasEquip!$I$2:$I$1000,M31))))</f>
        <v/>
      </c>
      <c r="Q31">
        <f>IF(N31="","",IF(M31=0,INDEX(Equipamentos!$T$2:$T$61,N31),IF(INDEX(TrocasEquip!$H$2:$H$1000,M31)="",INDEX(Equipamentos!$T$2:$T$61,N31),INDEX(TrocasEquip!$H$2:$H$1000,M31))))</f>
        <v/>
      </c>
    </row>
    <row r="32">
      <c r="A32" s="54" t="n"/>
      <c r="B32" s="55" t="n"/>
      <c r="C32">
        <f>IF(B32="","",IF(N32="","posição não encontrada",IF(M32=0,INDEX(Equipamentos!$S$2:$S$61,N32),INDEX(TrocasEquip!$G$2:$G$1000,M32))))</f>
        <v/>
      </c>
      <c r="D32" s="56">
        <f>IF(OR(A32="",N32=""),"",P32+IF(E32="dias",MAX(0,A32-O32),IF(INDEX(Equipamentos!$D$2:$D$61,N32)=2,SUMIFS(Producao!$D:$D,Producao!$A:$A,"&gt;="&amp;O32,Producao!$A:$A,"&lt;"&amp;A32),IF(INDEX(Equipamentos!$D$2:$D$61,N32)=3,SUMIFS(Producao!$E:$E,Producao!$A:$A,"&gt;="&amp;O32,Producao!$A:$A,"&lt;"&amp;A32),SUMIFS(Producao!$B:$B,Producao!$A:$A,"&gt;="&amp;O32,Producao!$A:$A,"&lt;"&amp;A32)))))</f>
        <v/>
      </c>
      <c r="E32">
        <f>IF(N32="","",INDEX(Equipamentos!$C$2:$C$61,N32))</f>
        <v/>
      </c>
      <c r="F32" s="57">
        <f>IF(OR(D32="",N(Q32)&lt;=0),"",D32/Q32)</f>
        <v/>
      </c>
      <c r="G32" s="55" t="n"/>
      <c r="H32" s="58" t="n"/>
      <c r="I32" s="58" t="n"/>
      <c r="J32" s="55" t="n"/>
      <c r="K32" s="55" t="n"/>
      <c r="L32">
        <f>IF(OR(A32="",B32=""),"",_xlfn.MAXIFS(TrocasEquip!$A$2:$A$1000,TrocasEquip!$B$2:$B$1000,B32,TrocasEquip!$A$2:$A$1000,"&lt;"&amp;A32))</f>
        <v/>
      </c>
      <c r="M32">
        <f>IF(N(L32)=0,0,MATCH(1,INDEX((TrocasEquip!$B$2:$B$1000=B32)*(TrocasEquip!$A$2:$A$1000=L32),0),0))</f>
        <v/>
      </c>
      <c r="N32">
        <f>IF(B32="","",IFERROR(MATCH(B32,Equipamentos!$P$2:$P$61,0),""))</f>
        <v/>
      </c>
      <c r="O32">
        <f>IF(N32="","",IF(M32=0,INDEX(Equipamentos!$U$2:$U$61,N32),L32))</f>
        <v/>
      </c>
      <c r="P32">
        <f>IF(N32="","",IF(M32=0,N(INDEX(Equipamentos!$V$2:$V$61,N32)),N(INDEX(TrocasEquip!$I$2:$I$1000,M32))))</f>
        <v/>
      </c>
      <c r="Q32">
        <f>IF(N32="","",IF(M32=0,INDEX(Equipamentos!$T$2:$T$61,N32),IF(INDEX(TrocasEquip!$H$2:$H$1000,M32)="",INDEX(Equipamentos!$T$2:$T$61,N32),INDEX(TrocasEquip!$H$2:$H$1000,M32))))</f>
        <v/>
      </c>
    </row>
    <row r="33">
      <c r="A33" s="54" t="n"/>
      <c r="B33" s="55" t="n"/>
      <c r="C33">
        <f>IF(B33="","",IF(N33="","posição não encontrada",IF(M33=0,INDEX(Equipamentos!$S$2:$S$61,N33),INDEX(TrocasEquip!$G$2:$G$1000,M33))))</f>
        <v/>
      </c>
      <c r="D33" s="56">
        <f>IF(OR(A33="",N33=""),"",P33+IF(E33="dias",MAX(0,A33-O33),IF(INDEX(Equipamentos!$D$2:$D$61,N33)=2,SUMIFS(Producao!$D:$D,Producao!$A:$A,"&gt;="&amp;O33,Producao!$A:$A,"&lt;"&amp;A33),IF(INDEX(Equipamentos!$D$2:$D$61,N33)=3,SUMIFS(Producao!$E:$E,Producao!$A:$A,"&gt;="&amp;O33,Producao!$A:$A,"&lt;"&amp;A33),SUMIFS(Producao!$B:$B,Producao!$A:$A,"&gt;="&amp;O33,Producao!$A:$A,"&lt;"&amp;A33)))))</f>
        <v/>
      </c>
      <c r="E33">
        <f>IF(N33="","",INDEX(Equipamentos!$C$2:$C$61,N33))</f>
        <v/>
      </c>
      <c r="F33" s="57">
        <f>IF(OR(D33="",N(Q33)&lt;=0),"",D33/Q33)</f>
        <v/>
      </c>
      <c r="G33" s="55" t="n"/>
      <c r="H33" s="58" t="n"/>
      <c r="I33" s="58" t="n"/>
      <c r="J33" s="55" t="n"/>
      <c r="K33" s="55" t="n"/>
      <c r="L33">
        <f>IF(OR(A33="",B33=""),"",_xlfn.MAXIFS(TrocasEquip!$A$2:$A$1000,TrocasEquip!$B$2:$B$1000,B33,TrocasEquip!$A$2:$A$1000,"&lt;"&amp;A33))</f>
        <v/>
      </c>
      <c r="M33">
        <f>IF(N(L33)=0,0,MATCH(1,INDEX((TrocasEquip!$B$2:$B$1000=B33)*(TrocasEquip!$A$2:$A$1000=L33),0),0))</f>
        <v/>
      </c>
      <c r="N33">
        <f>IF(B33="","",IFERROR(MATCH(B33,Equipamentos!$P$2:$P$61,0),""))</f>
        <v/>
      </c>
      <c r="O33">
        <f>IF(N33="","",IF(M33=0,INDEX(Equipamentos!$U$2:$U$61,N33),L33))</f>
        <v/>
      </c>
      <c r="P33">
        <f>IF(N33="","",IF(M33=0,N(INDEX(Equipamentos!$V$2:$V$61,N33)),N(INDEX(TrocasEquip!$I$2:$I$1000,M33))))</f>
        <v/>
      </c>
      <c r="Q33">
        <f>IF(N33="","",IF(M33=0,INDEX(Equipamentos!$T$2:$T$61,N33),IF(INDEX(TrocasEquip!$H$2:$H$1000,M33)="",INDEX(Equipamentos!$T$2:$T$61,N33),INDEX(TrocasEquip!$H$2:$H$1000,M33))))</f>
        <v/>
      </c>
    </row>
    <row r="34">
      <c r="A34" s="54" t="n"/>
      <c r="B34" s="55" t="n"/>
      <c r="C34">
        <f>IF(B34="","",IF(N34="","posição não encontrada",IF(M34=0,INDEX(Equipamentos!$S$2:$S$61,N34),INDEX(TrocasEquip!$G$2:$G$1000,M34))))</f>
        <v/>
      </c>
      <c r="D34" s="56">
        <f>IF(OR(A34="",N34=""),"",P34+IF(E34="dias",MAX(0,A34-O34),IF(INDEX(Equipamentos!$D$2:$D$61,N34)=2,SUMIFS(Producao!$D:$D,Producao!$A:$A,"&gt;="&amp;O34,Producao!$A:$A,"&lt;"&amp;A34),IF(INDEX(Equipamentos!$D$2:$D$61,N34)=3,SUMIFS(Producao!$E:$E,Producao!$A:$A,"&gt;="&amp;O34,Producao!$A:$A,"&lt;"&amp;A34),SUMIFS(Producao!$B:$B,Producao!$A:$A,"&gt;="&amp;O34,Producao!$A:$A,"&lt;"&amp;A34)))))</f>
        <v/>
      </c>
      <c r="E34">
        <f>IF(N34="","",INDEX(Equipamentos!$C$2:$C$61,N34))</f>
        <v/>
      </c>
      <c r="F34" s="57">
        <f>IF(OR(D34="",N(Q34)&lt;=0),"",D34/Q34)</f>
        <v/>
      </c>
      <c r="G34" s="55" t="n"/>
      <c r="H34" s="58" t="n"/>
      <c r="I34" s="58" t="n"/>
      <c r="J34" s="55" t="n"/>
      <c r="K34" s="55" t="n"/>
      <c r="L34">
        <f>IF(OR(A34="",B34=""),"",_xlfn.MAXIFS(TrocasEquip!$A$2:$A$1000,TrocasEquip!$B$2:$B$1000,B34,TrocasEquip!$A$2:$A$1000,"&lt;"&amp;A34))</f>
        <v/>
      </c>
      <c r="M34">
        <f>IF(N(L34)=0,0,MATCH(1,INDEX((TrocasEquip!$B$2:$B$1000=B34)*(TrocasEquip!$A$2:$A$1000=L34),0),0))</f>
        <v/>
      </c>
      <c r="N34">
        <f>IF(B34="","",IFERROR(MATCH(B34,Equipamentos!$P$2:$P$61,0),""))</f>
        <v/>
      </c>
      <c r="O34">
        <f>IF(N34="","",IF(M34=0,INDEX(Equipamentos!$U$2:$U$61,N34),L34))</f>
        <v/>
      </c>
      <c r="P34">
        <f>IF(N34="","",IF(M34=0,N(INDEX(Equipamentos!$V$2:$V$61,N34)),N(INDEX(TrocasEquip!$I$2:$I$1000,M34))))</f>
        <v/>
      </c>
      <c r="Q34">
        <f>IF(N34="","",IF(M34=0,INDEX(Equipamentos!$T$2:$T$61,N34),IF(INDEX(TrocasEquip!$H$2:$H$1000,M34)="",INDEX(Equipamentos!$T$2:$T$61,N34),INDEX(TrocasEquip!$H$2:$H$1000,M34))))</f>
        <v/>
      </c>
    </row>
    <row r="35">
      <c r="A35" s="54" t="n"/>
      <c r="B35" s="55" t="n"/>
      <c r="C35">
        <f>IF(B35="","",IF(N35="","posição não encontrada",IF(M35=0,INDEX(Equipamentos!$S$2:$S$61,N35),INDEX(TrocasEquip!$G$2:$G$1000,M35))))</f>
        <v/>
      </c>
      <c r="D35" s="56">
        <f>IF(OR(A35="",N35=""),"",P35+IF(E35="dias",MAX(0,A35-O35),IF(INDEX(Equipamentos!$D$2:$D$61,N35)=2,SUMIFS(Producao!$D:$D,Producao!$A:$A,"&gt;="&amp;O35,Producao!$A:$A,"&lt;"&amp;A35),IF(INDEX(Equipamentos!$D$2:$D$61,N35)=3,SUMIFS(Producao!$E:$E,Producao!$A:$A,"&gt;="&amp;O35,Producao!$A:$A,"&lt;"&amp;A35),SUMIFS(Producao!$B:$B,Producao!$A:$A,"&gt;="&amp;O35,Producao!$A:$A,"&lt;"&amp;A35)))))</f>
        <v/>
      </c>
      <c r="E35">
        <f>IF(N35="","",INDEX(Equipamentos!$C$2:$C$61,N35))</f>
        <v/>
      </c>
      <c r="F35" s="57">
        <f>IF(OR(D35="",N(Q35)&lt;=0),"",D35/Q35)</f>
        <v/>
      </c>
      <c r="G35" s="55" t="n"/>
      <c r="H35" s="58" t="n"/>
      <c r="I35" s="58" t="n"/>
      <c r="J35" s="55" t="n"/>
      <c r="K35" s="55" t="n"/>
      <c r="L35">
        <f>IF(OR(A35="",B35=""),"",_xlfn.MAXIFS(TrocasEquip!$A$2:$A$1000,TrocasEquip!$B$2:$B$1000,B35,TrocasEquip!$A$2:$A$1000,"&lt;"&amp;A35))</f>
        <v/>
      </c>
      <c r="M35">
        <f>IF(N(L35)=0,0,MATCH(1,INDEX((TrocasEquip!$B$2:$B$1000=B35)*(TrocasEquip!$A$2:$A$1000=L35),0),0))</f>
        <v/>
      </c>
      <c r="N35">
        <f>IF(B35="","",IFERROR(MATCH(B35,Equipamentos!$P$2:$P$61,0),""))</f>
        <v/>
      </c>
      <c r="O35">
        <f>IF(N35="","",IF(M35=0,INDEX(Equipamentos!$U$2:$U$61,N35),L35))</f>
        <v/>
      </c>
      <c r="P35">
        <f>IF(N35="","",IF(M35=0,N(INDEX(Equipamentos!$V$2:$V$61,N35)),N(INDEX(TrocasEquip!$I$2:$I$1000,M35))))</f>
        <v/>
      </c>
      <c r="Q35">
        <f>IF(N35="","",IF(M35=0,INDEX(Equipamentos!$T$2:$T$61,N35),IF(INDEX(TrocasEquip!$H$2:$H$1000,M35)="",INDEX(Equipamentos!$T$2:$T$61,N35),INDEX(TrocasEquip!$H$2:$H$1000,M35))))</f>
        <v/>
      </c>
    </row>
    <row r="36">
      <c r="A36" s="54" t="n"/>
      <c r="B36" s="55" t="n"/>
      <c r="C36">
        <f>IF(B36="","",IF(N36="","posição não encontrada",IF(M36=0,INDEX(Equipamentos!$S$2:$S$61,N36),INDEX(TrocasEquip!$G$2:$G$1000,M36))))</f>
        <v/>
      </c>
      <c r="D36" s="56">
        <f>IF(OR(A36="",N36=""),"",P36+IF(E36="dias",MAX(0,A36-O36),IF(INDEX(Equipamentos!$D$2:$D$61,N36)=2,SUMIFS(Producao!$D:$D,Producao!$A:$A,"&gt;="&amp;O36,Producao!$A:$A,"&lt;"&amp;A36),IF(INDEX(Equipamentos!$D$2:$D$61,N36)=3,SUMIFS(Producao!$E:$E,Producao!$A:$A,"&gt;="&amp;O36,Producao!$A:$A,"&lt;"&amp;A36),SUMIFS(Producao!$B:$B,Producao!$A:$A,"&gt;="&amp;O36,Producao!$A:$A,"&lt;"&amp;A36)))))</f>
        <v/>
      </c>
      <c r="E36">
        <f>IF(N36="","",INDEX(Equipamentos!$C$2:$C$61,N36))</f>
        <v/>
      </c>
      <c r="F36" s="57">
        <f>IF(OR(D36="",N(Q36)&lt;=0),"",D36/Q36)</f>
        <v/>
      </c>
      <c r="G36" s="55" t="n"/>
      <c r="H36" s="58" t="n"/>
      <c r="I36" s="58" t="n"/>
      <c r="J36" s="55" t="n"/>
      <c r="K36" s="55" t="n"/>
      <c r="L36">
        <f>IF(OR(A36="",B36=""),"",_xlfn.MAXIFS(TrocasEquip!$A$2:$A$1000,TrocasEquip!$B$2:$B$1000,B36,TrocasEquip!$A$2:$A$1000,"&lt;"&amp;A36))</f>
        <v/>
      </c>
      <c r="M36">
        <f>IF(N(L36)=0,0,MATCH(1,INDEX((TrocasEquip!$B$2:$B$1000=B36)*(TrocasEquip!$A$2:$A$1000=L36),0),0))</f>
        <v/>
      </c>
      <c r="N36">
        <f>IF(B36="","",IFERROR(MATCH(B36,Equipamentos!$P$2:$P$61,0),""))</f>
        <v/>
      </c>
      <c r="O36">
        <f>IF(N36="","",IF(M36=0,INDEX(Equipamentos!$U$2:$U$61,N36),L36))</f>
        <v/>
      </c>
      <c r="P36">
        <f>IF(N36="","",IF(M36=0,N(INDEX(Equipamentos!$V$2:$V$61,N36)),N(INDEX(TrocasEquip!$I$2:$I$1000,M36))))</f>
        <v/>
      </c>
      <c r="Q36">
        <f>IF(N36="","",IF(M36=0,INDEX(Equipamentos!$T$2:$T$61,N36),IF(INDEX(TrocasEquip!$H$2:$H$1000,M36)="",INDEX(Equipamentos!$T$2:$T$61,N36),INDEX(TrocasEquip!$H$2:$H$1000,M36))))</f>
        <v/>
      </c>
    </row>
    <row r="37">
      <c r="A37" s="54" t="n"/>
      <c r="B37" s="55" t="n"/>
      <c r="C37">
        <f>IF(B37="","",IF(N37="","posição não encontrada",IF(M37=0,INDEX(Equipamentos!$S$2:$S$61,N37),INDEX(TrocasEquip!$G$2:$G$1000,M37))))</f>
        <v/>
      </c>
      <c r="D37" s="56">
        <f>IF(OR(A37="",N37=""),"",P37+IF(E37="dias",MAX(0,A37-O37),IF(INDEX(Equipamentos!$D$2:$D$61,N37)=2,SUMIFS(Producao!$D:$D,Producao!$A:$A,"&gt;="&amp;O37,Producao!$A:$A,"&lt;"&amp;A37),IF(INDEX(Equipamentos!$D$2:$D$61,N37)=3,SUMIFS(Producao!$E:$E,Producao!$A:$A,"&gt;="&amp;O37,Producao!$A:$A,"&lt;"&amp;A37),SUMIFS(Producao!$B:$B,Producao!$A:$A,"&gt;="&amp;O37,Producao!$A:$A,"&lt;"&amp;A37)))))</f>
        <v/>
      </c>
      <c r="E37">
        <f>IF(N37="","",INDEX(Equipamentos!$C$2:$C$61,N37))</f>
        <v/>
      </c>
      <c r="F37" s="57">
        <f>IF(OR(D37="",N(Q37)&lt;=0),"",D37/Q37)</f>
        <v/>
      </c>
      <c r="G37" s="55" t="n"/>
      <c r="H37" s="58" t="n"/>
      <c r="I37" s="58" t="n"/>
      <c r="J37" s="55" t="n"/>
      <c r="K37" s="55" t="n"/>
      <c r="L37">
        <f>IF(OR(A37="",B37=""),"",_xlfn.MAXIFS(TrocasEquip!$A$2:$A$1000,TrocasEquip!$B$2:$B$1000,B37,TrocasEquip!$A$2:$A$1000,"&lt;"&amp;A37))</f>
        <v/>
      </c>
      <c r="M37">
        <f>IF(N(L37)=0,0,MATCH(1,INDEX((TrocasEquip!$B$2:$B$1000=B37)*(TrocasEquip!$A$2:$A$1000=L37),0),0))</f>
        <v/>
      </c>
      <c r="N37">
        <f>IF(B37="","",IFERROR(MATCH(B37,Equipamentos!$P$2:$P$61,0),""))</f>
        <v/>
      </c>
      <c r="O37">
        <f>IF(N37="","",IF(M37=0,INDEX(Equipamentos!$U$2:$U$61,N37),L37))</f>
        <v/>
      </c>
      <c r="P37">
        <f>IF(N37="","",IF(M37=0,N(INDEX(Equipamentos!$V$2:$V$61,N37)),N(INDEX(TrocasEquip!$I$2:$I$1000,M37))))</f>
        <v/>
      </c>
      <c r="Q37">
        <f>IF(N37="","",IF(M37=0,INDEX(Equipamentos!$T$2:$T$61,N37),IF(INDEX(TrocasEquip!$H$2:$H$1000,M37)="",INDEX(Equipamentos!$T$2:$T$61,N37),INDEX(TrocasEquip!$H$2:$H$1000,M37))))</f>
        <v/>
      </c>
    </row>
    <row r="38">
      <c r="A38" s="54" t="n"/>
      <c r="B38" s="55" t="n"/>
      <c r="C38">
        <f>IF(B38="","",IF(N38="","posição não encontrada",IF(M38=0,INDEX(Equipamentos!$S$2:$S$61,N38),INDEX(TrocasEquip!$G$2:$G$1000,M38))))</f>
        <v/>
      </c>
      <c r="D38" s="56">
        <f>IF(OR(A38="",N38=""),"",P38+IF(E38="dias",MAX(0,A38-O38),IF(INDEX(Equipamentos!$D$2:$D$61,N38)=2,SUMIFS(Producao!$D:$D,Producao!$A:$A,"&gt;="&amp;O38,Producao!$A:$A,"&lt;"&amp;A38),IF(INDEX(Equipamentos!$D$2:$D$61,N38)=3,SUMIFS(Producao!$E:$E,Producao!$A:$A,"&gt;="&amp;O38,Producao!$A:$A,"&lt;"&amp;A38),SUMIFS(Producao!$B:$B,Producao!$A:$A,"&gt;="&amp;O38,Producao!$A:$A,"&lt;"&amp;A38)))))</f>
        <v/>
      </c>
      <c r="E38">
        <f>IF(N38="","",INDEX(Equipamentos!$C$2:$C$61,N38))</f>
        <v/>
      </c>
      <c r="F38" s="57">
        <f>IF(OR(D38="",N(Q38)&lt;=0),"",D38/Q38)</f>
        <v/>
      </c>
      <c r="G38" s="55" t="n"/>
      <c r="H38" s="58" t="n"/>
      <c r="I38" s="58" t="n"/>
      <c r="J38" s="55" t="n"/>
      <c r="K38" s="55" t="n"/>
      <c r="L38">
        <f>IF(OR(A38="",B38=""),"",_xlfn.MAXIFS(TrocasEquip!$A$2:$A$1000,TrocasEquip!$B$2:$B$1000,B38,TrocasEquip!$A$2:$A$1000,"&lt;"&amp;A38))</f>
        <v/>
      </c>
      <c r="M38">
        <f>IF(N(L38)=0,0,MATCH(1,INDEX((TrocasEquip!$B$2:$B$1000=B38)*(TrocasEquip!$A$2:$A$1000=L38),0),0))</f>
        <v/>
      </c>
      <c r="N38">
        <f>IF(B38="","",IFERROR(MATCH(B38,Equipamentos!$P$2:$P$61,0),""))</f>
        <v/>
      </c>
      <c r="O38">
        <f>IF(N38="","",IF(M38=0,INDEX(Equipamentos!$U$2:$U$61,N38),L38))</f>
        <v/>
      </c>
      <c r="P38">
        <f>IF(N38="","",IF(M38=0,N(INDEX(Equipamentos!$V$2:$V$61,N38)),N(INDEX(TrocasEquip!$I$2:$I$1000,M38))))</f>
        <v/>
      </c>
      <c r="Q38">
        <f>IF(N38="","",IF(M38=0,INDEX(Equipamentos!$T$2:$T$61,N38),IF(INDEX(TrocasEquip!$H$2:$H$1000,M38)="",INDEX(Equipamentos!$T$2:$T$61,N38),INDEX(TrocasEquip!$H$2:$H$1000,M38))))</f>
        <v/>
      </c>
    </row>
    <row r="39">
      <c r="A39" s="54" t="n"/>
      <c r="B39" s="55" t="n"/>
      <c r="C39">
        <f>IF(B39="","",IF(N39="","posição não encontrada",IF(M39=0,INDEX(Equipamentos!$S$2:$S$61,N39),INDEX(TrocasEquip!$G$2:$G$1000,M39))))</f>
        <v/>
      </c>
      <c r="D39" s="56">
        <f>IF(OR(A39="",N39=""),"",P39+IF(E39="dias",MAX(0,A39-O39),IF(INDEX(Equipamentos!$D$2:$D$61,N39)=2,SUMIFS(Producao!$D:$D,Producao!$A:$A,"&gt;="&amp;O39,Producao!$A:$A,"&lt;"&amp;A39),IF(INDEX(Equipamentos!$D$2:$D$61,N39)=3,SUMIFS(Producao!$E:$E,Producao!$A:$A,"&gt;="&amp;O39,Producao!$A:$A,"&lt;"&amp;A39),SUMIFS(Producao!$B:$B,Producao!$A:$A,"&gt;="&amp;O39,Producao!$A:$A,"&lt;"&amp;A39)))))</f>
        <v/>
      </c>
      <c r="E39">
        <f>IF(N39="","",INDEX(Equipamentos!$C$2:$C$61,N39))</f>
        <v/>
      </c>
      <c r="F39" s="57">
        <f>IF(OR(D39="",N(Q39)&lt;=0),"",D39/Q39)</f>
        <v/>
      </c>
      <c r="G39" s="55" t="n"/>
      <c r="H39" s="58" t="n"/>
      <c r="I39" s="58" t="n"/>
      <c r="J39" s="55" t="n"/>
      <c r="K39" s="55" t="n"/>
      <c r="L39">
        <f>IF(OR(A39="",B39=""),"",_xlfn.MAXIFS(TrocasEquip!$A$2:$A$1000,TrocasEquip!$B$2:$B$1000,B39,TrocasEquip!$A$2:$A$1000,"&lt;"&amp;A39))</f>
        <v/>
      </c>
      <c r="M39">
        <f>IF(N(L39)=0,0,MATCH(1,INDEX((TrocasEquip!$B$2:$B$1000=B39)*(TrocasEquip!$A$2:$A$1000=L39),0),0))</f>
        <v/>
      </c>
      <c r="N39">
        <f>IF(B39="","",IFERROR(MATCH(B39,Equipamentos!$P$2:$P$61,0),""))</f>
        <v/>
      </c>
      <c r="O39">
        <f>IF(N39="","",IF(M39=0,INDEX(Equipamentos!$U$2:$U$61,N39),L39))</f>
        <v/>
      </c>
      <c r="P39">
        <f>IF(N39="","",IF(M39=0,N(INDEX(Equipamentos!$V$2:$V$61,N39)),N(INDEX(TrocasEquip!$I$2:$I$1000,M39))))</f>
        <v/>
      </c>
      <c r="Q39">
        <f>IF(N39="","",IF(M39=0,INDEX(Equipamentos!$T$2:$T$61,N39),IF(INDEX(TrocasEquip!$H$2:$H$1000,M39)="",INDEX(Equipamentos!$T$2:$T$61,N39),INDEX(TrocasEquip!$H$2:$H$1000,M39))))</f>
        <v/>
      </c>
    </row>
    <row r="40">
      <c r="A40" s="54" t="n"/>
      <c r="B40" s="55" t="n"/>
      <c r="C40">
        <f>IF(B40="","",IF(N40="","posição não encontrada",IF(M40=0,INDEX(Equipamentos!$S$2:$S$61,N40),INDEX(TrocasEquip!$G$2:$G$1000,M40))))</f>
        <v/>
      </c>
      <c r="D40" s="56">
        <f>IF(OR(A40="",N40=""),"",P40+IF(E40="dias",MAX(0,A40-O40),IF(INDEX(Equipamentos!$D$2:$D$61,N40)=2,SUMIFS(Producao!$D:$D,Producao!$A:$A,"&gt;="&amp;O40,Producao!$A:$A,"&lt;"&amp;A40),IF(INDEX(Equipamentos!$D$2:$D$61,N40)=3,SUMIFS(Producao!$E:$E,Producao!$A:$A,"&gt;="&amp;O40,Producao!$A:$A,"&lt;"&amp;A40),SUMIFS(Producao!$B:$B,Producao!$A:$A,"&gt;="&amp;O40,Producao!$A:$A,"&lt;"&amp;A40)))))</f>
        <v/>
      </c>
      <c r="E40">
        <f>IF(N40="","",INDEX(Equipamentos!$C$2:$C$61,N40))</f>
        <v/>
      </c>
      <c r="F40" s="57">
        <f>IF(OR(D40="",N(Q40)&lt;=0),"",D40/Q40)</f>
        <v/>
      </c>
      <c r="G40" s="55" t="n"/>
      <c r="H40" s="58" t="n"/>
      <c r="I40" s="58" t="n"/>
      <c r="J40" s="55" t="n"/>
      <c r="K40" s="55" t="n"/>
      <c r="L40">
        <f>IF(OR(A40="",B40=""),"",_xlfn.MAXIFS(TrocasEquip!$A$2:$A$1000,TrocasEquip!$B$2:$B$1000,B40,TrocasEquip!$A$2:$A$1000,"&lt;"&amp;A40))</f>
        <v/>
      </c>
      <c r="M40">
        <f>IF(N(L40)=0,0,MATCH(1,INDEX((TrocasEquip!$B$2:$B$1000=B40)*(TrocasEquip!$A$2:$A$1000=L40),0),0))</f>
        <v/>
      </c>
      <c r="N40">
        <f>IF(B40="","",IFERROR(MATCH(B40,Equipamentos!$P$2:$P$61,0),""))</f>
        <v/>
      </c>
      <c r="O40">
        <f>IF(N40="","",IF(M40=0,INDEX(Equipamentos!$U$2:$U$61,N40),L40))</f>
        <v/>
      </c>
      <c r="P40">
        <f>IF(N40="","",IF(M40=0,N(INDEX(Equipamentos!$V$2:$V$61,N40)),N(INDEX(TrocasEquip!$I$2:$I$1000,M40))))</f>
        <v/>
      </c>
      <c r="Q40">
        <f>IF(N40="","",IF(M40=0,INDEX(Equipamentos!$T$2:$T$61,N40),IF(INDEX(TrocasEquip!$H$2:$H$1000,M40)="",INDEX(Equipamentos!$T$2:$T$61,N40),INDEX(TrocasEquip!$H$2:$H$1000,M40))))</f>
        <v/>
      </c>
    </row>
    <row r="41">
      <c r="A41" s="54" t="n"/>
      <c r="B41" s="55" t="n"/>
      <c r="C41">
        <f>IF(B41="","",IF(N41="","posição não encontrada",IF(M41=0,INDEX(Equipamentos!$S$2:$S$61,N41),INDEX(TrocasEquip!$G$2:$G$1000,M41))))</f>
        <v/>
      </c>
      <c r="D41" s="56">
        <f>IF(OR(A41="",N41=""),"",P41+IF(E41="dias",MAX(0,A41-O41),IF(INDEX(Equipamentos!$D$2:$D$61,N41)=2,SUMIFS(Producao!$D:$D,Producao!$A:$A,"&gt;="&amp;O41,Producao!$A:$A,"&lt;"&amp;A41),IF(INDEX(Equipamentos!$D$2:$D$61,N41)=3,SUMIFS(Producao!$E:$E,Producao!$A:$A,"&gt;="&amp;O41,Producao!$A:$A,"&lt;"&amp;A41),SUMIFS(Producao!$B:$B,Producao!$A:$A,"&gt;="&amp;O41,Producao!$A:$A,"&lt;"&amp;A41)))))</f>
        <v/>
      </c>
      <c r="E41">
        <f>IF(N41="","",INDEX(Equipamentos!$C$2:$C$61,N41))</f>
        <v/>
      </c>
      <c r="F41" s="57">
        <f>IF(OR(D41="",N(Q41)&lt;=0),"",D41/Q41)</f>
        <v/>
      </c>
      <c r="G41" s="55" t="n"/>
      <c r="H41" s="58" t="n"/>
      <c r="I41" s="58" t="n"/>
      <c r="J41" s="55" t="n"/>
      <c r="K41" s="55" t="n"/>
      <c r="L41">
        <f>IF(OR(A41="",B41=""),"",_xlfn.MAXIFS(TrocasEquip!$A$2:$A$1000,TrocasEquip!$B$2:$B$1000,B41,TrocasEquip!$A$2:$A$1000,"&lt;"&amp;A41))</f>
        <v/>
      </c>
      <c r="M41">
        <f>IF(N(L41)=0,0,MATCH(1,INDEX((TrocasEquip!$B$2:$B$1000=B41)*(TrocasEquip!$A$2:$A$1000=L41),0),0))</f>
        <v/>
      </c>
      <c r="N41">
        <f>IF(B41="","",IFERROR(MATCH(B41,Equipamentos!$P$2:$P$61,0),""))</f>
        <v/>
      </c>
      <c r="O41">
        <f>IF(N41="","",IF(M41=0,INDEX(Equipamentos!$U$2:$U$61,N41),L41))</f>
        <v/>
      </c>
      <c r="P41">
        <f>IF(N41="","",IF(M41=0,N(INDEX(Equipamentos!$V$2:$V$61,N41)),N(INDEX(TrocasEquip!$I$2:$I$1000,M41))))</f>
        <v/>
      </c>
      <c r="Q41">
        <f>IF(N41="","",IF(M41=0,INDEX(Equipamentos!$T$2:$T$61,N41),IF(INDEX(TrocasEquip!$H$2:$H$1000,M41)="",INDEX(Equipamentos!$T$2:$T$61,N41),INDEX(TrocasEquip!$H$2:$H$1000,M41))))</f>
        <v/>
      </c>
    </row>
    <row r="42">
      <c r="A42" s="54" t="n"/>
      <c r="B42" s="55" t="n"/>
      <c r="C42">
        <f>IF(B42="","",IF(N42="","posição não encontrada",IF(M42=0,INDEX(Equipamentos!$S$2:$S$61,N42),INDEX(TrocasEquip!$G$2:$G$1000,M42))))</f>
        <v/>
      </c>
      <c r="D42" s="56">
        <f>IF(OR(A42="",N42=""),"",P42+IF(E42="dias",MAX(0,A42-O42),IF(INDEX(Equipamentos!$D$2:$D$61,N42)=2,SUMIFS(Producao!$D:$D,Producao!$A:$A,"&gt;="&amp;O42,Producao!$A:$A,"&lt;"&amp;A42),IF(INDEX(Equipamentos!$D$2:$D$61,N42)=3,SUMIFS(Producao!$E:$E,Producao!$A:$A,"&gt;="&amp;O42,Producao!$A:$A,"&lt;"&amp;A42),SUMIFS(Producao!$B:$B,Producao!$A:$A,"&gt;="&amp;O42,Producao!$A:$A,"&lt;"&amp;A42)))))</f>
        <v/>
      </c>
      <c r="E42">
        <f>IF(N42="","",INDEX(Equipamentos!$C$2:$C$61,N42))</f>
        <v/>
      </c>
      <c r="F42" s="57">
        <f>IF(OR(D42="",N(Q42)&lt;=0),"",D42/Q42)</f>
        <v/>
      </c>
      <c r="G42" s="55" t="n"/>
      <c r="H42" s="58" t="n"/>
      <c r="I42" s="58" t="n"/>
      <c r="J42" s="55" t="n"/>
      <c r="K42" s="55" t="n"/>
      <c r="L42">
        <f>IF(OR(A42="",B42=""),"",_xlfn.MAXIFS(TrocasEquip!$A$2:$A$1000,TrocasEquip!$B$2:$B$1000,B42,TrocasEquip!$A$2:$A$1000,"&lt;"&amp;A42))</f>
        <v/>
      </c>
      <c r="M42">
        <f>IF(N(L42)=0,0,MATCH(1,INDEX((TrocasEquip!$B$2:$B$1000=B42)*(TrocasEquip!$A$2:$A$1000=L42),0),0))</f>
        <v/>
      </c>
      <c r="N42">
        <f>IF(B42="","",IFERROR(MATCH(B42,Equipamentos!$P$2:$P$61,0),""))</f>
        <v/>
      </c>
      <c r="O42">
        <f>IF(N42="","",IF(M42=0,INDEX(Equipamentos!$U$2:$U$61,N42),L42))</f>
        <v/>
      </c>
      <c r="P42">
        <f>IF(N42="","",IF(M42=0,N(INDEX(Equipamentos!$V$2:$V$61,N42)),N(INDEX(TrocasEquip!$I$2:$I$1000,M42))))</f>
        <v/>
      </c>
      <c r="Q42">
        <f>IF(N42="","",IF(M42=0,INDEX(Equipamentos!$T$2:$T$61,N42),IF(INDEX(TrocasEquip!$H$2:$H$1000,M42)="",INDEX(Equipamentos!$T$2:$T$61,N42),INDEX(TrocasEquip!$H$2:$H$1000,M42))))</f>
        <v/>
      </c>
    </row>
    <row r="43">
      <c r="A43" s="54" t="n"/>
      <c r="B43" s="55" t="n"/>
      <c r="C43">
        <f>IF(B43="","",IF(N43="","posição não encontrada",IF(M43=0,INDEX(Equipamentos!$S$2:$S$61,N43),INDEX(TrocasEquip!$G$2:$G$1000,M43))))</f>
        <v/>
      </c>
      <c r="D43" s="56">
        <f>IF(OR(A43="",N43=""),"",P43+IF(E43="dias",MAX(0,A43-O43),IF(INDEX(Equipamentos!$D$2:$D$61,N43)=2,SUMIFS(Producao!$D:$D,Producao!$A:$A,"&gt;="&amp;O43,Producao!$A:$A,"&lt;"&amp;A43),IF(INDEX(Equipamentos!$D$2:$D$61,N43)=3,SUMIFS(Producao!$E:$E,Producao!$A:$A,"&gt;="&amp;O43,Producao!$A:$A,"&lt;"&amp;A43),SUMIFS(Producao!$B:$B,Producao!$A:$A,"&gt;="&amp;O43,Producao!$A:$A,"&lt;"&amp;A43)))))</f>
        <v/>
      </c>
      <c r="E43">
        <f>IF(N43="","",INDEX(Equipamentos!$C$2:$C$61,N43))</f>
        <v/>
      </c>
      <c r="F43" s="57">
        <f>IF(OR(D43="",N(Q43)&lt;=0),"",D43/Q43)</f>
        <v/>
      </c>
      <c r="G43" s="55" t="n"/>
      <c r="H43" s="58" t="n"/>
      <c r="I43" s="58" t="n"/>
      <c r="J43" s="55" t="n"/>
      <c r="K43" s="55" t="n"/>
      <c r="L43">
        <f>IF(OR(A43="",B43=""),"",_xlfn.MAXIFS(TrocasEquip!$A$2:$A$1000,TrocasEquip!$B$2:$B$1000,B43,TrocasEquip!$A$2:$A$1000,"&lt;"&amp;A43))</f>
        <v/>
      </c>
      <c r="M43">
        <f>IF(N(L43)=0,0,MATCH(1,INDEX((TrocasEquip!$B$2:$B$1000=B43)*(TrocasEquip!$A$2:$A$1000=L43),0),0))</f>
        <v/>
      </c>
      <c r="N43">
        <f>IF(B43="","",IFERROR(MATCH(B43,Equipamentos!$P$2:$P$61,0),""))</f>
        <v/>
      </c>
      <c r="O43">
        <f>IF(N43="","",IF(M43=0,INDEX(Equipamentos!$U$2:$U$61,N43),L43))</f>
        <v/>
      </c>
      <c r="P43">
        <f>IF(N43="","",IF(M43=0,N(INDEX(Equipamentos!$V$2:$V$61,N43)),N(INDEX(TrocasEquip!$I$2:$I$1000,M43))))</f>
        <v/>
      </c>
      <c r="Q43">
        <f>IF(N43="","",IF(M43=0,INDEX(Equipamentos!$T$2:$T$61,N43),IF(INDEX(TrocasEquip!$H$2:$H$1000,M43)="",INDEX(Equipamentos!$T$2:$T$61,N43),INDEX(TrocasEquip!$H$2:$H$1000,M43))))</f>
        <v/>
      </c>
    </row>
    <row r="44">
      <c r="A44" s="54" t="n"/>
      <c r="B44" s="55" t="n"/>
      <c r="C44">
        <f>IF(B44="","",IF(N44="","posição não encontrada",IF(M44=0,INDEX(Equipamentos!$S$2:$S$61,N44),INDEX(TrocasEquip!$G$2:$G$1000,M44))))</f>
        <v/>
      </c>
      <c r="D44" s="56">
        <f>IF(OR(A44="",N44=""),"",P44+IF(E44="dias",MAX(0,A44-O44),IF(INDEX(Equipamentos!$D$2:$D$61,N44)=2,SUMIFS(Producao!$D:$D,Producao!$A:$A,"&gt;="&amp;O44,Producao!$A:$A,"&lt;"&amp;A44),IF(INDEX(Equipamentos!$D$2:$D$61,N44)=3,SUMIFS(Producao!$E:$E,Producao!$A:$A,"&gt;="&amp;O44,Producao!$A:$A,"&lt;"&amp;A44),SUMIFS(Producao!$B:$B,Producao!$A:$A,"&gt;="&amp;O44,Producao!$A:$A,"&lt;"&amp;A44)))))</f>
        <v/>
      </c>
      <c r="E44">
        <f>IF(N44="","",INDEX(Equipamentos!$C$2:$C$61,N44))</f>
        <v/>
      </c>
      <c r="F44" s="57">
        <f>IF(OR(D44="",N(Q44)&lt;=0),"",D44/Q44)</f>
        <v/>
      </c>
      <c r="G44" s="55" t="n"/>
      <c r="H44" s="58" t="n"/>
      <c r="I44" s="58" t="n"/>
      <c r="J44" s="55" t="n"/>
      <c r="K44" s="55" t="n"/>
      <c r="L44">
        <f>IF(OR(A44="",B44=""),"",_xlfn.MAXIFS(TrocasEquip!$A$2:$A$1000,TrocasEquip!$B$2:$B$1000,B44,TrocasEquip!$A$2:$A$1000,"&lt;"&amp;A44))</f>
        <v/>
      </c>
      <c r="M44">
        <f>IF(N(L44)=0,0,MATCH(1,INDEX((TrocasEquip!$B$2:$B$1000=B44)*(TrocasEquip!$A$2:$A$1000=L44),0),0))</f>
        <v/>
      </c>
      <c r="N44">
        <f>IF(B44="","",IFERROR(MATCH(B44,Equipamentos!$P$2:$P$61,0),""))</f>
        <v/>
      </c>
      <c r="O44">
        <f>IF(N44="","",IF(M44=0,INDEX(Equipamentos!$U$2:$U$61,N44),L44))</f>
        <v/>
      </c>
      <c r="P44">
        <f>IF(N44="","",IF(M44=0,N(INDEX(Equipamentos!$V$2:$V$61,N44)),N(INDEX(TrocasEquip!$I$2:$I$1000,M44))))</f>
        <v/>
      </c>
      <c r="Q44">
        <f>IF(N44="","",IF(M44=0,INDEX(Equipamentos!$T$2:$T$61,N44),IF(INDEX(TrocasEquip!$H$2:$H$1000,M44)="",INDEX(Equipamentos!$T$2:$T$61,N44),INDEX(TrocasEquip!$H$2:$H$1000,M44))))</f>
        <v/>
      </c>
    </row>
    <row r="45">
      <c r="A45" s="54" t="n"/>
      <c r="B45" s="55" t="n"/>
      <c r="C45">
        <f>IF(B45="","",IF(N45="","posição não encontrada",IF(M45=0,INDEX(Equipamentos!$S$2:$S$61,N45),INDEX(TrocasEquip!$G$2:$G$1000,M45))))</f>
        <v/>
      </c>
      <c r="D45" s="56">
        <f>IF(OR(A45="",N45=""),"",P45+IF(E45="dias",MAX(0,A45-O45),IF(INDEX(Equipamentos!$D$2:$D$61,N45)=2,SUMIFS(Producao!$D:$D,Producao!$A:$A,"&gt;="&amp;O45,Producao!$A:$A,"&lt;"&amp;A45),IF(INDEX(Equipamentos!$D$2:$D$61,N45)=3,SUMIFS(Producao!$E:$E,Producao!$A:$A,"&gt;="&amp;O45,Producao!$A:$A,"&lt;"&amp;A45),SUMIFS(Producao!$B:$B,Producao!$A:$A,"&gt;="&amp;O45,Producao!$A:$A,"&lt;"&amp;A45)))))</f>
        <v/>
      </c>
      <c r="E45">
        <f>IF(N45="","",INDEX(Equipamentos!$C$2:$C$61,N45))</f>
        <v/>
      </c>
      <c r="F45" s="57">
        <f>IF(OR(D45="",N(Q45)&lt;=0),"",D45/Q45)</f>
        <v/>
      </c>
      <c r="G45" s="55" t="n"/>
      <c r="H45" s="58" t="n"/>
      <c r="I45" s="58" t="n"/>
      <c r="J45" s="55" t="n"/>
      <c r="K45" s="55" t="n"/>
      <c r="L45">
        <f>IF(OR(A45="",B45=""),"",_xlfn.MAXIFS(TrocasEquip!$A$2:$A$1000,TrocasEquip!$B$2:$B$1000,B45,TrocasEquip!$A$2:$A$1000,"&lt;"&amp;A45))</f>
        <v/>
      </c>
      <c r="M45">
        <f>IF(N(L45)=0,0,MATCH(1,INDEX((TrocasEquip!$B$2:$B$1000=B45)*(TrocasEquip!$A$2:$A$1000=L45),0),0))</f>
        <v/>
      </c>
      <c r="N45">
        <f>IF(B45="","",IFERROR(MATCH(B45,Equipamentos!$P$2:$P$61,0),""))</f>
        <v/>
      </c>
      <c r="O45">
        <f>IF(N45="","",IF(M45=0,INDEX(Equipamentos!$U$2:$U$61,N45),L45))</f>
        <v/>
      </c>
      <c r="P45">
        <f>IF(N45="","",IF(M45=0,N(INDEX(Equipamentos!$V$2:$V$61,N45)),N(INDEX(TrocasEquip!$I$2:$I$1000,M45))))</f>
        <v/>
      </c>
      <c r="Q45">
        <f>IF(N45="","",IF(M45=0,INDEX(Equipamentos!$T$2:$T$61,N45),IF(INDEX(TrocasEquip!$H$2:$H$1000,M45)="",INDEX(Equipamentos!$T$2:$T$61,N45),INDEX(TrocasEquip!$H$2:$H$1000,M45))))</f>
        <v/>
      </c>
    </row>
    <row r="46">
      <c r="A46" s="54" t="n"/>
      <c r="B46" s="55" t="n"/>
      <c r="C46">
        <f>IF(B46="","",IF(N46="","posição não encontrada",IF(M46=0,INDEX(Equipamentos!$S$2:$S$61,N46),INDEX(TrocasEquip!$G$2:$G$1000,M46))))</f>
        <v/>
      </c>
      <c r="D46" s="56">
        <f>IF(OR(A46="",N46=""),"",P46+IF(E46="dias",MAX(0,A46-O46),IF(INDEX(Equipamentos!$D$2:$D$61,N46)=2,SUMIFS(Producao!$D:$D,Producao!$A:$A,"&gt;="&amp;O46,Producao!$A:$A,"&lt;"&amp;A46),IF(INDEX(Equipamentos!$D$2:$D$61,N46)=3,SUMIFS(Producao!$E:$E,Producao!$A:$A,"&gt;="&amp;O46,Producao!$A:$A,"&lt;"&amp;A46),SUMIFS(Producao!$B:$B,Producao!$A:$A,"&gt;="&amp;O46,Producao!$A:$A,"&lt;"&amp;A46)))))</f>
        <v/>
      </c>
      <c r="E46">
        <f>IF(N46="","",INDEX(Equipamentos!$C$2:$C$61,N46))</f>
        <v/>
      </c>
      <c r="F46" s="57">
        <f>IF(OR(D46="",N(Q46)&lt;=0),"",D46/Q46)</f>
        <v/>
      </c>
      <c r="G46" s="55" t="n"/>
      <c r="H46" s="58" t="n"/>
      <c r="I46" s="58" t="n"/>
      <c r="J46" s="55" t="n"/>
      <c r="K46" s="55" t="n"/>
      <c r="L46">
        <f>IF(OR(A46="",B46=""),"",_xlfn.MAXIFS(TrocasEquip!$A$2:$A$1000,TrocasEquip!$B$2:$B$1000,B46,TrocasEquip!$A$2:$A$1000,"&lt;"&amp;A46))</f>
        <v/>
      </c>
      <c r="M46">
        <f>IF(N(L46)=0,0,MATCH(1,INDEX((TrocasEquip!$B$2:$B$1000=B46)*(TrocasEquip!$A$2:$A$1000=L46),0),0))</f>
        <v/>
      </c>
      <c r="N46">
        <f>IF(B46="","",IFERROR(MATCH(B46,Equipamentos!$P$2:$P$61,0),""))</f>
        <v/>
      </c>
      <c r="O46">
        <f>IF(N46="","",IF(M46=0,INDEX(Equipamentos!$U$2:$U$61,N46),L46))</f>
        <v/>
      </c>
      <c r="P46">
        <f>IF(N46="","",IF(M46=0,N(INDEX(Equipamentos!$V$2:$V$61,N46)),N(INDEX(TrocasEquip!$I$2:$I$1000,M46))))</f>
        <v/>
      </c>
      <c r="Q46">
        <f>IF(N46="","",IF(M46=0,INDEX(Equipamentos!$T$2:$T$61,N46),IF(INDEX(TrocasEquip!$H$2:$H$1000,M46)="",INDEX(Equipamentos!$T$2:$T$61,N46),INDEX(TrocasEquip!$H$2:$H$1000,M46))))</f>
        <v/>
      </c>
    </row>
    <row r="47">
      <c r="A47" s="54" t="n"/>
      <c r="B47" s="55" t="n"/>
      <c r="C47">
        <f>IF(B47="","",IF(N47="","posição não encontrada",IF(M47=0,INDEX(Equipamentos!$S$2:$S$61,N47),INDEX(TrocasEquip!$G$2:$G$1000,M47))))</f>
        <v/>
      </c>
      <c r="D47" s="56">
        <f>IF(OR(A47="",N47=""),"",P47+IF(E47="dias",MAX(0,A47-O47),IF(INDEX(Equipamentos!$D$2:$D$61,N47)=2,SUMIFS(Producao!$D:$D,Producao!$A:$A,"&gt;="&amp;O47,Producao!$A:$A,"&lt;"&amp;A47),IF(INDEX(Equipamentos!$D$2:$D$61,N47)=3,SUMIFS(Producao!$E:$E,Producao!$A:$A,"&gt;="&amp;O47,Producao!$A:$A,"&lt;"&amp;A47),SUMIFS(Producao!$B:$B,Producao!$A:$A,"&gt;="&amp;O47,Producao!$A:$A,"&lt;"&amp;A47)))))</f>
        <v/>
      </c>
      <c r="E47">
        <f>IF(N47="","",INDEX(Equipamentos!$C$2:$C$61,N47))</f>
        <v/>
      </c>
      <c r="F47" s="57">
        <f>IF(OR(D47="",N(Q47)&lt;=0),"",D47/Q47)</f>
        <v/>
      </c>
      <c r="G47" s="55" t="n"/>
      <c r="H47" s="58" t="n"/>
      <c r="I47" s="58" t="n"/>
      <c r="J47" s="55" t="n"/>
      <c r="K47" s="55" t="n"/>
      <c r="L47">
        <f>IF(OR(A47="",B47=""),"",_xlfn.MAXIFS(TrocasEquip!$A$2:$A$1000,TrocasEquip!$B$2:$B$1000,B47,TrocasEquip!$A$2:$A$1000,"&lt;"&amp;A47))</f>
        <v/>
      </c>
      <c r="M47">
        <f>IF(N(L47)=0,0,MATCH(1,INDEX((TrocasEquip!$B$2:$B$1000=B47)*(TrocasEquip!$A$2:$A$1000=L47),0),0))</f>
        <v/>
      </c>
      <c r="N47">
        <f>IF(B47="","",IFERROR(MATCH(B47,Equipamentos!$P$2:$P$61,0),""))</f>
        <v/>
      </c>
      <c r="O47">
        <f>IF(N47="","",IF(M47=0,INDEX(Equipamentos!$U$2:$U$61,N47),L47))</f>
        <v/>
      </c>
      <c r="P47">
        <f>IF(N47="","",IF(M47=0,N(INDEX(Equipamentos!$V$2:$V$61,N47)),N(INDEX(TrocasEquip!$I$2:$I$1000,M47))))</f>
        <v/>
      </c>
      <c r="Q47">
        <f>IF(N47="","",IF(M47=0,INDEX(Equipamentos!$T$2:$T$61,N47),IF(INDEX(TrocasEquip!$H$2:$H$1000,M47)="",INDEX(Equipamentos!$T$2:$T$61,N47),INDEX(TrocasEquip!$H$2:$H$1000,M47))))</f>
        <v/>
      </c>
    </row>
    <row r="48">
      <c r="A48" s="54" t="n"/>
      <c r="B48" s="55" t="n"/>
      <c r="C48">
        <f>IF(B48="","",IF(N48="","posição não encontrada",IF(M48=0,INDEX(Equipamentos!$S$2:$S$61,N48),INDEX(TrocasEquip!$G$2:$G$1000,M48))))</f>
        <v/>
      </c>
      <c r="D48" s="56">
        <f>IF(OR(A48="",N48=""),"",P48+IF(E48="dias",MAX(0,A48-O48),IF(INDEX(Equipamentos!$D$2:$D$61,N48)=2,SUMIFS(Producao!$D:$D,Producao!$A:$A,"&gt;="&amp;O48,Producao!$A:$A,"&lt;"&amp;A48),IF(INDEX(Equipamentos!$D$2:$D$61,N48)=3,SUMIFS(Producao!$E:$E,Producao!$A:$A,"&gt;="&amp;O48,Producao!$A:$A,"&lt;"&amp;A48),SUMIFS(Producao!$B:$B,Producao!$A:$A,"&gt;="&amp;O48,Producao!$A:$A,"&lt;"&amp;A48)))))</f>
        <v/>
      </c>
      <c r="E48">
        <f>IF(N48="","",INDEX(Equipamentos!$C$2:$C$61,N48))</f>
        <v/>
      </c>
      <c r="F48" s="57">
        <f>IF(OR(D48="",N(Q48)&lt;=0),"",D48/Q48)</f>
        <v/>
      </c>
      <c r="G48" s="55" t="n"/>
      <c r="H48" s="58" t="n"/>
      <c r="I48" s="58" t="n"/>
      <c r="J48" s="55" t="n"/>
      <c r="K48" s="55" t="n"/>
      <c r="L48">
        <f>IF(OR(A48="",B48=""),"",_xlfn.MAXIFS(TrocasEquip!$A$2:$A$1000,TrocasEquip!$B$2:$B$1000,B48,TrocasEquip!$A$2:$A$1000,"&lt;"&amp;A48))</f>
        <v/>
      </c>
      <c r="M48">
        <f>IF(N(L48)=0,0,MATCH(1,INDEX((TrocasEquip!$B$2:$B$1000=B48)*(TrocasEquip!$A$2:$A$1000=L48),0),0))</f>
        <v/>
      </c>
      <c r="N48">
        <f>IF(B48="","",IFERROR(MATCH(B48,Equipamentos!$P$2:$P$61,0),""))</f>
        <v/>
      </c>
      <c r="O48">
        <f>IF(N48="","",IF(M48=0,INDEX(Equipamentos!$U$2:$U$61,N48),L48))</f>
        <v/>
      </c>
      <c r="P48">
        <f>IF(N48="","",IF(M48=0,N(INDEX(Equipamentos!$V$2:$V$61,N48)),N(INDEX(TrocasEquip!$I$2:$I$1000,M48))))</f>
        <v/>
      </c>
      <c r="Q48">
        <f>IF(N48="","",IF(M48=0,INDEX(Equipamentos!$T$2:$T$61,N48),IF(INDEX(TrocasEquip!$H$2:$H$1000,M48)="",INDEX(Equipamentos!$T$2:$T$61,N48),INDEX(TrocasEquip!$H$2:$H$1000,M48))))</f>
        <v/>
      </c>
    </row>
    <row r="49">
      <c r="A49" s="54" t="n"/>
      <c r="B49" s="55" t="n"/>
      <c r="C49">
        <f>IF(B49="","",IF(N49="","posição não encontrada",IF(M49=0,INDEX(Equipamentos!$S$2:$S$61,N49),INDEX(TrocasEquip!$G$2:$G$1000,M49))))</f>
        <v/>
      </c>
      <c r="D49" s="56">
        <f>IF(OR(A49="",N49=""),"",P49+IF(E49="dias",MAX(0,A49-O49),IF(INDEX(Equipamentos!$D$2:$D$61,N49)=2,SUMIFS(Producao!$D:$D,Producao!$A:$A,"&gt;="&amp;O49,Producao!$A:$A,"&lt;"&amp;A49),IF(INDEX(Equipamentos!$D$2:$D$61,N49)=3,SUMIFS(Producao!$E:$E,Producao!$A:$A,"&gt;="&amp;O49,Producao!$A:$A,"&lt;"&amp;A49),SUMIFS(Producao!$B:$B,Producao!$A:$A,"&gt;="&amp;O49,Producao!$A:$A,"&lt;"&amp;A49)))))</f>
        <v/>
      </c>
      <c r="E49">
        <f>IF(N49="","",INDEX(Equipamentos!$C$2:$C$61,N49))</f>
        <v/>
      </c>
      <c r="F49" s="57">
        <f>IF(OR(D49="",N(Q49)&lt;=0),"",D49/Q49)</f>
        <v/>
      </c>
      <c r="G49" s="55" t="n"/>
      <c r="H49" s="58" t="n"/>
      <c r="I49" s="58" t="n"/>
      <c r="J49" s="55" t="n"/>
      <c r="K49" s="55" t="n"/>
      <c r="L49">
        <f>IF(OR(A49="",B49=""),"",_xlfn.MAXIFS(TrocasEquip!$A$2:$A$1000,TrocasEquip!$B$2:$B$1000,B49,TrocasEquip!$A$2:$A$1000,"&lt;"&amp;A49))</f>
        <v/>
      </c>
      <c r="M49">
        <f>IF(N(L49)=0,0,MATCH(1,INDEX((TrocasEquip!$B$2:$B$1000=B49)*(TrocasEquip!$A$2:$A$1000=L49),0),0))</f>
        <v/>
      </c>
      <c r="N49">
        <f>IF(B49="","",IFERROR(MATCH(B49,Equipamentos!$P$2:$P$61,0),""))</f>
        <v/>
      </c>
      <c r="O49">
        <f>IF(N49="","",IF(M49=0,INDEX(Equipamentos!$U$2:$U$61,N49),L49))</f>
        <v/>
      </c>
      <c r="P49">
        <f>IF(N49="","",IF(M49=0,N(INDEX(Equipamentos!$V$2:$V$61,N49)),N(INDEX(TrocasEquip!$I$2:$I$1000,M49))))</f>
        <v/>
      </c>
      <c r="Q49">
        <f>IF(N49="","",IF(M49=0,INDEX(Equipamentos!$T$2:$T$61,N49),IF(INDEX(TrocasEquip!$H$2:$H$1000,M49)="",INDEX(Equipamentos!$T$2:$T$61,N49),INDEX(TrocasEquip!$H$2:$H$1000,M49))))</f>
        <v/>
      </c>
    </row>
    <row r="50">
      <c r="A50" s="54" t="n"/>
      <c r="B50" s="55" t="n"/>
      <c r="C50">
        <f>IF(B50="","",IF(N50="","posição não encontrada",IF(M50=0,INDEX(Equipamentos!$S$2:$S$61,N50),INDEX(TrocasEquip!$G$2:$G$1000,M50))))</f>
        <v/>
      </c>
      <c r="D50" s="56">
        <f>IF(OR(A50="",N50=""),"",P50+IF(E50="dias",MAX(0,A50-O50),IF(INDEX(Equipamentos!$D$2:$D$61,N50)=2,SUMIFS(Producao!$D:$D,Producao!$A:$A,"&gt;="&amp;O50,Producao!$A:$A,"&lt;"&amp;A50),IF(INDEX(Equipamentos!$D$2:$D$61,N50)=3,SUMIFS(Producao!$E:$E,Producao!$A:$A,"&gt;="&amp;O50,Producao!$A:$A,"&lt;"&amp;A50),SUMIFS(Producao!$B:$B,Producao!$A:$A,"&gt;="&amp;O50,Producao!$A:$A,"&lt;"&amp;A50)))))</f>
        <v/>
      </c>
      <c r="E50">
        <f>IF(N50="","",INDEX(Equipamentos!$C$2:$C$61,N50))</f>
        <v/>
      </c>
      <c r="F50" s="57">
        <f>IF(OR(D50="",N(Q50)&lt;=0),"",D50/Q50)</f>
        <v/>
      </c>
      <c r="G50" s="55" t="n"/>
      <c r="H50" s="58" t="n"/>
      <c r="I50" s="58" t="n"/>
      <c r="J50" s="55" t="n"/>
      <c r="K50" s="55" t="n"/>
      <c r="L50">
        <f>IF(OR(A50="",B50=""),"",_xlfn.MAXIFS(TrocasEquip!$A$2:$A$1000,TrocasEquip!$B$2:$B$1000,B50,TrocasEquip!$A$2:$A$1000,"&lt;"&amp;A50))</f>
        <v/>
      </c>
      <c r="M50">
        <f>IF(N(L50)=0,0,MATCH(1,INDEX((TrocasEquip!$B$2:$B$1000=B50)*(TrocasEquip!$A$2:$A$1000=L50),0),0))</f>
        <v/>
      </c>
      <c r="N50">
        <f>IF(B50="","",IFERROR(MATCH(B50,Equipamentos!$P$2:$P$61,0),""))</f>
        <v/>
      </c>
      <c r="O50">
        <f>IF(N50="","",IF(M50=0,INDEX(Equipamentos!$U$2:$U$61,N50),L50))</f>
        <v/>
      </c>
      <c r="P50">
        <f>IF(N50="","",IF(M50=0,N(INDEX(Equipamentos!$V$2:$V$61,N50)),N(INDEX(TrocasEquip!$I$2:$I$1000,M50))))</f>
        <v/>
      </c>
      <c r="Q50">
        <f>IF(N50="","",IF(M50=0,INDEX(Equipamentos!$T$2:$T$61,N50),IF(INDEX(TrocasEquip!$H$2:$H$1000,M50)="",INDEX(Equipamentos!$T$2:$T$61,N50),INDEX(TrocasEquip!$H$2:$H$1000,M50))))</f>
        <v/>
      </c>
    </row>
    <row r="51">
      <c r="A51" s="54" t="n"/>
      <c r="B51" s="55" t="n"/>
      <c r="C51">
        <f>IF(B51="","",IF(N51="","posição não encontrada",IF(M51=0,INDEX(Equipamentos!$S$2:$S$61,N51),INDEX(TrocasEquip!$G$2:$G$1000,M51))))</f>
        <v/>
      </c>
      <c r="D51" s="56">
        <f>IF(OR(A51="",N51=""),"",P51+IF(E51="dias",MAX(0,A51-O51),IF(INDEX(Equipamentos!$D$2:$D$61,N51)=2,SUMIFS(Producao!$D:$D,Producao!$A:$A,"&gt;="&amp;O51,Producao!$A:$A,"&lt;"&amp;A51),IF(INDEX(Equipamentos!$D$2:$D$61,N51)=3,SUMIFS(Producao!$E:$E,Producao!$A:$A,"&gt;="&amp;O51,Producao!$A:$A,"&lt;"&amp;A51),SUMIFS(Producao!$B:$B,Producao!$A:$A,"&gt;="&amp;O51,Producao!$A:$A,"&lt;"&amp;A51)))))</f>
        <v/>
      </c>
      <c r="E51">
        <f>IF(N51="","",INDEX(Equipamentos!$C$2:$C$61,N51))</f>
        <v/>
      </c>
      <c r="F51" s="57">
        <f>IF(OR(D51="",N(Q51)&lt;=0),"",D51/Q51)</f>
        <v/>
      </c>
      <c r="G51" s="55" t="n"/>
      <c r="H51" s="58" t="n"/>
      <c r="I51" s="58" t="n"/>
      <c r="J51" s="55" t="n"/>
      <c r="K51" s="55" t="n"/>
      <c r="L51">
        <f>IF(OR(A51="",B51=""),"",_xlfn.MAXIFS(TrocasEquip!$A$2:$A$1000,TrocasEquip!$B$2:$B$1000,B51,TrocasEquip!$A$2:$A$1000,"&lt;"&amp;A51))</f>
        <v/>
      </c>
      <c r="M51">
        <f>IF(N(L51)=0,0,MATCH(1,INDEX((TrocasEquip!$B$2:$B$1000=B51)*(TrocasEquip!$A$2:$A$1000=L51),0),0))</f>
        <v/>
      </c>
      <c r="N51">
        <f>IF(B51="","",IFERROR(MATCH(B51,Equipamentos!$P$2:$P$61,0),""))</f>
        <v/>
      </c>
      <c r="O51">
        <f>IF(N51="","",IF(M51=0,INDEX(Equipamentos!$U$2:$U$61,N51),L51))</f>
        <v/>
      </c>
      <c r="P51">
        <f>IF(N51="","",IF(M51=0,N(INDEX(Equipamentos!$V$2:$V$61,N51)),N(INDEX(TrocasEquip!$I$2:$I$1000,M51))))</f>
        <v/>
      </c>
      <c r="Q51">
        <f>IF(N51="","",IF(M51=0,INDEX(Equipamentos!$T$2:$T$61,N51),IF(INDEX(TrocasEquip!$H$2:$H$1000,M51)="",INDEX(Equipamentos!$T$2:$T$61,N51),INDEX(TrocasEquip!$H$2:$H$1000,M51))))</f>
        <v/>
      </c>
    </row>
    <row r="52">
      <c r="A52" s="54" t="n"/>
      <c r="B52" s="55" t="n"/>
      <c r="C52">
        <f>IF(B52="","",IF(N52="","posição não encontrada",IF(M52=0,INDEX(Equipamentos!$S$2:$S$61,N52),INDEX(TrocasEquip!$G$2:$G$1000,M52))))</f>
        <v/>
      </c>
      <c r="D52" s="56">
        <f>IF(OR(A52="",N52=""),"",P52+IF(E52="dias",MAX(0,A52-O52),IF(INDEX(Equipamentos!$D$2:$D$61,N52)=2,SUMIFS(Producao!$D:$D,Producao!$A:$A,"&gt;="&amp;O52,Producao!$A:$A,"&lt;"&amp;A52),IF(INDEX(Equipamentos!$D$2:$D$61,N52)=3,SUMIFS(Producao!$E:$E,Producao!$A:$A,"&gt;="&amp;O52,Producao!$A:$A,"&lt;"&amp;A52),SUMIFS(Producao!$B:$B,Producao!$A:$A,"&gt;="&amp;O52,Producao!$A:$A,"&lt;"&amp;A52)))))</f>
        <v/>
      </c>
      <c r="E52">
        <f>IF(N52="","",INDEX(Equipamentos!$C$2:$C$61,N52))</f>
        <v/>
      </c>
      <c r="F52" s="57">
        <f>IF(OR(D52="",N(Q52)&lt;=0),"",D52/Q52)</f>
        <v/>
      </c>
      <c r="G52" s="55" t="n"/>
      <c r="H52" s="58" t="n"/>
      <c r="I52" s="58" t="n"/>
      <c r="J52" s="55" t="n"/>
      <c r="K52" s="55" t="n"/>
      <c r="L52">
        <f>IF(OR(A52="",B52=""),"",_xlfn.MAXIFS(TrocasEquip!$A$2:$A$1000,TrocasEquip!$B$2:$B$1000,B52,TrocasEquip!$A$2:$A$1000,"&lt;"&amp;A52))</f>
        <v/>
      </c>
      <c r="M52">
        <f>IF(N(L52)=0,0,MATCH(1,INDEX((TrocasEquip!$B$2:$B$1000=B52)*(TrocasEquip!$A$2:$A$1000=L52),0),0))</f>
        <v/>
      </c>
      <c r="N52">
        <f>IF(B52="","",IFERROR(MATCH(B52,Equipamentos!$P$2:$P$61,0),""))</f>
        <v/>
      </c>
      <c r="O52">
        <f>IF(N52="","",IF(M52=0,INDEX(Equipamentos!$U$2:$U$61,N52),L52))</f>
        <v/>
      </c>
      <c r="P52">
        <f>IF(N52="","",IF(M52=0,N(INDEX(Equipamentos!$V$2:$V$61,N52)),N(INDEX(TrocasEquip!$I$2:$I$1000,M52))))</f>
        <v/>
      </c>
      <c r="Q52">
        <f>IF(N52="","",IF(M52=0,INDEX(Equipamentos!$T$2:$T$61,N52),IF(INDEX(TrocasEquip!$H$2:$H$1000,M52)="",INDEX(Equipamentos!$T$2:$T$61,N52),INDEX(TrocasEquip!$H$2:$H$1000,M52))))</f>
        <v/>
      </c>
    </row>
    <row r="53">
      <c r="A53" s="54" t="n"/>
      <c r="B53" s="55" t="n"/>
      <c r="C53">
        <f>IF(B53="","",IF(N53="","posição não encontrada",IF(M53=0,INDEX(Equipamentos!$S$2:$S$61,N53),INDEX(TrocasEquip!$G$2:$G$1000,M53))))</f>
        <v/>
      </c>
      <c r="D53" s="56">
        <f>IF(OR(A53="",N53=""),"",P53+IF(E53="dias",MAX(0,A53-O53),IF(INDEX(Equipamentos!$D$2:$D$61,N53)=2,SUMIFS(Producao!$D:$D,Producao!$A:$A,"&gt;="&amp;O53,Producao!$A:$A,"&lt;"&amp;A53),IF(INDEX(Equipamentos!$D$2:$D$61,N53)=3,SUMIFS(Producao!$E:$E,Producao!$A:$A,"&gt;="&amp;O53,Producao!$A:$A,"&lt;"&amp;A53),SUMIFS(Producao!$B:$B,Producao!$A:$A,"&gt;="&amp;O53,Producao!$A:$A,"&lt;"&amp;A53)))))</f>
        <v/>
      </c>
      <c r="E53">
        <f>IF(N53="","",INDEX(Equipamentos!$C$2:$C$61,N53))</f>
        <v/>
      </c>
      <c r="F53" s="57">
        <f>IF(OR(D53="",N(Q53)&lt;=0),"",D53/Q53)</f>
        <v/>
      </c>
      <c r="G53" s="55" t="n"/>
      <c r="H53" s="58" t="n"/>
      <c r="I53" s="58" t="n"/>
      <c r="J53" s="55" t="n"/>
      <c r="K53" s="55" t="n"/>
      <c r="L53">
        <f>IF(OR(A53="",B53=""),"",_xlfn.MAXIFS(TrocasEquip!$A$2:$A$1000,TrocasEquip!$B$2:$B$1000,B53,TrocasEquip!$A$2:$A$1000,"&lt;"&amp;A53))</f>
        <v/>
      </c>
      <c r="M53">
        <f>IF(N(L53)=0,0,MATCH(1,INDEX((TrocasEquip!$B$2:$B$1000=B53)*(TrocasEquip!$A$2:$A$1000=L53),0),0))</f>
        <v/>
      </c>
      <c r="N53">
        <f>IF(B53="","",IFERROR(MATCH(B53,Equipamentos!$P$2:$P$61,0),""))</f>
        <v/>
      </c>
      <c r="O53">
        <f>IF(N53="","",IF(M53=0,INDEX(Equipamentos!$U$2:$U$61,N53),L53))</f>
        <v/>
      </c>
      <c r="P53">
        <f>IF(N53="","",IF(M53=0,N(INDEX(Equipamentos!$V$2:$V$61,N53)),N(INDEX(TrocasEquip!$I$2:$I$1000,M53))))</f>
        <v/>
      </c>
      <c r="Q53">
        <f>IF(N53="","",IF(M53=0,INDEX(Equipamentos!$T$2:$T$61,N53),IF(INDEX(TrocasEquip!$H$2:$H$1000,M53)="",INDEX(Equipamentos!$T$2:$T$61,N53),INDEX(TrocasEquip!$H$2:$H$1000,M53))))</f>
        <v/>
      </c>
    </row>
    <row r="54">
      <c r="A54" s="54" t="n"/>
      <c r="B54" s="55" t="n"/>
      <c r="C54">
        <f>IF(B54="","",IF(N54="","posição não encontrada",IF(M54=0,INDEX(Equipamentos!$S$2:$S$61,N54),INDEX(TrocasEquip!$G$2:$G$1000,M54))))</f>
        <v/>
      </c>
      <c r="D54" s="56">
        <f>IF(OR(A54="",N54=""),"",P54+IF(E54="dias",MAX(0,A54-O54),IF(INDEX(Equipamentos!$D$2:$D$61,N54)=2,SUMIFS(Producao!$D:$D,Producao!$A:$A,"&gt;="&amp;O54,Producao!$A:$A,"&lt;"&amp;A54),IF(INDEX(Equipamentos!$D$2:$D$61,N54)=3,SUMIFS(Producao!$E:$E,Producao!$A:$A,"&gt;="&amp;O54,Producao!$A:$A,"&lt;"&amp;A54),SUMIFS(Producao!$B:$B,Producao!$A:$A,"&gt;="&amp;O54,Producao!$A:$A,"&lt;"&amp;A54)))))</f>
        <v/>
      </c>
      <c r="E54">
        <f>IF(N54="","",INDEX(Equipamentos!$C$2:$C$61,N54))</f>
        <v/>
      </c>
      <c r="F54" s="57">
        <f>IF(OR(D54="",N(Q54)&lt;=0),"",D54/Q54)</f>
        <v/>
      </c>
      <c r="G54" s="55" t="n"/>
      <c r="H54" s="58" t="n"/>
      <c r="I54" s="58" t="n"/>
      <c r="J54" s="55" t="n"/>
      <c r="K54" s="55" t="n"/>
      <c r="L54">
        <f>IF(OR(A54="",B54=""),"",_xlfn.MAXIFS(TrocasEquip!$A$2:$A$1000,TrocasEquip!$B$2:$B$1000,B54,TrocasEquip!$A$2:$A$1000,"&lt;"&amp;A54))</f>
        <v/>
      </c>
      <c r="M54">
        <f>IF(N(L54)=0,0,MATCH(1,INDEX((TrocasEquip!$B$2:$B$1000=B54)*(TrocasEquip!$A$2:$A$1000=L54),0),0))</f>
        <v/>
      </c>
      <c r="N54">
        <f>IF(B54="","",IFERROR(MATCH(B54,Equipamentos!$P$2:$P$61,0),""))</f>
        <v/>
      </c>
      <c r="O54">
        <f>IF(N54="","",IF(M54=0,INDEX(Equipamentos!$U$2:$U$61,N54),L54))</f>
        <v/>
      </c>
      <c r="P54">
        <f>IF(N54="","",IF(M54=0,N(INDEX(Equipamentos!$V$2:$V$61,N54)),N(INDEX(TrocasEquip!$I$2:$I$1000,M54))))</f>
        <v/>
      </c>
      <c r="Q54">
        <f>IF(N54="","",IF(M54=0,INDEX(Equipamentos!$T$2:$T$61,N54),IF(INDEX(TrocasEquip!$H$2:$H$1000,M54)="",INDEX(Equipamentos!$T$2:$T$61,N54),INDEX(TrocasEquip!$H$2:$H$1000,M54))))</f>
        <v/>
      </c>
    </row>
    <row r="55">
      <c r="A55" s="54" t="n"/>
      <c r="B55" s="55" t="n"/>
      <c r="C55">
        <f>IF(B55="","",IF(N55="","posição não encontrada",IF(M55=0,INDEX(Equipamentos!$S$2:$S$61,N55),INDEX(TrocasEquip!$G$2:$G$1000,M55))))</f>
        <v/>
      </c>
      <c r="D55" s="56">
        <f>IF(OR(A55="",N55=""),"",P55+IF(E55="dias",MAX(0,A55-O55),IF(INDEX(Equipamentos!$D$2:$D$61,N55)=2,SUMIFS(Producao!$D:$D,Producao!$A:$A,"&gt;="&amp;O55,Producao!$A:$A,"&lt;"&amp;A55),IF(INDEX(Equipamentos!$D$2:$D$61,N55)=3,SUMIFS(Producao!$E:$E,Producao!$A:$A,"&gt;="&amp;O55,Producao!$A:$A,"&lt;"&amp;A55),SUMIFS(Producao!$B:$B,Producao!$A:$A,"&gt;="&amp;O55,Producao!$A:$A,"&lt;"&amp;A55)))))</f>
        <v/>
      </c>
      <c r="E55">
        <f>IF(N55="","",INDEX(Equipamentos!$C$2:$C$61,N55))</f>
        <v/>
      </c>
      <c r="F55" s="57">
        <f>IF(OR(D55="",N(Q55)&lt;=0),"",D55/Q55)</f>
        <v/>
      </c>
      <c r="G55" s="55" t="n"/>
      <c r="H55" s="58" t="n"/>
      <c r="I55" s="58" t="n"/>
      <c r="J55" s="55" t="n"/>
      <c r="K55" s="55" t="n"/>
      <c r="L55">
        <f>IF(OR(A55="",B55=""),"",_xlfn.MAXIFS(TrocasEquip!$A$2:$A$1000,TrocasEquip!$B$2:$B$1000,B55,TrocasEquip!$A$2:$A$1000,"&lt;"&amp;A55))</f>
        <v/>
      </c>
      <c r="M55">
        <f>IF(N(L55)=0,0,MATCH(1,INDEX((TrocasEquip!$B$2:$B$1000=B55)*(TrocasEquip!$A$2:$A$1000=L55),0),0))</f>
        <v/>
      </c>
      <c r="N55">
        <f>IF(B55="","",IFERROR(MATCH(B55,Equipamentos!$P$2:$P$61,0),""))</f>
        <v/>
      </c>
      <c r="O55">
        <f>IF(N55="","",IF(M55=0,INDEX(Equipamentos!$U$2:$U$61,N55),L55))</f>
        <v/>
      </c>
      <c r="P55">
        <f>IF(N55="","",IF(M55=0,N(INDEX(Equipamentos!$V$2:$V$61,N55)),N(INDEX(TrocasEquip!$I$2:$I$1000,M55))))</f>
        <v/>
      </c>
      <c r="Q55">
        <f>IF(N55="","",IF(M55=0,INDEX(Equipamentos!$T$2:$T$61,N55),IF(INDEX(TrocasEquip!$H$2:$H$1000,M55)="",INDEX(Equipamentos!$T$2:$T$61,N55),INDEX(TrocasEquip!$H$2:$H$1000,M55))))</f>
        <v/>
      </c>
    </row>
    <row r="56">
      <c r="A56" s="54" t="n"/>
      <c r="B56" s="55" t="n"/>
      <c r="C56">
        <f>IF(B56="","",IF(N56="","posição não encontrada",IF(M56=0,INDEX(Equipamentos!$S$2:$S$61,N56),INDEX(TrocasEquip!$G$2:$G$1000,M56))))</f>
        <v/>
      </c>
      <c r="D56" s="56">
        <f>IF(OR(A56="",N56=""),"",P56+IF(E56="dias",MAX(0,A56-O56),IF(INDEX(Equipamentos!$D$2:$D$61,N56)=2,SUMIFS(Producao!$D:$D,Producao!$A:$A,"&gt;="&amp;O56,Producao!$A:$A,"&lt;"&amp;A56),IF(INDEX(Equipamentos!$D$2:$D$61,N56)=3,SUMIFS(Producao!$E:$E,Producao!$A:$A,"&gt;="&amp;O56,Producao!$A:$A,"&lt;"&amp;A56),SUMIFS(Producao!$B:$B,Producao!$A:$A,"&gt;="&amp;O56,Producao!$A:$A,"&lt;"&amp;A56)))))</f>
        <v/>
      </c>
      <c r="E56">
        <f>IF(N56="","",INDEX(Equipamentos!$C$2:$C$61,N56))</f>
        <v/>
      </c>
      <c r="F56" s="57">
        <f>IF(OR(D56="",N(Q56)&lt;=0),"",D56/Q56)</f>
        <v/>
      </c>
      <c r="G56" s="55" t="n"/>
      <c r="H56" s="58" t="n"/>
      <c r="I56" s="58" t="n"/>
      <c r="J56" s="55" t="n"/>
      <c r="K56" s="55" t="n"/>
      <c r="L56">
        <f>IF(OR(A56="",B56=""),"",_xlfn.MAXIFS(TrocasEquip!$A$2:$A$1000,TrocasEquip!$B$2:$B$1000,B56,TrocasEquip!$A$2:$A$1000,"&lt;"&amp;A56))</f>
        <v/>
      </c>
      <c r="M56">
        <f>IF(N(L56)=0,0,MATCH(1,INDEX((TrocasEquip!$B$2:$B$1000=B56)*(TrocasEquip!$A$2:$A$1000=L56),0),0))</f>
        <v/>
      </c>
      <c r="N56">
        <f>IF(B56="","",IFERROR(MATCH(B56,Equipamentos!$P$2:$P$61,0),""))</f>
        <v/>
      </c>
      <c r="O56">
        <f>IF(N56="","",IF(M56=0,INDEX(Equipamentos!$U$2:$U$61,N56),L56))</f>
        <v/>
      </c>
      <c r="P56">
        <f>IF(N56="","",IF(M56=0,N(INDEX(Equipamentos!$V$2:$V$61,N56)),N(INDEX(TrocasEquip!$I$2:$I$1000,M56))))</f>
        <v/>
      </c>
      <c r="Q56">
        <f>IF(N56="","",IF(M56=0,INDEX(Equipamentos!$T$2:$T$61,N56),IF(INDEX(TrocasEquip!$H$2:$H$1000,M56)="",INDEX(Equipamentos!$T$2:$T$61,N56),INDEX(TrocasEquip!$H$2:$H$1000,M56))))</f>
        <v/>
      </c>
    </row>
    <row r="57">
      <c r="A57" s="54" t="n"/>
      <c r="B57" s="55" t="n"/>
      <c r="C57">
        <f>IF(B57="","",IF(N57="","posição não encontrada",IF(M57=0,INDEX(Equipamentos!$S$2:$S$61,N57),INDEX(TrocasEquip!$G$2:$G$1000,M57))))</f>
        <v/>
      </c>
      <c r="D57" s="56">
        <f>IF(OR(A57="",N57=""),"",P57+IF(E57="dias",MAX(0,A57-O57),IF(INDEX(Equipamentos!$D$2:$D$61,N57)=2,SUMIFS(Producao!$D:$D,Producao!$A:$A,"&gt;="&amp;O57,Producao!$A:$A,"&lt;"&amp;A57),IF(INDEX(Equipamentos!$D$2:$D$61,N57)=3,SUMIFS(Producao!$E:$E,Producao!$A:$A,"&gt;="&amp;O57,Producao!$A:$A,"&lt;"&amp;A57),SUMIFS(Producao!$B:$B,Producao!$A:$A,"&gt;="&amp;O57,Producao!$A:$A,"&lt;"&amp;A57)))))</f>
        <v/>
      </c>
      <c r="E57">
        <f>IF(N57="","",INDEX(Equipamentos!$C$2:$C$61,N57))</f>
        <v/>
      </c>
      <c r="F57" s="57">
        <f>IF(OR(D57="",N(Q57)&lt;=0),"",D57/Q57)</f>
        <v/>
      </c>
      <c r="G57" s="55" t="n"/>
      <c r="H57" s="58" t="n"/>
      <c r="I57" s="58" t="n"/>
      <c r="J57" s="55" t="n"/>
      <c r="K57" s="55" t="n"/>
      <c r="L57">
        <f>IF(OR(A57="",B57=""),"",_xlfn.MAXIFS(TrocasEquip!$A$2:$A$1000,TrocasEquip!$B$2:$B$1000,B57,TrocasEquip!$A$2:$A$1000,"&lt;"&amp;A57))</f>
        <v/>
      </c>
      <c r="M57">
        <f>IF(N(L57)=0,0,MATCH(1,INDEX((TrocasEquip!$B$2:$B$1000=B57)*(TrocasEquip!$A$2:$A$1000=L57),0),0))</f>
        <v/>
      </c>
      <c r="N57">
        <f>IF(B57="","",IFERROR(MATCH(B57,Equipamentos!$P$2:$P$61,0),""))</f>
        <v/>
      </c>
      <c r="O57">
        <f>IF(N57="","",IF(M57=0,INDEX(Equipamentos!$U$2:$U$61,N57),L57))</f>
        <v/>
      </c>
      <c r="P57">
        <f>IF(N57="","",IF(M57=0,N(INDEX(Equipamentos!$V$2:$V$61,N57)),N(INDEX(TrocasEquip!$I$2:$I$1000,M57))))</f>
        <v/>
      </c>
      <c r="Q57">
        <f>IF(N57="","",IF(M57=0,INDEX(Equipamentos!$T$2:$T$61,N57),IF(INDEX(TrocasEquip!$H$2:$H$1000,M57)="",INDEX(Equipamentos!$T$2:$T$61,N57),INDEX(TrocasEquip!$H$2:$H$1000,M57))))</f>
        <v/>
      </c>
    </row>
    <row r="58">
      <c r="A58" s="54" t="n"/>
      <c r="B58" s="55" t="n"/>
      <c r="C58">
        <f>IF(B58="","",IF(N58="","posição não encontrada",IF(M58=0,INDEX(Equipamentos!$S$2:$S$61,N58),INDEX(TrocasEquip!$G$2:$G$1000,M58))))</f>
        <v/>
      </c>
      <c r="D58" s="56">
        <f>IF(OR(A58="",N58=""),"",P58+IF(E58="dias",MAX(0,A58-O58),IF(INDEX(Equipamentos!$D$2:$D$61,N58)=2,SUMIFS(Producao!$D:$D,Producao!$A:$A,"&gt;="&amp;O58,Producao!$A:$A,"&lt;"&amp;A58),IF(INDEX(Equipamentos!$D$2:$D$61,N58)=3,SUMIFS(Producao!$E:$E,Producao!$A:$A,"&gt;="&amp;O58,Producao!$A:$A,"&lt;"&amp;A58),SUMIFS(Producao!$B:$B,Producao!$A:$A,"&gt;="&amp;O58,Producao!$A:$A,"&lt;"&amp;A58)))))</f>
        <v/>
      </c>
      <c r="E58">
        <f>IF(N58="","",INDEX(Equipamentos!$C$2:$C$61,N58))</f>
        <v/>
      </c>
      <c r="F58" s="57">
        <f>IF(OR(D58="",N(Q58)&lt;=0),"",D58/Q58)</f>
        <v/>
      </c>
      <c r="G58" s="55" t="n"/>
      <c r="H58" s="58" t="n"/>
      <c r="I58" s="58" t="n"/>
      <c r="J58" s="55" t="n"/>
      <c r="K58" s="55" t="n"/>
      <c r="L58">
        <f>IF(OR(A58="",B58=""),"",_xlfn.MAXIFS(TrocasEquip!$A$2:$A$1000,TrocasEquip!$B$2:$B$1000,B58,TrocasEquip!$A$2:$A$1000,"&lt;"&amp;A58))</f>
        <v/>
      </c>
      <c r="M58">
        <f>IF(N(L58)=0,0,MATCH(1,INDEX((TrocasEquip!$B$2:$B$1000=B58)*(TrocasEquip!$A$2:$A$1000=L58),0),0))</f>
        <v/>
      </c>
      <c r="N58">
        <f>IF(B58="","",IFERROR(MATCH(B58,Equipamentos!$P$2:$P$61,0),""))</f>
        <v/>
      </c>
      <c r="O58">
        <f>IF(N58="","",IF(M58=0,INDEX(Equipamentos!$U$2:$U$61,N58),L58))</f>
        <v/>
      </c>
      <c r="P58">
        <f>IF(N58="","",IF(M58=0,N(INDEX(Equipamentos!$V$2:$V$61,N58)),N(INDEX(TrocasEquip!$I$2:$I$1000,M58))))</f>
        <v/>
      </c>
      <c r="Q58">
        <f>IF(N58="","",IF(M58=0,INDEX(Equipamentos!$T$2:$T$61,N58),IF(INDEX(TrocasEquip!$H$2:$H$1000,M58)="",INDEX(Equipamentos!$T$2:$T$61,N58),INDEX(TrocasEquip!$H$2:$H$1000,M58))))</f>
        <v/>
      </c>
    </row>
    <row r="59">
      <c r="A59" s="54" t="n"/>
      <c r="B59" s="55" t="n"/>
      <c r="C59">
        <f>IF(B59="","",IF(N59="","posição não encontrada",IF(M59=0,INDEX(Equipamentos!$S$2:$S$61,N59),INDEX(TrocasEquip!$G$2:$G$1000,M59))))</f>
        <v/>
      </c>
      <c r="D59" s="56">
        <f>IF(OR(A59="",N59=""),"",P59+IF(E59="dias",MAX(0,A59-O59),IF(INDEX(Equipamentos!$D$2:$D$61,N59)=2,SUMIFS(Producao!$D:$D,Producao!$A:$A,"&gt;="&amp;O59,Producao!$A:$A,"&lt;"&amp;A59),IF(INDEX(Equipamentos!$D$2:$D$61,N59)=3,SUMIFS(Producao!$E:$E,Producao!$A:$A,"&gt;="&amp;O59,Producao!$A:$A,"&lt;"&amp;A59),SUMIFS(Producao!$B:$B,Producao!$A:$A,"&gt;="&amp;O59,Producao!$A:$A,"&lt;"&amp;A59)))))</f>
        <v/>
      </c>
      <c r="E59">
        <f>IF(N59="","",INDEX(Equipamentos!$C$2:$C$61,N59))</f>
        <v/>
      </c>
      <c r="F59" s="57">
        <f>IF(OR(D59="",N(Q59)&lt;=0),"",D59/Q59)</f>
        <v/>
      </c>
      <c r="G59" s="55" t="n"/>
      <c r="H59" s="58" t="n"/>
      <c r="I59" s="58" t="n"/>
      <c r="J59" s="55" t="n"/>
      <c r="K59" s="55" t="n"/>
      <c r="L59">
        <f>IF(OR(A59="",B59=""),"",_xlfn.MAXIFS(TrocasEquip!$A$2:$A$1000,TrocasEquip!$B$2:$B$1000,B59,TrocasEquip!$A$2:$A$1000,"&lt;"&amp;A59))</f>
        <v/>
      </c>
      <c r="M59">
        <f>IF(N(L59)=0,0,MATCH(1,INDEX((TrocasEquip!$B$2:$B$1000=B59)*(TrocasEquip!$A$2:$A$1000=L59),0),0))</f>
        <v/>
      </c>
      <c r="N59">
        <f>IF(B59="","",IFERROR(MATCH(B59,Equipamentos!$P$2:$P$61,0),""))</f>
        <v/>
      </c>
      <c r="O59">
        <f>IF(N59="","",IF(M59=0,INDEX(Equipamentos!$U$2:$U$61,N59),L59))</f>
        <v/>
      </c>
      <c r="P59">
        <f>IF(N59="","",IF(M59=0,N(INDEX(Equipamentos!$V$2:$V$61,N59)),N(INDEX(TrocasEquip!$I$2:$I$1000,M59))))</f>
        <v/>
      </c>
      <c r="Q59">
        <f>IF(N59="","",IF(M59=0,INDEX(Equipamentos!$T$2:$T$61,N59),IF(INDEX(TrocasEquip!$H$2:$H$1000,M59)="",INDEX(Equipamentos!$T$2:$T$61,N59),INDEX(TrocasEquip!$H$2:$H$1000,M59))))</f>
        <v/>
      </c>
    </row>
    <row r="60">
      <c r="A60" s="54" t="n"/>
      <c r="B60" s="55" t="n"/>
      <c r="C60">
        <f>IF(B60="","",IF(N60="","posição não encontrada",IF(M60=0,INDEX(Equipamentos!$S$2:$S$61,N60),INDEX(TrocasEquip!$G$2:$G$1000,M60))))</f>
        <v/>
      </c>
      <c r="D60" s="56">
        <f>IF(OR(A60="",N60=""),"",P60+IF(E60="dias",MAX(0,A60-O60),IF(INDEX(Equipamentos!$D$2:$D$61,N60)=2,SUMIFS(Producao!$D:$D,Producao!$A:$A,"&gt;="&amp;O60,Producao!$A:$A,"&lt;"&amp;A60),IF(INDEX(Equipamentos!$D$2:$D$61,N60)=3,SUMIFS(Producao!$E:$E,Producao!$A:$A,"&gt;="&amp;O60,Producao!$A:$A,"&lt;"&amp;A60),SUMIFS(Producao!$B:$B,Producao!$A:$A,"&gt;="&amp;O60,Producao!$A:$A,"&lt;"&amp;A60)))))</f>
        <v/>
      </c>
      <c r="E60">
        <f>IF(N60="","",INDEX(Equipamentos!$C$2:$C$61,N60))</f>
        <v/>
      </c>
      <c r="F60" s="57">
        <f>IF(OR(D60="",N(Q60)&lt;=0),"",D60/Q60)</f>
        <v/>
      </c>
      <c r="G60" s="55" t="n"/>
      <c r="H60" s="58" t="n"/>
      <c r="I60" s="58" t="n"/>
      <c r="J60" s="55" t="n"/>
      <c r="K60" s="55" t="n"/>
      <c r="L60">
        <f>IF(OR(A60="",B60=""),"",_xlfn.MAXIFS(TrocasEquip!$A$2:$A$1000,TrocasEquip!$B$2:$B$1000,B60,TrocasEquip!$A$2:$A$1000,"&lt;"&amp;A60))</f>
        <v/>
      </c>
      <c r="M60">
        <f>IF(N(L60)=0,0,MATCH(1,INDEX((TrocasEquip!$B$2:$B$1000=B60)*(TrocasEquip!$A$2:$A$1000=L60),0),0))</f>
        <v/>
      </c>
      <c r="N60">
        <f>IF(B60="","",IFERROR(MATCH(B60,Equipamentos!$P$2:$P$61,0),""))</f>
        <v/>
      </c>
      <c r="O60">
        <f>IF(N60="","",IF(M60=0,INDEX(Equipamentos!$U$2:$U$61,N60),L60))</f>
        <v/>
      </c>
      <c r="P60">
        <f>IF(N60="","",IF(M60=0,N(INDEX(Equipamentos!$V$2:$V$61,N60)),N(INDEX(TrocasEquip!$I$2:$I$1000,M60))))</f>
        <v/>
      </c>
      <c r="Q60">
        <f>IF(N60="","",IF(M60=0,INDEX(Equipamentos!$T$2:$T$61,N60),IF(INDEX(TrocasEquip!$H$2:$H$1000,M60)="",INDEX(Equipamentos!$T$2:$T$61,N60),INDEX(TrocasEquip!$H$2:$H$1000,M60))))</f>
        <v/>
      </c>
    </row>
    <row r="61">
      <c r="A61" s="54" t="n"/>
      <c r="B61" s="55" t="n"/>
      <c r="C61">
        <f>IF(B61="","",IF(N61="","posição não encontrada",IF(M61=0,INDEX(Equipamentos!$S$2:$S$61,N61),INDEX(TrocasEquip!$G$2:$G$1000,M61))))</f>
        <v/>
      </c>
      <c r="D61" s="56">
        <f>IF(OR(A61="",N61=""),"",P61+IF(E61="dias",MAX(0,A61-O61),IF(INDEX(Equipamentos!$D$2:$D$61,N61)=2,SUMIFS(Producao!$D:$D,Producao!$A:$A,"&gt;="&amp;O61,Producao!$A:$A,"&lt;"&amp;A61),IF(INDEX(Equipamentos!$D$2:$D$61,N61)=3,SUMIFS(Producao!$E:$E,Producao!$A:$A,"&gt;="&amp;O61,Producao!$A:$A,"&lt;"&amp;A61),SUMIFS(Producao!$B:$B,Producao!$A:$A,"&gt;="&amp;O61,Producao!$A:$A,"&lt;"&amp;A61)))))</f>
        <v/>
      </c>
      <c r="E61">
        <f>IF(N61="","",INDEX(Equipamentos!$C$2:$C$61,N61))</f>
        <v/>
      </c>
      <c r="F61" s="57">
        <f>IF(OR(D61="",N(Q61)&lt;=0),"",D61/Q61)</f>
        <v/>
      </c>
      <c r="G61" s="55" t="n"/>
      <c r="H61" s="58" t="n"/>
      <c r="I61" s="58" t="n"/>
      <c r="J61" s="55" t="n"/>
      <c r="K61" s="55" t="n"/>
      <c r="L61">
        <f>IF(OR(A61="",B61=""),"",_xlfn.MAXIFS(TrocasEquip!$A$2:$A$1000,TrocasEquip!$B$2:$B$1000,B61,TrocasEquip!$A$2:$A$1000,"&lt;"&amp;A61))</f>
        <v/>
      </c>
      <c r="M61">
        <f>IF(N(L61)=0,0,MATCH(1,INDEX((TrocasEquip!$B$2:$B$1000=B61)*(TrocasEquip!$A$2:$A$1000=L61),0),0))</f>
        <v/>
      </c>
      <c r="N61">
        <f>IF(B61="","",IFERROR(MATCH(B61,Equipamentos!$P$2:$P$61,0),""))</f>
        <v/>
      </c>
      <c r="O61">
        <f>IF(N61="","",IF(M61=0,INDEX(Equipamentos!$U$2:$U$61,N61),L61))</f>
        <v/>
      </c>
      <c r="P61">
        <f>IF(N61="","",IF(M61=0,N(INDEX(Equipamentos!$V$2:$V$61,N61)),N(INDEX(TrocasEquip!$I$2:$I$1000,M61))))</f>
        <v/>
      </c>
      <c r="Q61">
        <f>IF(N61="","",IF(M61=0,INDEX(Equipamentos!$T$2:$T$61,N61),IF(INDEX(TrocasEquip!$H$2:$H$1000,M61)="",INDEX(Equipamentos!$T$2:$T$61,N61),INDEX(TrocasEquip!$H$2:$H$1000,M61))))</f>
        <v/>
      </c>
    </row>
    <row r="62">
      <c r="A62" s="54" t="n"/>
      <c r="B62" s="55" t="n"/>
      <c r="C62">
        <f>IF(B62="","",IF(N62="","posição não encontrada",IF(M62=0,INDEX(Equipamentos!$S$2:$S$61,N62),INDEX(TrocasEquip!$G$2:$G$1000,M62))))</f>
        <v/>
      </c>
      <c r="D62" s="56">
        <f>IF(OR(A62="",N62=""),"",P62+IF(E62="dias",MAX(0,A62-O62),IF(INDEX(Equipamentos!$D$2:$D$61,N62)=2,SUMIFS(Producao!$D:$D,Producao!$A:$A,"&gt;="&amp;O62,Producao!$A:$A,"&lt;"&amp;A62),IF(INDEX(Equipamentos!$D$2:$D$61,N62)=3,SUMIFS(Producao!$E:$E,Producao!$A:$A,"&gt;="&amp;O62,Producao!$A:$A,"&lt;"&amp;A62),SUMIFS(Producao!$B:$B,Producao!$A:$A,"&gt;="&amp;O62,Producao!$A:$A,"&lt;"&amp;A62)))))</f>
        <v/>
      </c>
      <c r="E62">
        <f>IF(N62="","",INDEX(Equipamentos!$C$2:$C$61,N62))</f>
        <v/>
      </c>
      <c r="F62" s="57">
        <f>IF(OR(D62="",N(Q62)&lt;=0),"",D62/Q62)</f>
        <v/>
      </c>
      <c r="G62" s="55" t="n"/>
      <c r="H62" s="58" t="n"/>
      <c r="I62" s="58" t="n"/>
      <c r="J62" s="55" t="n"/>
      <c r="K62" s="55" t="n"/>
      <c r="L62">
        <f>IF(OR(A62="",B62=""),"",_xlfn.MAXIFS(TrocasEquip!$A$2:$A$1000,TrocasEquip!$B$2:$B$1000,B62,TrocasEquip!$A$2:$A$1000,"&lt;"&amp;A62))</f>
        <v/>
      </c>
      <c r="M62">
        <f>IF(N(L62)=0,0,MATCH(1,INDEX((TrocasEquip!$B$2:$B$1000=B62)*(TrocasEquip!$A$2:$A$1000=L62),0),0))</f>
        <v/>
      </c>
      <c r="N62">
        <f>IF(B62="","",IFERROR(MATCH(B62,Equipamentos!$P$2:$P$61,0),""))</f>
        <v/>
      </c>
      <c r="O62">
        <f>IF(N62="","",IF(M62=0,INDEX(Equipamentos!$U$2:$U$61,N62),L62))</f>
        <v/>
      </c>
      <c r="P62">
        <f>IF(N62="","",IF(M62=0,N(INDEX(Equipamentos!$V$2:$V$61,N62)),N(INDEX(TrocasEquip!$I$2:$I$1000,M62))))</f>
        <v/>
      </c>
      <c r="Q62">
        <f>IF(N62="","",IF(M62=0,INDEX(Equipamentos!$T$2:$T$61,N62),IF(INDEX(TrocasEquip!$H$2:$H$1000,M62)="",INDEX(Equipamentos!$T$2:$T$61,N62),INDEX(TrocasEquip!$H$2:$H$1000,M62))))</f>
        <v/>
      </c>
    </row>
    <row r="63">
      <c r="A63" s="54" t="n"/>
      <c r="B63" s="55" t="n"/>
      <c r="C63">
        <f>IF(B63="","",IF(N63="","posição não encontrada",IF(M63=0,INDEX(Equipamentos!$S$2:$S$61,N63),INDEX(TrocasEquip!$G$2:$G$1000,M63))))</f>
        <v/>
      </c>
      <c r="D63" s="56">
        <f>IF(OR(A63="",N63=""),"",P63+IF(E63="dias",MAX(0,A63-O63),IF(INDEX(Equipamentos!$D$2:$D$61,N63)=2,SUMIFS(Producao!$D:$D,Producao!$A:$A,"&gt;="&amp;O63,Producao!$A:$A,"&lt;"&amp;A63),IF(INDEX(Equipamentos!$D$2:$D$61,N63)=3,SUMIFS(Producao!$E:$E,Producao!$A:$A,"&gt;="&amp;O63,Producao!$A:$A,"&lt;"&amp;A63),SUMIFS(Producao!$B:$B,Producao!$A:$A,"&gt;="&amp;O63,Producao!$A:$A,"&lt;"&amp;A63)))))</f>
        <v/>
      </c>
      <c r="E63">
        <f>IF(N63="","",INDEX(Equipamentos!$C$2:$C$61,N63))</f>
        <v/>
      </c>
      <c r="F63" s="57">
        <f>IF(OR(D63="",N(Q63)&lt;=0),"",D63/Q63)</f>
        <v/>
      </c>
      <c r="G63" s="55" t="n"/>
      <c r="H63" s="58" t="n"/>
      <c r="I63" s="58" t="n"/>
      <c r="J63" s="55" t="n"/>
      <c r="K63" s="55" t="n"/>
      <c r="L63">
        <f>IF(OR(A63="",B63=""),"",_xlfn.MAXIFS(TrocasEquip!$A$2:$A$1000,TrocasEquip!$B$2:$B$1000,B63,TrocasEquip!$A$2:$A$1000,"&lt;"&amp;A63))</f>
        <v/>
      </c>
      <c r="M63">
        <f>IF(N(L63)=0,0,MATCH(1,INDEX((TrocasEquip!$B$2:$B$1000=B63)*(TrocasEquip!$A$2:$A$1000=L63),0),0))</f>
        <v/>
      </c>
      <c r="N63">
        <f>IF(B63="","",IFERROR(MATCH(B63,Equipamentos!$P$2:$P$61,0),""))</f>
        <v/>
      </c>
      <c r="O63">
        <f>IF(N63="","",IF(M63=0,INDEX(Equipamentos!$U$2:$U$61,N63),L63))</f>
        <v/>
      </c>
      <c r="P63">
        <f>IF(N63="","",IF(M63=0,N(INDEX(Equipamentos!$V$2:$V$61,N63)),N(INDEX(TrocasEquip!$I$2:$I$1000,M63))))</f>
        <v/>
      </c>
      <c r="Q63">
        <f>IF(N63="","",IF(M63=0,INDEX(Equipamentos!$T$2:$T$61,N63),IF(INDEX(TrocasEquip!$H$2:$H$1000,M63)="",INDEX(Equipamentos!$T$2:$T$61,N63),INDEX(TrocasEquip!$H$2:$H$1000,M63))))</f>
        <v/>
      </c>
    </row>
    <row r="64">
      <c r="A64" s="54" t="n"/>
      <c r="B64" s="55" t="n"/>
      <c r="C64">
        <f>IF(B64="","",IF(N64="","posição não encontrada",IF(M64=0,INDEX(Equipamentos!$S$2:$S$61,N64),INDEX(TrocasEquip!$G$2:$G$1000,M64))))</f>
        <v/>
      </c>
      <c r="D64" s="56">
        <f>IF(OR(A64="",N64=""),"",P64+IF(E64="dias",MAX(0,A64-O64),IF(INDEX(Equipamentos!$D$2:$D$61,N64)=2,SUMIFS(Producao!$D:$D,Producao!$A:$A,"&gt;="&amp;O64,Producao!$A:$A,"&lt;"&amp;A64),IF(INDEX(Equipamentos!$D$2:$D$61,N64)=3,SUMIFS(Producao!$E:$E,Producao!$A:$A,"&gt;="&amp;O64,Producao!$A:$A,"&lt;"&amp;A64),SUMIFS(Producao!$B:$B,Producao!$A:$A,"&gt;="&amp;O64,Producao!$A:$A,"&lt;"&amp;A64)))))</f>
        <v/>
      </c>
      <c r="E64">
        <f>IF(N64="","",INDEX(Equipamentos!$C$2:$C$61,N64))</f>
        <v/>
      </c>
      <c r="F64" s="57">
        <f>IF(OR(D64="",N(Q64)&lt;=0),"",D64/Q64)</f>
        <v/>
      </c>
      <c r="G64" s="55" t="n"/>
      <c r="H64" s="58" t="n"/>
      <c r="I64" s="58" t="n"/>
      <c r="J64" s="55" t="n"/>
      <c r="K64" s="55" t="n"/>
      <c r="L64">
        <f>IF(OR(A64="",B64=""),"",_xlfn.MAXIFS(TrocasEquip!$A$2:$A$1000,TrocasEquip!$B$2:$B$1000,B64,TrocasEquip!$A$2:$A$1000,"&lt;"&amp;A64))</f>
        <v/>
      </c>
      <c r="M64">
        <f>IF(N(L64)=0,0,MATCH(1,INDEX((TrocasEquip!$B$2:$B$1000=B64)*(TrocasEquip!$A$2:$A$1000=L64),0),0))</f>
        <v/>
      </c>
      <c r="N64">
        <f>IF(B64="","",IFERROR(MATCH(B64,Equipamentos!$P$2:$P$61,0),""))</f>
        <v/>
      </c>
      <c r="O64">
        <f>IF(N64="","",IF(M64=0,INDEX(Equipamentos!$U$2:$U$61,N64),L64))</f>
        <v/>
      </c>
      <c r="P64">
        <f>IF(N64="","",IF(M64=0,N(INDEX(Equipamentos!$V$2:$V$61,N64)),N(INDEX(TrocasEquip!$I$2:$I$1000,M64))))</f>
        <v/>
      </c>
      <c r="Q64">
        <f>IF(N64="","",IF(M64=0,INDEX(Equipamentos!$T$2:$T$61,N64),IF(INDEX(TrocasEquip!$H$2:$H$1000,M64)="",INDEX(Equipamentos!$T$2:$T$61,N64),INDEX(TrocasEquip!$H$2:$H$1000,M64))))</f>
        <v/>
      </c>
    </row>
    <row r="65">
      <c r="A65" s="54" t="n"/>
      <c r="B65" s="55" t="n"/>
      <c r="C65">
        <f>IF(B65="","",IF(N65="","posição não encontrada",IF(M65=0,INDEX(Equipamentos!$S$2:$S$61,N65),INDEX(TrocasEquip!$G$2:$G$1000,M65))))</f>
        <v/>
      </c>
      <c r="D65" s="56">
        <f>IF(OR(A65="",N65=""),"",P65+IF(E65="dias",MAX(0,A65-O65),IF(INDEX(Equipamentos!$D$2:$D$61,N65)=2,SUMIFS(Producao!$D:$D,Producao!$A:$A,"&gt;="&amp;O65,Producao!$A:$A,"&lt;"&amp;A65),IF(INDEX(Equipamentos!$D$2:$D$61,N65)=3,SUMIFS(Producao!$E:$E,Producao!$A:$A,"&gt;="&amp;O65,Producao!$A:$A,"&lt;"&amp;A65),SUMIFS(Producao!$B:$B,Producao!$A:$A,"&gt;="&amp;O65,Producao!$A:$A,"&lt;"&amp;A65)))))</f>
        <v/>
      </c>
      <c r="E65">
        <f>IF(N65="","",INDEX(Equipamentos!$C$2:$C$61,N65))</f>
        <v/>
      </c>
      <c r="F65" s="57">
        <f>IF(OR(D65="",N(Q65)&lt;=0),"",D65/Q65)</f>
        <v/>
      </c>
      <c r="G65" s="55" t="n"/>
      <c r="H65" s="58" t="n"/>
      <c r="I65" s="58" t="n"/>
      <c r="J65" s="55" t="n"/>
      <c r="K65" s="55" t="n"/>
      <c r="L65">
        <f>IF(OR(A65="",B65=""),"",_xlfn.MAXIFS(TrocasEquip!$A$2:$A$1000,TrocasEquip!$B$2:$B$1000,B65,TrocasEquip!$A$2:$A$1000,"&lt;"&amp;A65))</f>
        <v/>
      </c>
      <c r="M65">
        <f>IF(N(L65)=0,0,MATCH(1,INDEX((TrocasEquip!$B$2:$B$1000=B65)*(TrocasEquip!$A$2:$A$1000=L65),0),0))</f>
        <v/>
      </c>
      <c r="N65">
        <f>IF(B65="","",IFERROR(MATCH(B65,Equipamentos!$P$2:$P$61,0),""))</f>
        <v/>
      </c>
      <c r="O65">
        <f>IF(N65="","",IF(M65=0,INDEX(Equipamentos!$U$2:$U$61,N65),L65))</f>
        <v/>
      </c>
      <c r="P65">
        <f>IF(N65="","",IF(M65=0,N(INDEX(Equipamentos!$V$2:$V$61,N65)),N(INDEX(TrocasEquip!$I$2:$I$1000,M65))))</f>
        <v/>
      </c>
      <c r="Q65">
        <f>IF(N65="","",IF(M65=0,INDEX(Equipamentos!$T$2:$T$61,N65),IF(INDEX(TrocasEquip!$H$2:$H$1000,M65)="",INDEX(Equipamentos!$T$2:$T$61,N65),INDEX(TrocasEquip!$H$2:$H$1000,M65))))</f>
        <v/>
      </c>
    </row>
    <row r="66">
      <c r="A66" s="54" t="n"/>
      <c r="B66" s="55" t="n"/>
      <c r="C66">
        <f>IF(B66="","",IF(N66="","posição não encontrada",IF(M66=0,INDEX(Equipamentos!$S$2:$S$61,N66),INDEX(TrocasEquip!$G$2:$G$1000,M66))))</f>
        <v/>
      </c>
      <c r="D66" s="56">
        <f>IF(OR(A66="",N66=""),"",P66+IF(E66="dias",MAX(0,A66-O66),IF(INDEX(Equipamentos!$D$2:$D$61,N66)=2,SUMIFS(Producao!$D:$D,Producao!$A:$A,"&gt;="&amp;O66,Producao!$A:$A,"&lt;"&amp;A66),IF(INDEX(Equipamentos!$D$2:$D$61,N66)=3,SUMIFS(Producao!$E:$E,Producao!$A:$A,"&gt;="&amp;O66,Producao!$A:$A,"&lt;"&amp;A66),SUMIFS(Producao!$B:$B,Producao!$A:$A,"&gt;="&amp;O66,Producao!$A:$A,"&lt;"&amp;A66)))))</f>
        <v/>
      </c>
      <c r="E66">
        <f>IF(N66="","",INDEX(Equipamentos!$C$2:$C$61,N66))</f>
        <v/>
      </c>
      <c r="F66" s="57">
        <f>IF(OR(D66="",N(Q66)&lt;=0),"",D66/Q66)</f>
        <v/>
      </c>
      <c r="G66" s="55" t="n"/>
      <c r="H66" s="58" t="n"/>
      <c r="I66" s="58" t="n"/>
      <c r="J66" s="55" t="n"/>
      <c r="K66" s="55" t="n"/>
      <c r="L66">
        <f>IF(OR(A66="",B66=""),"",_xlfn.MAXIFS(TrocasEquip!$A$2:$A$1000,TrocasEquip!$B$2:$B$1000,B66,TrocasEquip!$A$2:$A$1000,"&lt;"&amp;A66))</f>
        <v/>
      </c>
      <c r="M66">
        <f>IF(N(L66)=0,0,MATCH(1,INDEX((TrocasEquip!$B$2:$B$1000=B66)*(TrocasEquip!$A$2:$A$1000=L66),0),0))</f>
        <v/>
      </c>
      <c r="N66">
        <f>IF(B66="","",IFERROR(MATCH(B66,Equipamentos!$P$2:$P$61,0),""))</f>
        <v/>
      </c>
      <c r="O66">
        <f>IF(N66="","",IF(M66=0,INDEX(Equipamentos!$U$2:$U$61,N66),L66))</f>
        <v/>
      </c>
      <c r="P66">
        <f>IF(N66="","",IF(M66=0,N(INDEX(Equipamentos!$V$2:$V$61,N66)),N(INDEX(TrocasEquip!$I$2:$I$1000,M66))))</f>
        <v/>
      </c>
      <c r="Q66">
        <f>IF(N66="","",IF(M66=0,INDEX(Equipamentos!$T$2:$T$61,N66),IF(INDEX(TrocasEquip!$H$2:$H$1000,M66)="",INDEX(Equipamentos!$T$2:$T$61,N66),INDEX(TrocasEquip!$H$2:$H$1000,M66))))</f>
        <v/>
      </c>
    </row>
    <row r="67">
      <c r="A67" s="54" t="n"/>
      <c r="B67" s="55" t="n"/>
      <c r="C67">
        <f>IF(B67="","",IF(N67="","posição não encontrada",IF(M67=0,INDEX(Equipamentos!$S$2:$S$61,N67),INDEX(TrocasEquip!$G$2:$G$1000,M67))))</f>
        <v/>
      </c>
      <c r="D67" s="56">
        <f>IF(OR(A67="",N67=""),"",P67+IF(E67="dias",MAX(0,A67-O67),IF(INDEX(Equipamentos!$D$2:$D$61,N67)=2,SUMIFS(Producao!$D:$D,Producao!$A:$A,"&gt;="&amp;O67,Producao!$A:$A,"&lt;"&amp;A67),IF(INDEX(Equipamentos!$D$2:$D$61,N67)=3,SUMIFS(Producao!$E:$E,Producao!$A:$A,"&gt;="&amp;O67,Producao!$A:$A,"&lt;"&amp;A67),SUMIFS(Producao!$B:$B,Producao!$A:$A,"&gt;="&amp;O67,Producao!$A:$A,"&lt;"&amp;A67)))))</f>
        <v/>
      </c>
      <c r="E67">
        <f>IF(N67="","",INDEX(Equipamentos!$C$2:$C$61,N67))</f>
        <v/>
      </c>
      <c r="F67" s="57">
        <f>IF(OR(D67="",N(Q67)&lt;=0),"",D67/Q67)</f>
        <v/>
      </c>
      <c r="G67" s="55" t="n"/>
      <c r="H67" s="58" t="n"/>
      <c r="I67" s="58" t="n"/>
      <c r="J67" s="55" t="n"/>
      <c r="K67" s="55" t="n"/>
      <c r="L67">
        <f>IF(OR(A67="",B67=""),"",_xlfn.MAXIFS(TrocasEquip!$A$2:$A$1000,TrocasEquip!$B$2:$B$1000,B67,TrocasEquip!$A$2:$A$1000,"&lt;"&amp;A67))</f>
        <v/>
      </c>
      <c r="M67">
        <f>IF(N(L67)=0,0,MATCH(1,INDEX((TrocasEquip!$B$2:$B$1000=B67)*(TrocasEquip!$A$2:$A$1000=L67),0),0))</f>
        <v/>
      </c>
      <c r="N67">
        <f>IF(B67="","",IFERROR(MATCH(B67,Equipamentos!$P$2:$P$61,0),""))</f>
        <v/>
      </c>
      <c r="O67">
        <f>IF(N67="","",IF(M67=0,INDEX(Equipamentos!$U$2:$U$61,N67),L67))</f>
        <v/>
      </c>
      <c r="P67">
        <f>IF(N67="","",IF(M67=0,N(INDEX(Equipamentos!$V$2:$V$61,N67)),N(INDEX(TrocasEquip!$I$2:$I$1000,M67))))</f>
        <v/>
      </c>
      <c r="Q67">
        <f>IF(N67="","",IF(M67=0,INDEX(Equipamentos!$T$2:$T$61,N67),IF(INDEX(TrocasEquip!$H$2:$H$1000,M67)="",INDEX(Equipamentos!$T$2:$T$61,N67),INDEX(TrocasEquip!$H$2:$H$1000,M67))))</f>
        <v/>
      </c>
    </row>
    <row r="68">
      <c r="A68" s="54" t="n"/>
      <c r="B68" s="55" t="n"/>
      <c r="C68">
        <f>IF(B68="","",IF(N68="","posição não encontrada",IF(M68=0,INDEX(Equipamentos!$S$2:$S$61,N68),INDEX(TrocasEquip!$G$2:$G$1000,M68))))</f>
        <v/>
      </c>
      <c r="D68" s="56">
        <f>IF(OR(A68="",N68=""),"",P68+IF(E68="dias",MAX(0,A68-O68),IF(INDEX(Equipamentos!$D$2:$D$61,N68)=2,SUMIFS(Producao!$D:$D,Producao!$A:$A,"&gt;="&amp;O68,Producao!$A:$A,"&lt;"&amp;A68),IF(INDEX(Equipamentos!$D$2:$D$61,N68)=3,SUMIFS(Producao!$E:$E,Producao!$A:$A,"&gt;="&amp;O68,Producao!$A:$A,"&lt;"&amp;A68),SUMIFS(Producao!$B:$B,Producao!$A:$A,"&gt;="&amp;O68,Producao!$A:$A,"&lt;"&amp;A68)))))</f>
        <v/>
      </c>
      <c r="E68">
        <f>IF(N68="","",INDEX(Equipamentos!$C$2:$C$61,N68))</f>
        <v/>
      </c>
      <c r="F68" s="57">
        <f>IF(OR(D68="",N(Q68)&lt;=0),"",D68/Q68)</f>
        <v/>
      </c>
      <c r="G68" s="55" t="n"/>
      <c r="H68" s="58" t="n"/>
      <c r="I68" s="58" t="n"/>
      <c r="J68" s="55" t="n"/>
      <c r="K68" s="55" t="n"/>
      <c r="L68">
        <f>IF(OR(A68="",B68=""),"",_xlfn.MAXIFS(TrocasEquip!$A$2:$A$1000,TrocasEquip!$B$2:$B$1000,B68,TrocasEquip!$A$2:$A$1000,"&lt;"&amp;A68))</f>
        <v/>
      </c>
      <c r="M68">
        <f>IF(N(L68)=0,0,MATCH(1,INDEX((TrocasEquip!$B$2:$B$1000=B68)*(TrocasEquip!$A$2:$A$1000=L68),0),0))</f>
        <v/>
      </c>
      <c r="N68">
        <f>IF(B68="","",IFERROR(MATCH(B68,Equipamentos!$P$2:$P$61,0),""))</f>
        <v/>
      </c>
      <c r="O68">
        <f>IF(N68="","",IF(M68=0,INDEX(Equipamentos!$U$2:$U$61,N68),L68))</f>
        <v/>
      </c>
      <c r="P68">
        <f>IF(N68="","",IF(M68=0,N(INDEX(Equipamentos!$V$2:$V$61,N68)),N(INDEX(TrocasEquip!$I$2:$I$1000,M68))))</f>
        <v/>
      </c>
      <c r="Q68">
        <f>IF(N68="","",IF(M68=0,INDEX(Equipamentos!$T$2:$T$61,N68),IF(INDEX(TrocasEquip!$H$2:$H$1000,M68)="",INDEX(Equipamentos!$T$2:$T$61,N68),INDEX(TrocasEquip!$H$2:$H$1000,M68))))</f>
        <v/>
      </c>
    </row>
    <row r="69">
      <c r="A69" s="54" t="n"/>
      <c r="B69" s="55" t="n"/>
      <c r="C69">
        <f>IF(B69="","",IF(N69="","posição não encontrada",IF(M69=0,INDEX(Equipamentos!$S$2:$S$61,N69),INDEX(TrocasEquip!$G$2:$G$1000,M69))))</f>
        <v/>
      </c>
      <c r="D69" s="56">
        <f>IF(OR(A69="",N69=""),"",P69+IF(E69="dias",MAX(0,A69-O69),IF(INDEX(Equipamentos!$D$2:$D$61,N69)=2,SUMIFS(Producao!$D:$D,Producao!$A:$A,"&gt;="&amp;O69,Producao!$A:$A,"&lt;"&amp;A69),IF(INDEX(Equipamentos!$D$2:$D$61,N69)=3,SUMIFS(Producao!$E:$E,Producao!$A:$A,"&gt;="&amp;O69,Producao!$A:$A,"&lt;"&amp;A69),SUMIFS(Producao!$B:$B,Producao!$A:$A,"&gt;="&amp;O69,Producao!$A:$A,"&lt;"&amp;A69)))))</f>
        <v/>
      </c>
      <c r="E69">
        <f>IF(N69="","",INDEX(Equipamentos!$C$2:$C$61,N69))</f>
        <v/>
      </c>
      <c r="F69" s="57">
        <f>IF(OR(D69="",N(Q69)&lt;=0),"",D69/Q69)</f>
        <v/>
      </c>
      <c r="G69" s="55" t="n"/>
      <c r="H69" s="58" t="n"/>
      <c r="I69" s="58" t="n"/>
      <c r="J69" s="55" t="n"/>
      <c r="K69" s="55" t="n"/>
      <c r="L69">
        <f>IF(OR(A69="",B69=""),"",_xlfn.MAXIFS(TrocasEquip!$A$2:$A$1000,TrocasEquip!$B$2:$B$1000,B69,TrocasEquip!$A$2:$A$1000,"&lt;"&amp;A69))</f>
        <v/>
      </c>
      <c r="M69">
        <f>IF(N(L69)=0,0,MATCH(1,INDEX((TrocasEquip!$B$2:$B$1000=B69)*(TrocasEquip!$A$2:$A$1000=L69),0),0))</f>
        <v/>
      </c>
      <c r="N69">
        <f>IF(B69="","",IFERROR(MATCH(B69,Equipamentos!$P$2:$P$61,0),""))</f>
        <v/>
      </c>
      <c r="O69">
        <f>IF(N69="","",IF(M69=0,INDEX(Equipamentos!$U$2:$U$61,N69),L69))</f>
        <v/>
      </c>
      <c r="P69">
        <f>IF(N69="","",IF(M69=0,N(INDEX(Equipamentos!$V$2:$V$61,N69)),N(INDEX(TrocasEquip!$I$2:$I$1000,M69))))</f>
        <v/>
      </c>
      <c r="Q69">
        <f>IF(N69="","",IF(M69=0,INDEX(Equipamentos!$T$2:$T$61,N69),IF(INDEX(TrocasEquip!$H$2:$H$1000,M69)="",INDEX(Equipamentos!$T$2:$T$61,N69),INDEX(TrocasEquip!$H$2:$H$1000,M69))))</f>
        <v/>
      </c>
    </row>
    <row r="70">
      <c r="A70" s="54" t="n"/>
      <c r="B70" s="55" t="n"/>
      <c r="C70">
        <f>IF(B70="","",IF(N70="","posição não encontrada",IF(M70=0,INDEX(Equipamentos!$S$2:$S$61,N70),INDEX(TrocasEquip!$G$2:$G$1000,M70))))</f>
        <v/>
      </c>
      <c r="D70" s="56">
        <f>IF(OR(A70="",N70=""),"",P70+IF(E70="dias",MAX(0,A70-O70),IF(INDEX(Equipamentos!$D$2:$D$61,N70)=2,SUMIFS(Producao!$D:$D,Producao!$A:$A,"&gt;="&amp;O70,Producao!$A:$A,"&lt;"&amp;A70),IF(INDEX(Equipamentos!$D$2:$D$61,N70)=3,SUMIFS(Producao!$E:$E,Producao!$A:$A,"&gt;="&amp;O70,Producao!$A:$A,"&lt;"&amp;A70),SUMIFS(Producao!$B:$B,Producao!$A:$A,"&gt;="&amp;O70,Producao!$A:$A,"&lt;"&amp;A70)))))</f>
        <v/>
      </c>
      <c r="E70">
        <f>IF(N70="","",INDEX(Equipamentos!$C$2:$C$61,N70))</f>
        <v/>
      </c>
      <c r="F70" s="57">
        <f>IF(OR(D70="",N(Q70)&lt;=0),"",D70/Q70)</f>
        <v/>
      </c>
      <c r="G70" s="55" t="n"/>
      <c r="H70" s="58" t="n"/>
      <c r="I70" s="58" t="n"/>
      <c r="J70" s="55" t="n"/>
      <c r="K70" s="55" t="n"/>
      <c r="L70">
        <f>IF(OR(A70="",B70=""),"",_xlfn.MAXIFS(TrocasEquip!$A$2:$A$1000,TrocasEquip!$B$2:$B$1000,B70,TrocasEquip!$A$2:$A$1000,"&lt;"&amp;A70))</f>
        <v/>
      </c>
      <c r="M70">
        <f>IF(N(L70)=0,0,MATCH(1,INDEX((TrocasEquip!$B$2:$B$1000=B70)*(TrocasEquip!$A$2:$A$1000=L70),0),0))</f>
        <v/>
      </c>
      <c r="N70">
        <f>IF(B70="","",IFERROR(MATCH(B70,Equipamentos!$P$2:$P$61,0),""))</f>
        <v/>
      </c>
      <c r="O70">
        <f>IF(N70="","",IF(M70=0,INDEX(Equipamentos!$U$2:$U$61,N70),L70))</f>
        <v/>
      </c>
      <c r="P70">
        <f>IF(N70="","",IF(M70=0,N(INDEX(Equipamentos!$V$2:$V$61,N70)),N(INDEX(TrocasEquip!$I$2:$I$1000,M70))))</f>
        <v/>
      </c>
      <c r="Q70">
        <f>IF(N70="","",IF(M70=0,INDEX(Equipamentos!$T$2:$T$61,N70),IF(INDEX(TrocasEquip!$H$2:$H$1000,M70)="",INDEX(Equipamentos!$T$2:$T$61,N70),INDEX(TrocasEquip!$H$2:$H$1000,M70))))</f>
        <v/>
      </c>
    </row>
    <row r="71">
      <c r="A71" s="54" t="n"/>
      <c r="B71" s="55" t="n"/>
      <c r="C71">
        <f>IF(B71="","",IF(N71="","posição não encontrada",IF(M71=0,INDEX(Equipamentos!$S$2:$S$61,N71),INDEX(TrocasEquip!$G$2:$G$1000,M71))))</f>
        <v/>
      </c>
      <c r="D71" s="56">
        <f>IF(OR(A71="",N71=""),"",P71+IF(E71="dias",MAX(0,A71-O71),IF(INDEX(Equipamentos!$D$2:$D$61,N71)=2,SUMIFS(Producao!$D:$D,Producao!$A:$A,"&gt;="&amp;O71,Producao!$A:$A,"&lt;"&amp;A71),IF(INDEX(Equipamentos!$D$2:$D$61,N71)=3,SUMIFS(Producao!$E:$E,Producao!$A:$A,"&gt;="&amp;O71,Producao!$A:$A,"&lt;"&amp;A71),SUMIFS(Producao!$B:$B,Producao!$A:$A,"&gt;="&amp;O71,Producao!$A:$A,"&lt;"&amp;A71)))))</f>
        <v/>
      </c>
      <c r="E71">
        <f>IF(N71="","",INDEX(Equipamentos!$C$2:$C$61,N71))</f>
        <v/>
      </c>
      <c r="F71" s="57">
        <f>IF(OR(D71="",N(Q71)&lt;=0),"",D71/Q71)</f>
        <v/>
      </c>
      <c r="G71" s="55" t="n"/>
      <c r="H71" s="58" t="n"/>
      <c r="I71" s="58" t="n"/>
      <c r="J71" s="55" t="n"/>
      <c r="K71" s="55" t="n"/>
      <c r="L71">
        <f>IF(OR(A71="",B71=""),"",_xlfn.MAXIFS(TrocasEquip!$A$2:$A$1000,TrocasEquip!$B$2:$B$1000,B71,TrocasEquip!$A$2:$A$1000,"&lt;"&amp;A71))</f>
        <v/>
      </c>
      <c r="M71">
        <f>IF(N(L71)=0,0,MATCH(1,INDEX((TrocasEquip!$B$2:$B$1000=B71)*(TrocasEquip!$A$2:$A$1000=L71),0),0))</f>
        <v/>
      </c>
      <c r="N71">
        <f>IF(B71="","",IFERROR(MATCH(B71,Equipamentos!$P$2:$P$61,0),""))</f>
        <v/>
      </c>
      <c r="O71">
        <f>IF(N71="","",IF(M71=0,INDEX(Equipamentos!$U$2:$U$61,N71),L71))</f>
        <v/>
      </c>
      <c r="P71">
        <f>IF(N71="","",IF(M71=0,N(INDEX(Equipamentos!$V$2:$V$61,N71)),N(INDEX(TrocasEquip!$I$2:$I$1000,M71))))</f>
        <v/>
      </c>
      <c r="Q71">
        <f>IF(N71="","",IF(M71=0,INDEX(Equipamentos!$T$2:$T$61,N71),IF(INDEX(TrocasEquip!$H$2:$H$1000,M71)="",INDEX(Equipamentos!$T$2:$T$61,N71),INDEX(TrocasEquip!$H$2:$H$1000,M71))))</f>
        <v/>
      </c>
    </row>
    <row r="72">
      <c r="A72" s="54" t="n"/>
      <c r="B72" s="55" t="n"/>
      <c r="C72">
        <f>IF(B72="","",IF(N72="","posição não encontrada",IF(M72=0,INDEX(Equipamentos!$S$2:$S$61,N72),INDEX(TrocasEquip!$G$2:$G$1000,M72))))</f>
        <v/>
      </c>
      <c r="D72" s="56">
        <f>IF(OR(A72="",N72=""),"",P72+IF(E72="dias",MAX(0,A72-O72),IF(INDEX(Equipamentos!$D$2:$D$61,N72)=2,SUMIFS(Producao!$D:$D,Producao!$A:$A,"&gt;="&amp;O72,Producao!$A:$A,"&lt;"&amp;A72),IF(INDEX(Equipamentos!$D$2:$D$61,N72)=3,SUMIFS(Producao!$E:$E,Producao!$A:$A,"&gt;="&amp;O72,Producao!$A:$A,"&lt;"&amp;A72),SUMIFS(Producao!$B:$B,Producao!$A:$A,"&gt;="&amp;O72,Producao!$A:$A,"&lt;"&amp;A72)))))</f>
        <v/>
      </c>
      <c r="E72">
        <f>IF(N72="","",INDEX(Equipamentos!$C$2:$C$61,N72))</f>
        <v/>
      </c>
      <c r="F72" s="57">
        <f>IF(OR(D72="",N(Q72)&lt;=0),"",D72/Q72)</f>
        <v/>
      </c>
      <c r="G72" s="55" t="n"/>
      <c r="H72" s="58" t="n"/>
      <c r="I72" s="58" t="n"/>
      <c r="J72" s="55" t="n"/>
      <c r="K72" s="55" t="n"/>
      <c r="L72">
        <f>IF(OR(A72="",B72=""),"",_xlfn.MAXIFS(TrocasEquip!$A$2:$A$1000,TrocasEquip!$B$2:$B$1000,B72,TrocasEquip!$A$2:$A$1000,"&lt;"&amp;A72))</f>
        <v/>
      </c>
      <c r="M72">
        <f>IF(N(L72)=0,0,MATCH(1,INDEX((TrocasEquip!$B$2:$B$1000=B72)*(TrocasEquip!$A$2:$A$1000=L72),0),0))</f>
        <v/>
      </c>
      <c r="N72">
        <f>IF(B72="","",IFERROR(MATCH(B72,Equipamentos!$P$2:$P$61,0),""))</f>
        <v/>
      </c>
      <c r="O72">
        <f>IF(N72="","",IF(M72=0,INDEX(Equipamentos!$U$2:$U$61,N72),L72))</f>
        <v/>
      </c>
      <c r="P72">
        <f>IF(N72="","",IF(M72=0,N(INDEX(Equipamentos!$V$2:$V$61,N72)),N(INDEX(TrocasEquip!$I$2:$I$1000,M72))))</f>
        <v/>
      </c>
      <c r="Q72">
        <f>IF(N72="","",IF(M72=0,INDEX(Equipamentos!$T$2:$T$61,N72),IF(INDEX(TrocasEquip!$H$2:$H$1000,M72)="",INDEX(Equipamentos!$T$2:$T$61,N72),INDEX(TrocasEquip!$H$2:$H$1000,M72))))</f>
        <v/>
      </c>
    </row>
    <row r="73">
      <c r="A73" s="54" t="n"/>
      <c r="B73" s="55" t="n"/>
      <c r="C73">
        <f>IF(B73="","",IF(N73="","posição não encontrada",IF(M73=0,INDEX(Equipamentos!$S$2:$S$61,N73),INDEX(TrocasEquip!$G$2:$G$1000,M73))))</f>
        <v/>
      </c>
      <c r="D73" s="56">
        <f>IF(OR(A73="",N73=""),"",P73+IF(E73="dias",MAX(0,A73-O73),IF(INDEX(Equipamentos!$D$2:$D$61,N73)=2,SUMIFS(Producao!$D:$D,Producao!$A:$A,"&gt;="&amp;O73,Producao!$A:$A,"&lt;"&amp;A73),IF(INDEX(Equipamentos!$D$2:$D$61,N73)=3,SUMIFS(Producao!$E:$E,Producao!$A:$A,"&gt;="&amp;O73,Producao!$A:$A,"&lt;"&amp;A73),SUMIFS(Producao!$B:$B,Producao!$A:$A,"&gt;="&amp;O73,Producao!$A:$A,"&lt;"&amp;A73)))))</f>
        <v/>
      </c>
      <c r="E73">
        <f>IF(N73="","",INDEX(Equipamentos!$C$2:$C$61,N73))</f>
        <v/>
      </c>
      <c r="F73" s="57">
        <f>IF(OR(D73="",N(Q73)&lt;=0),"",D73/Q73)</f>
        <v/>
      </c>
      <c r="G73" s="55" t="n"/>
      <c r="H73" s="58" t="n"/>
      <c r="I73" s="58" t="n"/>
      <c r="J73" s="55" t="n"/>
      <c r="K73" s="55" t="n"/>
      <c r="L73">
        <f>IF(OR(A73="",B73=""),"",_xlfn.MAXIFS(TrocasEquip!$A$2:$A$1000,TrocasEquip!$B$2:$B$1000,B73,TrocasEquip!$A$2:$A$1000,"&lt;"&amp;A73))</f>
        <v/>
      </c>
      <c r="M73">
        <f>IF(N(L73)=0,0,MATCH(1,INDEX((TrocasEquip!$B$2:$B$1000=B73)*(TrocasEquip!$A$2:$A$1000=L73),0),0))</f>
        <v/>
      </c>
      <c r="N73">
        <f>IF(B73="","",IFERROR(MATCH(B73,Equipamentos!$P$2:$P$61,0),""))</f>
        <v/>
      </c>
      <c r="O73">
        <f>IF(N73="","",IF(M73=0,INDEX(Equipamentos!$U$2:$U$61,N73),L73))</f>
        <v/>
      </c>
      <c r="P73">
        <f>IF(N73="","",IF(M73=0,N(INDEX(Equipamentos!$V$2:$V$61,N73)),N(INDEX(TrocasEquip!$I$2:$I$1000,M73))))</f>
        <v/>
      </c>
      <c r="Q73">
        <f>IF(N73="","",IF(M73=0,INDEX(Equipamentos!$T$2:$T$61,N73),IF(INDEX(TrocasEquip!$H$2:$H$1000,M73)="",INDEX(Equipamentos!$T$2:$T$61,N73),INDEX(TrocasEquip!$H$2:$H$1000,M73))))</f>
        <v/>
      </c>
    </row>
    <row r="74">
      <c r="A74" s="54" t="n"/>
      <c r="B74" s="55" t="n"/>
      <c r="C74">
        <f>IF(B74="","",IF(N74="","posição não encontrada",IF(M74=0,INDEX(Equipamentos!$S$2:$S$61,N74),INDEX(TrocasEquip!$G$2:$G$1000,M74))))</f>
        <v/>
      </c>
      <c r="D74" s="56">
        <f>IF(OR(A74="",N74=""),"",P74+IF(E74="dias",MAX(0,A74-O74),IF(INDEX(Equipamentos!$D$2:$D$61,N74)=2,SUMIFS(Producao!$D:$D,Producao!$A:$A,"&gt;="&amp;O74,Producao!$A:$A,"&lt;"&amp;A74),IF(INDEX(Equipamentos!$D$2:$D$61,N74)=3,SUMIFS(Producao!$E:$E,Producao!$A:$A,"&gt;="&amp;O74,Producao!$A:$A,"&lt;"&amp;A74),SUMIFS(Producao!$B:$B,Producao!$A:$A,"&gt;="&amp;O74,Producao!$A:$A,"&lt;"&amp;A74)))))</f>
        <v/>
      </c>
      <c r="E74">
        <f>IF(N74="","",INDEX(Equipamentos!$C$2:$C$61,N74))</f>
        <v/>
      </c>
      <c r="F74" s="57">
        <f>IF(OR(D74="",N(Q74)&lt;=0),"",D74/Q74)</f>
        <v/>
      </c>
      <c r="G74" s="55" t="n"/>
      <c r="H74" s="58" t="n"/>
      <c r="I74" s="58" t="n"/>
      <c r="J74" s="55" t="n"/>
      <c r="K74" s="55" t="n"/>
      <c r="L74">
        <f>IF(OR(A74="",B74=""),"",_xlfn.MAXIFS(TrocasEquip!$A$2:$A$1000,TrocasEquip!$B$2:$B$1000,B74,TrocasEquip!$A$2:$A$1000,"&lt;"&amp;A74))</f>
        <v/>
      </c>
      <c r="M74">
        <f>IF(N(L74)=0,0,MATCH(1,INDEX((TrocasEquip!$B$2:$B$1000=B74)*(TrocasEquip!$A$2:$A$1000=L74),0),0))</f>
        <v/>
      </c>
      <c r="N74">
        <f>IF(B74="","",IFERROR(MATCH(B74,Equipamentos!$P$2:$P$61,0),""))</f>
        <v/>
      </c>
      <c r="O74">
        <f>IF(N74="","",IF(M74=0,INDEX(Equipamentos!$U$2:$U$61,N74),L74))</f>
        <v/>
      </c>
      <c r="P74">
        <f>IF(N74="","",IF(M74=0,N(INDEX(Equipamentos!$V$2:$V$61,N74)),N(INDEX(TrocasEquip!$I$2:$I$1000,M74))))</f>
        <v/>
      </c>
      <c r="Q74">
        <f>IF(N74="","",IF(M74=0,INDEX(Equipamentos!$T$2:$T$61,N74),IF(INDEX(TrocasEquip!$H$2:$H$1000,M74)="",INDEX(Equipamentos!$T$2:$T$61,N74),INDEX(TrocasEquip!$H$2:$H$1000,M74))))</f>
        <v/>
      </c>
    </row>
    <row r="75">
      <c r="A75" s="54" t="n"/>
      <c r="B75" s="55" t="n"/>
      <c r="C75">
        <f>IF(B75="","",IF(N75="","posição não encontrada",IF(M75=0,INDEX(Equipamentos!$S$2:$S$61,N75),INDEX(TrocasEquip!$G$2:$G$1000,M75))))</f>
        <v/>
      </c>
      <c r="D75" s="56">
        <f>IF(OR(A75="",N75=""),"",P75+IF(E75="dias",MAX(0,A75-O75),IF(INDEX(Equipamentos!$D$2:$D$61,N75)=2,SUMIFS(Producao!$D:$D,Producao!$A:$A,"&gt;="&amp;O75,Producao!$A:$A,"&lt;"&amp;A75),IF(INDEX(Equipamentos!$D$2:$D$61,N75)=3,SUMIFS(Producao!$E:$E,Producao!$A:$A,"&gt;="&amp;O75,Producao!$A:$A,"&lt;"&amp;A75),SUMIFS(Producao!$B:$B,Producao!$A:$A,"&gt;="&amp;O75,Producao!$A:$A,"&lt;"&amp;A75)))))</f>
        <v/>
      </c>
      <c r="E75">
        <f>IF(N75="","",INDEX(Equipamentos!$C$2:$C$61,N75))</f>
        <v/>
      </c>
      <c r="F75" s="57">
        <f>IF(OR(D75="",N(Q75)&lt;=0),"",D75/Q75)</f>
        <v/>
      </c>
      <c r="G75" s="55" t="n"/>
      <c r="H75" s="58" t="n"/>
      <c r="I75" s="58" t="n"/>
      <c r="J75" s="55" t="n"/>
      <c r="K75" s="55" t="n"/>
      <c r="L75">
        <f>IF(OR(A75="",B75=""),"",_xlfn.MAXIFS(TrocasEquip!$A$2:$A$1000,TrocasEquip!$B$2:$B$1000,B75,TrocasEquip!$A$2:$A$1000,"&lt;"&amp;A75))</f>
        <v/>
      </c>
      <c r="M75">
        <f>IF(N(L75)=0,0,MATCH(1,INDEX((TrocasEquip!$B$2:$B$1000=B75)*(TrocasEquip!$A$2:$A$1000=L75),0),0))</f>
        <v/>
      </c>
      <c r="N75">
        <f>IF(B75="","",IFERROR(MATCH(B75,Equipamentos!$P$2:$P$61,0),""))</f>
        <v/>
      </c>
      <c r="O75">
        <f>IF(N75="","",IF(M75=0,INDEX(Equipamentos!$U$2:$U$61,N75),L75))</f>
        <v/>
      </c>
      <c r="P75">
        <f>IF(N75="","",IF(M75=0,N(INDEX(Equipamentos!$V$2:$V$61,N75)),N(INDEX(TrocasEquip!$I$2:$I$1000,M75))))</f>
        <v/>
      </c>
      <c r="Q75">
        <f>IF(N75="","",IF(M75=0,INDEX(Equipamentos!$T$2:$T$61,N75),IF(INDEX(TrocasEquip!$H$2:$H$1000,M75)="",INDEX(Equipamentos!$T$2:$T$61,N75),INDEX(TrocasEquip!$H$2:$H$1000,M75))))</f>
        <v/>
      </c>
    </row>
    <row r="76">
      <c r="A76" s="54" t="n"/>
      <c r="B76" s="55" t="n"/>
      <c r="C76">
        <f>IF(B76="","",IF(N76="","posição não encontrada",IF(M76=0,INDEX(Equipamentos!$S$2:$S$61,N76),INDEX(TrocasEquip!$G$2:$G$1000,M76))))</f>
        <v/>
      </c>
      <c r="D76" s="56">
        <f>IF(OR(A76="",N76=""),"",P76+IF(E76="dias",MAX(0,A76-O76),IF(INDEX(Equipamentos!$D$2:$D$61,N76)=2,SUMIFS(Producao!$D:$D,Producao!$A:$A,"&gt;="&amp;O76,Producao!$A:$A,"&lt;"&amp;A76),IF(INDEX(Equipamentos!$D$2:$D$61,N76)=3,SUMIFS(Producao!$E:$E,Producao!$A:$A,"&gt;="&amp;O76,Producao!$A:$A,"&lt;"&amp;A76),SUMIFS(Producao!$B:$B,Producao!$A:$A,"&gt;="&amp;O76,Producao!$A:$A,"&lt;"&amp;A76)))))</f>
        <v/>
      </c>
      <c r="E76">
        <f>IF(N76="","",INDEX(Equipamentos!$C$2:$C$61,N76))</f>
        <v/>
      </c>
      <c r="F76" s="57">
        <f>IF(OR(D76="",N(Q76)&lt;=0),"",D76/Q76)</f>
        <v/>
      </c>
      <c r="G76" s="55" t="n"/>
      <c r="H76" s="58" t="n"/>
      <c r="I76" s="58" t="n"/>
      <c r="J76" s="55" t="n"/>
      <c r="K76" s="55" t="n"/>
      <c r="L76">
        <f>IF(OR(A76="",B76=""),"",_xlfn.MAXIFS(TrocasEquip!$A$2:$A$1000,TrocasEquip!$B$2:$B$1000,B76,TrocasEquip!$A$2:$A$1000,"&lt;"&amp;A76))</f>
        <v/>
      </c>
      <c r="M76">
        <f>IF(N(L76)=0,0,MATCH(1,INDEX((TrocasEquip!$B$2:$B$1000=B76)*(TrocasEquip!$A$2:$A$1000=L76),0),0))</f>
        <v/>
      </c>
      <c r="N76">
        <f>IF(B76="","",IFERROR(MATCH(B76,Equipamentos!$P$2:$P$61,0),""))</f>
        <v/>
      </c>
      <c r="O76">
        <f>IF(N76="","",IF(M76=0,INDEX(Equipamentos!$U$2:$U$61,N76),L76))</f>
        <v/>
      </c>
      <c r="P76">
        <f>IF(N76="","",IF(M76=0,N(INDEX(Equipamentos!$V$2:$V$61,N76)),N(INDEX(TrocasEquip!$I$2:$I$1000,M76))))</f>
        <v/>
      </c>
      <c r="Q76">
        <f>IF(N76="","",IF(M76=0,INDEX(Equipamentos!$T$2:$T$61,N76),IF(INDEX(TrocasEquip!$H$2:$H$1000,M76)="",INDEX(Equipamentos!$T$2:$T$61,N76),INDEX(TrocasEquip!$H$2:$H$1000,M76))))</f>
        <v/>
      </c>
    </row>
    <row r="77">
      <c r="A77" s="54" t="n"/>
      <c r="B77" s="55" t="n"/>
      <c r="C77">
        <f>IF(B77="","",IF(N77="","posição não encontrada",IF(M77=0,INDEX(Equipamentos!$S$2:$S$61,N77),INDEX(TrocasEquip!$G$2:$G$1000,M77))))</f>
        <v/>
      </c>
      <c r="D77" s="56">
        <f>IF(OR(A77="",N77=""),"",P77+IF(E77="dias",MAX(0,A77-O77),IF(INDEX(Equipamentos!$D$2:$D$61,N77)=2,SUMIFS(Producao!$D:$D,Producao!$A:$A,"&gt;="&amp;O77,Producao!$A:$A,"&lt;"&amp;A77),IF(INDEX(Equipamentos!$D$2:$D$61,N77)=3,SUMIFS(Producao!$E:$E,Producao!$A:$A,"&gt;="&amp;O77,Producao!$A:$A,"&lt;"&amp;A77),SUMIFS(Producao!$B:$B,Producao!$A:$A,"&gt;="&amp;O77,Producao!$A:$A,"&lt;"&amp;A77)))))</f>
        <v/>
      </c>
      <c r="E77">
        <f>IF(N77="","",INDEX(Equipamentos!$C$2:$C$61,N77))</f>
        <v/>
      </c>
      <c r="F77" s="57">
        <f>IF(OR(D77="",N(Q77)&lt;=0),"",D77/Q77)</f>
        <v/>
      </c>
      <c r="G77" s="55" t="n"/>
      <c r="H77" s="58" t="n"/>
      <c r="I77" s="58" t="n"/>
      <c r="J77" s="55" t="n"/>
      <c r="K77" s="55" t="n"/>
      <c r="L77">
        <f>IF(OR(A77="",B77=""),"",_xlfn.MAXIFS(TrocasEquip!$A$2:$A$1000,TrocasEquip!$B$2:$B$1000,B77,TrocasEquip!$A$2:$A$1000,"&lt;"&amp;A77))</f>
        <v/>
      </c>
      <c r="M77">
        <f>IF(N(L77)=0,0,MATCH(1,INDEX((TrocasEquip!$B$2:$B$1000=B77)*(TrocasEquip!$A$2:$A$1000=L77),0),0))</f>
        <v/>
      </c>
      <c r="N77">
        <f>IF(B77="","",IFERROR(MATCH(B77,Equipamentos!$P$2:$P$61,0),""))</f>
        <v/>
      </c>
      <c r="O77">
        <f>IF(N77="","",IF(M77=0,INDEX(Equipamentos!$U$2:$U$61,N77),L77))</f>
        <v/>
      </c>
      <c r="P77">
        <f>IF(N77="","",IF(M77=0,N(INDEX(Equipamentos!$V$2:$V$61,N77)),N(INDEX(TrocasEquip!$I$2:$I$1000,M77))))</f>
        <v/>
      </c>
      <c r="Q77">
        <f>IF(N77="","",IF(M77=0,INDEX(Equipamentos!$T$2:$T$61,N77),IF(INDEX(TrocasEquip!$H$2:$H$1000,M77)="",INDEX(Equipamentos!$T$2:$T$61,N77),INDEX(TrocasEquip!$H$2:$H$1000,M77))))</f>
        <v/>
      </c>
    </row>
    <row r="78">
      <c r="A78" s="54" t="n"/>
      <c r="B78" s="55" t="n"/>
      <c r="C78">
        <f>IF(B78="","",IF(N78="","posição não encontrada",IF(M78=0,INDEX(Equipamentos!$S$2:$S$61,N78),INDEX(TrocasEquip!$G$2:$G$1000,M78))))</f>
        <v/>
      </c>
      <c r="D78" s="56">
        <f>IF(OR(A78="",N78=""),"",P78+IF(E78="dias",MAX(0,A78-O78),IF(INDEX(Equipamentos!$D$2:$D$61,N78)=2,SUMIFS(Producao!$D:$D,Producao!$A:$A,"&gt;="&amp;O78,Producao!$A:$A,"&lt;"&amp;A78),IF(INDEX(Equipamentos!$D$2:$D$61,N78)=3,SUMIFS(Producao!$E:$E,Producao!$A:$A,"&gt;="&amp;O78,Producao!$A:$A,"&lt;"&amp;A78),SUMIFS(Producao!$B:$B,Producao!$A:$A,"&gt;="&amp;O78,Producao!$A:$A,"&lt;"&amp;A78)))))</f>
        <v/>
      </c>
      <c r="E78">
        <f>IF(N78="","",INDEX(Equipamentos!$C$2:$C$61,N78))</f>
        <v/>
      </c>
      <c r="F78" s="57">
        <f>IF(OR(D78="",N(Q78)&lt;=0),"",D78/Q78)</f>
        <v/>
      </c>
      <c r="G78" s="55" t="n"/>
      <c r="H78" s="58" t="n"/>
      <c r="I78" s="58" t="n"/>
      <c r="J78" s="55" t="n"/>
      <c r="K78" s="55" t="n"/>
      <c r="L78">
        <f>IF(OR(A78="",B78=""),"",_xlfn.MAXIFS(TrocasEquip!$A$2:$A$1000,TrocasEquip!$B$2:$B$1000,B78,TrocasEquip!$A$2:$A$1000,"&lt;"&amp;A78))</f>
        <v/>
      </c>
      <c r="M78">
        <f>IF(N(L78)=0,0,MATCH(1,INDEX((TrocasEquip!$B$2:$B$1000=B78)*(TrocasEquip!$A$2:$A$1000=L78),0),0))</f>
        <v/>
      </c>
      <c r="N78">
        <f>IF(B78="","",IFERROR(MATCH(B78,Equipamentos!$P$2:$P$61,0),""))</f>
        <v/>
      </c>
      <c r="O78">
        <f>IF(N78="","",IF(M78=0,INDEX(Equipamentos!$U$2:$U$61,N78),L78))</f>
        <v/>
      </c>
      <c r="P78">
        <f>IF(N78="","",IF(M78=0,N(INDEX(Equipamentos!$V$2:$V$61,N78)),N(INDEX(TrocasEquip!$I$2:$I$1000,M78))))</f>
        <v/>
      </c>
      <c r="Q78">
        <f>IF(N78="","",IF(M78=0,INDEX(Equipamentos!$T$2:$T$61,N78),IF(INDEX(TrocasEquip!$H$2:$H$1000,M78)="",INDEX(Equipamentos!$T$2:$T$61,N78),INDEX(TrocasEquip!$H$2:$H$1000,M78))))</f>
        <v/>
      </c>
    </row>
    <row r="79">
      <c r="A79" s="54" t="n"/>
      <c r="B79" s="55" t="n"/>
      <c r="C79">
        <f>IF(B79="","",IF(N79="","posição não encontrada",IF(M79=0,INDEX(Equipamentos!$S$2:$S$61,N79),INDEX(TrocasEquip!$G$2:$G$1000,M79))))</f>
        <v/>
      </c>
      <c r="D79" s="56">
        <f>IF(OR(A79="",N79=""),"",P79+IF(E79="dias",MAX(0,A79-O79),IF(INDEX(Equipamentos!$D$2:$D$61,N79)=2,SUMIFS(Producao!$D:$D,Producao!$A:$A,"&gt;="&amp;O79,Producao!$A:$A,"&lt;"&amp;A79),IF(INDEX(Equipamentos!$D$2:$D$61,N79)=3,SUMIFS(Producao!$E:$E,Producao!$A:$A,"&gt;="&amp;O79,Producao!$A:$A,"&lt;"&amp;A79),SUMIFS(Producao!$B:$B,Producao!$A:$A,"&gt;="&amp;O79,Producao!$A:$A,"&lt;"&amp;A79)))))</f>
        <v/>
      </c>
      <c r="E79">
        <f>IF(N79="","",INDEX(Equipamentos!$C$2:$C$61,N79))</f>
        <v/>
      </c>
      <c r="F79" s="57">
        <f>IF(OR(D79="",N(Q79)&lt;=0),"",D79/Q79)</f>
        <v/>
      </c>
      <c r="G79" s="55" t="n"/>
      <c r="H79" s="58" t="n"/>
      <c r="I79" s="58" t="n"/>
      <c r="J79" s="55" t="n"/>
      <c r="K79" s="55" t="n"/>
      <c r="L79">
        <f>IF(OR(A79="",B79=""),"",_xlfn.MAXIFS(TrocasEquip!$A$2:$A$1000,TrocasEquip!$B$2:$B$1000,B79,TrocasEquip!$A$2:$A$1000,"&lt;"&amp;A79))</f>
        <v/>
      </c>
      <c r="M79">
        <f>IF(N(L79)=0,0,MATCH(1,INDEX((TrocasEquip!$B$2:$B$1000=B79)*(TrocasEquip!$A$2:$A$1000=L79),0),0))</f>
        <v/>
      </c>
      <c r="N79">
        <f>IF(B79="","",IFERROR(MATCH(B79,Equipamentos!$P$2:$P$61,0),""))</f>
        <v/>
      </c>
      <c r="O79">
        <f>IF(N79="","",IF(M79=0,INDEX(Equipamentos!$U$2:$U$61,N79),L79))</f>
        <v/>
      </c>
      <c r="P79">
        <f>IF(N79="","",IF(M79=0,N(INDEX(Equipamentos!$V$2:$V$61,N79)),N(INDEX(TrocasEquip!$I$2:$I$1000,M79))))</f>
        <v/>
      </c>
      <c r="Q79">
        <f>IF(N79="","",IF(M79=0,INDEX(Equipamentos!$T$2:$T$61,N79),IF(INDEX(TrocasEquip!$H$2:$H$1000,M79)="",INDEX(Equipamentos!$T$2:$T$61,N79),INDEX(TrocasEquip!$H$2:$H$1000,M79))))</f>
        <v/>
      </c>
    </row>
    <row r="80">
      <c r="A80" s="54" t="n"/>
      <c r="B80" s="55" t="n"/>
      <c r="C80">
        <f>IF(B80="","",IF(N80="","posição não encontrada",IF(M80=0,INDEX(Equipamentos!$S$2:$S$61,N80),INDEX(TrocasEquip!$G$2:$G$1000,M80))))</f>
        <v/>
      </c>
      <c r="D80" s="56">
        <f>IF(OR(A80="",N80=""),"",P80+IF(E80="dias",MAX(0,A80-O80),IF(INDEX(Equipamentos!$D$2:$D$61,N80)=2,SUMIFS(Producao!$D:$D,Producao!$A:$A,"&gt;="&amp;O80,Producao!$A:$A,"&lt;"&amp;A80),IF(INDEX(Equipamentos!$D$2:$D$61,N80)=3,SUMIFS(Producao!$E:$E,Producao!$A:$A,"&gt;="&amp;O80,Producao!$A:$A,"&lt;"&amp;A80),SUMIFS(Producao!$B:$B,Producao!$A:$A,"&gt;="&amp;O80,Producao!$A:$A,"&lt;"&amp;A80)))))</f>
        <v/>
      </c>
      <c r="E80">
        <f>IF(N80="","",INDEX(Equipamentos!$C$2:$C$61,N80))</f>
        <v/>
      </c>
      <c r="F80" s="57">
        <f>IF(OR(D80="",N(Q80)&lt;=0),"",D80/Q80)</f>
        <v/>
      </c>
      <c r="G80" s="55" t="n"/>
      <c r="H80" s="58" t="n"/>
      <c r="I80" s="58" t="n"/>
      <c r="J80" s="55" t="n"/>
      <c r="K80" s="55" t="n"/>
      <c r="L80">
        <f>IF(OR(A80="",B80=""),"",_xlfn.MAXIFS(TrocasEquip!$A$2:$A$1000,TrocasEquip!$B$2:$B$1000,B80,TrocasEquip!$A$2:$A$1000,"&lt;"&amp;A80))</f>
        <v/>
      </c>
      <c r="M80">
        <f>IF(N(L80)=0,0,MATCH(1,INDEX((TrocasEquip!$B$2:$B$1000=B80)*(TrocasEquip!$A$2:$A$1000=L80),0),0))</f>
        <v/>
      </c>
      <c r="N80">
        <f>IF(B80="","",IFERROR(MATCH(B80,Equipamentos!$P$2:$P$61,0),""))</f>
        <v/>
      </c>
      <c r="O80">
        <f>IF(N80="","",IF(M80=0,INDEX(Equipamentos!$U$2:$U$61,N80),L80))</f>
        <v/>
      </c>
      <c r="P80">
        <f>IF(N80="","",IF(M80=0,N(INDEX(Equipamentos!$V$2:$V$61,N80)),N(INDEX(TrocasEquip!$I$2:$I$1000,M80))))</f>
        <v/>
      </c>
      <c r="Q80">
        <f>IF(N80="","",IF(M80=0,INDEX(Equipamentos!$T$2:$T$61,N80),IF(INDEX(TrocasEquip!$H$2:$H$1000,M80)="",INDEX(Equipamentos!$T$2:$T$61,N80),INDEX(TrocasEquip!$H$2:$H$1000,M80))))</f>
        <v/>
      </c>
    </row>
    <row r="81">
      <c r="A81" s="54" t="n"/>
      <c r="B81" s="55" t="n"/>
      <c r="C81">
        <f>IF(B81="","",IF(N81="","posição não encontrada",IF(M81=0,INDEX(Equipamentos!$S$2:$S$61,N81),INDEX(TrocasEquip!$G$2:$G$1000,M81))))</f>
        <v/>
      </c>
      <c r="D81" s="56">
        <f>IF(OR(A81="",N81=""),"",P81+IF(E81="dias",MAX(0,A81-O81),IF(INDEX(Equipamentos!$D$2:$D$61,N81)=2,SUMIFS(Producao!$D:$D,Producao!$A:$A,"&gt;="&amp;O81,Producao!$A:$A,"&lt;"&amp;A81),IF(INDEX(Equipamentos!$D$2:$D$61,N81)=3,SUMIFS(Producao!$E:$E,Producao!$A:$A,"&gt;="&amp;O81,Producao!$A:$A,"&lt;"&amp;A81),SUMIFS(Producao!$B:$B,Producao!$A:$A,"&gt;="&amp;O81,Producao!$A:$A,"&lt;"&amp;A81)))))</f>
        <v/>
      </c>
      <c r="E81">
        <f>IF(N81="","",INDEX(Equipamentos!$C$2:$C$61,N81))</f>
        <v/>
      </c>
      <c r="F81" s="57">
        <f>IF(OR(D81="",N(Q81)&lt;=0),"",D81/Q81)</f>
        <v/>
      </c>
      <c r="G81" s="55" t="n"/>
      <c r="H81" s="58" t="n"/>
      <c r="I81" s="58" t="n"/>
      <c r="J81" s="55" t="n"/>
      <c r="K81" s="55" t="n"/>
      <c r="L81">
        <f>IF(OR(A81="",B81=""),"",_xlfn.MAXIFS(TrocasEquip!$A$2:$A$1000,TrocasEquip!$B$2:$B$1000,B81,TrocasEquip!$A$2:$A$1000,"&lt;"&amp;A81))</f>
        <v/>
      </c>
      <c r="M81">
        <f>IF(N(L81)=0,0,MATCH(1,INDEX((TrocasEquip!$B$2:$B$1000=B81)*(TrocasEquip!$A$2:$A$1000=L81),0),0))</f>
        <v/>
      </c>
      <c r="N81">
        <f>IF(B81="","",IFERROR(MATCH(B81,Equipamentos!$P$2:$P$61,0),""))</f>
        <v/>
      </c>
      <c r="O81">
        <f>IF(N81="","",IF(M81=0,INDEX(Equipamentos!$U$2:$U$61,N81),L81))</f>
        <v/>
      </c>
      <c r="P81">
        <f>IF(N81="","",IF(M81=0,N(INDEX(Equipamentos!$V$2:$V$61,N81)),N(INDEX(TrocasEquip!$I$2:$I$1000,M81))))</f>
        <v/>
      </c>
      <c r="Q81">
        <f>IF(N81="","",IF(M81=0,INDEX(Equipamentos!$T$2:$T$61,N81),IF(INDEX(TrocasEquip!$H$2:$H$1000,M81)="",INDEX(Equipamentos!$T$2:$T$61,N81),INDEX(TrocasEquip!$H$2:$H$1000,M81))))</f>
        <v/>
      </c>
    </row>
    <row r="82">
      <c r="A82" s="54" t="n"/>
      <c r="B82" s="55" t="n"/>
      <c r="C82">
        <f>IF(B82="","",IF(N82="","posição não encontrada",IF(M82=0,INDEX(Equipamentos!$S$2:$S$61,N82),INDEX(TrocasEquip!$G$2:$G$1000,M82))))</f>
        <v/>
      </c>
      <c r="D82" s="56">
        <f>IF(OR(A82="",N82=""),"",P82+IF(E82="dias",MAX(0,A82-O82),IF(INDEX(Equipamentos!$D$2:$D$61,N82)=2,SUMIFS(Producao!$D:$D,Producao!$A:$A,"&gt;="&amp;O82,Producao!$A:$A,"&lt;"&amp;A82),IF(INDEX(Equipamentos!$D$2:$D$61,N82)=3,SUMIFS(Producao!$E:$E,Producao!$A:$A,"&gt;="&amp;O82,Producao!$A:$A,"&lt;"&amp;A82),SUMIFS(Producao!$B:$B,Producao!$A:$A,"&gt;="&amp;O82,Producao!$A:$A,"&lt;"&amp;A82)))))</f>
        <v/>
      </c>
      <c r="E82">
        <f>IF(N82="","",INDEX(Equipamentos!$C$2:$C$61,N82))</f>
        <v/>
      </c>
      <c r="F82" s="57">
        <f>IF(OR(D82="",N(Q82)&lt;=0),"",D82/Q82)</f>
        <v/>
      </c>
      <c r="G82" s="55" t="n"/>
      <c r="H82" s="58" t="n"/>
      <c r="I82" s="58" t="n"/>
      <c r="J82" s="55" t="n"/>
      <c r="K82" s="55" t="n"/>
      <c r="L82">
        <f>IF(OR(A82="",B82=""),"",_xlfn.MAXIFS(TrocasEquip!$A$2:$A$1000,TrocasEquip!$B$2:$B$1000,B82,TrocasEquip!$A$2:$A$1000,"&lt;"&amp;A82))</f>
        <v/>
      </c>
      <c r="M82">
        <f>IF(N(L82)=0,0,MATCH(1,INDEX((TrocasEquip!$B$2:$B$1000=B82)*(TrocasEquip!$A$2:$A$1000=L82),0),0))</f>
        <v/>
      </c>
      <c r="N82">
        <f>IF(B82="","",IFERROR(MATCH(B82,Equipamentos!$P$2:$P$61,0),""))</f>
        <v/>
      </c>
      <c r="O82">
        <f>IF(N82="","",IF(M82=0,INDEX(Equipamentos!$U$2:$U$61,N82),L82))</f>
        <v/>
      </c>
      <c r="P82">
        <f>IF(N82="","",IF(M82=0,N(INDEX(Equipamentos!$V$2:$V$61,N82)),N(INDEX(TrocasEquip!$I$2:$I$1000,M82))))</f>
        <v/>
      </c>
      <c r="Q82">
        <f>IF(N82="","",IF(M82=0,INDEX(Equipamentos!$T$2:$T$61,N82),IF(INDEX(TrocasEquip!$H$2:$H$1000,M82)="",INDEX(Equipamentos!$T$2:$T$61,N82),INDEX(TrocasEquip!$H$2:$H$1000,M82))))</f>
        <v/>
      </c>
    </row>
    <row r="83">
      <c r="A83" s="54" t="n"/>
      <c r="B83" s="55" t="n"/>
      <c r="C83">
        <f>IF(B83="","",IF(N83="","posição não encontrada",IF(M83=0,INDEX(Equipamentos!$S$2:$S$61,N83),INDEX(TrocasEquip!$G$2:$G$1000,M83))))</f>
        <v/>
      </c>
      <c r="D83" s="56">
        <f>IF(OR(A83="",N83=""),"",P83+IF(E83="dias",MAX(0,A83-O83),IF(INDEX(Equipamentos!$D$2:$D$61,N83)=2,SUMIFS(Producao!$D:$D,Producao!$A:$A,"&gt;="&amp;O83,Producao!$A:$A,"&lt;"&amp;A83),IF(INDEX(Equipamentos!$D$2:$D$61,N83)=3,SUMIFS(Producao!$E:$E,Producao!$A:$A,"&gt;="&amp;O83,Producao!$A:$A,"&lt;"&amp;A83),SUMIFS(Producao!$B:$B,Producao!$A:$A,"&gt;="&amp;O83,Producao!$A:$A,"&lt;"&amp;A83)))))</f>
        <v/>
      </c>
      <c r="E83">
        <f>IF(N83="","",INDEX(Equipamentos!$C$2:$C$61,N83))</f>
        <v/>
      </c>
      <c r="F83" s="57">
        <f>IF(OR(D83="",N(Q83)&lt;=0),"",D83/Q83)</f>
        <v/>
      </c>
      <c r="G83" s="55" t="n"/>
      <c r="H83" s="58" t="n"/>
      <c r="I83" s="58" t="n"/>
      <c r="J83" s="55" t="n"/>
      <c r="K83" s="55" t="n"/>
      <c r="L83">
        <f>IF(OR(A83="",B83=""),"",_xlfn.MAXIFS(TrocasEquip!$A$2:$A$1000,TrocasEquip!$B$2:$B$1000,B83,TrocasEquip!$A$2:$A$1000,"&lt;"&amp;A83))</f>
        <v/>
      </c>
      <c r="M83">
        <f>IF(N(L83)=0,0,MATCH(1,INDEX((TrocasEquip!$B$2:$B$1000=B83)*(TrocasEquip!$A$2:$A$1000=L83),0),0))</f>
        <v/>
      </c>
      <c r="N83">
        <f>IF(B83="","",IFERROR(MATCH(B83,Equipamentos!$P$2:$P$61,0),""))</f>
        <v/>
      </c>
      <c r="O83">
        <f>IF(N83="","",IF(M83=0,INDEX(Equipamentos!$U$2:$U$61,N83),L83))</f>
        <v/>
      </c>
      <c r="P83">
        <f>IF(N83="","",IF(M83=0,N(INDEX(Equipamentos!$V$2:$V$61,N83)),N(INDEX(TrocasEquip!$I$2:$I$1000,M83))))</f>
        <v/>
      </c>
      <c r="Q83">
        <f>IF(N83="","",IF(M83=0,INDEX(Equipamentos!$T$2:$T$61,N83),IF(INDEX(TrocasEquip!$H$2:$H$1000,M83)="",INDEX(Equipamentos!$T$2:$T$61,N83),INDEX(TrocasEquip!$H$2:$H$1000,M83))))</f>
        <v/>
      </c>
    </row>
    <row r="84">
      <c r="A84" s="54" t="n"/>
      <c r="B84" s="55" t="n"/>
      <c r="C84">
        <f>IF(B84="","",IF(N84="","posição não encontrada",IF(M84=0,INDEX(Equipamentos!$S$2:$S$61,N84),INDEX(TrocasEquip!$G$2:$G$1000,M84))))</f>
        <v/>
      </c>
      <c r="D84" s="56">
        <f>IF(OR(A84="",N84=""),"",P84+IF(E84="dias",MAX(0,A84-O84),IF(INDEX(Equipamentos!$D$2:$D$61,N84)=2,SUMIFS(Producao!$D:$D,Producao!$A:$A,"&gt;="&amp;O84,Producao!$A:$A,"&lt;"&amp;A84),IF(INDEX(Equipamentos!$D$2:$D$61,N84)=3,SUMIFS(Producao!$E:$E,Producao!$A:$A,"&gt;="&amp;O84,Producao!$A:$A,"&lt;"&amp;A84),SUMIFS(Producao!$B:$B,Producao!$A:$A,"&gt;="&amp;O84,Producao!$A:$A,"&lt;"&amp;A84)))))</f>
        <v/>
      </c>
      <c r="E84">
        <f>IF(N84="","",INDEX(Equipamentos!$C$2:$C$61,N84))</f>
        <v/>
      </c>
      <c r="F84" s="57">
        <f>IF(OR(D84="",N(Q84)&lt;=0),"",D84/Q84)</f>
        <v/>
      </c>
      <c r="G84" s="55" t="n"/>
      <c r="H84" s="58" t="n"/>
      <c r="I84" s="58" t="n"/>
      <c r="J84" s="55" t="n"/>
      <c r="K84" s="55" t="n"/>
      <c r="L84">
        <f>IF(OR(A84="",B84=""),"",_xlfn.MAXIFS(TrocasEquip!$A$2:$A$1000,TrocasEquip!$B$2:$B$1000,B84,TrocasEquip!$A$2:$A$1000,"&lt;"&amp;A84))</f>
        <v/>
      </c>
      <c r="M84">
        <f>IF(N(L84)=0,0,MATCH(1,INDEX((TrocasEquip!$B$2:$B$1000=B84)*(TrocasEquip!$A$2:$A$1000=L84),0),0))</f>
        <v/>
      </c>
      <c r="N84">
        <f>IF(B84="","",IFERROR(MATCH(B84,Equipamentos!$P$2:$P$61,0),""))</f>
        <v/>
      </c>
      <c r="O84">
        <f>IF(N84="","",IF(M84=0,INDEX(Equipamentos!$U$2:$U$61,N84),L84))</f>
        <v/>
      </c>
      <c r="P84">
        <f>IF(N84="","",IF(M84=0,N(INDEX(Equipamentos!$V$2:$V$61,N84)),N(INDEX(TrocasEquip!$I$2:$I$1000,M84))))</f>
        <v/>
      </c>
      <c r="Q84">
        <f>IF(N84="","",IF(M84=0,INDEX(Equipamentos!$T$2:$T$61,N84),IF(INDEX(TrocasEquip!$H$2:$H$1000,M84)="",INDEX(Equipamentos!$T$2:$T$61,N84),INDEX(TrocasEquip!$H$2:$H$1000,M84))))</f>
        <v/>
      </c>
    </row>
    <row r="85">
      <c r="A85" s="54" t="n"/>
      <c r="B85" s="55" t="n"/>
      <c r="C85">
        <f>IF(B85="","",IF(N85="","posição não encontrada",IF(M85=0,INDEX(Equipamentos!$S$2:$S$61,N85),INDEX(TrocasEquip!$G$2:$G$1000,M85))))</f>
        <v/>
      </c>
      <c r="D85" s="56">
        <f>IF(OR(A85="",N85=""),"",P85+IF(E85="dias",MAX(0,A85-O85),IF(INDEX(Equipamentos!$D$2:$D$61,N85)=2,SUMIFS(Producao!$D:$D,Producao!$A:$A,"&gt;="&amp;O85,Producao!$A:$A,"&lt;"&amp;A85),IF(INDEX(Equipamentos!$D$2:$D$61,N85)=3,SUMIFS(Producao!$E:$E,Producao!$A:$A,"&gt;="&amp;O85,Producao!$A:$A,"&lt;"&amp;A85),SUMIFS(Producao!$B:$B,Producao!$A:$A,"&gt;="&amp;O85,Producao!$A:$A,"&lt;"&amp;A85)))))</f>
        <v/>
      </c>
      <c r="E85">
        <f>IF(N85="","",INDEX(Equipamentos!$C$2:$C$61,N85))</f>
        <v/>
      </c>
      <c r="F85" s="57">
        <f>IF(OR(D85="",N(Q85)&lt;=0),"",D85/Q85)</f>
        <v/>
      </c>
      <c r="G85" s="55" t="n"/>
      <c r="H85" s="58" t="n"/>
      <c r="I85" s="58" t="n"/>
      <c r="J85" s="55" t="n"/>
      <c r="K85" s="55" t="n"/>
      <c r="L85">
        <f>IF(OR(A85="",B85=""),"",_xlfn.MAXIFS(TrocasEquip!$A$2:$A$1000,TrocasEquip!$B$2:$B$1000,B85,TrocasEquip!$A$2:$A$1000,"&lt;"&amp;A85))</f>
        <v/>
      </c>
      <c r="M85">
        <f>IF(N(L85)=0,0,MATCH(1,INDEX((TrocasEquip!$B$2:$B$1000=B85)*(TrocasEquip!$A$2:$A$1000=L85),0),0))</f>
        <v/>
      </c>
      <c r="N85">
        <f>IF(B85="","",IFERROR(MATCH(B85,Equipamentos!$P$2:$P$61,0),""))</f>
        <v/>
      </c>
      <c r="O85">
        <f>IF(N85="","",IF(M85=0,INDEX(Equipamentos!$U$2:$U$61,N85),L85))</f>
        <v/>
      </c>
      <c r="P85">
        <f>IF(N85="","",IF(M85=0,N(INDEX(Equipamentos!$V$2:$V$61,N85)),N(INDEX(TrocasEquip!$I$2:$I$1000,M85))))</f>
        <v/>
      </c>
      <c r="Q85">
        <f>IF(N85="","",IF(M85=0,INDEX(Equipamentos!$T$2:$T$61,N85),IF(INDEX(TrocasEquip!$H$2:$H$1000,M85)="",INDEX(Equipamentos!$T$2:$T$61,N85),INDEX(TrocasEquip!$H$2:$H$1000,M85))))</f>
        <v/>
      </c>
    </row>
    <row r="86">
      <c r="A86" s="54" t="n"/>
      <c r="B86" s="55" t="n"/>
      <c r="C86">
        <f>IF(B86="","",IF(N86="","posição não encontrada",IF(M86=0,INDEX(Equipamentos!$S$2:$S$61,N86),INDEX(TrocasEquip!$G$2:$G$1000,M86))))</f>
        <v/>
      </c>
      <c r="D86" s="56">
        <f>IF(OR(A86="",N86=""),"",P86+IF(E86="dias",MAX(0,A86-O86),IF(INDEX(Equipamentos!$D$2:$D$61,N86)=2,SUMIFS(Producao!$D:$D,Producao!$A:$A,"&gt;="&amp;O86,Producao!$A:$A,"&lt;"&amp;A86),IF(INDEX(Equipamentos!$D$2:$D$61,N86)=3,SUMIFS(Producao!$E:$E,Producao!$A:$A,"&gt;="&amp;O86,Producao!$A:$A,"&lt;"&amp;A86),SUMIFS(Producao!$B:$B,Producao!$A:$A,"&gt;="&amp;O86,Producao!$A:$A,"&lt;"&amp;A86)))))</f>
        <v/>
      </c>
      <c r="E86">
        <f>IF(N86="","",INDEX(Equipamentos!$C$2:$C$61,N86))</f>
        <v/>
      </c>
      <c r="F86" s="57">
        <f>IF(OR(D86="",N(Q86)&lt;=0),"",D86/Q86)</f>
        <v/>
      </c>
      <c r="G86" s="55" t="n"/>
      <c r="H86" s="58" t="n"/>
      <c r="I86" s="58" t="n"/>
      <c r="J86" s="55" t="n"/>
      <c r="K86" s="55" t="n"/>
      <c r="L86">
        <f>IF(OR(A86="",B86=""),"",_xlfn.MAXIFS(TrocasEquip!$A$2:$A$1000,TrocasEquip!$B$2:$B$1000,B86,TrocasEquip!$A$2:$A$1000,"&lt;"&amp;A86))</f>
        <v/>
      </c>
      <c r="M86">
        <f>IF(N(L86)=0,0,MATCH(1,INDEX((TrocasEquip!$B$2:$B$1000=B86)*(TrocasEquip!$A$2:$A$1000=L86),0),0))</f>
        <v/>
      </c>
      <c r="N86">
        <f>IF(B86="","",IFERROR(MATCH(B86,Equipamentos!$P$2:$P$61,0),""))</f>
        <v/>
      </c>
      <c r="O86">
        <f>IF(N86="","",IF(M86=0,INDEX(Equipamentos!$U$2:$U$61,N86),L86))</f>
        <v/>
      </c>
      <c r="P86">
        <f>IF(N86="","",IF(M86=0,N(INDEX(Equipamentos!$V$2:$V$61,N86)),N(INDEX(TrocasEquip!$I$2:$I$1000,M86))))</f>
        <v/>
      </c>
      <c r="Q86">
        <f>IF(N86="","",IF(M86=0,INDEX(Equipamentos!$T$2:$T$61,N86),IF(INDEX(TrocasEquip!$H$2:$H$1000,M86)="",INDEX(Equipamentos!$T$2:$T$61,N86),INDEX(TrocasEquip!$H$2:$H$1000,M86))))</f>
        <v/>
      </c>
    </row>
    <row r="87">
      <c r="A87" s="54" t="n"/>
      <c r="B87" s="55" t="n"/>
      <c r="C87">
        <f>IF(B87="","",IF(N87="","posição não encontrada",IF(M87=0,INDEX(Equipamentos!$S$2:$S$61,N87),INDEX(TrocasEquip!$G$2:$G$1000,M87))))</f>
        <v/>
      </c>
      <c r="D87" s="56">
        <f>IF(OR(A87="",N87=""),"",P87+IF(E87="dias",MAX(0,A87-O87),IF(INDEX(Equipamentos!$D$2:$D$61,N87)=2,SUMIFS(Producao!$D:$D,Producao!$A:$A,"&gt;="&amp;O87,Producao!$A:$A,"&lt;"&amp;A87),IF(INDEX(Equipamentos!$D$2:$D$61,N87)=3,SUMIFS(Producao!$E:$E,Producao!$A:$A,"&gt;="&amp;O87,Producao!$A:$A,"&lt;"&amp;A87),SUMIFS(Producao!$B:$B,Producao!$A:$A,"&gt;="&amp;O87,Producao!$A:$A,"&lt;"&amp;A87)))))</f>
        <v/>
      </c>
      <c r="E87">
        <f>IF(N87="","",INDEX(Equipamentos!$C$2:$C$61,N87))</f>
        <v/>
      </c>
      <c r="F87" s="57">
        <f>IF(OR(D87="",N(Q87)&lt;=0),"",D87/Q87)</f>
        <v/>
      </c>
      <c r="G87" s="55" t="n"/>
      <c r="H87" s="58" t="n"/>
      <c r="I87" s="58" t="n"/>
      <c r="J87" s="55" t="n"/>
      <c r="K87" s="55" t="n"/>
      <c r="L87">
        <f>IF(OR(A87="",B87=""),"",_xlfn.MAXIFS(TrocasEquip!$A$2:$A$1000,TrocasEquip!$B$2:$B$1000,B87,TrocasEquip!$A$2:$A$1000,"&lt;"&amp;A87))</f>
        <v/>
      </c>
      <c r="M87">
        <f>IF(N(L87)=0,0,MATCH(1,INDEX((TrocasEquip!$B$2:$B$1000=B87)*(TrocasEquip!$A$2:$A$1000=L87),0),0))</f>
        <v/>
      </c>
      <c r="N87">
        <f>IF(B87="","",IFERROR(MATCH(B87,Equipamentos!$P$2:$P$61,0),""))</f>
        <v/>
      </c>
      <c r="O87">
        <f>IF(N87="","",IF(M87=0,INDEX(Equipamentos!$U$2:$U$61,N87),L87))</f>
        <v/>
      </c>
      <c r="P87">
        <f>IF(N87="","",IF(M87=0,N(INDEX(Equipamentos!$V$2:$V$61,N87)),N(INDEX(TrocasEquip!$I$2:$I$1000,M87))))</f>
        <v/>
      </c>
      <c r="Q87">
        <f>IF(N87="","",IF(M87=0,INDEX(Equipamentos!$T$2:$T$61,N87),IF(INDEX(TrocasEquip!$H$2:$H$1000,M87)="",INDEX(Equipamentos!$T$2:$T$61,N87),INDEX(TrocasEquip!$H$2:$H$1000,M87))))</f>
        <v/>
      </c>
    </row>
    <row r="88">
      <c r="A88" s="54" t="n"/>
      <c r="B88" s="55" t="n"/>
      <c r="C88">
        <f>IF(B88="","",IF(N88="","posição não encontrada",IF(M88=0,INDEX(Equipamentos!$S$2:$S$61,N88),INDEX(TrocasEquip!$G$2:$G$1000,M88))))</f>
        <v/>
      </c>
      <c r="D88" s="56">
        <f>IF(OR(A88="",N88=""),"",P88+IF(E88="dias",MAX(0,A88-O88),IF(INDEX(Equipamentos!$D$2:$D$61,N88)=2,SUMIFS(Producao!$D:$D,Producao!$A:$A,"&gt;="&amp;O88,Producao!$A:$A,"&lt;"&amp;A88),IF(INDEX(Equipamentos!$D$2:$D$61,N88)=3,SUMIFS(Producao!$E:$E,Producao!$A:$A,"&gt;="&amp;O88,Producao!$A:$A,"&lt;"&amp;A88),SUMIFS(Producao!$B:$B,Producao!$A:$A,"&gt;="&amp;O88,Producao!$A:$A,"&lt;"&amp;A88)))))</f>
        <v/>
      </c>
      <c r="E88">
        <f>IF(N88="","",INDEX(Equipamentos!$C$2:$C$61,N88))</f>
        <v/>
      </c>
      <c r="F88" s="57">
        <f>IF(OR(D88="",N(Q88)&lt;=0),"",D88/Q88)</f>
        <v/>
      </c>
      <c r="G88" s="55" t="n"/>
      <c r="H88" s="58" t="n"/>
      <c r="I88" s="58" t="n"/>
      <c r="J88" s="55" t="n"/>
      <c r="K88" s="55" t="n"/>
      <c r="L88">
        <f>IF(OR(A88="",B88=""),"",_xlfn.MAXIFS(TrocasEquip!$A$2:$A$1000,TrocasEquip!$B$2:$B$1000,B88,TrocasEquip!$A$2:$A$1000,"&lt;"&amp;A88))</f>
        <v/>
      </c>
      <c r="M88">
        <f>IF(N(L88)=0,0,MATCH(1,INDEX((TrocasEquip!$B$2:$B$1000=B88)*(TrocasEquip!$A$2:$A$1000=L88),0),0))</f>
        <v/>
      </c>
      <c r="N88">
        <f>IF(B88="","",IFERROR(MATCH(B88,Equipamentos!$P$2:$P$61,0),""))</f>
        <v/>
      </c>
      <c r="O88">
        <f>IF(N88="","",IF(M88=0,INDEX(Equipamentos!$U$2:$U$61,N88),L88))</f>
        <v/>
      </c>
      <c r="P88">
        <f>IF(N88="","",IF(M88=0,N(INDEX(Equipamentos!$V$2:$V$61,N88)),N(INDEX(TrocasEquip!$I$2:$I$1000,M88))))</f>
        <v/>
      </c>
      <c r="Q88">
        <f>IF(N88="","",IF(M88=0,INDEX(Equipamentos!$T$2:$T$61,N88),IF(INDEX(TrocasEquip!$H$2:$H$1000,M88)="",INDEX(Equipamentos!$T$2:$T$61,N88),INDEX(TrocasEquip!$H$2:$H$1000,M88))))</f>
        <v/>
      </c>
    </row>
    <row r="89">
      <c r="A89" s="54" t="n"/>
      <c r="B89" s="55" t="n"/>
      <c r="C89">
        <f>IF(B89="","",IF(N89="","posição não encontrada",IF(M89=0,INDEX(Equipamentos!$S$2:$S$61,N89),INDEX(TrocasEquip!$G$2:$G$1000,M89))))</f>
        <v/>
      </c>
      <c r="D89" s="56">
        <f>IF(OR(A89="",N89=""),"",P89+IF(E89="dias",MAX(0,A89-O89),IF(INDEX(Equipamentos!$D$2:$D$61,N89)=2,SUMIFS(Producao!$D:$D,Producao!$A:$A,"&gt;="&amp;O89,Producao!$A:$A,"&lt;"&amp;A89),IF(INDEX(Equipamentos!$D$2:$D$61,N89)=3,SUMIFS(Producao!$E:$E,Producao!$A:$A,"&gt;="&amp;O89,Producao!$A:$A,"&lt;"&amp;A89),SUMIFS(Producao!$B:$B,Producao!$A:$A,"&gt;="&amp;O89,Producao!$A:$A,"&lt;"&amp;A89)))))</f>
        <v/>
      </c>
      <c r="E89">
        <f>IF(N89="","",INDEX(Equipamentos!$C$2:$C$61,N89))</f>
        <v/>
      </c>
      <c r="F89" s="57">
        <f>IF(OR(D89="",N(Q89)&lt;=0),"",D89/Q89)</f>
        <v/>
      </c>
      <c r="G89" s="55" t="n"/>
      <c r="H89" s="58" t="n"/>
      <c r="I89" s="58" t="n"/>
      <c r="J89" s="55" t="n"/>
      <c r="K89" s="55" t="n"/>
      <c r="L89">
        <f>IF(OR(A89="",B89=""),"",_xlfn.MAXIFS(TrocasEquip!$A$2:$A$1000,TrocasEquip!$B$2:$B$1000,B89,TrocasEquip!$A$2:$A$1000,"&lt;"&amp;A89))</f>
        <v/>
      </c>
      <c r="M89">
        <f>IF(N(L89)=0,0,MATCH(1,INDEX((TrocasEquip!$B$2:$B$1000=B89)*(TrocasEquip!$A$2:$A$1000=L89),0),0))</f>
        <v/>
      </c>
      <c r="N89">
        <f>IF(B89="","",IFERROR(MATCH(B89,Equipamentos!$P$2:$P$61,0),""))</f>
        <v/>
      </c>
      <c r="O89">
        <f>IF(N89="","",IF(M89=0,INDEX(Equipamentos!$U$2:$U$61,N89),L89))</f>
        <v/>
      </c>
      <c r="P89">
        <f>IF(N89="","",IF(M89=0,N(INDEX(Equipamentos!$V$2:$V$61,N89)),N(INDEX(TrocasEquip!$I$2:$I$1000,M89))))</f>
        <v/>
      </c>
      <c r="Q89">
        <f>IF(N89="","",IF(M89=0,INDEX(Equipamentos!$T$2:$T$61,N89),IF(INDEX(TrocasEquip!$H$2:$H$1000,M89)="",INDEX(Equipamentos!$T$2:$T$61,N89),INDEX(TrocasEquip!$H$2:$H$1000,M89))))</f>
        <v/>
      </c>
    </row>
    <row r="90">
      <c r="A90" s="54" t="n"/>
      <c r="B90" s="55" t="n"/>
      <c r="C90">
        <f>IF(B90="","",IF(N90="","posição não encontrada",IF(M90=0,INDEX(Equipamentos!$S$2:$S$61,N90),INDEX(TrocasEquip!$G$2:$G$1000,M90))))</f>
        <v/>
      </c>
      <c r="D90" s="56">
        <f>IF(OR(A90="",N90=""),"",P90+IF(E90="dias",MAX(0,A90-O90),IF(INDEX(Equipamentos!$D$2:$D$61,N90)=2,SUMIFS(Producao!$D:$D,Producao!$A:$A,"&gt;="&amp;O90,Producao!$A:$A,"&lt;"&amp;A90),IF(INDEX(Equipamentos!$D$2:$D$61,N90)=3,SUMIFS(Producao!$E:$E,Producao!$A:$A,"&gt;="&amp;O90,Producao!$A:$A,"&lt;"&amp;A90),SUMIFS(Producao!$B:$B,Producao!$A:$A,"&gt;="&amp;O90,Producao!$A:$A,"&lt;"&amp;A90)))))</f>
        <v/>
      </c>
      <c r="E90">
        <f>IF(N90="","",INDEX(Equipamentos!$C$2:$C$61,N90))</f>
        <v/>
      </c>
      <c r="F90" s="57">
        <f>IF(OR(D90="",N(Q90)&lt;=0),"",D90/Q90)</f>
        <v/>
      </c>
      <c r="G90" s="55" t="n"/>
      <c r="H90" s="58" t="n"/>
      <c r="I90" s="58" t="n"/>
      <c r="J90" s="55" t="n"/>
      <c r="K90" s="55" t="n"/>
      <c r="L90">
        <f>IF(OR(A90="",B90=""),"",_xlfn.MAXIFS(TrocasEquip!$A$2:$A$1000,TrocasEquip!$B$2:$B$1000,B90,TrocasEquip!$A$2:$A$1000,"&lt;"&amp;A90))</f>
        <v/>
      </c>
      <c r="M90">
        <f>IF(N(L90)=0,0,MATCH(1,INDEX((TrocasEquip!$B$2:$B$1000=B90)*(TrocasEquip!$A$2:$A$1000=L90),0),0))</f>
        <v/>
      </c>
      <c r="N90">
        <f>IF(B90="","",IFERROR(MATCH(B90,Equipamentos!$P$2:$P$61,0),""))</f>
        <v/>
      </c>
      <c r="O90">
        <f>IF(N90="","",IF(M90=0,INDEX(Equipamentos!$U$2:$U$61,N90),L90))</f>
        <v/>
      </c>
      <c r="P90">
        <f>IF(N90="","",IF(M90=0,N(INDEX(Equipamentos!$V$2:$V$61,N90)),N(INDEX(TrocasEquip!$I$2:$I$1000,M90))))</f>
        <v/>
      </c>
      <c r="Q90">
        <f>IF(N90="","",IF(M90=0,INDEX(Equipamentos!$T$2:$T$61,N90),IF(INDEX(TrocasEquip!$H$2:$H$1000,M90)="",INDEX(Equipamentos!$T$2:$T$61,N90),INDEX(TrocasEquip!$H$2:$H$1000,M90))))</f>
        <v/>
      </c>
    </row>
    <row r="91">
      <c r="A91" s="54" t="n"/>
      <c r="B91" s="55" t="n"/>
      <c r="C91">
        <f>IF(B91="","",IF(N91="","posição não encontrada",IF(M91=0,INDEX(Equipamentos!$S$2:$S$61,N91),INDEX(TrocasEquip!$G$2:$G$1000,M91))))</f>
        <v/>
      </c>
      <c r="D91" s="56">
        <f>IF(OR(A91="",N91=""),"",P91+IF(E91="dias",MAX(0,A91-O91),IF(INDEX(Equipamentos!$D$2:$D$61,N91)=2,SUMIFS(Producao!$D:$D,Producao!$A:$A,"&gt;="&amp;O91,Producao!$A:$A,"&lt;"&amp;A91),IF(INDEX(Equipamentos!$D$2:$D$61,N91)=3,SUMIFS(Producao!$E:$E,Producao!$A:$A,"&gt;="&amp;O91,Producao!$A:$A,"&lt;"&amp;A91),SUMIFS(Producao!$B:$B,Producao!$A:$A,"&gt;="&amp;O91,Producao!$A:$A,"&lt;"&amp;A91)))))</f>
        <v/>
      </c>
      <c r="E91">
        <f>IF(N91="","",INDEX(Equipamentos!$C$2:$C$61,N91))</f>
        <v/>
      </c>
      <c r="F91" s="57">
        <f>IF(OR(D91="",N(Q91)&lt;=0),"",D91/Q91)</f>
        <v/>
      </c>
      <c r="G91" s="55" t="n"/>
      <c r="H91" s="58" t="n"/>
      <c r="I91" s="58" t="n"/>
      <c r="J91" s="55" t="n"/>
      <c r="K91" s="55" t="n"/>
      <c r="L91">
        <f>IF(OR(A91="",B91=""),"",_xlfn.MAXIFS(TrocasEquip!$A$2:$A$1000,TrocasEquip!$B$2:$B$1000,B91,TrocasEquip!$A$2:$A$1000,"&lt;"&amp;A91))</f>
        <v/>
      </c>
      <c r="M91">
        <f>IF(N(L91)=0,0,MATCH(1,INDEX((TrocasEquip!$B$2:$B$1000=B91)*(TrocasEquip!$A$2:$A$1000=L91),0),0))</f>
        <v/>
      </c>
      <c r="N91">
        <f>IF(B91="","",IFERROR(MATCH(B91,Equipamentos!$P$2:$P$61,0),""))</f>
        <v/>
      </c>
      <c r="O91">
        <f>IF(N91="","",IF(M91=0,INDEX(Equipamentos!$U$2:$U$61,N91),L91))</f>
        <v/>
      </c>
      <c r="P91">
        <f>IF(N91="","",IF(M91=0,N(INDEX(Equipamentos!$V$2:$V$61,N91)),N(INDEX(TrocasEquip!$I$2:$I$1000,M91))))</f>
        <v/>
      </c>
      <c r="Q91">
        <f>IF(N91="","",IF(M91=0,INDEX(Equipamentos!$T$2:$T$61,N91),IF(INDEX(TrocasEquip!$H$2:$H$1000,M91)="",INDEX(Equipamentos!$T$2:$T$61,N91),INDEX(TrocasEquip!$H$2:$H$1000,M91))))</f>
        <v/>
      </c>
    </row>
    <row r="92">
      <c r="A92" s="54" t="n"/>
      <c r="B92" s="55" t="n"/>
      <c r="C92">
        <f>IF(B92="","",IF(N92="","posição não encontrada",IF(M92=0,INDEX(Equipamentos!$S$2:$S$61,N92),INDEX(TrocasEquip!$G$2:$G$1000,M92))))</f>
        <v/>
      </c>
      <c r="D92" s="56">
        <f>IF(OR(A92="",N92=""),"",P92+IF(E92="dias",MAX(0,A92-O92),IF(INDEX(Equipamentos!$D$2:$D$61,N92)=2,SUMIFS(Producao!$D:$D,Producao!$A:$A,"&gt;="&amp;O92,Producao!$A:$A,"&lt;"&amp;A92),IF(INDEX(Equipamentos!$D$2:$D$61,N92)=3,SUMIFS(Producao!$E:$E,Producao!$A:$A,"&gt;="&amp;O92,Producao!$A:$A,"&lt;"&amp;A92),SUMIFS(Producao!$B:$B,Producao!$A:$A,"&gt;="&amp;O92,Producao!$A:$A,"&lt;"&amp;A92)))))</f>
        <v/>
      </c>
      <c r="E92">
        <f>IF(N92="","",INDEX(Equipamentos!$C$2:$C$61,N92))</f>
        <v/>
      </c>
      <c r="F92" s="57">
        <f>IF(OR(D92="",N(Q92)&lt;=0),"",D92/Q92)</f>
        <v/>
      </c>
      <c r="G92" s="55" t="n"/>
      <c r="H92" s="58" t="n"/>
      <c r="I92" s="58" t="n"/>
      <c r="J92" s="55" t="n"/>
      <c r="K92" s="55" t="n"/>
      <c r="L92">
        <f>IF(OR(A92="",B92=""),"",_xlfn.MAXIFS(TrocasEquip!$A$2:$A$1000,TrocasEquip!$B$2:$B$1000,B92,TrocasEquip!$A$2:$A$1000,"&lt;"&amp;A92))</f>
        <v/>
      </c>
      <c r="M92">
        <f>IF(N(L92)=0,0,MATCH(1,INDEX((TrocasEquip!$B$2:$B$1000=B92)*(TrocasEquip!$A$2:$A$1000=L92),0),0))</f>
        <v/>
      </c>
      <c r="N92">
        <f>IF(B92="","",IFERROR(MATCH(B92,Equipamentos!$P$2:$P$61,0),""))</f>
        <v/>
      </c>
      <c r="O92">
        <f>IF(N92="","",IF(M92=0,INDEX(Equipamentos!$U$2:$U$61,N92),L92))</f>
        <v/>
      </c>
      <c r="P92">
        <f>IF(N92="","",IF(M92=0,N(INDEX(Equipamentos!$V$2:$V$61,N92)),N(INDEX(TrocasEquip!$I$2:$I$1000,M92))))</f>
        <v/>
      </c>
      <c r="Q92">
        <f>IF(N92="","",IF(M92=0,INDEX(Equipamentos!$T$2:$T$61,N92),IF(INDEX(TrocasEquip!$H$2:$H$1000,M92)="",INDEX(Equipamentos!$T$2:$T$61,N92),INDEX(TrocasEquip!$H$2:$H$1000,M92))))</f>
        <v/>
      </c>
    </row>
    <row r="93">
      <c r="A93" s="54" t="n"/>
      <c r="B93" s="55" t="n"/>
      <c r="C93">
        <f>IF(B93="","",IF(N93="","posição não encontrada",IF(M93=0,INDEX(Equipamentos!$S$2:$S$61,N93),INDEX(TrocasEquip!$G$2:$G$1000,M93))))</f>
        <v/>
      </c>
      <c r="D93" s="56">
        <f>IF(OR(A93="",N93=""),"",P93+IF(E93="dias",MAX(0,A93-O93),IF(INDEX(Equipamentos!$D$2:$D$61,N93)=2,SUMIFS(Producao!$D:$D,Producao!$A:$A,"&gt;="&amp;O93,Producao!$A:$A,"&lt;"&amp;A93),IF(INDEX(Equipamentos!$D$2:$D$61,N93)=3,SUMIFS(Producao!$E:$E,Producao!$A:$A,"&gt;="&amp;O93,Producao!$A:$A,"&lt;"&amp;A93),SUMIFS(Producao!$B:$B,Producao!$A:$A,"&gt;="&amp;O93,Producao!$A:$A,"&lt;"&amp;A93)))))</f>
        <v/>
      </c>
      <c r="E93">
        <f>IF(N93="","",INDEX(Equipamentos!$C$2:$C$61,N93))</f>
        <v/>
      </c>
      <c r="F93" s="57">
        <f>IF(OR(D93="",N(Q93)&lt;=0),"",D93/Q93)</f>
        <v/>
      </c>
      <c r="G93" s="55" t="n"/>
      <c r="H93" s="58" t="n"/>
      <c r="I93" s="58" t="n"/>
      <c r="J93" s="55" t="n"/>
      <c r="K93" s="55" t="n"/>
      <c r="L93">
        <f>IF(OR(A93="",B93=""),"",_xlfn.MAXIFS(TrocasEquip!$A$2:$A$1000,TrocasEquip!$B$2:$B$1000,B93,TrocasEquip!$A$2:$A$1000,"&lt;"&amp;A93))</f>
        <v/>
      </c>
      <c r="M93">
        <f>IF(N(L93)=0,0,MATCH(1,INDEX((TrocasEquip!$B$2:$B$1000=B93)*(TrocasEquip!$A$2:$A$1000=L93),0),0))</f>
        <v/>
      </c>
      <c r="N93">
        <f>IF(B93="","",IFERROR(MATCH(B93,Equipamentos!$P$2:$P$61,0),""))</f>
        <v/>
      </c>
      <c r="O93">
        <f>IF(N93="","",IF(M93=0,INDEX(Equipamentos!$U$2:$U$61,N93),L93))</f>
        <v/>
      </c>
      <c r="P93">
        <f>IF(N93="","",IF(M93=0,N(INDEX(Equipamentos!$V$2:$V$61,N93)),N(INDEX(TrocasEquip!$I$2:$I$1000,M93))))</f>
        <v/>
      </c>
      <c r="Q93">
        <f>IF(N93="","",IF(M93=0,INDEX(Equipamentos!$T$2:$T$61,N93),IF(INDEX(TrocasEquip!$H$2:$H$1000,M93)="",INDEX(Equipamentos!$T$2:$T$61,N93),INDEX(TrocasEquip!$H$2:$H$1000,M93))))</f>
        <v/>
      </c>
    </row>
    <row r="94">
      <c r="A94" s="54" t="n"/>
      <c r="B94" s="55" t="n"/>
      <c r="C94">
        <f>IF(B94="","",IF(N94="","posição não encontrada",IF(M94=0,INDEX(Equipamentos!$S$2:$S$61,N94),INDEX(TrocasEquip!$G$2:$G$1000,M94))))</f>
        <v/>
      </c>
      <c r="D94" s="56">
        <f>IF(OR(A94="",N94=""),"",P94+IF(E94="dias",MAX(0,A94-O94),IF(INDEX(Equipamentos!$D$2:$D$61,N94)=2,SUMIFS(Producao!$D:$D,Producao!$A:$A,"&gt;="&amp;O94,Producao!$A:$A,"&lt;"&amp;A94),IF(INDEX(Equipamentos!$D$2:$D$61,N94)=3,SUMIFS(Producao!$E:$E,Producao!$A:$A,"&gt;="&amp;O94,Producao!$A:$A,"&lt;"&amp;A94),SUMIFS(Producao!$B:$B,Producao!$A:$A,"&gt;="&amp;O94,Producao!$A:$A,"&lt;"&amp;A94)))))</f>
        <v/>
      </c>
      <c r="E94">
        <f>IF(N94="","",INDEX(Equipamentos!$C$2:$C$61,N94))</f>
        <v/>
      </c>
      <c r="F94" s="57">
        <f>IF(OR(D94="",N(Q94)&lt;=0),"",D94/Q94)</f>
        <v/>
      </c>
      <c r="G94" s="55" t="n"/>
      <c r="H94" s="58" t="n"/>
      <c r="I94" s="58" t="n"/>
      <c r="J94" s="55" t="n"/>
      <c r="K94" s="55" t="n"/>
      <c r="L94">
        <f>IF(OR(A94="",B94=""),"",_xlfn.MAXIFS(TrocasEquip!$A$2:$A$1000,TrocasEquip!$B$2:$B$1000,B94,TrocasEquip!$A$2:$A$1000,"&lt;"&amp;A94))</f>
        <v/>
      </c>
      <c r="M94">
        <f>IF(N(L94)=0,0,MATCH(1,INDEX((TrocasEquip!$B$2:$B$1000=B94)*(TrocasEquip!$A$2:$A$1000=L94),0),0))</f>
        <v/>
      </c>
      <c r="N94">
        <f>IF(B94="","",IFERROR(MATCH(B94,Equipamentos!$P$2:$P$61,0),""))</f>
        <v/>
      </c>
      <c r="O94">
        <f>IF(N94="","",IF(M94=0,INDEX(Equipamentos!$U$2:$U$61,N94),L94))</f>
        <v/>
      </c>
      <c r="P94">
        <f>IF(N94="","",IF(M94=0,N(INDEX(Equipamentos!$V$2:$V$61,N94)),N(INDEX(TrocasEquip!$I$2:$I$1000,M94))))</f>
        <v/>
      </c>
      <c r="Q94">
        <f>IF(N94="","",IF(M94=0,INDEX(Equipamentos!$T$2:$T$61,N94),IF(INDEX(TrocasEquip!$H$2:$H$1000,M94)="",INDEX(Equipamentos!$T$2:$T$61,N94),INDEX(TrocasEquip!$H$2:$H$1000,M94))))</f>
        <v/>
      </c>
    </row>
    <row r="95">
      <c r="A95" s="54" t="n"/>
      <c r="B95" s="55" t="n"/>
      <c r="C95">
        <f>IF(B95="","",IF(N95="","posição não encontrada",IF(M95=0,INDEX(Equipamentos!$S$2:$S$61,N95),INDEX(TrocasEquip!$G$2:$G$1000,M95))))</f>
        <v/>
      </c>
      <c r="D95" s="56">
        <f>IF(OR(A95="",N95=""),"",P95+IF(E95="dias",MAX(0,A95-O95),IF(INDEX(Equipamentos!$D$2:$D$61,N95)=2,SUMIFS(Producao!$D:$D,Producao!$A:$A,"&gt;="&amp;O95,Producao!$A:$A,"&lt;"&amp;A95),IF(INDEX(Equipamentos!$D$2:$D$61,N95)=3,SUMIFS(Producao!$E:$E,Producao!$A:$A,"&gt;="&amp;O95,Producao!$A:$A,"&lt;"&amp;A95),SUMIFS(Producao!$B:$B,Producao!$A:$A,"&gt;="&amp;O95,Producao!$A:$A,"&lt;"&amp;A95)))))</f>
        <v/>
      </c>
      <c r="E95">
        <f>IF(N95="","",INDEX(Equipamentos!$C$2:$C$61,N95))</f>
        <v/>
      </c>
      <c r="F95" s="57">
        <f>IF(OR(D95="",N(Q95)&lt;=0),"",D95/Q95)</f>
        <v/>
      </c>
      <c r="G95" s="55" t="n"/>
      <c r="H95" s="58" t="n"/>
      <c r="I95" s="58" t="n"/>
      <c r="J95" s="55" t="n"/>
      <c r="K95" s="55" t="n"/>
      <c r="L95">
        <f>IF(OR(A95="",B95=""),"",_xlfn.MAXIFS(TrocasEquip!$A$2:$A$1000,TrocasEquip!$B$2:$B$1000,B95,TrocasEquip!$A$2:$A$1000,"&lt;"&amp;A95))</f>
        <v/>
      </c>
      <c r="M95">
        <f>IF(N(L95)=0,0,MATCH(1,INDEX((TrocasEquip!$B$2:$B$1000=B95)*(TrocasEquip!$A$2:$A$1000=L95),0),0))</f>
        <v/>
      </c>
      <c r="N95">
        <f>IF(B95="","",IFERROR(MATCH(B95,Equipamentos!$P$2:$P$61,0),""))</f>
        <v/>
      </c>
      <c r="O95">
        <f>IF(N95="","",IF(M95=0,INDEX(Equipamentos!$U$2:$U$61,N95),L95))</f>
        <v/>
      </c>
      <c r="P95">
        <f>IF(N95="","",IF(M95=0,N(INDEX(Equipamentos!$V$2:$V$61,N95)),N(INDEX(TrocasEquip!$I$2:$I$1000,M95))))</f>
        <v/>
      </c>
      <c r="Q95">
        <f>IF(N95="","",IF(M95=0,INDEX(Equipamentos!$T$2:$T$61,N95),IF(INDEX(TrocasEquip!$H$2:$H$1000,M95)="",INDEX(Equipamentos!$T$2:$T$61,N95),INDEX(TrocasEquip!$H$2:$H$1000,M95))))</f>
        <v/>
      </c>
    </row>
    <row r="96">
      <c r="A96" s="54" t="n"/>
      <c r="B96" s="55" t="n"/>
      <c r="C96">
        <f>IF(B96="","",IF(N96="","posição não encontrada",IF(M96=0,INDEX(Equipamentos!$S$2:$S$61,N96),INDEX(TrocasEquip!$G$2:$G$1000,M96))))</f>
        <v/>
      </c>
      <c r="D96" s="56">
        <f>IF(OR(A96="",N96=""),"",P96+IF(E96="dias",MAX(0,A96-O96),IF(INDEX(Equipamentos!$D$2:$D$61,N96)=2,SUMIFS(Producao!$D:$D,Producao!$A:$A,"&gt;="&amp;O96,Producao!$A:$A,"&lt;"&amp;A96),IF(INDEX(Equipamentos!$D$2:$D$61,N96)=3,SUMIFS(Producao!$E:$E,Producao!$A:$A,"&gt;="&amp;O96,Producao!$A:$A,"&lt;"&amp;A96),SUMIFS(Producao!$B:$B,Producao!$A:$A,"&gt;="&amp;O96,Producao!$A:$A,"&lt;"&amp;A96)))))</f>
        <v/>
      </c>
      <c r="E96">
        <f>IF(N96="","",INDEX(Equipamentos!$C$2:$C$61,N96))</f>
        <v/>
      </c>
      <c r="F96" s="57">
        <f>IF(OR(D96="",N(Q96)&lt;=0),"",D96/Q96)</f>
        <v/>
      </c>
      <c r="G96" s="55" t="n"/>
      <c r="H96" s="58" t="n"/>
      <c r="I96" s="58" t="n"/>
      <c r="J96" s="55" t="n"/>
      <c r="K96" s="55" t="n"/>
      <c r="L96">
        <f>IF(OR(A96="",B96=""),"",_xlfn.MAXIFS(TrocasEquip!$A$2:$A$1000,TrocasEquip!$B$2:$B$1000,B96,TrocasEquip!$A$2:$A$1000,"&lt;"&amp;A96))</f>
        <v/>
      </c>
      <c r="M96">
        <f>IF(N(L96)=0,0,MATCH(1,INDEX((TrocasEquip!$B$2:$B$1000=B96)*(TrocasEquip!$A$2:$A$1000=L96),0),0))</f>
        <v/>
      </c>
      <c r="N96">
        <f>IF(B96="","",IFERROR(MATCH(B96,Equipamentos!$P$2:$P$61,0),""))</f>
        <v/>
      </c>
      <c r="O96">
        <f>IF(N96="","",IF(M96=0,INDEX(Equipamentos!$U$2:$U$61,N96),L96))</f>
        <v/>
      </c>
      <c r="P96">
        <f>IF(N96="","",IF(M96=0,N(INDEX(Equipamentos!$V$2:$V$61,N96)),N(INDEX(TrocasEquip!$I$2:$I$1000,M96))))</f>
        <v/>
      </c>
      <c r="Q96">
        <f>IF(N96="","",IF(M96=0,INDEX(Equipamentos!$T$2:$T$61,N96),IF(INDEX(TrocasEquip!$H$2:$H$1000,M96)="",INDEX(Equipamentos!$T$2:$T$61,N96),INDEX(TrocasEquip!$H$2:$H$1000,M96))))</f>
        <v/>
      </c>
    </row>
    <row r="97">
      <c r="A97" s="54" t="n"/>
      <c r="B97" s="55" t="n"/>
      <c r="C97">
        <f>IF(B97="","",IF(N97="","posição não encontrada",IF(M97=0,INDEX(Equipamentos!$S$2:$S$61,N97),INDEX(TrocasEquip!$G$2:$G$1000,M97))))</f>
        <v/>
      </c>
      <c r="D97" s="56">
        <f>IF(OR(A97="",N97=""),"",P97+IF(E97="dias",MAX(0,A97-O97),IF(INDEX(Equipamentos!$D$2:$D$61,N97)=2,SUMIFS(Producao!$D:$D,Producao!$A:$A,"&gt;="&amp;O97,Producao!$A:$A,"&lt;"&amp;A97),IF(INDEX(Equipamentos!$D$2:$D$61,N97)=3,SUMIFS(Producao!$E:$E,Producao!$A:$A,"&gt;="&amp;O97,Producao!$A:$A,"&lt;"&amp;A97),SUMIFS(Producao!$B:$B,Producao!$A:$A,"&gt;="&amp;O97,Producao!$A:$A,"&lt;"&amp;A97)))))</f>
        <v/>
      </c>
      <c r="E97">
        <f>IF(N97="","",INDEX(Equipamentos!$C$2:$C$61,N97))</f>
        <v/>
      </c>
      <c r="F97" s="57">
        <f>IF(OR(D97="",N(Q97)&lt;=0),"",D97/Q97)</f>
        <v/>
      </c>
      <c r="G97" s="55" t="n"/>
      <c r="H97" s="58" t="n"/>
      <c r="I97" s="58" t="n"/>
      <c r="J97" s="55" t="n"/>
      <c r="K97" s="55" t="n"/>
      <c r="L97">
        <f>IF(OR(A97="",B97=""),"",_xlfn.MAXIFS(TrocasEquip!$A$2:$A$1000,TrocasEquip!$B$2:$B$1000,B97,TrocasEquip!$A$2:$A$1000,"&lt;"&amp;A97))</f>
        <v/>
      </c>
      <c r="M97">
        <f>IF(N(L97)=0,0,MATCH(1,INDEX((TrocasEquip!$B$2:$B$1000=B97)*(TrocasEquip!$A$2:$A$1000=L97),0),0))</f>
        <v/>
      </c>
      <c r="N97">
        <f>IF(B97="","",IFERROR(MATCH(B97,Equipamentos!$P$2:$P$61,0),""))</f>
        <v/>
      </c>
      <c r="O97">
        <f>IF(N97="","",IF(M97=0,INDEX(Equipamentos!$U$2:$U$61,N97),L97))</f>
        <v/>
      </c>
      <c r="P97">
        <f>IF(N97="","",IF(M97=0,N(INDEX(Equipamentos!$V$2:$V$61,N97)),N(INDEX(TrocasEquip!$I$2:$I$1000,M97))))</f>
        <v/>
      </c>
      <c r="Q97">
        <f>IF(N97="","",IF(M97=0,INDEX(Equipamentos!$T$2:$T$61,N97),IF(INDEX(TrocasEquip!$H$2:$H$1000,M97)="",INDEX(Equipamentos!$T$2:$T$61,N97),INDEX(TrocasEquip!$H$2:$H$1000,M97))))</f>
        <v/>
      </c>
    </row>
    <row r="98">
      <c r="A98" s="54" t="n"/>
      <c r="B98" s="55" t="n"/>
      <c r="C98">
        <f>IF(B98="","",IF(N98="","posição não encontrada",IF(M98=0,INDEX(Equipamentos!$S$2:$S$61,N98),INDEX(TrocasEquip!$G$2:$G$1000,M98))))</f>
        <v/>
      </c>
      <c r="D98" s="56">
        <f>IF(OR(A98="",N98=""),"",P98+IF(E98="dias",MAX(0,A98-O98),IF(INDEX(Equipamentos!$D$2:$D$61,N98)=2,SUMIFS(Producao!$D:$D,Producao!$A:$A,"&gt;="&amp;O98,Producao!$A:$A,"&lt;"&amp;A98),IF(INDEX(Equipamentos!$D$2:$D$61,N98)=3,SUMIFS(Producao!$E:$E,Producao!$A:$A,"&gt;="&amp;O98,Producao!$A:$A,"&lt;"&amp;A98),SUMIFS(Producao!$B:$B,Producao!$A:$A,"&gt;="&amp;O98,Producao!$A:$A,"&lt;"&amp;A98)))))</f>
        <v/>
      </c>
      <c r="E98">
        <f>IF(N98="","",INDEX(Equipamentos!$C$2:$C$61,N98))</f>
        <v/>
      </c>
      <c r="F98" s="57">
        <f>IF(OR(D98="",N(Q98)&lt;=0),"",D98/Q98)</f>
        <v/>
      </c>
      <c r="G98" s="55" t="n"/>
      <c r="H98" s="58" t="n"/>
      <c r="I98" s="58" t="n"/>
      <c r="J98" s="55" t="n"/>
      <c r="K98" s="55" t="n"/>
      <c r="L98">
        <f>IF(OR(A98="",B98=""),"",_xlfn.MAXIFS(TrocasEquip!$A$2:$A$1000,TrocasEquip!$B$2:$B$1000,B98,TrocasEquip!$A$2:$A$1000,"&lt;"&amp;A98))</f>
        <v/>
      </c>
      <c r="M98">
        <f>IF(N(L98)=0,0,MATCH(1,INDEX((TrocasEquip!$B$2:$B$1000=B98)*(TrocasEquip!$A$2:$A$1000=L98),0),0))</f>
        <v/>
      </c>
      <c r="N98">
        <f>IF(B98="","",IFERROR(MATCH(B98,Equipamentos!$P$2:$P$61,0),""))</f>
        <v/>
      </c>
      <c r="O98">
        <f>IF(N98="","",IF(M98=0,INDEX(Equipamentos!$U$2:$U$61,N98),L98))</f>
        <v/>
      </c>
      <c r="P98">
        <f>IF(N98="","",IF(M98=0,N(INDEX(Equipamentos!$V$2:$V$61,N98)),N(INDEX(TrocasEquip!$I$2:$I$1000,M98))))</f>
        <v/>
      </c>
      <c r="Q98">
        <f>IF(N98="","",IF(M98=0,INDEX(Equipamentos!$T$2:$T$61,N98),IF(INDEX(TrocasEquip!$H$2:$H$1000,M98)="",INDEX(Equipamentos!$T$2:$T$61,N98),INDEX(TrocasEquip!$H$2:$H$1000,M98))))</f>
        <v/>
      </c>
    </row>
    <row r="99">
      <c r="A99" s="54" t="n"/>
      <c r="B99" s="55" t="n"/>
      <c r="C99">
        <f>IF(B99="","",IF(N99="","posição não encontrada",IF(M99=0,INDEX(Equipamentos!$S$2:$S$61,N99),INDEX(TrocasEquip!$G$2:$G$1000,M99))))</f>
        <v/>
      </c>
      <c r="D99" s="56">
        <f>IF(OR(A99="",N99=""),"",P99+IF(E99="dias",MAX(0,A99-O99),IF(INDEX(Equipamentos!$D$2:$D$61,N99)=2,SUMIFS(Producao!$D:$D,Producao!$A:$A,"&gt;="&amp;O99,Producao!$A:$A,"&lt;"&amp;A99),IF(INDEX(Equipamentos!$D$2:$D$61,N99)=3,SUMIFS(Producao!$E:$E,Producao!$A:$A,"&gt;="&amp;O99,Producao!$A:$A,"&lt;"&amp;A99),SUMIFS(Producao!$B:$B,Producao!$A:$A,"&gt;="&amp;O99,Producao!$A:$A,"&lt;"&amp;A99)))))</f>
        <v/>
      </c>
      <c r="E99">
        <f>IF(N99="","",INDEX(Equipamentos!$C$2:$C$61,N99))</f>
        <v/>
      </c>
      <c r="F99" s="57">
        <f>IF(OR(D99="",N(Q99)&lt;=0),"",D99/Q99)</f>
        <v/>
      </c>
      <c r="G99" s="55" t="n"/>
      <c r="H99" s="58" t="n"/>
      <c r="I99" s="58" t="n"/>
      <c r="J99" s="55" t="n"/>
      <c r="K99" s="55" t="n"/>
      <c r="L99">
        <f>IF(OR(A99="",B99=""),"",_xlfn.MAXIFS(TrocasEquip!$A$2:$A$1000,TrocasEquip!$B$2:$B$1000,B99,TrocasEquip!$A$2:$A$1000,"&lt;"&amp;A99))</f>
        <v/>
      </c>
      <c r="M99">
        <f>IF(N(L99)=0,0,MATCH(1,INDEX((TrocasEquip!$B$2:$B$1000=B99)*(TrocasEquip!$A$2:$A$1000=L99),0),0))</f>
        <v/>
      </c>
      <c r="N99">
        <f>IF(B99="","",IFERROR(MATCH(B99,Equipamentos!$P$2:$P$61,0),""))</f>
        <v/>
      </c>
      <c r="O99">
        <f>IF(N99="","",IF(M99=0,INDEX(Equipamentos!$U$2:$U$61,N99),L99))</f>
        <v/>
      </c>
      <c r="P99">
        <f>IF(N99="","",IF(M99=0,N(INDEX(Equipamentos!$V$2:$V$61,N99)),N(INDEX(TrocasEquip!$I$2:$I$1000,M99))))</f>
        <v/>
      </c>
      <c r="Q99">
        <f>IF(N99="","",IF(M99=0,INDEX(Equipamentos!$T$2:$T$61,N99),IF(INDEX(TrocasEquip!$H$2:$H$1000,M99)="",INDEX(Equipamentos!$T$2:$T$61,N99),INDEX(TrocasEquip!$H$2:$H$1000,M99))))</f>
        <v/>
      </c>
    </row>
    <row r="100">
      <c r="A100" s="54" t="n"/>
      <c r="B100" s="55" t="n"/>
      <c r="C100">
        <f>IF(B100="","",IF(N100="","posição não encontrada",IF(M100=0,INDEX(Equipamentos!$S$2:$S$61,N100),INDEX(TrocasEquip!$G$2:$G$1000,M100))))</f>
        <v/>
      </c>
      <c r="D100" s="56">
        <f>IF(OR(A100="",N100=""),"",P100+IF(E100="dias",MAX(0,A100-O100),IF(INDEX(Equipamentos!$D$2:$D$61,N100)=2,SUMIFS(Producao!$D:$D,Producao!$A:$A,"&gt;="&amp;O100,Producao!$A:$A,"&lt;"&amp;A100),IF(INDEX(Equipamentos!$D$2:$D$61,N100)=3,SUMIFS(Producao!$E:$E,Producao!$A:$A,"&gt;="&amp;O100,Producao!$A:$A,"&lt;"&amp;A100),SUMIFS(Producao!$B:$B,Producao!$A:$A,"&gt;="&amp;O100,Producao!$A:$A,"&lt;"&amp;A100)))))</f>
        <v/>
      </c>
      <c r="E100">
        <f>IF(N100="","",INDEX(Equipamentos!$C$2:$C$61,N100))</f>
        <v/>
      </c>
      <c r="F100" s="57">
        <f>IF(OR(D100="",N(Q100)&lt;=0),"",D100/Q100)</f>
        <v/>
      </c>
      <c r="G100" s="55" t="n"/>
      <c r="H100" s="58" t="n"/>
      <c r="I100" s="58" t="n"/>
      <c r="J100" s="55" t="n"/>
      <c r="K100" s="55" t="n"/>
      <c r="L100">
        <f>IF(OR(A100="",B100=""),"",_xlfn.MAXIFS(TrocasEquip!$A$2:$A$1000,TrocasEquip!$B$2:$B$1000,B100,TrocasEquip!$A$2:$A$1000,"&lt;"&amp;A100))</f>
        <v/>
      </c>
      <c r="M100">
        <f>IF(N(L100)=0,0,MATCH(1,INDEX((TrocasEquip!$B$2:$B$1000=B100)*(TrocasEquip!$A$2:$A$1000=L100),0),0))</f>
        <v/>
      </c>
      <c r="N100">
        <f>IF(B100="","",IFERROR(MATCH(B100,Equipamentos!$P$2:$P$61,0),""))</f>
        <v/>
      </c>
      <c r="O100">
        <f>IF(N100="","",IF(M100=0,INDEX(Equipamentos!$U$2:$U$61,N100),L100))</f>
        <v/>
      </c>
      <c r="P100">
        <f>IF(N100="","",IF(M100=0,N(INDEX(Equipamentos!$V$2:$V$61,N100)),N(INDEX(TrocasEquip!$I$2:$I$1000,M100))))</f>
        <v/>
      </c>
      <c r="Q100">
        <f>IF(N100="","",IF(M100=0,INDEX(Equipamentos!$T$2:$T$61,N100),IF(INDEX(TrocasEquip!$H$2:$H$1000,M100)="",INDEX(Equipamentos!$T$2:$T$61,N100),INDEX(TrocasEquip!$H$2:$H$1000,M100))))</f>
        <v/>
      </c>
    </row>
    <row r="101">
      <c r="A101" s="54" t="n"/>
      <c r="B101" s="55" t="n"/>
      <c r="C101">
        <f>IF(B101="","",IF(N101="","posição não encontrada",IF(M101=0,INDEX(Equipamentos!$S$2:$S$61,N101),INDEX(TrocasEquip!$G$2:$G$1000,M101))))</f>
        <v/>
      </c>
      <c r="D101" s="56">
        <f>IF(OR(A101="",N101=""),"",P101+IF(E101="dias",MAX(0,A101-O101),IF(INDEX(Equipamentos!$D$2:$D$61,N101)=2,SUMIFS(Producao!$D:$D,Producao!$A:$A,"&gt;="&amp;O101,Producao!$A:$A,"&lt;"&amp;A101),IF(INDEX(Equipamentos!$D$2:$D$61,N101)=3,SUMIFS(Producao!$E:$E,Producao!$A:$A,"&gt;="&amp;O101,Producao!$A:$A,"&lt;"&amp;A101),SUMIFS(Producao!$B:$B,Producao!$A:$A,"&gt;="&amp;O101,Producao!$A:$A,"&lt;"&amp;A101)))))</f>
        <v/>
      </c>
      <c r="E101">
        <f>IF(N101="","",INDEX(Equipamentos!$C$2:$C$61,N101))</f>
        <v/>
      </c>
      <c r="F101" s="57">
        <f>IF(OR(D101="",N(Q101)&lt;=0),"",D101/Q101)</f>
        <v/>
      </c>
      <c r="G101" s="55" t="n"/>
      <c r="H101" s="58" t="n"/>
      <c r="I101" s="58" t="n"/>
      <c r="J101" s="55" t="n"/>
      <c r="K101" s="55" t="n"/>
      <c r="L101">
        <f>IF(OR(A101="",B101=""),"",_xlfn.MAXIFS(TrocasEquip!$A$2:$A$1000,TrocasEquip!$B$2:$B$1000,B101,TrocasEquip!$A$2:$A$1000,"&lt;"&amp;A101))</f>
        <v/>
      </c>
      <c r="M101">
        <f>IF(N(L101)=0,0,MATCH(1,INDEX((TrocasEquip!$B$2:$B$1000=B101)*(TrocasEquip!$A$2:$A$1000=L101),0),0))</f>
        <v/>
      </c>
      <c r="N101">
        <f>IF(B101="","",IFERROR(MATCH(B101,Equipamentos!$P$2:$P$61,0),""))</f>
        <v/>
      </c>
      <c r="O101">
        <f>IF(N101="","",IF(M101=0,INDEX(Equipamentos!$U$2:$U$61,N101),L101))</f>
        <v/>
      </c>
      <c r="P101">
        <f>IF(N101="","",IF(M101=0,N(INDEX(Equipamentos!$V$2:$V$61,N101)),N(INDEX(TrocasEquip!$I$2:$I$1000,M101))))</f>
        <v/>
      </c>
      <c r="Q101">
        <f>IF(N101="","",IF(M101=0,INDEX(Equipamentos!$T$2:$T$61,N101),IF(INDEX(TrocasEquip!$H$2:$H$1000,M101)="",INDEX(Equipamentos!$T$2:$T$61,N101),INDEX(TrocasEquip!$H$2:$H$1000,M101))))</f>
        <v/>
      </c>
    </row>
    <row r="102">
      <c r="A102" s="54" t="n"/>
      <c r="B102" s="55" t="n"/>
      <c r="C102">
        <f>IF(B102="","",IF(N102="","posição não encontrada",IF(M102=0,INDEX(Equipamentos!$S$2:$S$61,N102),INDEX(TrocasEquip!$G$2:$G$1000,M102))))</f>
        <v/>
      </c>
      <c r="D102" s="56">
        <f>IF(OR(A102="",N102=""),"",P102+IF(E102="dias",MAX(0,A102-O102),IF(INDEX(Equipamentos!$D$2:$D$61,N102)=2,SUMIFS(Producao!$D:$D,Producao!$A:$A,"&gt;="&amp;O102,Producao!$A:$A,"&lt;"&amp;A102),IF(INDEX(Equipamentos!$D$2:$D$61,N102)=3,SUMIFS(Producao!$E:$E,Producao!$A:$A,"&gt;="&amp;O102,Producao!$A:$A,"&lt;"&amp;A102),SUMIFS(Producao!$B:$B,Producao!$A:$A,"&gt;="&amp;O102,Producao!$A:$A,"&lt;"&amp;A102)))))</f>
        <v/>
      </c>
      <c r="E102">
        <f>IF(N102="","",INDEX(Equipamentos!$C$2:$C$61,N102))</f>
        <v/>
      </c>
      <c r="F102" s="57">
        <f>IF(OR(D102="",N(Q102)&lt;=0),"",D102/Q102)</f>
        <v/>
      </c>
      <c r="G102" s="55" t="n"/>
      <c r="H102" s="58" t="n"/>
      <c r="I102" s="58" t="n"/>
      <c r="J102" s="55" t="n"/>
      <c r="K102" s="55" t="n"/>
      <c r="L102">
        <f>IF(OR(A102="",B102=""),"",_xlfn.MAXIFS(TrocasEquip!$A$2:$A$1000,TrocasEquip!$B$2:$B$1000,B102,TrocasEquip!$A$2:$A$1000,"&lt;"&amp;A102))</f>
        <v/>
      </c>
      <c r="M102">
        <f>IF(N(L102)=0,0,MATCH(1,INDEX((TrocasEquip!$B$2:$B$1000=B102)*(TrocasEquip!$A$2:$A$1000=L102),0),0))</f>
        <v/>
      </c>
      <c r="N102">
        <f>IF(B102="","",IFERROR(MATCH(B102,Equipamentos!$P$2:$P$61,0),""))</f>
        <v/>
      </c>
      <c r="O102">
        <f>IF(N102="","",IF(M102=0,INDEX(Equipamentos!$U$2:$U$61,N102),L102))</f>
        <v/>
      </c>
      <c r="P102">
        <f>IF(N102="","",IF(M102=0,N(INDEX(Equipamentos!$V$2:$V$61,N102)),N(INDEX(TrocasEquip!$I$2:$I$1000,M102))))</f>
        <v/>
      </c>
      <c r="Q102">
        <f>IF(N102="","",IF(M102=0,INDEX(Equipamentos!$T$2:$T$61,N102),IF(INDEX(TrocasEquip!$H$2:$H$1000,M102)="",INDEX(Equipamentos!$T$2:$T$61,N102),INDEX(TrocasEquip!$H$2:$H$1000,M102))))</f>
        <v/>
      </c>
    </row>
    <row r="103">
      <c r="A103" s="54" t="n"/>
      <c r="B103" s="55" t="n"/>
      <c r="C103">
        <f>IF(B103="","",IF(N103="","posição não encontrada",IF(M103=0,INDEX(Equipamentos!$S$2:$S$61,N103),INDEX(TrocasEquip!$G$2:$G$1000,M103))))</f>
        <v/>
      </c>
      <c r="D103" s="56">
        <f>IF(OR(A103="",N103=""),"",P103+IF(E103="dias",MAX(0,A103-O103),IF(INDEX(Equipamentos!$D$2:$D$61,N103)=2,SUMIFS(Producao!$D:$D,Producao!$A:$A,"&gt;="&amp;O103,Producao!$A:$A,"&lt;"&amp;A103),IF(INDEX(Equipamentos!$D$2:$D$61,N103)=3,SUMIFS(Producao!$E:$E,Producao!$A:$A,"&gt;="&amp;O103,Producao!$A:$A,"&lt;"&amp;A103),SUMIFS(Producao!$B:$B,Producao!$A:$A,"&gt;="&amp;O103,Producao!$A:$A,"&lt;"&amp;A103)))))</f>
        <v/>
      </c>
      <c r="E103">
        <f>IF(N103="","",INDEX(Equipamentos!$C$2:$C$61,N103))</f>
        <v/>
      </c>
      <c r="F103" s="57">
        <f>IF(OR(D103="",N(Q103)&lt;=0),"",D103/Q103)</f>
        <v/>
      </c>
      <c r="G103" s="55" t="n"/>
      <c r="H103" s="58" t="n"/>
      <c r="I103" s="58" t="n"/>
      <c r="J103" s="55" t="n"/>
      <c r="K103" s="55" t="n"/>
      <c r="L103">
        <f>IF(OR(A103="",B103=""),"",_xlfn.MAXIFS(TrocasEquip!$A$2:$A$1000,TrocasEquip!$B$2:$B$1000,B103,TrocasEquip!$A$2:$A$1000,"&lt;"&amp;A103))</f>
        <v/>
      </c>
      <c r="M103">
        <f>IF(N(L103)=0,0,MATCH(1,INDEX((TrocasEquip!$B$2:$B$1000=B103)*(TrocasEquip!$A$2:$A$1000=L103),0),0))</f>
        <v/>
      </c>
      <c r="N103">
        <f>IF(B103="","",IFERROR(MATCH(B103,Equipamentos!$P$2:$P$61,0),""))</f>
        <v/>
      </c>
      <c r="O103">
        <f>IF(N103="","",IF(M103=0,INDEX(Equipamentos!$U$2:$U$61,N103),L103))</f>
        <v/>
      </c>
      <c r="P103">
        <f>IF(N103="","",IF(M103=0,N(INDEX(Equipamentos!$V$2:$V$61,N103)),N(INDEX(TrocasEquip!$I$2:$I$1000,M103))))</f>
        <v/>
      </c>
      <c r="Q103">
        <f>IF(N103="","",IF(M103=0,INDEX(Equipamentos!$T$2:$T$61,N103),IF(INDEX(TrocasEquip!$H$2:$H$1000,M103)="",INDEX(Equipamentos!$T$2:$T$61,N103),INDEX(TrocasEquip!$H$2:$H$1000,M103))))</f>
        <v/>
      </c>
    </row>
    <row r="104">
      <c r="A104" s="54" t="n"/>
      <c r="B104" s="55" t="n"/>
      <c r="C104">
        <f>IF(B104="","",IF(N104="","posição não encontrada",IF(M104=0,INDEX(Equipamentos!$S$2:$S$61,N104),INDEX(TrocasEquip!$G$2:$G$1000,M104))))</f>
        <v/>
      </c>
      <c r="D104" s="56">
        <f>IF(OR(A104="",N104=""),"",P104+IF(E104="dias",MAX(0,A104-O104),IF(INDEX(Equipamentos!$D$2:$D$61,N104)=2,SUMIFS(Producao!$D:$D,Producao!$A:$A,"&gt;="&amp;O104,Producao!$A:$A,"&lt;"&amp;A104),IF(INDEX(Equipamentos!$D$2:$D$61,N104)=3,SUMIFS(Producao!$E:$E,Producao!$A:$A,"&gt;="&amp;O104,Producao!$A:$A,"&lt;"&amp;A104),SUMIFS(Producao!$B:$B,Producao!$A:$A,"&gt;="&amp;O104,Producao!$A:$A,"&lt;"&amp;A104)))))</f>
        <v/>
      </c>
      <c r="E104">
        <f>IF(N104="","",INDEX(Equipamentos!$C$2:$C$61,N104))</f>
        <v/>
      </c>
      <c r="F104" s="57">
        <f>IF(OR(D104="",N(Q104)&lt;=0),"",D104/Q104)</f>
        <v/>
      </c>
      <c r="G104" s="55" t="n"/>
      <c r="H104" s="58" t="n"/>
      <c r="I104" s="58" t="n"/>
      <c r="J104" s="55" t="n"/>
      <c r="K104" s="55" t="n"/>
      <c r="L104">
        <f>IF(OR(A104="",B104=""),"",_xlfn.MAXIFS(TrocasEquip!$A$2:$A$1000,TrocasEquip!$B$2:$B$1000,B104,TrocasEquip!$A$2:$A$1000,"&lt;"&amp;A104))</f>
        <v/>
      </c>
      <c r="M104">
        <f>IF(N(L104)=0,0,MATCH(1,INDEX((TrocasEquip!$B$2:$B$1000=B104)*(TrocasEquip!$A$2:$A$1000=L104),0),0))</f>
        <v/>
      </c>
      <c r="N104">
        <f>IF(B104="","",IFERROR(MATCH(B104,Equipamentos!$P$2:$P$61,0),""))</f>
        <v/>
      </c>
      <c r="O104">
        <f>IF(N104="","",IF(M104=0,INDEX(Equipamentos!$U$2:$U$61,N104),L104))</f>
        <v/>
      </c>
      <c r="P104">
        <f>IF(N104="","",IF(M104=0,N(INDEX(Equipamentos!$V$2:$V$61,N104)),N(INDEX(TrocasEquip!$I$2:$I$1000,M104))))</f>
        <v/>
      </c>
      <c r="Q104">
        <f>IF(N104="","",IF(M104=0,INDEX(Equipamentos!$T$2:$T$61,N104),IF(INDEX(TrocasEquip!$H$2:$H$1000,M104)="",INDEX(Equipamentos!$T$2:$T$61,N104),INDEX(TrocasEquip!$H$2:$H$1000,M104))))</f>
        <v/>
      </c>
    </row>
    <row r="105">
      <c r="A105" s="54" t="n"/>
      <c r="B105" s="55" t="n"/>
      <c r="C105">
        <f>IF(B105="","",IF(N105="","posição não encontrada",IF(M105=0,INDEX(Equipamentos!$S$2:$S$61,N105),INDEX(TrocasEquip!$G$2:$G$1000,M105))))</f>
        <v/>
      </c>
      <c r="D105" s="56">
        <f>IF(OR(A105="",N105=""),"",P105+IF(E105="dias",MAX(0,A105-O105),IF(INDEX(Equipamentos!$D$2:$D$61,N105)=2,SUMIFS(Producao!$D:$D,Producao!$A:$A,"&gt;="&amp;O105,Producao!$A:$A,"&lt;"&amp;A105),IF(INDEX(Equipamentos!$D$2:$D$61,N105)=3,SUMIFS(Producao!$E:$E,Producao!$A:$A,"&gt;="&amp;O105,Producao!$A:$A,"&lt;"&amp;A105),SUMIFS(Producao!$B:$B,Producao!$A:$A,"&gt;="&amp;O105,Producao!$A:$A,"&lt;"&amp;A105)))))</f>
        <v/>
      </c>
      <c r="E105">
        <f>IF(N105="","",INDEX(Equipamentos!$C$2:$C$61,N105))</f>
        <v/>
      </c>
      <c r="F105" s="57">
        <f>IF(OR(D105="",N(Q105)&lt;=0),"",D105/Q105)</f>
        <v/>
      </c>
      <c r="G105" s="55" t="n"/>
      <c r="H105" s="58" t="n"/>
      <c r="I105" s="58" t="n"/>
      <c r="J105" s="55" t="n"/>
      <c r="K105" s="55" t="n"/>
      <c r="L105">
        <f>IF(OR(A105="",B105=""),"",_xlfn.MAXIFS(TrocasEquip!$A$2:$A$1000,TrocasEquip!$B$2:$B$1000,B105,TrocasEquip!$A$2:$A$1000,"&lt;"&amp;A105))</f>
        <v/>
      </c>
      <c r="M105">
        <f>IF(N(L105)=0,0,MATCH(1,INDEX((TrocasEquip!$B$2:$B$1000=B105)*(TrocasEquip!$A$2:$A$1000=L105),0),0))</f>
        <v/>
      </c>
      <c r="N105">
        <f>IF(B105="","",IFERROR(MATCH(B105,Equipamentos!$P$2:$P$61,0),""))</f>
        <v/>
      </c>
      <c r="O105">
        <f>IF(N105="","",IF(M105=0,INDEX(Equipamentos!$U$2:$U$61,N105),L105))</f>
        <v/>
      </c>
      <c r="P105">
        <f>IF(N105="","",IF(M105=0,N(INDEX(Equipamentos!$V$2:$V$61,N105)),N(INDEX(TrocasEquip!$I$2:$I$1000,M105))))</f>
        <v/>
      </c>
      <c r="Q105">
        <f>IF(N105="","",IF(M105=0,INDEX(Equipamentos!$T$2:$T$61,N105),IF(INDEX(TrocasEquip!$H$2:$H$1000,M105)="",INDEX(Equipamentos!$T$2:$T$61,N105),INDEX(TrocasEquip!$H$2:$H$1000,M105))))</f>
        <v/>
      </c>
    </row>
    <row r="106">
      <c r="A106" s="54" t="n"/>
      <c r="B106" s="55" t="n"/>
      <c r="C106">
        <f>IF(B106="","",IF(N106="","posição não encontrada",IF(M106=0,INDEX(Equipamentos!$S$2:$S$61,N106),INDEX(TrocasEquip!$G$2:$G$1000,M106))))</f>
        <v/>
      </c>
      <c r="D106" s="56">
        <f>IF(OR(A106="",N106=""),"",P106+IF(E106="dias",MAX(0,A106-O106),IF(INDEX(Equipamentos!$D$2:$D$61,N106)=2,SUMIFS(Producao!$D:$D,Producao!$A:$A,"&gt;="&amp;O106,Producao!$A:$A,"&lt;"&amp;A106),IF(INDEX(Equipamentos!$D$2:$D$61,N106)=3,SUMIFS(Producao!$E:$E,Producao!$A:$A,"&gt;="&amp;O106,Producao!$A:$A,"&lt;"&amp;A106),SUMIFS(Producao!$B:$B,Producao!$A:$A,"&gt;="&amp;O106,Producao!$A:$A,"&lt;"&amp;A106)))))</f>
        <v/>
      </c>
      <c r="E106">
        <f>IF(N106="","",INDEX(Equipamentos!$C$2:$C$61,N106))</f>
        <v/>
      </c>
      <c r="F106" s="57">
        <f>IF(OR(D106="",N(Q106)&lt;=0),"",D106/Q106)</f>
        <v/>
      </c>
      <c r="G106" s="55" t="n"/>
      <c r="H106" s="58" t="n"/>
      <c r="I106" s="58" t="n"/>
      <c r="J106" s="55" t="n"/>
      <c r="K106" s="55" t="n"/>
      <c r="L106">
        <f>IF(OR(A106="",B106=""),"",_xlfn.MAXIFS(TrocasEquip!$A$2:$A$1000,TrocasEquip!$B$2:$B$1000,B106,TrocasEquip!$A$2:$A$1000,"&lt;"&amp;A106))</f>
        <v/>
      </c>
      <c r="M106">
        <f>IF(N(L106)=0,0,MATCH(1,INDEX((TrocasEquip!$B$2:$B$1000=B106)*(TrocasEquip!$A$2:$A$1000=L106),0),0))</f>
        <v/>
      </c>
      <c r="N106">
        <f>IF(B106="","",IFERROR(MATCH(B106,Equipamentos!$P$2:$P$61,0),""))</f>
        <v/>
      </c>
      <c r="O106">
        <f>IF(N106="","",IF(M106=0,INDEX(Equipamentos!$U$2:$U$61,N106),L106))</f>
        <v/>
      </c>
      <c r="P106">
        <f>IF(N106="","",IF(M106=0,N(INDEX(Equipamentos!$V$2:$V$61,N106)),N(INDEX(TrocasEquip!$I$2:$I$1000,M106))))</f>
        <v/>
      </c>
      <c r="Q106">
        <f>IF(N106="","",IF(M106=0,INDEX(Equipamentos!$T$2:$T$61,N106),IF(INDEX(TrocasEquip!$H$2:$H$1000,M106)="",INDEX(Equipamentos!$T$2:$T$61,N106),INDEX(TrocasEquip!$H$2:$H$1000,M106))))</f>
        <v/>
      </c>
    </row>
    <row r="107">
      <c r="A107" s="54" t="n"/>
      <c r="B107" s="55" t="n"/>
      <c r="C107">
        <f>IF(B107="","",IF(N107="","posição não encontrada",IF(M107=0,INDEX(Equipamentos!$S$2:$S$61,N107),INDEX(TrocasEquip!$G$2:$G$1000,M107))))</f>
        <v/>
      </c>
      <c r="D107" s="56">
        <f>IF(OR(A107="",N107=""),"",P107+IF(E107="dias",MAX(0,A107-O107),IF(INDEX(Equipamentos!$D$2:$D$61,N107)=2,SUMIFS(Producao!$D:$D,Producao!$A:$A,"&gt;="&amp;O107,Producao!$A:$A,"&lt;"&amp;A107),IF(INDEX(Equipamentos!$D$2:$D$61,N107)=3,SUMIFS(Producao!$E:$E,Producao!$A:$A,"&gt;="&amp;O107,Producao!$A:$A,"&lt;"&amp;A107),SUMIFS(Producao!$B:$B,Producao!$A:$A,"&gt;="&amp;O107,Producao!$A:$A,"&lt;"&amp;A107)))))</f>
        <v/>
      </c>
      <c r="E107">
        <f>IF(N107="","",INDEX(Equipamentos!$C$2:$C$61,N107))</f>
        <v/>
      </c>
      <c r="F107" s="57">
        <f>IF(OR(D107="",N(Q107)&lt;=0),"",D107/Q107)</f>
        <v/>
      </c>
      <c r="G107" s="55" t="n"/>
      <c r="H107" s="58" t="n"/>
      <c r="I107" s="58" t="n"/>
      <c r="J107" s="55" t="n"/>
      <c r="K107" s="55" t="n"/>
      <c r="L107">
        <f>IF(OR(A107="",B107=""),"",_xlfn.MAXIFS(TrocasEquip!$A$2:$A$1000,TrocasEquip!$B$2:$B$1000,B107,TrocasEquip!$A$2:$A$1000,"&lt;"&amp;A107))</f>
        <v/>
      </c>
      <c r="M107">
        <f>IF(N(L107)=0,0,MATCH(1,INDEX((TrocasEquip!$B$2:$B$1000=B107)*(TrocasEquip!$A$2:$A$1000=L107),0),0))</f>
        <v/>
      </c>
      <c r="N107">
        <f>IF(B107="","",IFERROR(MATCH(B107,Equipamentos!$P$2:$P$61,0),""))</f>
        <v/>
      </c>
      <c r="O107">
        <f>IF(N107="","",IF(M107=0,INDEX(Equipamentos!$U$2:$U$61,N107),L107))</f>
        <v/>
      </c>
      <c r="P107">
        <f>IF(N107="","",IF(M107=0,N(INDEX(Equipamentos!$V$2:$V$61,N107)),N(INDEX(TrocasEquip!$I$2:$I$1000,M107))))</f>
        <v/>
      </c>
      <c r="Q107">
        <f>IF(N107="","",IF(M107=0,INDEX(Equipamentos!$T$2:$T$61,N107),IF(INDEX(TrocasEquip!$H$2:$H$1000,M107)="",INDEX(Equipamentos!$T$2:$T$61,N107),INDEX(TrocasEquip!$H$2:$H$1000,M107))))</f>
        <v/>
      </c>
    </row>
    <row r="108">
      <c r="A108" s="54" t="n"/>
      <c r="B108" s="55" t="n"/>
      <c r="C108">
        <f>IF(B108="","",IF(N108="","posição não encontrada",IF(M108=0,INDEX(Equipamentos!$S$2:$S$61,N108),INDEX(TrocasEquip!$G$2:$G$1000,M108))))</f>
        <v/>
      </c>
      <c r="D108" s="56">
        <f>IF(OR(A108="",N108=""),"",P108+IF(E108="dias",MAX(0,A108-O108),IF(INDEX(Equipamentos!$D$2:$D$61,N108)=2,SUMIFS(Producao!$D:$D,Producao!$A:$A,"&gt;="&amp;O108,Producao!$A:$A,"&lt;"&amp;A108),IF(INDEX(Equipamentos!$D$2:$D$61,N108)=3,SUMIFS(Producao!$E:$E,Producao!$A:$A,"&gt;="&amp;O108,Producao!$A:$A,"&lt;"&amp;A108),SUMIFS(Producao!$B:$B,Producao!$A:$A,"&gt;="&amp;O108,Producao!$A:$A,"&lt;"&amp;A108)))))</f>
        <v/>
      </c>
      <c r="E108">
        <f>IF(N108="","",INDEX(Equipamentos!$C$2:$C$61,N108))</f>
        <v/>
      </c>
      <c r="F108" s="57">
        <f>IF(OR(D108="",N(Q108)&lt;=0),"",D108/Q108)</f>
        <v/>
      </c>
      <c r="G108" s="55" t="n"/>
      <c r="H108" s="58" t="n"/>
      <c r="I108" s="58" t="n"/>
      <c r="J108" s="55" t="n"/>
      <c r="K108" s="55" t="n"/>
      <c r="L108">
        <f>IF(OR(A108="",B108=""),"",_xlfn.MAXIFS(TrocasEquip!$A$2:$A$1000,TrocasEquip!$B$2:$B$1000,B108,TrocasEquip!$A$2:$A$1000,"&lt;"&amp;A108))</f>
        <v/>
      </c>
      <c r="M108">
        <f>IF(N(L108)=0,0,MATCH(1,INDEX((TrocasEquip!$B$2:$B$1000=B108)*(TrocasEquip!$A$2:$A$1000=L108),0),0))</f>
        <v/>
      </c>
      <c r="N108">
        <f>IF(B108="","",IFERROR(MATCH(B108,Equipamentos!$P$2:$P$61,0),""))</f>
        <v/>
      </c>
      <c r="O108">
        <f>IF(N108="","",IF(M108=0,INDEX(Equipamentos!$U$2:$U$61,N108),L108))</f>
        <v/>
      </c>
      <c r="P108">
        <f>IF(N108="","",IF(M108=0,N(INDEX(Equipamentos!$V$2:$V$61,N108)),N(INDEX(TrocasEquip!$I$2:$I$1000,M108))))</f>
        <v/>
      </c>
      <c r="Q108">
        <f>IF(N108="","",IF(M108=0,INDEX(Equipamentos!$T$2:$T$61,N108),IF(INDEX(TrocasEquip!$H$2:$H$1000,M108)="",INDEX(Equipamentos!$T$2:$T$61,N108),INDEX(TrocasEquip!$H$2:$H$1000,M108))))</f>
        <v/>
      </c>
    </row>
    <row r="109">
      <c r="A109" s="54" t="n"/>
      <c r="B109" s="55" t="n"/>
      <c r="C109">
        <f>IF(B109="","",IF(N109="","posição não encontrada",IF(M109=0,INDEX(Equipamentos!$S$2:$S$61,N109),INDEX(TrocasEquip!$G$2:$G$1000,M109))))</f>
        <v/>
      </c>
      <c r="D109" s="56">
        <f>IF(OR(A109="",N109=""),"",P109+IF(E109="dias",MAX(0,A109-O109),IF(INDEX(Equipamentos!$D$2:$D$61,N109)=2,SUMIFS(Producao!$D:$D,Producao!$A:$A,"&gt;="&amp;O109,Producao!$A:$A,"&lt;"&amp;A109),IF(INDEX(Equipamentos!$D$2:$D$61,N109)=3,SUMIFS(Producao!$E:$E,Producao!$A:$A,"&gt;="&amp;O109,Producao!$A:$A,"&lt;"&amp;A109),SUMIFS(Producao!$B:$B,Producao!$A:$A,"&gt;="&amp;O109,Producao!$A:$A,"&lt;"&amp;A109)))))</f>
        <v/>
      </c>
      <c r="E109">
        <f>IF(N109="","",INDEX(Equipamentos!$C$2:$C$61,N109))</f>
        <v/>
      </c>
      <c r="F109" s="57">
        <f>IF(OR(D109="",N(Q109)&lt;=0),"",D109/Q109)</f>
        <v/>
      </c>
      <c r="G109" s="55" t="n"/>
      <c r="H109" s="58" t="n"/>
      <c r="I109" s="58" t="n"/>
      <c r="J109" s="55" t="n"/>
      <c r="K109" s="55" t="n"/>
      <c r="L109">
        <f>IF(OR(A109="",B109=""),"",_xlfn.MAXIFS(TrocasEquip!$A$2:$A$1000,TrocasEquip!$B$2:$B$1000,B109,TrocasEquip!$A$2:$A$1000,"&lt;"&amp;A109))</f>
        <v/>
      </c>
      <c r="M109">
        <f>IF(N(L109)=0,0,MATCH(1,INDEX((TrocasEquip!$B$2:$B$1000=B109)*(TrocasEquip!$A$2:$A$1000=L109),0),0))</f>
        <v/>
      </c>
      <c r="N109">
        <f>IF(B109="","",IFERROR(MATCH(B109,Equipamentos!$P$2:$P$61,0),""))</f>
        <v/>
      </c>
      <c r="O109">
        <f>IF(N109="","",IF(M109=0,INDEX(Equipamentos!$U$2:$U$61,N109),L109))</f>
        <v/>
      </c>
      <c r="P109">
        <f>IF(N109="","",IF(M109=0,N(INDEX(Equipamentos!$V$2:$V$61,N109)),N(INDEX(TrocasEquip!$I$2:$I$1000,M109))))</f>
        <v/>
      </c>
      <c r="Q109">
        <f>IF(N109="","",IF(M109=0,INDEX(Equipamentos!$T$2:$T$61,N109),IF(INDEX(TrocasEquip!$H$2:$H$1000,M109)="",INDEX(Equipamentos!$T$2:$T$61,N109),INDEX(TrocasEquip!$H$2:$H$1000,M109))))</f>
        <v/>
      </c>
    </row>
    <row r="110">
      <c r="A110" s="54" t="n"/>
      <c r="B110" s="55" t="n"/>
      <c r="C110">
        <f>IF(B110="","",IF(N110="","posição não encontrada",IF(M110=0,INDEX(Equipamentos!$S$2:$S$61,N110),INDEX(TrocasEquip!$G$2:$G$1000,M110))))</f>
        <v/>
      </c>
      <c r="D110" s="56">
        <f>IF(OR(A110="",N110=""),"",P110+IF(E110="dias",MAX(0,A110-O110),IF(INDEX(Equipamentos!$D$2:$D$61,N110)=2,SUMIFS(Producao!$D:$D,Producao!$A:$A,"&gt;="&amp;O110,Producao!$A:$A,"&lt;"&amp;A110),IF(INDEX(Equipamentos!$D$2:$D$61,N110)=3,SUMIFS(Producao!$E:$E,Producao!$A:$A,"&gt;="&amp;O110,Producao!$A:$A,"&lt;"&amp;A110),SUMIFS(Producao!$B:$B,Producao!$A:$A,"&gt;="&amp;O110,Producao!$A:$A,"&lt;"&amp;A110)))))</f>
        <v/>
      </c>
      <c r="E110">
        <f>IF(N110="","",INDEX(Equipamentos!$C$2:$C$61,N110))</f>
        <v/>
      </c>
      <c r="F110" s="57">
        <f>IF(OR(D110="",N(Q110)&lt;=0),"",D110/Q110)</f>
        <v/>
      </c>
      <c r="G110" s="55" t="n"/>
      <c r="H110" s="58" t="n"/>
      <c r="I110" s="58" t="n"/>
      <c r="J110" s="55" t="n"/>
      <c r="K110" s="55" t="n"/>
      <c r="L110">
        <f>IF(OR(A110="",B110=""),"",_xlfn.MAXIFS(TrocasEquip!$A$2:$A$1000,TrocasEquip!$B$2:$B$1000,B110,TrocasEquip!$A$2:$A$1000,"&lt;"&amp;A110))</f>
        <v/>
      </c>
      <c r="M110">
        <f>IF(N(L110)=0,0,MATCH(1,INDEX((TrocasEquip!$B$2:$B$1000=B110)*(TrocasEquip!$A$2:$A$1000=L110),0),0))</f>
        <v/>
      </c>
      <c r="N110">
        <f>IF(B110="","",IFERROR(MATCH(B110,Equipamentos!$P$2:$P$61,0),""))</f>
        <v/>
      </c>
      <c r="O110">
        <f>IF(N110="","",IF(M110=0,INDEX(Equipamentos!$U$2:$U$61,N110),L110))</f>
        <v/>
      </c>
      <c r="P110">
        <f>IF(N110="","",IF(M110=0,N(INDEX(Equipamentos!$V$2:$V$61,N110)),N(INDEX(TrocasEquip!$I$2:$I$1000,M110))))</f>
        <v/>
      </c>
      <c r="Q110">
        <f>IF(N110="","",IF(M110=0,INDEX(Equipamentos!$T$2:$T$61,N110),IF(INDEX(TrocasEquip!$H$2:$H$1000,M110)="",INDEX(Equipamentos!$T$2:$T$61,N110),INDEX(TrocasEquip!$H$2:$H$1000,M110))))</f>
        <v/>
      </c>
    </row>
    <row r="111">
      <c r="A111" s="54" t="n"/>
      <c r="B111" s="55" t="n"/>
      <c r="C111">
        <f>IF(B111="","",IF(N111="","posição não encontrada",IF(M111=0,INDEX(Equipamentos!$S$2:$S$61,N111),INDEX(TrocasEquip!$G$2:$G$1000,M111))))</f>
        <v/>
      </c>
      <c r="D111" s="56">
        <f>IF(OR(A111="",N111=""),"",P111+IF(E111="dias",MAX(0,A111-O111),IF(INDEX(Equipamentos!$D$2:$D$61,N111)=2,SUMIFS(Producao!$D:$D,Producao!$A:$A,"&gt;="&amp;O111,Producao!$A:$A,"&lt;"&amp;A111),IF(INDEX(Equipamentos!$D$2:$D$61,N111)=3,SUMIFS(Producao!$E:$E,Producao!$A:$A,"&gt;="&amp;O111,Producao!$A:$A,"&lt;"&amp;A111),SUMIFS(Producao!$B:$B,Producao!$A:$A,"&gt;="&amp;O111,Producao!$A:$A,"&lt;"&amp;A111)))))</f>
        <v/>
      </c>
      <c r="E111">
        <f>IF(N111="","",INDEX(Equipamentos!$C$2:$C$61,N111))</f>
        <v/>
      </c>
      <c r="F111" s="57">
        <f>IF(OR(D111="",N(Q111)&lt;=0),"",D111/Q111)</f>
        <v/>
      </c>
      <c r="G111" s="55" t="n"/>
      <c r="H111" s="58" t="n"/>
      <c r="I111" s="58" t="n"/>
      <c r="J111" s="55" t="n"/>
      <c r="K111" s="55" t="n"/>
      <c r="L111">
        <f>IF(OR(A111="",B111=""),"",_xlfn.MAXIFS(TrocasEquip!$A$2:$A$1000,TrocasEquip!$B$2:$B$1000,B111,TrocasEquip!$A$2:$A$1000,"&lt;"&amp;A111))</f>
        <v/>
      </c>
      <c r="M111">
        <f>IF(N(L111)=0,0,MATCH(1,INDEX((TrocasEquip!$B$2:$B$1000=B111)*(TrocasEquip!$A$2:$A$1000=L111),0),0))</f>
        <v/>
      </c>
      <c r="N111">
        <f>IF(B111="","",IFERROR(MATCH(B111,Equipamentos!$P$2:$P$61,0),""))</f>
        <v/>
      </c>
      <c r="O111">
        <f>IF(N111="","",IF(M111=0,INDEX(Equipamentos!$U$2:$U$61,N111),L111))</f>
        <v/>
      </c>
      <c r="P111">
        <f>IF(N111="","",IF(M111=0,N(INDEX(Equipamentos!$V$2:$V$61,N111)),N(INDEX(TrocasEquip!$I$2:$I$1000,M111))))</f>
        <v/>
      </c>
      <c r="Q111">
        <f>IF(N111="","",IF(M111=0,INDEX(Equipamentos!$T$2:$T$61,N111),IF(INDEX(TrocasEquip!$H$2:$H$1000,M111)="",INDEX(Equipamentos!$T$2:$T$61,N111),INDEX(TrocasEquip!$H$2:$H$1000,M111))))</f>
        <v/>
      </c>
    </row>
    <row r="112">
      <c r="A112" s="54" t="n"/>
      <c r="B112" s="55" t="n"/>
      <c r="C112">
        <f>IF(B112="","",IF(N112="","posição não encontrada",IF(M112=0,INDEX(Equipamentos!$S$2:$S$61,N112),INDEX(TrocasEquip!$G$2:$G$1000,M112))))</f>
        <v/>
      </c>
      <c r="D112" s="56">
        <f>IF(OR(A112="",N112=""),"",P112+IF(E112="dias",MAX(0,A112-O112),IF(INDEX(Equipamentos!$D$2:$D$61,N112)=2,SUMIFS(Producao!$D:$D,Producao!$A:$A,"&gt;="&amp;O112,Producao!$A:$A,"&lt;"&amp;A112),IF(INDEX(Equipamentos!$D$2:$D$61,N112)=3,SUMIFS(Producao!$E:$E,Producao!$A:$A,"&gt;="&amp;O112,Producao!$A:$A,"&lt;"&amp;A112),SUMIFS(Producao!$B:$B,Producao!$A:$A,"&gt;="&amp;O112,Producao!$A:$A,"&lt;"&amp;A112)))))</f>
        <v/>
      </c>
      <c r="E112">
        <f>IF(N112="","",INDEX(Equipamentos!$C$2:$C$61,N112))</f>
        <v/>
      </c>
      <c r="F112" s="57">
        <f>IF(OR(D112="",N(Q112)&lt;=0),"",D112/Q112)</f>
        <v/>
      </c>
      <c r="G112" s="55" t="n"/>
      <c r="H112" s="58" t="n"/>
      <c r="I112" s="58" t="n"/>
      <c r="J112" s="55" t="n"/>
      <c r="K112" s="55" t="n"/>
      <c r="L112">
        <f>IF(OR(A112="",B112=""),"",_xlfn.MAXIFS(TrocasEquip!$A$2:$A$1000,TrocasEquip!$B$2:$B$1000,B112,TrocasEquip!$A$2:$A$1000,"&lt;"&amp;A112))</f>
        <v/>
      </c>
      <c r="M112">
        <f>IF(N(L112)=0,0,MATCH(1,INDEX((TrocasEquip!$B$2:$B$1000=B112)*(TrocasEquip!$A$2:$A$1000=L112),0),0))</f>
        <v/>
      </c>
      <c r="N112">
        <f>IF(B112="","",IFERROR(MATCH(B112,Equipamentos!$P$2:$P$61,0),""))</f>
        <v/>
      </c>
      <c r="O112">
        <f>IF(N112="","",IF(M112=0,INDEX(Equipamentos!$U$2:$U$61,N112),L112))</f>
        <v/>
      </c>
      <c r="P112">
        <f>IF(N112="","",IF(M112=0,N(INDEX(Equipamentos!$V$2:$V$61,N112)),N(INDEX(TrocasEquip!$I$2:$I$1000,M112))))</f>
        <v/>
      </c>
      <c r="Q112">
        <f>IF(N112="","",IF(M112=0,INDEX(Equipamentos!$T$2:$T$61,N112),IF(INDEX(TrocasEquip!$H$2:$H$1000,M112)="",INDEX(Equipamentos!$T$2:$T$61,N112),INDEX(TrocasEquip!$H$2:$H$1000,M112))))</f>
        <v/>
      </c>
    </row>
    <row r="113">
      <c r="A113" s="54" t="n"/>
      <c r="B113" s="55" t="n"/>
      <c r="C113">
        <f>IF(B113="","",IF(N113="","posição não encontrada",IF(M113=0,INDEX(Equipamentos!$S$2:$S$61,N113),INDEX(TrocasEquip!$G$2:$G$1000,M113))))</f>
        <v/>
      </c>
      <c r="D113" s="56">
        <f>IF(OR(A113="",N113=""),"",P113+IF(E113="dias",MAX(0,A113-O113),IF(INDEX(Equipamentos!$D$2:$D$61,N113)=2,SUMIFS(Producao!$D:$D,Producao!$A:$A,"&gt;="&amp;O113,Producao!$A:$A,"&lt;"&amp;A113),IF(INDEX(Equipamentos!$D$2:$D$61,N113)=3,SUMIFS(Producao!$E:$E,Producao!$A:$A,"&gt;="&amp;O113,Producao!$A:$A,"&lt;"&amp;A113),SUMIFS(Producao!$B:$B,Producao!$A:$A,"&gt;="&amp;O113,Producao!$A:$A,"&lt;"&amp;A113)))))</f>
        <v/>
      </c>
      <c r="E113">
        <f>IF(N113="","",INDEX(Equipamentos!$C$2:$C$61,N113))</f>
        <v/>
      </c>
      <c r="F113" s="57">
        <f>IF(OR(D113="",N(Q113)&lt;=0),"",D113/Q113)</f>
        <v/>
      </c>
      <c r="G113" s="55" t="n"/>
      <c r="H113" s="58" t="n"/>
      <c r="I113" s="58" t="n"/>
      <c r="J113" s="55" t="n"/>
      <c r="K113" s="55" t="n"/>
      <c r="L113">
        <f>IF(OR(A113="",B113=""),"",_xlfn.MAXIFS(TrocasEquip!$A$2:$A$1000,TrocasEquip!$B$2:$B$1000,B113,TrocasEquip!$A$2:$A$1000,"&lt;"&amp;A113))</f>
        <v/>
      </c>
      <c r="M113">
        <f>IF(N(L113)=0,0,MATCH(1,INDEX((TrocasEquip!$B$2:$B$1000=B113)*(TrocasEquip!$A$2:$A$1000=L113),0),0))</f>
        <v/>
      </c>
      <c r="N113">
        <f>IF(B113="","",IFERROR(MATCH(B113,Equipamentos!$P$2:$P$61,0),""))</f>
        <v/>
      </c>
      <c r="O113">
        <f>IF(N113="","",IF(M113=0,INDEX(Equipamentos!$U$2:$U$61,N113),L113))</f>
        <v/>
      </c>
      <c r="P113">
        <f>IF(N113="","",IF(M113=0,N(INDEX(Equipamentos!$V$2:$V$61,N113)),N(INDEX(TrocasEquip!$I$2:$I$1000,M113))))</f>
        <v/>
      </c>
      <c r="Q113">
        <f>IF(N113="","",IF(M113=0,INDEX(Equipamentos!$T$2:$T$61,N113),IF(INDEX(TrocasEquip!$H$2:$H$1000,M113)="",INDEX(Equipamentos!$T$2:$T$61,N113),INDEX(TrocasEquip!$H$2:$H$1000,M113))))</f>
        <v/>
      </c>
    </row>
    <row r="114">
      <c r="A114" s="54" t="n"/>
      <c r="B114" s="55" t="n"/>
      <c r="C114">
        <f>IF(B114="","",IF(N114="","posição não encontrada",IF(M114=0,INDEX(Equipamentos!$S$2:$S$61,N114),INDEX(TrocasEquip!$G$2:$G$1000,M114))))</f>
        <v/>
      </c>
      <c r="D114" s="56">
        <f>IF(OR(A114="",N114=""),"",P114+IF(E114="dias",MAX(0,A114-O114),IF(INDEX(Equipamentos!$D$2:$D$61,N114)=2,SUMIFS(Producao!$D:$D,Producao!$A:$A,"&gt;="&amp;O114,Producao!$A:$A,"&lt;"&amp;A114),IF(INDEX(Equipamentos!$D$2:$D$61,N114)=3,SUMIFS(Producao!$E:$E,Producao!$A:$A,"&gt;="&amp;O114,Producao!$A:$A,"&lt;"&amp;A114),SUMIFS(Producao!$B:$B,Producao!$A:$A,"&gt;="&amp;O114,Producao!$A:$A,"&lt;"&amp;A114)))))</f>
        <v/>
      </c>
      <c r="E114">
        <f>IF(N114="","",INDEX(Equipamentos!$C$2:$C$61,N114))</f>
        <v/>
      </c>
      <c r="F114" s="57">
        <f>IF(OR(D114="",N(Q114)&lt;=0),"",D114/Q114)</f>
        <v/>
      </c>
      <c r="G114" s="55" t="n"/>
      <c r="H114" s="58" t="n"/>
      <c r="I114" s="58" t="n"/>
      <c r="J114" s="55" t="n"/>
      <c r="K114" s="55" t="n"/>
      <c r="L114">
        <f>IF(OR(A114="",B114=""),"",_xlfn.MAXIFS(TrocasEquip!$A$2:$A$1000,TrocasEquip!$B$2:$B$1000,B114,TrocasEquip!$A$2:$A$1000,"&lt;"&amp;A114))</f>
        <v/>
      </c>
      <c r="M114">
        <f>IF(N(L114)=0,0,MATCH(1,INDEX((TrocasEquip!$B$2:$B$1000=B114)*(TrocasEquip!$A$2:$A$1000=L114),0),0))</f>
        <v/>
      </c>
      <c r="N114">
        <f>IF(B114="","",IFERROR(MATCH(B114,Equipamentos!$P$2:$P$61,0),""))</f>
        <v/>
      </c>
      <c r="O114">
        <f>IF(N114="","",IF(M114=0,INDEX(Equipamentos!$U$2:$U$61,N114),L114))</f>
        <v/>
      </c>
      <c r="P114">
        <f>IF(N114="","",IF(M114=0,N(INDEX(Equipamentos!$V$2:$V$61,N114)),N(INDEX(TrocasEquip!$I$2:$I$1000,M114))))</f>
        <v/>
      </c>
      <c r="Q114">
        <f>IF(N114="","",IF(M114=0,INDEX(Equipamentos!$T$2:$T$61,N114),IF(INDEX(TrocasEquip!$H$2:$H$1000,M114)="",INDEX(Equipamentos!$T$2:$T$61,N114),INDEX(TrocasEquip!$H$2:$H$1000,M114))))</f>
        <v/>
      </c>
    </row>
    <row r="115">
      <c r="A115" s="54" t="n"/>
      <c r="B115" s="55" t="n"/>
      <c r="C115">
        <f>IF(B115="","",IF(N115="","posição não encontrada",IF(M115=0,INDEX(Equipamentos!$S$2:$S$61,N115),INDEX(TrocasEquip!$G$2:$G$1000,M115))))</f>
        <v/>
      </c>
      <c r="D115" s="56">
        <f>IF(OR(A115="",N115=""),"",P115+IF(E115="dias",MAX(0,A115-O115),IF(INDEX(Equipamentos!$D$2:$D$61,N115)=2,SUMIFS(Producao!$D:$D,Producao!$A:$A,"&gt;="&amp;O115,Producao!$A:$A,"&lt;"&amp;A115),IF(INDEX(Equipamentos!$D$2:$D$61,N115)=3,SUMIFS(Producao!$E:$E,Producao!$A:$A,"&gt;="&amp;O115,Producao!$A:$A,"&lt;"&amp;A115),SUMIFS(Producao!$B:$B,Producao!$A:$A,"&gt;="&amp;O115,Producao!$A:$A,"&lt;"&amp;A115)))))</f>
        <v/>
      </c>
      <c r="E115">
        <f>IF(N115="","",INDEX(Equipamentos!$C$2:$C$61,N115))</f>
        <v/>
      </c>
      <c r="F115" s="57">
        <f>IF(OR(D115="",N(Q115)&lt;=0),"",D115/Q115)</f>
        <v/>
      </c>
      <c r="G115" s="55" t="n"/>
      <c r="H115" s="58" t="n"/>
      <c r="I115" s="58" t="n"/>
      <c r="J115" s="55" t="n"/>
      <c r="K115" s="55" t="n"/>
      <c r="L115">
        <f>IF(OR(A115="",B115=""),"",_xlfn.MAXIFS(TrocasEquip!$A$2:$A$1000,TrocasEquip!$B$2:$B$1000,B115,TrocasEquip!$A$2:$A$1000,"&lt;"&amp;A115))</f>
        <v/>
      </c>
      <c r="M115">
        <f>IF(N(L115)=0,0,MATCH(1,INDEX((TrocasEquip!$B$2:$B$1000=B115)*(TrocasEquip!$A$2:$A$1000=L115),0),0))</f>
        <v/>
      </c>
      <c r="N115">
        <f>IF(B115="","",IFERROR(MATCH(B115,Equipamentos!$P$2:$P$61,0),""))</f>
        <v/>
      </c>
      <c r="O115">
        <f>IF(N115="","",IF(M115=0,INDEX(Equipamentos!$U$2:$U$61,N115),L115))</f>
        <v/>
      </c>
      <c r="P115">
        <f>IF(N115="","",IF(M115=0,N(INDEX(Equipamentos!$V$2:$V$61,N115)),N(INDEX(TrocasEquip!$I$2:$I$1000,M115))))</f>
        <v/>
      </c>
      <c r="Q115">
        <f>IF(N115="","",IF(M115=0,INDEX(Equipamentos!$T$2:$T$61,N115),IF(INDEX(TrocasEquip!$H$2:$H$1000,M115)="",INDEX(Equipamentos!$T$2:$T$61,N115),INDEX(TrocasEquip!$H$2:$H$1000,M115))))</f>
        <v/>
      </c>
    </row>
    <row r="116">
      <c r="A116" s="54" t="n"/>
      <c r="B116" s="55" t="n"/>
      <c r="C116">
        <f>IF(B116="","",IF(N116="","posição não encontrada",IF(M116=0,INDEX(Equipamentos!$S$2:$S$61,N116),INDEX(TrocasEquip!$G$2:$G$1000,M116))))</f>
        <v/>
      </c>
      <c r="D116" s="56">
        <f>IF(OR(A116="",N116=""),"",P116+IF(E116="dias",MAX(0,A116-O116),IF(INDEX(Equipamentos!$D$2:$D$61,N116)=2,SUMIFS(Producao!$D:$D,Producao!$A:$A,"&gt;="&amp;O116,Producao!$A:$A,"&lt;"&amp;A116),IF(INDEX(Equipamentos!$D$2:$D$61,N116)=3,SUMIFS(Producao!$E:$E,Producao!$A:$A,"&gt;="&amp;O116,Producao!$A:$A,"&lt;"&amp;A116),SUMIFS(Producao!$B:$B,Producao!$A:$A,"&gt;="&amp;O116,Producao!$A:$A,"&lt;"&amp;A116)))))</f>
        <v/>
      </c>
      <c r="E116">
        <f>IF(N116="","",INDEX(Equipamentos!$C$2:$C$61,N116))</f>
        <v/>
      </c>
      <c r="F116" s="57">
        <f>IF(OR(D116="",N(Q116)&lt;=0),"",D116/Q116)</f>
        <v/>
      </c>
      <c r="G116" s="55" t="n"/>
      <c r="H116" s="58" t="n"/>
      <c r="I116" s="58" t="n"/>
      <c r="J116" s="55" t="n"/>
      <c r="K116" s="55" t="n"/>
      <c r="L116">
        <f>IF(OR(A116="",B116=""),"",_xlfn.MAXIFS(TrocasEquip!$A$2:$A$1000,TrocasEquip!$B$2:$B$1000,B116,TrocasEquip!$A$2:$A$1000,"&lt;"&amp;A116))</f>
        <v/>
      </c>
      <c r="M116">
        <f>IF(N(L116)=0,0,MATCH(1,INDEX((TrocasEquip!$B$2:$B$1000=B116)*(TrocasEquip!$A$2:$A$1000=L116),0),0))</f>
        <v/>
      </c>
      <c r="N116">
        <f>IF(B116="","",IFERROR(MATCH(B116,Equipamentos!$P$2:$P$61,0),""))</f>
        <v/>
      </c>
      <c r="O116">
        <f>IF(N116="","",IF(M116=0,INDEX(Equipamentos!$U$2:$U$61,N116),L116))</f>
        <v/>
      </c>
      <c r="P116">
        <f>IF(N116="","",IF(M116=0,N(INDEX(Equipamentos!$V$2:$V$61,N116)),N(INDEX(TrocasEquip!$I$2:$I$1000,M116))))</f>
        <v/>
      </c>
      <c r="Q116">
        <f>IF(N116="","",IF(M116=0,INDEX(Equipamentos!$T$2:$T$61,N116),IF(INDEX(TrocasEquip!$H$2:$H$1000,M116)="",INDEX(Equipamentos!$T$2:$T$61,N116),INDEX(TrocasEquip!$H$2:$H$1000,M116))))</f>
        <v/>
      </c>
    </row>
    <row r="117">
      <c r="A117" s="54" t="n"/>
      <c r="B117" s="55" t="n"/>
      <c r="C117">
        <f>IF(B117="","",IF(N117="","posição não encontrada",IF(M117=0,INDEX(Equipamentos!$S$2:$S$61,N117),INDEX(TrocasEquip!$G$2:$G$1000,M117))))</f>
        <v/>
      </c>
      <c r="D117" s="56">
        <f>IF(OR(A117="",N117=""),"",P117+IF(E117="dias",MAX(0,A117-O117),IF(INDEX(Equipamentos!$D$2:$D$61,N117)=2,SUMIFS(Producao!$D:$D,Producao!$A:$A,"&gt;="&amp;O117,Producao!$A:$A,"&lt;"&amp;A117),IF(INDEX(Equipamentos!$D$2:$D$61,N117)=3,SUMIFS(Producao!$E:$E,Producao!$A:$A,"&gt;="&amp;O117,Producao!$A:$A,"&lt;"&amp;A117),SUMIFS(Producao!$B:$B,Producao!$A:$A,"&gt;="&amp;O117,Producao!$A:$A,"&lt;"&amp;A117)))))</f>
        <v/>
      </c>
      <c r="E117">
        <f>IF(N117="","",INDEX(Equipamentos!$C$2:$C$61,N117))</f>
        <v/>
      </c>
      <c r="F117" s="57">
        <f>IF(OR(D117="",N(Q117)&lt;=0),"",D117/Q117)</f>
        <v/>
      </c>
      <c r="G117" s="55" t="n"/>
      <c r="H117" s="58" t="n"/>
      <c r="I117" s="58" t="n"/>
      <c r="J117" s="55" t="n"/>
      <c r="K117" s="55" t="n"/>
      <c r="L117">
        <f>IF(OR(A117="",B117=""),"",_xlfn.MAXIFS(TrocasEquip!$A$2:$A$1000,TrocasEquip!$B$2:$B$1000,B117,TrocasEquip!$A$2:$A$1000,"&lt;"&amp;A117))</f>
        <v/>
      </c>
      <c r="M117">
        <f>IF(N(L117)=0,0,MATCH(1,INDEX((TrocasEquip!$B$2:$B$1000=B117)*(TrocasEquip!$A$2:$A$1000=L117),0),0))</f>
        <v/>
      </c>
      <c r="N117">
        <f>IF(B117="","",IFERROR(MATCH(B117,Equipamentos!$P$2:$P$61,0),""))</f>
        <v/>
      </c>
      <c r="O117">
        <f>IF(N117="","",IF(M117=0,INDEX(Equipamentos!$U$2:$U$61,N117),L117))</f>
        <v/>
      </c>
      <c r="P117">
        <f>IF(N117="","",IF(M117=0,N(INDEX(Equipamentos!$V$2:$V$61,N117)),N(INDEX(TrocasEquip!$I$2:$I$1000,M117))))</f>
        <v/>
      </c>
      <c r="Q117">
        <f>IF(N117="","",IF(M117=0,INDEX(Equipamentos!$T$2:$T$61,N117),IF(INDEX(TrocasEquip!$H$2:$H$1000,M117)="",INDEX(Equipamentos!$T$2:$T$61,N117),INDEX(TrocasEquip!$H$2:$H$1000,M117))))</f>
        <v/>
      </c>
    </row>
    <row r="118">
      <c r="A118" s="54" t="n"/>
      <c r="B118" s="55" t="n"/>
      <c r="C118">
        <f>IF(B118="","",IF(N118="","posição não encontrada",IF(M118=0,INDEX(Equipamentos!$S$2:$S$61,N118),INDEX(TrocasEquip!$G$2:$G$1000,M118))))</f>
        <v/>
      </c>
      <c r="D118" s="56">
        <f>IF(OR(A118="",N118=""),"",P118+IF(E118="dias",MAX(0,A118-O118),IF(INDEX(Equipamentos!$D$2:$D$61,N118)=2,SUMIFS(Producao!$D:$D,Producao!$A:$A,"&gt;="&amp;O118,Producao!$A:$A,"&lt;"&amp;A118),IF(INDEX(Equipamentos!$D$2:$D$61,N118)=3,SUMIFS(Producao!$E:$E,Producao!$A:$A,"&gt;="&amp;O118,Producao!$A:$A,"&lt;"&amp;A118),SUMIFS(Producao!$B:$B,Producao!$A:$A,"&gt;="&amp;O118,Producao!$A:$A,"&lt;"&amp;A118)))))</f>
        <v/>
      </c>
      <c r="E118">
        <f>IF(N118="","",INDEX(Equipamentos!$C$2:$C$61,N118))</f>
        <v/>
      </c>
      <c r="F118" s="57">
        <f>IF(OR(D118="",N(Q118)&lt;=0),"",D118/Q118)</f>
        <v/>
      </c>
      <c r="G118" s="55" t="n"/>
      <c r="H118" s="58" t="n"/>
      <c r="I118" s="58" t="n"/>
      <c r="J118" s="55" t="n"/>
      <c r="K118" s="55" t="n"/>
      <c r="L118">
        <f>IF(OR(A118="",B118=""),"",_xlfn.MAXIFS(TrocasEquip!$A$2:$A$1000,TrocasEquip!$B$2:$B$1000,B118,TrocasEquip!$A$2:$A$1000,"&lt;"&amp;A118))</f>
        <v/>
      </c>
      <c r="M118">
        <f>IF(N(L118)=0,0,MATCH(1,INDEX((TrocasEquip!$B$2:$B$1000=B118)*(TrocasEquip!$A$2:$A$1000=L118),0),0))</f>
        <v/>
      </c>
      <c r="N118">
        <f>IF(B118="","",IFERROR(MATCH(B118,Equipamentos!$P$2:$P$61,0),""))</f>
        <v/>
      </c>
      <c r="O118">
        <f>IF(N118="","",IF(M118=0,INDEX(Equipamentos!$U$2:$U$61,N118),L118))</f>
        <v/>
      </c>
      <c r="P118">
        <f>IF(N118="","",IF(M118=0,N(INDEX(Equipamentos!$V$2:$V$61,N118)),N(INDEX(TrocasEquip!$I$2:$I$1000,M118))))</f>
        <v/>
      </c>
      <c r="Q118">
        <f>IF(N118="","",IF(M118=0,INDEX(Equipamentos!$T$2:$T$61,N118),IF(INDEX(TrocasEquip!$H$2:$H$1000,M118)="",INDEX(Equipamentos!$T$2:$T$61,N118),INDEX(TrocasEquip!$H$2:$H$1000,M118))))</f>
        <v/>
      </c>
    </row>
    <row r="119">
      <c r="A119" s="54" t="n"/>
      <c r="B119" s="55" t="n"/>
      <c r="C119">
        <f>IF(B119="","",IF(N119="","posição não encontrada",IF(M119=0,INDEX(Equipamentos!$S$2:$S$61,N119),INDEX(TrocasEquip!$G$2:$G$1000,M119))))</f>
        <v/>
      </c>
      <c r="D119" s="56">
        <f>IF(OR(A119="",N119=""),"",P119+IF(E119="dias",MAX(0,A119-O119),IF(INDEX(Equipamentos!$D$2:$D$61,N119)=2,SUMIFS(Producao!$D:$D,Producao!$A:$A,"&gt;="&amp;O119,Producao!$A:$A,"&lt;"&amp;A119),IF(INDEX(Equipamentos!$D$2:$D$61,N119)=3,SUMIFS(Producao!$E:$E,Producao!$A:$A,"&gt;="&amp;O119,Producao!$A:$A,"&lt;"&amp;A119),SUMIFS(Producao!$B:$B,Producao!$A:$A,"&gt;="&amp;O119,Producao!$A:$A,"&lt;"&amp;A119)))))</f>
        <v/>
      </c>
      <c r="E119">
        <f>IF(N119="","",INDEX(Equipamentos!$C$2:$C$61,N119))</f>
        <v/>
      </c>
      <c r="F119" s="57">
        <f>IF(OR(D119="",N(Q119)&lt;=0),"",D119/Q119)</f>
        <v/>
      </c>
      <c r="G119" s="55" t="n"/>
      <c r="H119" s="58" t="n"/>
      <c r="I119" s="58" t="n"/>
      <c r="J119" s="55" t="n"/>
      <c r="K119" s="55" t="n"/>
      <c r="L119">
        <f>IF(OR(A119="",B119=""),"",_xlfn.MAXIFS(TrocasEquip!$A$2:$A$1000,TrocasEquip!$B$2:$B$1000,B119,TrocasEquip!$A$2:$A$1000,"&lt;"&amp;A119))</f>
        <v/>
      </c>
      <c r="M119">
        <f>IF(N(L119)=0,0,MATCH(1,INDEX((TrocasEquip!$B$2:$B$1000=B119)*(TrocasEquip!$A$2:$A$1000=L119),0),0))</f>
        <v/>
      </c>
      <c r="N119">
        <f>IF(B119="","",IFERROR(MATCH(B119,Equipamentos!$P$2:$P$61,0),""))</f>
        <v/>
      </c>
      <c r="O119">
        <f>IF(N119="","",IF(M119=0,INDEX(Equipamentos!$U$2:$U$61,N119),L119))</f>
        <v/>
      </c>
      <c r="P119">
        <f>IF(N119="","",IF(M119=0,N(INDEX(Equipamentos!$V$2:$V$61,N119)),N(INDEX(TrocasEquip!$I$2:$I$1000,M119))))</f>
        <v/>
      </c>
      <c r="Q119">
        <f>IF(N119="","",IF(M119=0,INDEX(Equipamentos!$T$2:$T$61,N119),IF(INDEX(TrocasEquip!$H$2:$H$1000,M119)="",INDEX(Equipamentos!$T$2:$T$61,N119),INDEX(TrocasEquip!$H$2:$H$1000,M119))))</f>
        <v/>
      </c>
    </row>
    <row r="120">
      <c r="A120" s="54" t="n"/>
      <c r="B120" s="55" t="n"/>
      <c r="C120">
        <f>IF(B120="","",IF(N120="","posição não encontrada",IF(M120=0,INDEX(Equipamentos!$S$2:$S$61,N120),INDEX(TrocasEquip!$G$2:$G$1000,M120))))</f>
        <v/>
      </c>
      <c r="D120" s="56">
        <f>IF(OR(A120="",N120=""),"",P120+IF(E120="dias",MAX(0,A120-O120),IF(INDEX(Equipamentos!$D$2:$D$61,N120)=2,SUMIFS(Producao!$D:$D,Producao!$A:$A,"&gt;="&amp;O120,Producao!$A:$A,"&lt;"&amp;A120),IF(INDEX(Equipamentos!$D$2:$D$61,N120)=3,SUMIFS(Producao!$E:$E,Producao!$A:$A,"&gt;="&amp;O120,Producao!$A:$A,"&lt;"&amp;A120),SUMIFS(Producao!$B:$B,Producao!$A:$A,"&gt;="&amp;O120,Producao!$A:$A,"&lt;"&amp;A120)))))</f>
        <v/>
      </c>
      <c r="E120">
        <f>IF(N120="","",INDEX(Equipamentos!$C$2:$C$61,N120))</f>
        <v/>
      </c>
      <c r="F120" s="57">
        <f>IF(OR(D120="",N(Q120)&lt;=0),"",D120/Q120)</f>
        <v/>
      </c>
      <c r="G120" s="55" t="n"/>
      <c r="H120" s="58" t="n"/>
      <c r="I120" s="58" t="n"/>
      <c r="J120" s="55" t="n"/>
      <c r="K120" s="55" t="n"/>
      <c r="L120">
        <f>IF(OR(A120="",B120=""),"",_xlfn.MAXIFS(TrocasEquip!$A$2:$A$1000,TrocasEquip!$B$2:$B$1000,B120,TrocasEquip!$A$2:$A$1000,"&lt;"&amp;A120))</f>
        <v/>
      </c>
      <c r="M120">
        <f>IF(N(L120)=0,0,MATCH(1,INDEX((TrocasEquip!$B$2:$B$1000=B120)*(TrocasEquip!$A$2:$A$1000=L120),0),0))</f>
        <v/>
      </c>
      <c r="N120">
        <f>IF(B120="","",IFERROR(MATCH(B120,Equipamentos!$P$2:$P$61,0),""))</f>
        <v/>
      </c>
      <c r="O120">
        <f>IF(N120="","",IF(M120=0,INDEX(Equipamentos!$U$2:$U$61,N120),L120))</f>
        <v/>
      </c>
      <c r="P120">
        <f>IF(N120="","",IF(M120=0,N(INDEX(Equipamentos!$V$2:$V$61,N120)),N(INDEX(TrocasEquip!$I$2:$I$1000,M120))))</f>
        <v/>
      </c>
      <c r="Q120">
        <f>IF(N120="","",IF(M120=0,INDEX(Equipamentos!$T$2:$T$61,N120),IF(INDEX(TrocasEquip!$H$2:$H$1000,M120)="",INDEX(Equipamentos!$T$2:$T$61,N120),INDEX(TrocasEquip!$H$2:$H$1000,M120))))</f>
        <v/>
      </c>
    </row>
    <row r="121">
      <c r="A121" s="54" t="n"/>
      <c r="B121" s="55" t="n"/>
      <c r="C121">
        <f>IF(B121="","",IF(N121="","posição não encontrada",IF(M121=0,INDEX(Equipamentos!$S$2:$S$61,N121),INDEX(TrocasEquip!$G$2:$G$1000,M121))))</f>
        <v/>
      </c>
      <c r="D121" s="56">
        <f>IF(OR(A121="",N121=""),"",P121+IF(E121="dias",MAX(0,A121-O121),IF(INDEX(Equipamentos!$D$2:$D$61,N121)=2,SUMIFS(Producao!$D:$D,Producao!$A:$A,"&gt;="&amp;O121,Producao!$A:$A,"&lt;"&amp;A121),IF(INDEX(Equipamentos!$D$2:$D$61,N121)=3,SUMIFS(Producao!$E:$E,Producao!$A:$A,"&gt;="&amp;O121,Producao!$A:$A,"&lt;"&amp;A121),SUMIFS(Producao!$B:$B,Producao!$A:$A,"&gt;="&amp;O121,Producao!$A:$A,"&lt;"&amp;A121)))))</f>
        <v/>
      </c>
      <c r="E121">
        <f>IF(N121="","",INDEX(Equipamentos!$C$2:$C$61,N121))</f>
        <v/>
      </c>
      <c r="F121" s="57">
        <f>IF(OR(D121="",N(Q121)&lt;=0),"",D121/Q121)</f>
        <v/>
      </c>
      <c r="G121" s="55" t="n"/>
      <c r="H121" s="58" t="n"/>
      <c r="I121" s="58" t="n"/>
      <c r="J121" s="55" t="n"/>
      <c r="K121" s="55" t="n"/>
      <c r="L121">
        <f>IF(OR(A121="",B121=""),"",_xlfn.MAXIFS(TrocasEquip!$A$2:$A$1000,TrocasEquip!$B$2:$B$1000,B121,TrocasEquip!$A$2:$A$1000,"&lt;"&amp;A121))</f>
        <v/>
      </c>
      <c r="M121">
        <f>IF(N(L121)=0,0,MATCH(1,INDEX((TrocasEquip!$B$2:$B$1000=B121)*(TrocasEquip!$A$2:$A$1000=L121),0),0))</f>
        <v/>
      </c>
      <c r="N121">
        <f>IF(B121="","",IFERROR(MATCH(B121,Equipamentos!$P$2:$P$61,0),""))</f>
        <v/>
      </c>
      <c r="O121">
        <f>IF(N121="","",IF(M121=0,INDEX(Equipamentos!$U$2:$U$61,N121),L121))</f>
        <v/>
      </c>
      <c r="P121">
        <f>IF(N121="","",IF(M121=0,N(INDEX(Equipamentos!$V$2:$V$61,N121)),N(INDEX(TrocasEquip!$I$2:$I$1000,M121))))</f>
        <v/>
      </c>
      <c r="Q121">
        <f>IF(N121="","",IF(M121=0,INDEX(Equipamentos!$T$2:$T$61,N121),IF(INDEX(TrocasEquip!$H$2:$H$1000,M121)="",INDEX(Equipamentos!$T$2:$T$61,N121),INDEX(TrocasEquip!$H$2:$H$1000,M121))))</f>
        <v/>
      </c>
    </row>
    <row r="122">
      <c r="A122" s="54" t="n"/>
      <c r="B122" s="55" t="n"/>
      <c r="C122">
        <f>IF(B122="","",IF(N122="","posição não encontrada",IF(M122=0,INDEX(Equipamentos!$S$2:$S$61,N122),INDEX(TrocasEquip!$G$2:$G$1000,M122))))</f>
        <v/>
      </c>
      <c r="D122" s="56">
        <f>IF(OR(A122="",N122=""),"",P122+IF(E122="dias",MAX(0,A122-O122),IF(INDEX(Equipamentos!$D$2:$D$61,N122)=2,SUMIFS(Producao!$D:$D,Producao!$A:$A,"&gt;="&amp;O122,Producao!$A:$A,"&lt;"&amp;A122),IF(INDEX(Equipamentos!$D$2:$D$61,N122)=3,SUMIFS(Producao!$E:$E,Producao!$A:$A,"&gt;="&amp;O122,Producao!$A:$A,"&lt;"&amp;A122),SUMIFS(Producao!$B:$B,Producao!$A:$A,"&gt;="&amp;O122,Producao!$A:$A,"&lt;"&amp;A122)))))</f>
        <v/>
      </c>
      <c r="E122">
        <f>IF(N122="","",INDEX(Equipamentos!$C$2:$C$61,N122))</f>
        <v/>
      </c>
      <c r="F122" s="57">
        <f>IF(OR(D122="",N(Q122)&lt;=0),"",D122/Q122)</f>
        <v/>
      </c>
      <c r="G122" s="55" t="n"/>
      <c r="H122" s="58" t="n"/>
      <c r="I122" s="58" t="n"/>
      <c r="J122" s="55" t="n"/>
      <c r="K122" s="55" t="n"/>
      <c r="L122">
        <f>IF(OR(A122="",B122=""),"",_xlfn.MAXIFS(TrocasEquip!$A$2:$A$1000,TrocasEquip!$B$2:$B$1000,B122,TrocasEquip!$A$2:$A$1000,"&lt;"&amp;A122))</f>
        <v/>
      </c>
      <c r="M122">
        <f>IF(N(L122)=0,0,MATCH(1,INDEX((TrocasEquip!$B$2:$B$1000=B122)*(TrocasEquip!$A$2:$A$1000=L122),0),0))</f>
        <v/>
      </c>
      <c r="N122">
        <f>IF(B122="","",IFERROR(MATCH(B122,Equipamentos!$P$2:$P$61,0),""))</f>
        <v/>
      </c>
      <c r="O122">
        <f>IF(N122="","",IF(M122=0,INDEX(Equipamentos!$U$2:$U$61,N122),L122))</f>
        <v/>
      </c>
      <c r="P122">
        <f>IF(N122="","",IF(M122=0,N(INDEX(Equipamentos!$V$2:$V$61,N122)),N(INDEX(TrocasEquip!$I$2:$I$1000,M122))))</f>
        <v/>
      </c>
      <c r="Q122">
        <f>IF(N122="","",IF(M122=0,INDEX(Equipamentos!$T$2:$T$61,N122),IF(INDEX(TrocasEquip!$H$2:$H$1000,M122)="",INDEX(Equipamentos!$T$2:$T$61,N122),INDEX(TrocasEquip!$H$2:$H$1000,M122))))</f>
        <v/>
      </c>
    </row>
    <row r="123">
      <c r="A123" s="54" t="n"/>
      <c r="B123" s="55" t="n"/>
      <c r="C123">
        <f>IF(B123="","",IF(N123="","posição não encontrada",IF(M123=0,INDEX(Equipamentos!$S$2:$S$61,N123),INDEX(TrocasEquip!$G$2:$G$1000,M123))))</f>
        <v/>
      </c>
      <c r="D123" s="56">
        <f>IF(OR(A123="",N123=""),"",P123+IF(E123="dias",MAX(0,A123-O123),IF(INDEX(Equipamentos!$D$2:$D$61,N123)=2,SUMIFS(Producao!$D:$D,Producao!$A:$A,"&gt;="&amp;O123,Producao!$A:$A,"&lt;"&amp;A123),IF(INDEX(Equipamentos!$D$2:$D$61,N123)=3,SUMIFS(Producao!$E:$E,Producao!$A:$A,"&gt;="&amp;O123,Producao!$A:$A,"&lt;"&amp;A123),SUMIFS(Producao!$B:$B,Producao!$A:$A,"&gt;="&amp;O123,Producao!$A:$A,"&lt;"&amp;A123)))))</f>
        <v/>
      </c>
      <c r="E123">
        <f>IF(N123="","",INDEX(Equipamentos!$C$2:$C$61,N123))</f>
        <v/>
      </c>
      <c r="F123" s="57">
        <f>IF(OR(D123="",N(Q123)&lt;=0),"",D123/Q123)</f>
        <v/>
      </c>
      <c r="G123" s="55" t="n"/>
      <c r="H123" s="58" t="n"/>
      <c r="I123" s="58" t="n"/>
      <c r="J123" s="55" t="n"/>
      <c r="K123" s="55" t="n"/>
      <c r="L123">
        <f>IF(OR(A123="",B123=""),"",_xlfn.MAXIFS(TrocasEquip!$A$2:$A$1000,TrocasEquip!$B$2:$B$1000,B123,TrocasEquip!$A$2:$A$1000,"&lt;"&amp;A123))</f>
        <v/>
      </c>
      <c r="M123">
        <f>IF(N(L123)=0,0,MATCH(1,INDEX((TrocasEquip!$B$2:$B$1000=B123)*(TrocasEquip!$A$2:$A$1000=L123),0),0))</f>
        <v/>
      </c>
      <c r="N123">
        <f>IF(B123="","",IFERROR(MATCH(B123,Equipamentos!$P$2:$P$61,0),""))</f>
        <v/>
      </c>
      <c r="O123">
        <f>IF(N123="","",IF(M123=0,INDEX(Equipamentos!$U$2:$U$61,N123),L123))</f>
        <v/>
      </c>
      <c r="P123">
        <f>IF(N123="","",IF(M123=0,N(INDEX(Equipamentos!$V$2:$V$61,N123)),N(INDEX(TrocasEquip!$I$2:$I$1000,M123))))</f>
        <v/>
      </c>
      <c r="Q123">
        <f>IF(N123="","",IF(M123=0,INDEX(Equipamentos!$T$2:$T$61,N123),IF(INDEX(TrocasEquip!$H$2:$H$1000,M123)="",INDEX(Equipamentos!$T$2:$T$61,N123),INDEX(TrocasEquip!$H$2:$H$1000,M123))))</f>
        <v/>
      </c>
    </row>
    <row r="124">
      <c r="A124" s="54" t="n"/>
      <c r="B124" s="55" t="n"/>
      <c r="C124">
        <f>IF(B124="","",IF(N124="","posição não encontrada",IF(M124=0,INDEX(Equipamentos!$S$2:$S$61,N124),INDEX(TrocasEquip!$G$2:$G$1000,M124))))</f>
        <v/>
      </c>
      <c r="D124" s="56">
        <f>IF(OR(A124="",N124=""),"",P124+IF(E124="dias",MAX(0,A124-O124),IF(INDEX(Equipamentos!$D$2:$D$61,N124)=2,SUMIFS(Producao!$D:$D,Producao!$A:$A,"&gt;="&amp;O124,Producao!$A:$A,"&lt;"&amp;A124),IF(INDEX(Equipamentos!$D$2:$D$61,N124)=3,SUMIFS(Producao!$E:$E,Producao!$A:$A,"&gt;="&amp;O124,Producao!$A:$A,"&lt;"&amp;A124),SUMIFS(Producao!$B:$B,Producao!$A:$A,"&gt;="&amp;O124,Producao!$A:$A,"&lt;"&amp;A124)))))</f>
        <v/>
      </c>
      <c r="E124">
        <f>IF(N124="","",INDEX(Equipamentos!$C$2:$C$61,N124))</f>
        <v/>
      </c>
      <c r="F124" s="57">
        <f>IF(OR(D124="",N(Q124)&lt;=0),"",D124/Q124)</f>
        <v/>
      </c>
      <c r="G124" s="55" t="n"/>
      <c r="H124" s="58" t="n"/>
      <c r="I124" s="58" t="n"/>
      <c r="J124" s="55" t="n"/>
      <c r="K124" s="55" t="n"/>
      <c r="L124">
        <f>IF(OR(A124="",B124=""),"",_xlfn.MAXIFS(TrocasEquip!$A$2:$A$1000,TrocasEquip!$B$2:$B$1000,B124,TrocasEquip!$A$2:$A$1000,"&lt;"&amp;A124))</f>
        <v/>
      </c>
      <c r="M124">
        <f>IF(N(L124)=0,0,MATCH(1,INDEX((TrocasEquip!$B$2:$B$1000=B124)*(TrocasEquip!$A$2:$A$1000=L124),0),0))</f>
        <v/>
      </c>
      <c r="N124">
        <f>IF(B124="","",IFERROR(MATCH(B124,Equipamentos!$P$2:$P$61,0),""))</f>
        <v/>
      </c>
      <c r="O124">
        <f>IF(N124="","",IF(M124=0,INDEX(Equipamentos!$U$2:$U$61,N124),L124))</f>
        <v/>
      </c>
      <c r="P124">
        <f>IF(N124="","",IF(M124=0,N(INDEX(Equipamentos!$V$2:$V$61,N124)),N(INDEX(TrocasEquip!$I$2:$I$1000,M124))))</f>
        <v/>
      </c>
      <c r="Q124">
        <f>IF(N124="","",IF(M124=0,INDEX(Equipamentos!$T$2:$T$61,N124),IF(INDEX(TrocasEquip!$H$2:$H$1000,M124)="",INDEX(Equipamentos!$T$2:$T$61,N124),INDEX(TrocasEquip!$H$2:$H$1000,M124))))</f>
        <v/>
      </c>
    </row>
    <row r="125">
      <c r="A125" s="54" t="n"/>
      <c r="B125" s="55" t="n"/>
      <c r="C125">
        <f>IF(B125="","",IF(N125="","posição não encontrada",IF(M125=0,INDEX(Equipamentos!$S$2:$S$61,N125),INDEX(TrocasEquip!$G$2:$G$1000,M125))))</f>
        <v/>
      </c>
      <c r="D125" s="56">
        <f>IF(OR(A125="",N125=""),"",P125+IF(E125="dias",MAX(0,A125-O125),IF(INDEX(Equipamentos!$D$2:$D$61,N125)=2,SUMIFS(Producao!$D:$D,Producao!$A:$A,"&gt;="&amp;O125,Producao!$A:$A,"&lt;"&amp;A125),IF(INDEX(Equipamentos!$D$2:$D$61,N125)=3,SUMIFS(Producao!$E:$E,Producao!$A:$A,"&gt;="&amp;O125,Producao!$A:$A,"&lt;"&amp;A125),SUMIFS(Producao!$B:$B,Producao!$A:$A,"&gt;="&amp;O125,Producao!$A:$A,"&lt;"&amp;A125)))))</f>
        <v/>
      </c>
      <c r="E125">
        <f>IF(N125="","",INDEX(Equipamentos!$C$2:$C$61,N125))</f>
        <v/>
      </c>
      <c r="F125" s="57">
        <f>IF(OR(D125="",N(Q125)&lt;=0),"",D125/Q125)</f>
        <v/>
      </c>
      <c r="G125" s="55" t="n"/>
      <c r="H125" s="58" t="n"/>
      <c r="I125" s="58" t="n"/>
      <c r="J125" s="55" t="n"/>
      <c r="K125" s="55" t="n"/>
      <c r="L125">
        <f>IF(OR(A125="",B125=""),"",_xlfn.MAXIFS(TrocasEquip!$A$2:$A$1000,TrocasEquip!$B$2:$B$1000,B125,TrocasEquip!$A$2:$A$1000,"&lt;"&amp;A125))</f>
        <v/>
      </c>
      <c r="M125">
        <f>IF(N(L125)=0,0,MATCH(1,INDEX((TrocasEquip!$B$2:$B$1000=B125)*(TrocasEquip!$A$2:$A$1000=L125),0),0))</f>
        <v/>
      </c>
      <c r="N125">
        <f>IF(B125="","",IFERROR(MATCH(B125,Equipamentos!$P$2:$P$61,0),""))</f>
        <v/>
      </c>
      <c r="O125">
        <f>IF(N125="","",IF(M125=0,INDEX(Equipamentos!$U$2:$U$61,N125),L125))</f>
        <v/>
      </c>
      <c r="P125">
        <f>IF(N125="","",IF(M125=0,N(INDEX(Equipamentos!$V$2:$V$61,N125)),N(INDEX(TrocasEquip!$I$2:$I$1000,M125))))</f>
        <v/>
      </c>
      <c r="Q125">
        <f>IF(N125="","",IF(M125=0,INDEX(Equipamentos!$T$2:$T$61,N125),IF(INDEX(TrocasEquip!$H$2:$H$1000,M125)="",INDEX(Equipamentos!$T$2:$T$61,N125),INDEX(TrocasEquip!$H$2:$H$1000,M125))))</f>
        <v/>
      </c>
    </row>
    <row r="126">
      <c r="A126" s="54" t="n"/>
      <c r="B126" s="55" t="n"/>
      <c r="C126">
        <f>IF(B126="","",IF(N126="","posição não encontrada",IF(M126=0,INDEX(Equipamentos!$S$2:$S$61,N126),INDEX(TrocasEquip!$G$2:$G$1000,M126))))</f>
        <v/>
      </c>
      <c r="D126" s="56">
        <f>IF(OR(A126="",N126=""),"",P126+IF(E126="dias",MAX(0,A126-O126),IF(INDEX(Equipamentos!$D$2:$D$61,N126)=2,SUMIFS(Producao!$D:$D,Producao!$A:$A,"&gt;="&amp;O126,Producao!$A:$A,"&lt;"&amp;A126),IF(INDEX(Equipamentos!$D$2:$D$61,N126)=3,SUMIFS(Producao!$E:$E,Producao!$A:$A,"&gt;="&amp;O126,Producao!$A:$A,"&lt;"&amp;A126),SUMIFS(Producao!$B:$B,Producao!$A:$A,"&gt;="&amp;O126,Producao!$A:$A,"&lt;"&amp;A126)))))</f>
        <v/>
      </c>
      <c r="E126">
        <f>IF(N126="","",INDEX(Equipamentos!$C$2:$C$61,N126))</f>
        <v/>
      </c>
      <c r="F126" s="57">
        <f>IF(OR(D126="",N(Q126)&lt;=0),"",D126/Q126)</f>
        <v/>
      </c>
      <c r="G126" s="55" t="n"/>
      <c r="H126" s="58" t="n"/>
      <c r="I126" s="58" t="n"/>
      <c r="J126" s="55" t="n"/>
      <c r="K126" s="55" t="n"/>
      <c r="L126">
        <f>IF(OR(A126="",B126=""),"",_xlfn.MAXIFS(TrocasEquip!$A$2:$A$1000,TrocasEquip!$B$2:$B$1000,B126,TrocasEquip!$A$2:$A$1000,"&lt;"&amp;A126))</f>
        <v/>
      </c>
      <c r="M126">
        <f>IF(N(L126)=0,0,MATCH(1,INDEX((TrocasEquip!$B$2:$B$1000=B126)*(TrocasEquip!$A$2:$A$1000=L126),0),0))</f>
        <v/>
      </c>
      <c r="N126">
        <f>IF(B126="","",IFERROR(MATCH(B126,Equipamentos!$P$2:$P$61,0),""))</f>
        <v/>
      </c>
      <c r="O126">
        <f>IF(N126="","",IF(M126=0,INDEX(Equipamentos!$U$2:$U$61,N126),L126))</f>
        <v/>
      </c>
      <c r="P126">
        <f>IF(N126="","",IF(M126=0,N(INDEX(Equipamentos!$V$2:$V$61,N126)),N(INDEX(TrocasEquip!$I$2:$I$1000,M126))))</f>
        <v/>
      </c>
      <c r="Q126">
        <f>IF(N126="","",IF(M126=0,INDEX(Equipamentos!$T$2:$T$61,N126),IF(INDEX(TrocasEquip!$H$2:$H$1000,M126)="",INDEX(Equipamentos!$T$2:$T$61,N126),INDEX(TrocasEquip!$H$2:$H$1000,M126))))</f>
        <v/>
      </c>
    </row>
    <row r="127">
      <c r="A127" s="54" t="n"/>
      <c r="B127" s="55" t="n"/>
      <c r="C127">
        <f>IF(B127="","",IF(N127="","posição não encontrada",IF(M127=0,INDEX(Equipamentos!$S$2:$S$61,N127),INDEX(TrocasEquip!$G$2:$G$1000,M127))))</f>
        <v/>
      </c>
      <c r="D127" s="56">
        <f>IF(OR(A127="",N127=""),"",P127+IF(E127="dias",MAX(0,A127-O127),IF(INDEX(Equipamentos!$D$2:$D$61,N127)=2,SUMIFS(Producao!$D:$D,Producao!$A:$A,"&gt;="&amp;O127,Producao!$A:$A,"&lt;"&amp;A127),IF(INDEX(Equipamentos!$D$2:$D$61,N127)=3,SUMIFS(Producao!$E:$E,Producao!$A:$A,"&gt;="&amp;O127,Producao!$A:$A,"&lt;"&amp;A127),SUMIFS(Producao!$B:$B,Producao!$A:$A,"&gt;="&amp;O127,Producao!$A:$A,"&lt;"&amp;A127)))))</f>
        <v/>
      </c>
      <c r="E127">
        <f>IF(N127="","",INDEX(Equipamentos!$C$2:$C$61,N127))</f>
        <v/>
      </c>
      <c r="F127" s="57">
        <f>IF(OR(D127="",N(Q127)&lt;=0),"",D127/Q127)</f>
        <v/>
      </c>
      <c r="G127" s="55" t="n"/>
      <c r="H127" s="58" t="n"/>
      <c r="I127" s="58" t="n"/>
      <c r="J127" s="55" t="n"/>
      <c r="K127" s="55" t="n"/>
      <c r="L127">
        <f>IF(OR(A127="",B127=""),"",_xlfn.MAXIFS(TrocasEquip!$A$2:$A$1000,TrocasEquip!$B$2:$B$1000,B127,TrocasEquip!$A$2:$A$1000,"&lt;"&amp;A127))</f>
        <v/>
      </c>
      <c r="M127">
        <f>IF(N(L127)=0,0,MATCH(1,INDEX((TrocasEquip!$B$2:$B$1000=B127)*(TrocasEquip!$A$2:$A$1000=L127),0),0))</f>
        <v/>
      </c>
      <c r="N127">
        <f>IF(B127="","",IFERROR(MATCH(B127,Equipamentos!$P$2:$P$61,0),""))</f>
        <v/>
      </c>
      <c r="O127">
        <f>IF(N127="","",IF(M127=0,INDEX(Equipamentos!$U$2:$U$61,N127),L127))</f>
        <v/>
      </c>
      <c r="P127">
        <f>IF(N127="","",IF(M127=0,N(INDEX(Equipamentos!$V$2:$V$61,N127)),N(INDEX(TrocasEquip!$I$2:$I$1000,M127))))</f>
        <v/>
      </c>
      <c r="Q127">
        <f>IF(N127="","",IF(M127=0,INDEX(Equipamentos!$T$2:$T$61,N127),IF(INDEX(TrocasEquip!$H$2:$H$1000,M127)="",INDEX(Equipamentos!$T$2:$T$61,N127),INDEX(TrocasEquip!$H$2:$H$1000,M127))))</f>
        <v/>
      </c>
    </row>
    <row r="128">
      <c r="A128" s="54" t="n"/>
      <c r="B128" s="55" t="n"/>
      <c r="C128">
        <f>IF(B128="","",IF(N128="","posição não encontrada",IF(M128=0,INDEX(Equipamentos!$S$2:$S$61,N128),INDEX(TrocasEquip!$G$2:$G$1000,M128))))</f>
        <v/>
      </c>
      <c r="D128" s="56">
        <f>IF(OR(A128="",N128=""),"",P128+IF(E128="dias",MAX(0,A128-O128),IF(INDEX(Equipamentos!$D$2:$D$61,N128)=2,SUMIFS(Producao!$D:$D,Producao!$A:$A,"&gt;="&amp;O128,Producao!$A:$A,"&lt;"&amp;A128),IF(INDEX(Equipamentos!$D$2:$D$61,N128)=3,SUMIFS(Producao!$E:$E,Producao!$A:$A,"&gt;="&amp;O128,Producao!$A:$A,"&lt;"&amp;A128),SUMIFS(Producao!$B:$B,Producao!$A:$A,"&gt;="&amp;O128,Producao!$A:$A,"&lt;"&amp;A128)))))</f>
        <v/>
      </c>
      <c r="E128">
        <f>IF(N128="","",INDEX(Equipamentos!$C$2:$C$61,N128))</f>
        <v/>
      </c>
      <c r="F128" s="57">
        <f>IF(OR(D128="",N(Q128)&lt;=0),"",D128/Q128)</f>
        <v/>
      </c>
      <c r="G128" s="55" t="n"/>
      <c r="H128" s="58" t="n"/>
      <c r="I128" s="58" t="n"/>
      <c r="J128" s="55" t="n"/>
      <c r="K128" s="55" t="n"/>
      <c r="L128">
        <f>IF(OR(A128="",B128=""),"",_xlfn.MAXIFS(TrocasEquip!$A$2:$A$1000,TrocasEquip!$B$2:$B$1000,B128,TrocasEquip!$A$2:$A$1000,"&lt;"&amp;A128))</f>
        <v/>
      </c>
      <c r="M128">
        <f>IF(N(L128)=0,0,MATCH(1,INDEX((TrocasEquip!$B$2:$B$1000=B128)*(TrocasEquip!$A$2:$A$1000=L128),0),0))</f>
        <v/>
      </c>
      <c r="N128">
        <f>IF(B128="","",IFERROR(MATCH(B128,Equipamentos!$P$2:$P$61,0),""))</f>
        <v/>
      </c>
      <c r="O128">
        <f>IF(N128="","",IF(M128=0,INDEX(Equipamentos!$U$2:$U$61,N128),L128))</f>
        <v/>
      </c>
      <c r="P128">
        <f>IF(N128="","",IF(M128=0,N(INDEX(Equipamentos!$V$2:$V$61,N128)),N(INDEX(TrocasEquip!$I$2:$I$1000,M128))))</f>
        <v/>
      </c>
      <c r="Q128">
        <f>IF(N128="","",IF(M128=0,INDEX(Equipamentos!$T$2:$T$61,N128),IF(INDEX(TrocasEquip!$H$2:$H$1000,M128)="",INDEX(Equipamentos!$T$2:$T$61,N128),INDEX(TrocasEquip!$H$2:$H$1000,M128))))</f>
        <v/>
      </c>
    </row>
    <row r="129">
      <c r="A129" s="54" t="n"/>
      <c r="B129" s="55" t="n"/>
      <c r="C129">
        <f>IF(B129="","",IF(N129="","posição não encontrada",IF(M129=0,INDEX(Equipamentos!$S$2:$S$61,N129),INDEX(TrocasEquip!$G$2:$G$1000,M129))))</f>
        <v/>
      </c>
      <c r="D129" s="56">
        <f>IF(OR(A129="",N129=""),"",P129+IF(E129="dias",MAX(0,A129-O129),IF(INDEX(Equipamentos!$D$2:$D$61,N129)=2,SUMIFS(Producao!$D:$D,Producao!$A:$A,"&gt;="&amp;O129,Producao!$A:$A,"&lt;"&amp;A129),IF(INDEX(Equipamentos!$D$2:$D$61,N129)=3,SUMIFS(Producao!$E:$E,Producao!$A:$A,"&gt;="&amp;O129,Producao!$A:$A,"&lt;"&amp;A129),SUMIFS(Producao!$B:$B,Producao!$A:$A,"&gt;="&amp;O129,Producao!$A:$A,"&lt;"&amp;A129)))))</f>
        <v/>
      </c>
      <c r="E129">
        <f>IF(N129="","",INDEX(Equipamentos!$C$2:$C$61,N129))</f>
        <v/>
      </c>
      <c r="F129" s="57">
        <f>IF(OR(D129="",N(Q129)&lt;=0),"",D129/Q129)</f>
        <v/>
      </c>
      <c r="G129" s="55" t="n"/>
      <c r="H129" s="58" t="n"/>
      <c r="I129" s="58" t="n"/>
      <c r="J129" s="55" t="n"/>
      <c r="K129" s="55" t="n"/>
      <c r="L129">
        <f>IF(OR(A129="",B129=""),"",_xlfn.MAXIFS(TrocasEquip!$A$2:$A$1000,TrocasEquip!$B$2:$B$1000,B129,TrocasEquip!$A$2:$A$1000,"&lt;"&amp;A129))</f>
        <v/>
      </c>
      <c r="M129">
        <f>IF(N(L129)=0,0,MATCH(1,INDEX((TrocasEquip!$B$2:$B$1000=B129)*(TrocasEquip!$A$2:$A$1000=L129),0),0))</f>
        <v/>
      </c>
      <c r="N129">
        <f>IF(B129="","",IFERROR(MATCH(B129,Equipamentos!$P$2:$P$61,0),""))</f>
        <v/>
      </c>
      <c r="O129">
        <f>IF(N129="","",IF(M129=0,INDEX(Equipamentos!$U$2:$U$61,N129),L129))</f>
        <v/>
      </c>
      <c r="P129">
        <f>IF(N129="","",IF(M129=0,N(INDEX(Equipamentos!$V$2:$V$61,N129)),N(INDEX(TrocasEquip!$I$2:$I$1000,M129))))</f>
        <v/>
      </c>
      <c r="Q129">
        <f>IF(N129="","",IF(M129=0,INDEX(Equipamentos!$T$2:$T$61,N129),IF(INDEX(TrocasEquip!$H$2:$H$1000,M129)="",INDEX(Equipamentos!$T$2:$T$61,N129),INDEX(TrocasEquip!$H$2:$H$1000,M129))))</f>
        <v/>
      </c>
    </row>
    <row r="130">
      <c r="A130" s="54" t="n"/>
      <c r="B130" s="55" t="n"/>
      <c r="C130">
        <f>IF(B130="","",IF(N130="","posição não encontrada",IF(M130=0,INDEX(Equipamentos!$S$2:$S$61,N130),INDEX(TrocasEquip!$G$2:$G$1000,M130))))</f>
        <v/>
      </c>
      <c r="D130" s="56">
        <f>IF(OR(A130="",N130=""),"",P130+IF(E130="dias",MAX(0,A130-O130),IF(INDEX(Equipamentos!$D$2:$D$61,N130)=2,SUMIFS(Producao!$D:$D,Producao!$A:$A,"&gt;="&amp;O130,Producao!$A:$A,"&lt;"&amp;A130),IF(INDEX(Equipamentos!$D$2:$D$61,N130)=3,SUMIFS(Producao!$E:$E,Producao!$A:$A,"&gt;="&amp;O130,Producao!$A:$A,"&lt;"&amp;A130),SUMIFS(Producao!$B:$B,Producao!$A:$A,"&gt;="&amp;O130,Producao!$A:$A,"&lt;"&amp;A130)))))</f>
        <v/>
      </c>
      <c r="E130">
        <f>IF(N130="","",INDEX(Equipamentos!$C$2:$C$61,N130))</f>
        <v/>
      </c>
      <c r="F130" s="57">
        <f>IF(OR(D130="",N(Q130)&lt;=0),"",D130/Q130)</f>
        <v/>
      </c>
      <c r="G130" s="55" t="n"/>
      <c r="H130" s="58" t="n"/>
      <c r="I130" s="58" t="n"/>
      <c r="J130" s="55" t="n"/>
      <c r="K130" s="55" t="n"/>
      <c r="L130">
        <f>IF(OR(A130="",B130=""),"",_xlfn.MAXIFS(TrocasEquip!$A$2:$A$1000,TrocasEquip!$B$2:$B$1000,B130,TrocasEquip!$A$2:$A$1000,"&lt;"&amp;A130))</f>
        <v/>
      </c>
      <c r="M130">
        <f>IF(N(L130)=0,0,MATCH(1,INDEX((TrocasEquip!$B$2:$B$1000=B130)*(TrocasEquip!$A$2:$A$1000=L130),0),0))</f>
        <v/>
      </c>
      <c r="N130">
        <f>IF(B130="","",IFERROR(MATCH(B130,Equipamentos!$P$2:$P$61,0),""))</f>
        <v/>
      </c>
      <c r="O130">
        <f>IF(N130="","",IF(M130=0,INDEX(Equipamentos!$U$2:$U$61,N130),L130))</f>
        <v/>
      </c>
      <c r="P130">
        <f>IF(N130="","",IF(M130=0,N(INDEX(Equipamentos!$V$2:$V$61,N130)),N(INDEX(TrocasEquip!$I$2:$I$1000,M130))))</f>
        <v/>
      </c>
      <c r="Q130">
        <f>IF(N130="","",IF(M130=0,INDEX(Equipamentos!$T$2:$T$61,N130),IF(INDEX(TrocasEquip!$H$2:$H$1000,M130)="",INDEX(Equipamentos!$T$2:$T$61,N130),INDEX(TrocasEquip!$H$2:$H$1000,M130))))</f>
        <v/>
      </c>
    </row>
    <row r="131">
      <c r="A131" s="54" t="n"/>
      <c r="B131" s="55" t="n"/>
      <c r="C131">
        <f>IF(B131="","",IF(N131="","posição não encontrada",IF(M131=0,INDEX(Equipamentos!$S$2:$S$61,N131),INDEX(TrocasEquip!$G$2:$G$1000,M131))))</f>
        <v/>
      </c>
      <c r="D131" s="56">
        <f>IF(OR(A131="",N131=""),"",P131+IF(E131="dias",MAX(0,A131-O131),IF(INDEX(Equipamentos!$D$2:$D$61,N131)=2,SUMIFS(Producao!$D:$D,Producao!$A:$A,"&gt;="&amp;O131,Producao!$A:$A,"&lt;"&amp;A131),IF(INDEX(Equipamentos!$D$2:$D$61,N131)=3,SUMIFS(Producao!$E:$E,Producao!$A:$A,"&gt;="&amp;O131,Producao!$A:$A,"&lt;"&amp;A131),SUMIFS(Producao!$B:$B,Producao!$A:$A,"&gt;="&amp;O131,Producao!$A:$A,"&lt;"&amp;A131)))))</f>
        <v/>
      </c>
      <c r="E131">
        <f>IF(N131="","",INDEX(Equipamentos!$C$2:$C$61,N131))</f>
        <v/>
      </c>
      <c r="F131" s="57">
        <f>IF(OR(D131="",N(Q131)&lt;=0),"",D131/Q131)</f>
        <v/>
      </c>
      <c r="G131" s="55" t="n"/>
      <c r="H131" s="58" t="n"/>
      <c r="I131" s="58" t="n"/>
      <c r="J131" s="55" t="n"/>
      <c r="K131" s="55" t="n"/>
      <c r="L131">
        <f>IF(OR(A131="",B131=""),"",_xlfn.MAXIFS(TrocasEquip!$A$2:$A$1000,TrocasEquip!$B$2:$B$1000,B131,TrocasEquip!$A$2:$A$1000,"&lt;"&amp;A131))</f>
        <v/>
      </c>
      <c r="M131">
        <f>IF(N(L131)=0,0,MATCH(1,INDEX((TrocasEquip!$B$2:$B$1000=B131)*(TrocasEquip!$A$2:$A$1000=L131),0),0))</f>
        <v/>
      </c>
      <c r="N131">
        <f>IF(B131="","",IFERROR(MATCH(B131,Equipamentos!$P$2:$P$61,0),""))</f>
        <v/>
      </c>
      <c r="O131">
        <f>IF(N131="","",IF(M131=0,INDEX(Equipamentos!$U$2:$U$61,N131),L131))</f>
        <v/>
      </c>
      <c r="P131">
        <f>IF(N131="","",IF(M131=0,N(INDEX(Equipamentos!$V$2:$V$61,N131)),N(INDEX(TrocasEquip!$I$2:$I$1000,M131))))</f>
        <v/>
      </c>
      <c r="Q131">
        <f>IF(N131="","",IF(M131=0,INDEX(Equipamentos!$T$2:$T$61,N131),IF(INDEX(TrocasEquip!$H$2:$H$1000,M131)="",INDEX(Equipamentos!$T$2:$T$61,N131),INDEX(TrocasEquip!$H$2:$H$1000,M131))))</f>
        <v/>
      </c>
    </row>
    <row r="132">
      <c r="A132" s="54" t="n"/>
      <c r="B132" s="55" t="n"/>
      <c r="C132">
        <f>IF(B132="","",IF(N132="","posição não encontrada",IF(M132=0,INDEX(Equipamentos!$S$2:$S$61,N132),INDEX(TrocasEquip!$G$2:$G$1000,M132))))</f>
        <v/>
      </c>
      <c r="D132" s="56">
        <f>IF(OR(A132="",N132=""),"",P132+IF(E132="dias",MAX(0,A132-O132),IF(INDEX(Equipamentos!$D$2:$D$61,N132)=2,SUMIFS(Producao!$D:$D,Producao!$A:$A,"&gt;="&amp;O132,Producao!$A:$A,"&lt;"&amp;A132),IF(INDEX(Equipamentos!$D$2:$D$61,N132)=3,SUMIFS(Producao!$E:$E,Producao!$A:$A,"&gt;="&amp;O132,Producao!$A:$A,"&lt;"&amp;A132),SUMIFS(Producao!$B:$B,Producao!$A:$A,"&gt;="&amp;O132,Producao!$A:$A,"&lt;"&amp;A132)))))</f>
        <v/>
      </c>
      <c r="E132">
        <f>IF(N132="","",INDEX(Equipamentos!$C$2:$C$61,N132))</f>
        <v/>
      </c>
      <c r="F132" s="57">
        <f>IF(OR(D132="",N(Q132)&lt;=0),"",D132/Q132)</f>
        <v/>
      </c>
      <c r="G132" s="55" t="n"/>
      <c r="H132" s="58" t="n"/>
      <c r="I132" s="58" t="n"/>
      <c r="J132" s="55" t="n"/>
      <c r="K132" s="55" t="n"/>
      <c r="L132">
        <f>IF(OR(A132="",B132=""),"",_xlfn.MAXIFS(TrocasEquip!$A$2:$A$1000,TrocasEquip!$B$2:$B$1000,B132,TrocasEquip!$A$2:$A$1000,"&lt;"&amp;A132))</f>
        <v/>
      </c>
      <c r="M132">
        <f>IF(N(L132)=0,0,MATCH(1,INDEX((TrocasEquip!$B$2:$B$1000=B132)*(TrocasEquip!$A$2:$A$1000=L132),0),0))</f>
        <v/>
      </c>
      <c r="N132">
        <f>IF(B132="","",IFERROR(MATCH(B132,Equipamentos!$P$2:$P$61,0),""))</f>
        <v/>
      </c>
      <c r="O132">
        <f>IF(N132="","",IF(M132=0,INDEX(Equipamentos!$U$2:$U$61,N132),L132))</f>
        <v/>
      </c>
      <c r="P132">
        <f>IF(N132="","",IF(M132=0,N(INDEX(Equipamentos!$V$2:$V$61,N132)),N(INDEX(TrocasEquip!$I$2:$I$1000,M132))))</f>
        <v/>
      </c>
      <c r="Q132">
        <f>IF(N132="","",IF(M132=0,INDEX(Equipamentos!$T$2:$T$61,N132),IF(INDEX(TrocasEquip!$H$2:$H$1000,M132)="",INDEX(Equipamentos!$T$2:$T$61,N132),INDEX(TrocasEquip!$H$2:$H$1000,M132))))</f>
        <v/>
      </c>
    </row>
    <row r="133">
      <c r="A133" s="54" t="n"/>
      <c r="B133" s="55" t="n"/>
      <c r="C133">
        <f>IF(B133="","",IF(N133="","posição não encontrada",IF(M133=0,INDEX(Equipamentos!$S$2:$S$61,N133),INDEX(TrocasEquip!$G$2:$G$1000,M133))))</f>
        <v/>
      </c>
      <c r="D133" s="56">
        <f>IF(OR(A133="",N133=""),"",P133+IF(E133="dias",MAX(0,A133-O133),IF(INDEX(Equipamentos!$D$2:$D$61,N133)=2,SUMIFS(Producao!$D:$D,Producao!$A:$A,"&gt;="&amp;O133,Producao!$A:$A,"&lt;"&amp;A133),IF(INDEX(Equipamentos!$D$2:$D$61,N133)=3,SUMIFS(Producao!$E:$E,Producao!$A:$A,"&gt;="&amp;O133,Producao!$A:$A,"&lt;"&amp;A133),SUMIFS(Producao!$B:$B,Producao!$A:$A,"&gt;="&amp;O133,Producao!$A:$A,"&lt;"&amp;A133)))))</f>
        <v/>
      </c>
      <c r="E133">
        <f>IF(N133="","",INDEX(Equipamentos!$C$2:$C$61,N133))</f>
        <v/>
      </c>
      <c r="F133" s="57">
        <f>IF(OR(D133="",N(Q133)&lt;=0),"",D133/Q133)</f>
        <v/>
      </c>
      <c r="G133" s="55" t="n"/>
      <c r="H133" s="58" t="n"/>
      <c r="I133" s="58" t="n"/>
      <c r="J133" s="55" t="n"/>
      <c r="K133" s="55" t="n"/>
      <c r="L133">
        <f>IF(OR(A133="",B133=""),"",_xlfn.MAXIFS(TrocasEquip!$A$2:$A$1000,TrocasEquip!$B$2:$B$1000,B133,TrocasEquip!$A$2:$A$1000,"&lt;"&amp;A133))</f>
        <v/>
      </c>
      <c r="M133">
        <f>IF(N(L133)=0,0,MATCH(1,INDEX((TrocasEquip!$B$2:$B$1000=B133)*(TrocasEquip!$A$2:$A$1000=L133),0),0))</f>
        <v/>
      </c>
      <c r="N133">
        <f>IF(B133="","",IFERROR(MATCH(B133,Equipamentos!$P$2:$P$61,0),""))</f>
        <v/>
      </c>
      <c r="O133">
        <f>IF(N133="","",IF(M133=0,INDEX(Equipamentos!$U$2:$U$61,N133),L133))</f>
        <v/>
      </c>
      <c r="P133">
        <f>IF(N133="","",IF(M133=0,N(INDEX(Equipamentos!$V$2:$V$61,N133)),N(INDEX(TrocasEquip!$I$2:$I$1000,M133))))</f>
        <v/>
      </c>
      <c r="Q133">
        <f>IF(N133="","",IF(M133=0,INDEX(Equipamentos!$T$2:$T$61,N133),IF(INDEX(TrocasEquip!$H$2:$H$1000,M133)="",INDEX(Equipamentos!$T$2:$T$61,N133),INDEX(TrocasEquip!$H$2:$H$1000,M133))))</f>
        <v/>
      </c>
    </row>
    <row r="134">
      <c r="A134" s="54" t="n"/>
      <c r="B134" s="55" t="n"/>
      <c r="C134">
        <f>IF(B134="","",IF(N134="","posição não encontrada",IF(M134=0,INDEX(Equipamentos!$S$2:$S$61,N134),INDEX(TrocasEquip!$G$2:$G$1000,M134))))</f>
        <v/>
      </c>
      <c r="D134" s="56">
        <f>IF(OR(A134="",N134=""),"",P134+IF(E134="dias",MAX(0,A134-O134),IF(INDEX(Equipamentos!$D$2:$D$61,N134)=2,SUMIFS(Producao!$D:$D,Producao!$A:$A,"&gt;="&amp;O134,Producao!$A:$A,"&lt;"&amp;A134),IF(INDEX(Equipamentos!$D$2:$D$61,N134)=3,SUMIFS(Producao!$E:$E,Producao!$A:$A,"&gt;="&amp;O134,Producao!$A:$A,"&lt;"&amp;A134),SUMIFS(Producao!$B:$B,Producao!$A:$A,"&gt;="&amp;O134,Producao!$A:$A,"&lt;"&amp;A134)))))</f>
        <v/>
      </c>
      <c r="E134">
        <f>IF(N134="","",INDEX(Equipamentos!$C$2:$C$61,N134))</f>
        <v/>
      </c>
      <c r="F134" s="57">
        <f>IF(OR(D134="",N(Q134)&lt;=0),"",D134/Q134)</f>
        <v/>
      </c>
      <c r="G134" s="55" t="n"/>
      <c r="H134" s="58" t="n"/>
      <c r="I134" s="58" t="n"/>
      <c r="J134" s="55" t="n"/>
      <c r="K134" s="55" t="n"/>
      <c r="L134">
        <f>IF(OR(A134="",B134=""),"",_xlfn.MAXIFS(TrocasEquip!$A$2:$A$1000,TrocasEquip!$B$2:$B$1000,B134,TrocasEquip!$A$2:$A$1000,"&lt;"&amp;A134))</f>
        <v/>
      </c>
      <c r="M134">
        <f>IF(N(L134)=0,0,MATCH(1,INDEX((TrocasEquip!$B$2:$B$1000=B134)*(TrocasEquip!$A$2:$A$1000=L134),0),0))</f>
        <v/>
      </c>
      <c r="N134">
        <f>IF(B134="","",IFERROR(MATCH(B134,Equipamentos!$P$2:$P$61,0),""))</f>
        <v/>
      </c>
      <c r="O134">
        <f>IF(N134="","",IF(M134=0,INDEX(Equipamentos!$U$2:$U$61,N134),L134))</f>
        <v/>
      </c>
      <c r="P134">
        <f>IF(N134="","",IF(M134=0,N(INDEX(Equipamentos!$V$2:$V$61,N134)),N(INDEX(TrocasEquip!$I$2:$I$1000,M134))))</f>
        <v/>
      </c>
      <c r="Q134">
        <f>IF(N134="","",IF(M134=0,INDEX(Equipamentos!$T$2:$T$61,N134),IF(INDEX(TrocasEquip!$H$2:$H$1000,M134)="",INDEX(Equipamentos!$T$2:$T$61,N134),INDEX(TrocasEquip!$H$2:$H$1000,M134))))</f>
        <v/>
      </c>
    </row>
    <row r="135">
      <c r="A135" s="54" t="n"/>
      <c r="B135" s="55" t="n"/>
      <c r="C135">
        <f>IF(B135="","",IF(N135="","posição não encontrada",IF(M135=0,INDEX(Equipamentos!$S$2:$S$61,N135),INDEX(TrocasEquip!$G$2:$G$1000,M135))))</f>
        <v/>
      </c>
      <c r="D135" s="56">
        <f>IF(OR(A135="",N135=""),"",P135+IF(E135="dias",MAX(0,A135-O135),IF(INDEX(Equipamentos!$D$2:$D$61,N135)=2,SUMIFS(Producao!$D:$D,Producao!$A:$A,"&gt;="&amp;O135,Producao!$A:$A,"&lt;"&amp;A135),IF(INDEX(Equipamentos!$D$2:$D$61,N135)=3,SUMIFS(Producao!$E:$E,Producao!$A:$A,"&gt;="&amp;O135,Producao!$A:$A,"&lt;"&amp;A135),SUMIFS(Producao!$B:$B,Producao!$A:$A,"&gt;="&amp;O135,Producao!$A:$A,"&lt;"&amp;A135)))))</f>
        <v/>
      </c>
      <c r="E135">
        <f>IF(N135="","",INDEX(Equipamentos!$C$2:$C$61,N135))</f>
        <v/>
      </c>
      <c r="F135" s="57">
        <f>IF(OR(D135="",N(Q135)&lt;=0),"",D135/Q135)</f>
        <v/>
      </c>
      <c r="G135" s="55" t="n"/>
      <c r="H135" s="58" t="n"/>
      <c r="I135" s="58" t="n"/>
      <c r="J135" s="55" t="n"/>
      <c r="K135" s="55" t="n"/>
      <c r="L135">
        <f>IF(OR(A135="",B135=""),"",_xlfn.MAXIFS(TrocasEquip!$A$2:$A$1000,TrocasEquip!$B$2:$B$1000,B135,TrocasEquip!$A$2:$A$1000,"&lt;"&amp;A135))</f>
        <v/>
      </c>
      <c r="M135">
        <f>IF(N(L135)=0,0,MATCH(1,INDEX((TrocasEquip!$B$2:$B$1000=B135)*(TrocasEquip!$A$2:$A$1000=L135),0),0))</f>
        <v/>
      </c>
      <c r="N135">
        <f>IF(B135="","",IFERROR(MATCH(B135,Equipamentos!$P$2:$P$61,0),""))</f>
        <v/>
      </c>
      <c r="O135">
        <f>IF(N135="","",IF(M135=0,INDEX(Equipamentos!$U$2:$U$61,N135),L135))</f>
        <v/>
      </c>
      <c r="P135">
        <f>IF(N135="","",IF(M135=0,N(INDEX(Equipamentos!$V$2:$V$61,N135)),N(INDEX(TrocasEquip!$I$2:$I$1000,M135))))</f>
        <v/>
      </c>
      <c r="Q135">
        <f>IF(N135="","",IF(M135=0,INDEX(Equipamentos!$T$2:$T$61,N135),IF(INDEX(TrocasEquip!$H$2:$H$1000,M135)="",INDEX(Equipamentos!$T$2:$T$61,N135),INDEX(TrocasEquip!$H$2:$H$1000,M135))))</f>
        <v/>
      </c>
    </row>
    <row r="136">
      <c r="A136" s="54" t="n"/>
      <c r="B136" s="55" t="n"/>
      <c r="C136">
        <f>IF(B136="","",IF(N136="","posição não encontrada",IF(M136=0,INDEX(Equipamentos!$S$2:$S$61,N136),INDEX(TrocasEquip!$G$2:$G$1000,M136))))</f>
        <v/>
      </c>
      <c r="D136" s="56">
        <f>IF(OR(A136="",N136=""),"",P136+IF(E136="dias",MAX(0,A136-O136),IF(INDEX(Equipamentos!$D$2:$D$61,N136)=2,SUMIFS(Producao!$D:$D,Producao!$A:$A,"&gt;="&amp;O136,Producao!$A:$A,"&lt;"&amp;A136),IF(INDEX(Equipamentos!$D$2:$D$61,N136)=3,SUMIFS(Producao!$E:$E,Producao!$A:$A,"&gt;="&amp;O136,Producao!$A:$A,"&lt;"&amp;A136),SUMIFS(Producao!$B:$B,Producao!$A:$A,"&gt;="&amp;O136,Producao!$A:$A,"&lt;"&amp;A136)))))</f>
        <v/>
      </c>
      <c r="E136">
        <f>IF(N136="","",INDEX(Equipamentos!$C$2:$C$61,N136))</f>
        <v/>
      </c>
      <c r="F136" s="57">
        <f>IF(OR(D136="",N(Q136)&lt;=0),"",D136/Q136)</f>
        <v/>
      </c>
      <c r="G136" s="55" t="n"/>
      <c r="H136" s="58" t="n"/>
      <c r="I136" s="58" t="n"/>
      <c r="J136" s="55" t="n"/>
      <c r="K136" s="55" t="n"/>
      <c r="L136">
        <f>IF(OR(A136="",B136=""),"",_xlfn.MAXIFS(TrocasEquip!$A$2:$A$1000,TrocasEquip!$B$2:$B$1000,B136,TrocasEquip!$A$2:$A$1000,"&lt;"&amp;A136))</f>
        <v/>
      </c>
      <c r="M136">
        <f>IF(N(L136)=0,0,MATCH(1,INDEX((TrocasEquip!$B$2:$B$1000=B136)*(TrocasEquip!$A$2:$A$1000=L136),0),0))</f>
        <v/>
      </c>
      <c r="N136">
        <f>IF(B136="","",IFERROR(MATCH(B136,Equipamentos!$P$2:$P$61,0),""))</f>
        <v/>
      </c>
      <c r="O136">
        <f>IF(N136="","",IF(M136=0,INDEX(Equipamentos!$U$2:$U$61,N136),L136))</f>
        <v/>
      </c>
      <c r="P136">
        <f>IF(N136="","",IF(M136=0,N(INDEX(Equipamentos!$V$2:$V$61,N136)),N(INDEX(TrocasEquip!$I$2:$I$1000,M136))))</f>
        <v/>
      </c>
      <c r="Q136">
        <f>IF(N136="","",IF(M136=0,INDEX(Equipamentos!$T$2:$T$61,N136),IF(INDEX(TrocasEquip!$H$2:$H$1000,M136)="",INDEX(Equipamentos!$T$2:$T$61,N136),INDEX(TrocasEquip!$H$2:$H$1000,M136))))</f>
        <v/>
      </c>
    </row>
    <row r="137">
      <c r="A137" s="54" t="n"/>
      <c r="B137" s="55" t="n"/>
      <c r="C137">
        <f>IF(B137="","",IF(N137="","posição não encontrada",IF(M137=0,INDEX(Equipamentos!$S$2:$S$61,N137),INDEX(TrocasEquip!$G$2:$G$1000,M137))))</f>
        <v/>
      </c>
      <c r="D137" s="56">
        <f>IF(OR(A137="",N137=""),"",P137+IF(E137="dias",MAX(0,A137-O137),IF(INDEX(Equipamentos!$D$2:$D$61,N137)=2,SUMIFS(Producao!$D:$D,Producao!$A:$A,"&gt;="&amp;O137,Producao!$A:$A,"&lt;"&amp;A137),IF(INDEX(Equipamentos!$D$2:$D$61,N137)=3,SUMIFS(Producao!$E:$E,Producao!$A:$A,"&gt;="&amp;O137,Producao!$A:$A,"&lt;"&amp;A137),SUMIFS(Producao!$B:$B,Producao!$A:$A,"&gt;="&amp;O137,Producao!$A:$A,"&lt;"&amp;A137)))))</f>
        <v/>
      </c>
      <c r="E137">
        <f>IF(N137="","",INDEX(Equipamentos!$C$2:$C$61,N137))</f>
        <v/>
      </c>
      <c r="F137" s="57">
        <f>IF(OR(D137="",N(Q137)&lt;=0),"",D137/Q137)</f>
        <v/>
      </c>
      <c r="G137" s="55" t="n"/>
      <c r="H137" s="58" t="n"/>
      <c r="I137" s="58" t="n"/>
      <c r="J137" s="55" t="n"/>
      <c r="K137" s="55" t="n"/>
      <c r="L137">
        <f>IF(OR(A137="",B137=""),"",_xlfn.MAXIFS(TrocasEquip!$A$2:$A$1000,TrocasEquip!$B$2:$B$1000,B137,TrocasEquip!$A$2:$A$1000,"&lt;"&amp;A137))</f>
        <v/>
      </c>
      <c r="M137">
        <f>IF(N(L137)=0,0,MATCH(1,INDEX((TrocasEquip!$B$2:$B$1000=B137)*(TrocasEquip!$A$2:$A$1000=L137),0),0))</f>
        <v/>
      </c>
      <c r="N137">
        <f>IF(B137="","",IFERROR(MATCH(B137,Equipamentos!$P$2:$P$61,0),""))</f>
        <v/>
      </c>
      <c r="O137">
        <f>IF(N137="","",IF(M137=0,INDEX(Equipamentos!$U$2:$U$61,N137),L137))</f>
        <v/>
      </c>
      <c r="P137">
        <f>IF(N137="","",IF(M137=0,N(INDEX(Equipamentos!$V$2:$V$61,N137)),N(INDEX(TrocasEquip!$I$2:$I$1000,M137))))</f>
        <v/>
      </c>
      <c r="Q137">
        <f>IF(N137="","",IF(M137=0,INDEX(Equipamentos!$T$2:$T$61,N137),IF(INDEX(TrocasEquip!$H$2:$H$1000,M137)="",INDEX(Equipamentos!$T$2:$T$61,N137),INDEX(TrocasEquip!$H$2:$H$1000,M137))))</f>
        <v/>
      </c>
    </row>
    <row r="138">
      <c r="A138" s="54" t="n"/>
      <c r="B138" s="55" t="n"/>
      <c r="C138">
        <f>IF(B138="","",IF(N138="","posição não encontrada",IF(M138=0,INDEX(Equipamentos!$S$2:$S$61,N138),INDEX(TrocasEquip!$G$2:$G$1000,M138))))</f>
        <v/>
      </c>
      <c r="D138" s="56">
        <f>IF(OR(A138="",N138=""),"",P138+IF(E138="dias",MAX(0,A138-O138),IF(INDEX(Equipamentos!$D$2:$D$61,N138)=2,SUMIFS(Producao!$D:$D,Producao!$A:$A,"&gt;="&amp;O138,Producao!$A:$A,"&lt;"&amp;A138),IF(INDEX(Equipamentos!$D$2:$D$61,N138)=3,SUMIFS(Producao!$E:$E,Producao!$A:$A,"&gt;="&amp;O138,Producao!$A:$A,"&lt;"&amp;A138),SUMIFS(Producao!$B:$B,Producao!$A:$A,"&gt;="&amp;O138,Producao!$A:$A,"&lt;"&amp;A138)))))</f>
        <v/>
      </c>
      <c r="E138">
        <f>IF(N138="","",INDEX(Equipamentos!$C$2:$C$61,N138))</f>
        <v/>
      </c>
      <c r="F138" s="57">
        <f>IF(OR(D138="",N(Q138)&lt;=0),"",D138/Q138)</f>
        <v/>
      </c>
      <c r="G138" s="55" t="n"/>
      <c r="H138" s="58" t="n"/>
      <c r="I138" s="58" t="n"/>
      <c r="J138" s="55" t="n"/>
      <c r="K138" s="55" t="n"/>
      <c r="L138">
        <f>IF(OR(A138="",B138=""),"",_xlfn.MAXIFS(TrocasEquip!$A$2:$A$1000,TrocasEquip!$B$2:$B$1000,B138,TrocasEquip!$A$2:$A$1000,"&lt;"&amp;A138))</f>
        <v/>
      </c>
      <c r="M138">
        <f>IF(N(L138)=0,0,MATCH(1,INDEX((TrocasEquip!$B$2:$B$1000=B138)*(TrocasEquip!$A$2:$A$1000=L138),0),0))</f>
        <v/>
      </c>
      <c r="N138">
        <f>IF(B138="","",IFERROR(MATCH(B138,Equipamentos!$P$2:$P$61,0),""))</f>
        <v/>
      </c>
      <c r="O138">
        <f>IF(N138="","",IF(M138=0,INDEX(Equipamentos!$U$2:$U$61,N138),L138))</f>
        <v/>
      </c>
      <c r="P138">
        <f>IF(N138="","",IF(M138=0,N(INDEX(Equipamentos!$V$2:$V$61,N138)),N(INDEX(TrocasEquip!$I$2:$I$1000,M138))))</f>
        <v/>
      </c>
      <c r="Q138">
        <f>IF(N138="","",IF(M138=0,INDEX(Equipamentos!$T$2:$T$61,N138),IF(INDEX(TrocasEquip!$H$2:$H$1000,M138)="",INDEX(Equipamentos!$T$2:$T$61,N138),INDEX(TrocasEquip!$H$2:$H$1000,M138))))</f>
        <v/>
      </c>
    </row>
    <row r="139">
      <c r="A139" s="54" t="n"/>
      <c r="B139" s="55" t="n"/>
      <c r="C139">
        <f>IF(B139="","",IF(N139="","posição não encontrada",IF(M139=0,INDEX(Equipamentos!$S$2:$S$61,N139),INDEX(TrocasEquip!$G$2:$G$1000,M139))))</f>
        <v/>
      </c>
      <c r="D139" s="56">
        <f>IF(OR(A139="",N139=""),"",P139+IF(E139="dias",MAX(0,A139-O139),IF(INDEX(Equipamentos!$D$2:$D$61,N139)=2,SUMIFS(Producao!$D:$D,Producao!$A:$A,"&gt;="&amp;O139,Producao!$A:$A,"&lt;"&amp;A139),IF(INDEX(Equipamentos!$D$2:$D$61,N139)=3,SUMIFS(Producao!$E:$E,Producao!$A:$A,"&gt;="&amp;O139,Producao!$A:$A,"&lt;"&amp;A139),SUMIFS(Producao!$B:$B,Producao!$A:$A,"&gt;="&amp;O139,Producao!$A:$A,"&lt;"&amp;A139)))))</f>
        <v/>
      </c>
      <c r="E139">
        <f>IF(N139="","",INDEX(Equipamentos!$C$2:$C$61,N139))</f>
        <v/>
      </c>
      <c r="F139" s="57">
        <f>IF(OR(D139="",N(Q139)&lt;=0),"",D139/Q139)</f>
        <v/>
      </c>
      <c r="G139" s="55" t="n"/>
      <c r="H139" s="58" t="n"/>
      <c r="I139" s="58" t="n"/>
      <c r="J139" s="55" t="n"/>
      <c r="K139" s="55" t="n"/>
      <c r="L139">
        <f>IF(OR(A139="",B139=""),"",_xlfn.MAXIFS(TrocasEquip!$A$2:$A$1000,TrocasEquip!$B$2:$B$1000,B139,TrocasEquip!$A$2:$A$1000,"&lt;"&amp;A139))</f>
        <v/>
      </c>
      <c r="M139">
        <f>IF(N(L139)=0,0,MATCH(1,INDEX((TrocasEquip!$B$2:$B$1000=B139)*(TrocasEquip!$A$2:$A$1000=L139),0),0))</f>
        <v/>
      </c>
      <c r="N139">
        <f>IF(B139="","",IFERROR(MATCH(B139,Equipamentos!$P$2:$P$61,0),""))</f>
        <v/>
      </c>
      <c r="O139">
        <f>IF(N139="","",IF(M139=0,INDEX(Equipamentos!$U$2:$U$61,N139),L139))</f>
        <v/>
      </c>
      <c r="P139">
        <f>IF(N139="","",IF(M139=0,N(INDEX(Equipamentos!$V$2:$V$61,N139)),N(INDEX(TrocasEquip!$I$2:$I$1000,M139))))</f>
        <v/>
      </c>
      <c r="Q139">
        <f>IF(N139="","",IF(M139=0,INDEX(Equipamentos!$T$2:$T$61,N139),IF(INDEX(TrocasEquip!$H$2:$H$1000,M139)="",INDEX(Equipamentos!$T$2:$T$61,N139),INDEX(TrocasEquip!$H$2:$H$1000,M139))))</f>
        <v/>
      </c>
    </row>
    <row r="140">
      <c r="A140" s="54" t="n"/>
      <c r="B140" s="55" t="n"/>
      <c r="C140">
        <f>IF(B140="","",IF(N140="","posição não encontrada",IF(M140=0,INDEX(Equipamentos!$S$2:$S$61,N140),INDEX(TrocasEquip!$G$2:$G$1000,M140))))</f>
        <v/>
      </c>
      <c r="D140" s="56">
        <f>IF(OR(A140="",N140=""),"",P140+IF(E140="dias",MAX(0,A140-O140),IF(INDEX(Equipamentos!$D$2:$D$61,N140)=2,SUMIFS(Producao!$D:$D,Producao!$A:$A,"&gt;="&amp;O140,Producao!$A:$A,"&lt;"&amp;A140),IF(INDEX(Equipamentos!$D$2:$D$61,N140)=3,SUMIFS(Producao!$E:$E,Producao!$A:$A,"&gt;="&amp;O140,Producao!$A:$A,"&lt;"&amp;A140),SUMIFS(Producao!$B:$B,Producao!$A:$A,"&gt;="&amp;O140,Producao!$A:$A,"&lt;"&amp;A140)))))</f>
        <v/>
      </c>
      <c r="E140">
        <f>IF(N140="","",INDEX(Equipamentos!$C$2:$C$61,N140))</f>
        <v/>
      </c>
      <c r="F140" s="57">
        <f>IF(OR(D140="",N(Q140)&lt;=0),"",D140/Q140)</f>
        <v/>
      </c>
      <c r="G140" s="55" t="n"/>
      <c r="H140" s="58" t="n"/>
      <c r="I140" s="58" t="n"/>
      <c r="J140" s="55" t="n"/>
      <c r="K140" s="55" t="n"/>
      <c r="L140">
        <f>IF(OR(A140="",B140=""),"",_xlfn.MAXIFS(TrocasEquip!$A$2:$A$1000,TrocasEquip!$B$2:$B$1000,B140,TrocasEquip!$A$2:$A$1000,"&lt;"&amp;A140))</f>
        <v/>
      </c>
      <c r="M140">
        <f>IF(N(L140)=0,0,MATCH(1,INDEX((TrocasEquip!$B$2:$B$1000=B140)*(TrocasEquip!$A$2:$A$1000=L140),0),0))</f>
        <v/>
      </c>
      <c r="N140">
        <f>IF(B140="","",IFERROR(MATCH(B140,Equipamentos!$P$2:$P$61,0),""))</f>
        <v/>
      </c>
      <c r="O140">
        <f>IF(N140="","",IF(M140=0,INDEX(Equipamentos!$U$2:$U$61,N140),L140))</f>
        <v/>
      </c>
      <c r="P140">
        <f>IF(N140="","",IF(M140=0,N(INDEX(Equipamentos!$V$2:$V$61,N140)),N(INDEX(TrocasEquip!$I$2:$I$1000,M140))))</f>
        <v/>
      </c>
      <c r="Q140">
        <f>IF(N140="","",IF(M140=0,INDEX(Equipamentos!$T$2:$T$61,N140),IF(INDEX(TrocasEquip!$H$2:$H$1000,M140)="",INDEX(Equipamentos!$T$2:$T$61,N140),INDEX(TrocasEquip!$H$2:$H$1000,M140))))</f>
        <v/>
      </c>
    </row>
    <row r="141">
      <c r="A141" s="54" t="n"/>
      <c r="B141" s="55" t="n"/>
      <c r="C141">
        <f>IF(B141="","",IF(N141="","posição não encontrada",IF(M141=0,INDEX(Equipamentos!$S$2:$S$61,N141),INDEX(TrocasEquip!$G$2:$G$1000,M141))))</f>
        <v/>
      </c>
      <c r="D141" s="56">
        <f>IF(OR(A141="",N141=""),"",P141+IF(E141="dias",MAX(0,A141-O141),IF(INDEX(Equipamentos!$D$2:$D$61,N141)=2,SUMIFS(Producao!$D:$D,Producao!$A:$A,"&gt;="&amp;O141,Producao!$A:$A,"&lt;"&amp;A141),IF(INDEX(Equipamentos!$D$2:$D$61,N141)=3,SUMIFS(Producao!$E:$E,Producao!$A:$A,"&gt;="&amp;O141,Producao!$A:$A,"&lt;"&amp;A141),SUMIFS(Producao!$B:$B,Producao!$A:$A,"&gt;="&amp;O141,Producao!$A:$A,"&lt;"&amp;A141)))))</f>
        <v/>
      </c>
      <c r="E141">
        <f>IF(N141="","",INDEX(Equipamentos!$C$2:$C$61,N141))</f>
        <v/>
      </c>
      <c r="F141" s="57">
        <f>IF(OR(D141="",N(Q141)&lt;=0),"",D141/Q141)</f>
        <v/>
      </c>
      <c r="G141" s="55" t="n"/>
      <c r="H141" s="58" t="n"/>
      <c r="I141" s="58" t="n"/>
      <c r="J141" s="55" t="n"/>
      <c r="K141" s="55" t="n"/>
      <c r="L141">
        <f>IF(OR(A141="",B141=""),"",_xlfn.MAXIFS(TrocasEquip!$A$2:$A$1000,TrocasEquip!$B$2:$B$1000,B141,TrocasEquip!$A$2:$A$1000,"&lt;"&amp;A141))</f>
        <v/>
      </c>
      <c r="M141">
        <f>IF(N(L141)=0,0,MATCH(1,INDEX((TrocasEquip!$B$2:$B$1000=B141)*(TrocasEquip!$A$2:$A$1000=L141),0),0))</f>
        <v/>
      </c>
      <c r="N141">
        <f>IF(B141="","",IFERROR(MATCH(B141,Equipamentos!$P$2:$P$61,0),""))</f>
        <v/>
      </c>
      <c r="O141">
        <f>IF(N141="","",IF(M141=0,INDEX(Equipamentos!$U$2:$U$61,N141),L141))</f>
        <v/>
      </c>
      <c r="P141">
        <f>IF(N141="","",IF(M141=0,N(INDEX(Equipamentos!$V$2:$V$61,N141)),N(INDEX(TrocasEquip!$I$2:$I$1000,M141))))</f>
        <v/>
      </c>
      <c r="Q141">
        <f>IF(N141="","",IF(M141=0,INDEX(Equipamentos!$T$2:$T$61,N141),IF(INDEX(TrocasEquip!$H$2:$H$1000,M141)="",INDEX(Equipamentos!$T$2:$T$61,N141),INDEX(TrocasEquip!$H$2:$H$1000,M141))))</f>
        <v/>
      </c>
    </row>
    <row r="142">
      <c r="A142" s="54" t="n"/>
      <c r="B142" s="55" t="n"/>
      <c r="C142">
        <f>IF(B142="","",IF(N142="","posição não encontrada",IF(M142=0,INDEX(Equipamentos!$S$2:$S$61,N142),INDEX(TrocasEquip!$G$2:$G$1000,M142))))</f>
        <v/>
      </c>
      <c r="D142" s="56">
        <f>IF(OR(A142="",N142=""),"",P142+IF(E142="dias",MAX(0,A142-O142),IF(INDEX(Equipamentos!$D$2:$D$61,N142)=2,SUMIFS(Producao!$D:$D,Producao!$A:$A,"&gt;="&amp;O142,Producao!$A:$A,"&lt;"&amp;A142),IF(INDEX(Equipamentos!$D$2:$D$61,N142)=3,SUMIFS(Producao!$E:$E,Producao!$A:$A,"&gt;="&amp;O142,Producao!$A:$A,"&lt;"&amp;A142),SUMIFS(Producao!$B:$B,Producao!$A:$A,"&gt;="&amp;O142,Producao!$A:$A,"&lt;"&amp;A142)))))</f>
        <v/>
      </c>
      <c r="E142">
        <f>IF(N142="","",INDEX(Equipamentos!$C$2:$C$61,N142))</f>
        <v/>
      </c>
      <c r="F142" s="57">
        <f>IF(OR(D142="",N(Q142)&lt;=0),"",D142/Q142)</f>
        <v/>
      </c>
      <c r="G142" s="55" t="n"/>
      <c r="H142" s="58" t="n"/>
      <c r="I142" s="58" t="n"/>
      <c r="J142" s="55" t="n"/>
      <c r="K142" s="55" t="n"/>
      <c r="L142">
        <f>IF(OR(A142="",B142=""),"",_xlfn.MAXIFS(TrocasEquip!$A$2:$A$1000,TrocasEquip!$B$2:$B$1000,B142,TrocasEquip!$A$2:$A$1000,"&lt;"&amp;A142))</f>
        <v/>
      </c>
      <c r="M142">
        <f>IF(N(L142)=0,0,MATCH(1,INDEX((TrocasEquip!$B$2:$B$1000=B142)*(TrocasEquip!$A$2:$A$1000=L142),0),0))</f>
        <v/>
      </c>
      <c r="N142">
        <f>IF(B142="","",IFERROR(MATCH(B142,Equipamentos!$P$2:$P$61,0),""))</f>
        <v/>
      </c>
      <c r="O142">
        <f>IF(N142="","",IF(M142=0,INDEX(Equipamentos!$U$2:$U$61,N142),L142))</f>
        <v/>
      </c>
      <c r="P142">
        <f>IF(N142="","",IF(M142=0,N(INDEX(Equipamentos!$V$2:$V$61,N142)),N(INDEX(TrocasEquip!$I$2:$I$1000,M142))))</f>
        <v/>
      </c>
      <c r="Q142">
        <f>IF(N142="","",IF(M142=0,INDEX(Equipamentos!$T$2:$T$61,N142),IF(INDEX(TrocasEquip!$H$2:$H$1000,M142)="",INDEX(Equipamentos!$T$2:$T$61,N142),INDEX(TrocasEquip!$H$2:$H$1000,M142))))</f>
        <v/>
      </c>
    </row>
    <row r="143">
      <c r="A143" s="54" t="n"/>
      <c r="B143" s="55" t="n"/>
      <c r="C143">
        <f>IF(B143="","",IF(N143="","posição não encontrada",IF(M143=0,INDEX(Equipamentos!$S$2:$S$61,N143),INDEX(TrocasEquip!$G$2:$G$1000,M143))))</f>
        <v/>
      </c>
      <c r="D143" s="56">
        <f>IF(OR(A143="",N143=""),"",P143+IF(E143="dias",MAX(0,A143-O143),IF(INDEX(Equipamentos!$D$2:$D$61,N143)=2,SUMIFS(Producao!$D:$D,Producao!$A:$A,"&gt;="&amp;O143,Producao!$A:$A,"&lt;"&amp;A143),IF(INDEX(Equipamentos!$D$2:$D$61,N143)=3,SUMIFS(Producao!$E:$E,Producao!$A:$A,"&gt;="&amp;O143,Producao!$A:$A,"&lt;"&amp;A143),SUMIFS(Producao!$B:$B,Producao!$A:$A,"&gt;="&amp;O143,Producao!$A:$A,"&lt;"&amp;A143)))))</f>
        <v/>
      </c>
      <c r="E143">
        <f>IF(N143="","",INDEX(Equipamentos!$C$2:$C$61,N143))</f>
        <v/>
      </c>
      <c r="F143" s="57">
        <f>IF(OR(D143="",N(Q143)&lt;=0),"",D143/Q143)</f>
        <v/>
      </c>
      <c r="G143" s="55" t="n"/>
      <c r="H143" s="58" t="n"/>
      <c r="I143" s="58" t="n"/>
      <c r="J143" s="55" t="n"/>
      <c r="K143" s="55" t="n"/>
      <c r="L143">
        <f>IF(OR(A143="",B143=""),"",_xlfn.MAXIFS(TrocasEquip!$A$2:$A$1000,TrocasEquip!$B$2:$B$1000,B143,TrocasEquip!$A$2:$A$1000,"&lt;"&amp;A143))</f>
        <v/>
      </c>
      <c r="M143">
        <f>IF(N(L143)=0,0,MATCH(1,INDEX((TrocasEquip!$B$2:$B$1000=B143)*(TrocasEquip!$A$2:$A$1000=L143),0),0))</f>
        <v/>
      </c>
      <c r="N143">
        <f>IF(B143="","",IFERROR(MATCH(B143,Equipamentos!$P$2:$P$61,0),""))</f>
        <v/>
      </c>
      <c r="O143">
        <f>IF(N143="","",IF(M143=0,INDEX(Equipamentos!$U$2:$U$61,N143),L143))</f>
        <v/>
      </c>
      <c r="P143">
        <f>IF(N143="","",IF(M143=0,N(INDEX(Equipamentos!$V$2:$V$61,N143)),N(INDEX(TrocasEquip!$I$2:$I$1000,M143))))</f>
        <v/>
      </c>
      <c r="Q143">
        <f>IF(N143="","",IF(M143=0,INDEX(Equipamentos!$T$2:$T$61,N143),IF(INDEX(TrocasEquip!$H$2:$H$1000,M143)="",INDEX(Equipamentos!$T$2:$T$61,N143),INDEX(TrocasEquip!$H$2:$H$1000,M143))))</f>
        <v/>
      </c>
    </row>
    <row r="144">
      <c r="A144" s="54" t="n"/>
      <c r="B144" s="55" t="n"/>
      <c r="C144">
        <f>IF(B144="","",IF(N144="","posição não encontrada",IF(M144=0,INDEX(Equipamentos!$S$2:$S$61,N144),INDEX(TrocasEquip!$G$2:$G$1000,M144))))</f>
        <v/>
      </c>
      <c r="D144" s="56">
        <f>IF(OR(A144="",N144=""),"",P144+IF(E144="dias",MAX(0,A144-O144),IF(INDEX(Equipamentos!$D$2:$D$61,N144)=2,SUMIFS(Producao!$D:$D,Producao!$A:$A,"&gt;="&amp;O144,Producao!$A:$A,"&lt;"&amp;A144),IF(INDEX(Equipamentos!$D$2:$D$61,N144)=3,SUMIFS(Producao!$E:$E,Producao!$A:$A,"&gt;="&amp;O144,Producao!$A:$A,"&lt;"&amp;A144),SUMIFS(Producao!$B:$B,Producao!$A:$A,"&gt;="&amp;O144,Producao!$A:$A,"&lt;"&amp;A144)))))</f>
        <v/>
      </c>
      <c r="E144">
        <f>IF(N144="","",INDEX(Equipamentos!$C$2:$C$61,N144))</f>
        <v/>
      </c>
      <c r="F144" s="57">
        <f>IF(OR(D144="",N(Q144)&lt;=0),"",D144/Q144)</f>
        <v/>
      </c>
      <c r="G144" s="55" t="n"/>
      <c r="H144" s="58" t="n"/>
      <c r="I144" s="58" t="n"/>
      <c r="J144" s="55" t="n"/>
      <c r="K144" s="55" t="n"/>
      <c r="L144">
        <f>IF(OR(A144="",B144=""),"",_xlfn.MAXIFS(TrocasEquip!$A$2:$A$1000,TrocasEquip!$B$2:$B$1000,B144,TrocasEquip!$A$2:$A$1000,"&lt;"&amp;A144))</f>
        <v/>
      </c>
      <c r="M144">
        <f>IF(N(L144)=0,0,MATCH(1,INDEX((TrocasEquip!$B$2:$B$1000=B144)*(TrocasEquip!$A$2:$A$1000=L144),0),0))</f>
        <v/>
      </c>
      <c r="N144">
        <f>IF(B144="","",IFERROR(MATCH(B144,Equipamentos!$P$2:$P$61,0),""))</f>
        <v/>
      </c>
      <c r="O144">
        <f>IF(N144="","",IF(M144=0,INDEX(Equipamentos!$U$2:$U$61,N144),L144))</f>
        <v/>
      </c>
      <c r="P144">
        <f>IF(N144="","",IF(M144=0,N(INDEX(Equipamentos!$V$2:$V$61,N144)),N(INDEX(TrocasEquip!$I$2:$I$1000,M144))))</f>
        <v/>
      </c>
      <c r="Q144">
        <f>IF(N144="","",IF(M144=0,INDEX(Equipamentos!$T$2:$T$61,N144),IF(INDEX(TrocasEquip!$H$2:$H$1000,M144)="",INDEX(Equipamentos!$T$2:$T$61,N144),INDEX(TrocasEquip!$H$2:$H$1000,M144))))</f>
        <v/>
      </c>
    </row>
    <row r="145">
      <c r="A145" s="54" t="n"/>
      <c r="B145" s="55" t="n"/>
      <c r="C145">
        <f>IF(B145="","",IF(N145="","posição não encontrada",IF(M145=0,INDEX(Equipamentos!$S$2:$S$61,N145),INDEX(TrocasEquip!$G$2:$G$1000,M145))))</f>
        <v/>
      </c>
      <c r="D145" s="56">
        <f>IF(OR(A145="",N145=""),"",P145+IF(E145="dias",MAX(0,A145-O145),IF(INDEX(Equipamentos!$D$2:$D$61,N145)=2,SUMIFS(Producao!$D:$D,Producao!$A:$A,"&gt;="&amp;O145,Producao!$A:$A,"&lt;"&amp;A145),IF(INDEX(Equipamentos!$D$2:$D$61,N145)=3,SUMIFS(Producao!$E:$E,Producao!$A:$A,"&gt;="&amp;O145,Producao!$A:$A,"&lt;"&amp;A145),SUMIFS(Producao!$B:$B,Producao!$A:$A,"&gt;="&amp;O145,Producao!$A:$A,"&lt;"&amp;A145)))))</f>
        <v/>
      </c>
      <c r="E145">
        <f>IF(N145="","",INDEX(Equipamentos!$C$2:$C$61,N145))</f>
        <v/>
      </c>
      <c r="F145" s="57">
        <f>IF(OR(D145="",N(Q145)&lt;=0),"",D145/Q145)</f>
        <v/>
      </c>
      <c r="G145" s="55" t="n"/>
      <c r="H145" s="58" t="n"/>
      <c r="I145" s="58" t="n"/>
      <c r="J145" s="55" t="n"/>
      <c r="K145" s="55" t="n"/>
      <c r="L145">
        <f>IF(OR(A145="",B145=""),"",_xlfn.MAXIFS(TrocasEquip!$A$2:$A$1000,TrocasEquip!$B$2:$B$1000,B145,TrocasEquip!$A$2:$A$1000,"&lt;"&amp;A145))</f>
        <v/>
      </c>
      <c r="M145">
        <f>IF(N(L145)=0,0,MATCH(1,INDEX((TrocasEquip!$B$2:$B$1000=B145)*(TrocasEquip!$A$2:$A$1000=L145),0),0))</f>
        <v/>
      </c>
      <c r="N145">
        <f>IF(B145="","",IFERROR(MATCH(B145,Equipamentos!$P$2:$P$61,0),""))</f>
        <v/>
      </c>
      <c r="O145">
        <f>IF(N145="","",IF(M145=0,INDEX(Equipamentos!$U$2:$U$61,N145),L145))</f>
        <v/>
      </c>
      <c r="P145">
        <f>IF(N145="","",IF(M145=0,N(INDEX(Equipamentos!$V$2:$V$61,N145)),N(INDEX(TrocasEquip!$I$2:$I$1000,M145))))</f>
        <v/>
      </c>
      <c r="Q145">
        <f>IF(N145="","",IF(M145=0,INDEX(Equipamentos!$T$2:$T$61,N145),IF(INDEX(TrocasEquip!$H$2:$H$1000,M145)="",INDEX(Equipamentos!$T$2:$T$61,N145),INDEX(TrocasEquip!$H$2:$H$1000,M145))))</f>
        <v/>
      </c>
    </row>
    <row r="146">
      <c r="A146" s="54" t="n"/>
      <c r="B146" s="55" t="n"/>
      <c r="C146">
        <f>IF(B146="","",IF(N146="","posição não encontrada",IF(M146=0,INDEX(Equipamentos!$S$2:$S$61,N146),INDEX(TrocasEquip!$G$2:$G$1000,M146))))</f>
        <v/>
      </c>
      <c r="D146" s="56">
        <f>IF(OR(A146="",N146=""),"",P146+IF(E146="dias",MAX(0,A146-O146),IF(INDEX(Equipamentos!$D$2:$D$61,N146)=2,SUMIFS(Producao!$D:$D,Producao!$A:$A,"&gt;="&amp;O146,Producao!$A:$A,"&lt;"&amp;A146),IF(INDEX(Equipamentos!$D$2:$D$61,N146)=3,SUMIFS(Producao!$E:$E,Producao!$A:$A,"&gt;="&amp;O146,Producao!$A:$A,"&lt;"&amp;A146),SUMIFS(Producao!$B:$B,Producao!$A:$A,"&gt;="&amp;O146,Producao!$A:$A,"&lt;"&amp;A146)))))</f>
        <v/>
      </c>
      <c r="E146">
        <f>IF(N146="","",INDEX(Equipamentos!$C$2:$C$61,N146))</f>
        <v/>
      </c>
      <c r="F146" s="57">
        <f>IF(OR(D146="",N(Q146)&lt;=0),"",D146/Q146)</f>
        <v/>
      </c>
      <c r="G146" s="55" t="n"/>
      <c r="H146" s="58" t="n"/>
      <c r="I146" s="58" t="n"/>
      <c r="J146" s="55" t="n"/>
      <c r="K146" s="55" t="n"/>
      <c r="L146">
        <f>IF(OR(A146="",B146=""),"",_xlfn.MAXIFS(TrocasEquip!$A$2:$A$1000,TrocasEquip!$B$2:$B$1000,B146,TrocasEquip!$A$2:$A$1000,"&lt;"&amp;A146))</f>
        <v/>
      </c>
      <c r="M146">
        <f>IF(N(L146)=0,0,MATCH(1,INDEX((TrocasEquip!$B$2:$B$1000=B146)*(TrocasEquip!$A$2:$A$1000=L146),0),0))</f>
        <v/>
      </c>
      <c r="N146">
        <f>IF(B146="","",IFERROR(MATCH(B146,Equipamentos!$P$2:$P$61,0),""))</f>
        <v/>
      </c>
      <c r="O146">
        <f>IF(N146="","",IF(M146=0,INDEX(Equipamentos!$U$2:$U$61,N146),L146))</f>
        <v/>
      </c>
      <c r="P146">
        <f>IF(N146="","",IF(M146=0,N(INDEX(Equipamentos!$V$2:$V$61,N146)),N(INDEX(TrocasEquip!$I$2:$I$1000,M146))))</f>
        <v/>
      </c>
      <c r="Q146">
        <f>IF(N146="","",IF(M146=0,INDEX(Equipamentos!$T$2:$T$61,N146),IF(INDEX(TrocasEquip!$H$2:$H$1000,M146)="",INDEX(Equipamentos!$T$2:$T$61,N146),INDEX(TrocasEquip!$H$2:$H$1000,M146))))</f>
        <v/>
      </c>
    </row>
    <row r="147">
      <c r="A147" s="54" t="n"/>
      <c r="B147" s="55" t="n"/>
      <c r="C147">
        <f>IF(B147="","",IF(N147="","posição não encontrada",IF(M147=0,INDEX(Equipamentos!$S$2:$S$61,N147),INDEX(TrocasEquip!$G$2:$G$1000,M147))))</f>
        <v/>
      </c>
      <c r="D147" s="56">
        <f>IF(OR(A147="",N147=""),"",P147+IF(E147="dias",MAX(0,A147-O147),IF(INDEX(Equipamentos!$D$2:$D$61,N147)=2,SUMIFS(Producao!$D:$D,Producao!$A:$A,"&gt;="&amp;O147,Producao!$A:$A,"&lt;"&amp;A147),IF(INDEX(Equipamentos!$D$2:$D$61,N147)=3,SUMIFS(Producao!$E:$E,Producao!$A:$A,"&gt;="&amp;O147,Producao!$A:$A,"&lt;"&amp;A147),SUMIFS(Producao!$B:$B,Producao!$A:$A,"&gt;="&amp;O147,Producao!$A:$A,"&lt;"&amp;A147)))))</f>
        <v/>
      </c>
      <c r="E147">
        <f>IF(N147="","",INDEX(Equipamentos!$C$2:$C$61,N147))</f>
        <v/>
      </c>
      <c r="F147" s="57">
        <f>IF(OR(D147="",N(Q147)&lt;=0),"",D147/Q147)</f>
        <v/>
      </c>
      <c r="G147" s="55" t="n"/>
      <c r="H147" s="58" t="n"/>
      <c r="I147" s="58" t="n"/>
      <c r="J147" s="55" t="n"/>
      <c r="K147" s="55" t="n"/>
      <c r="L147">
        <f>IF(OR(A147="",B147=""),"",_xlfn.MAXIFS(TrocasEquip!$A$2:$A$1000,TrocasEquip!$B$2:$B$1000,B147,TrocasEquip!$A$2:$A$1000,"&lt;"&amp;A147))</f>
        <v/>
      </c>
      <c r="M147">
        <f>IF(N(L147)=0,0,MATCH(1,INDEX((TrocasEquip!$B$2:$B$1000=B147)*(TrocasEquip!$A$2:$A$1000=L147),0),0))</f>
        <v/>
      </c>
      <c r="N147">
        <f>IF(B147="","",IFERROR(MATCH(B147,Equipamentos!$P$2:$P$61,0),""))</f>
        <v/>
      </c>
      <c r="O147">
        <f>IF(N147="","",IF(M147=0,INDEX(Equipamentos!$U$2:$U$61,N147),L147))</f>
        <v/>
      </c>
      <c r="P147">
        <f>IF(N147="","",IF(M147=0,N(INDEX(Equipamentos!$V$2:$V$61,N147)),N(INDEX(TrocasEquip!$I$2:$I$1000,M147))))</f>
        <v/>
      </c>
      <c r="Q147">
        <f>IF(N147="","",IF(M147=0,INDEX(Equipamentos!$T$2:$T$61,N147),IF(INDEX(TrocasEquip!$H$2:$H$1000,M147)="",INDEX(Equipamentos!$T$2:$T$61,N147),INDEX(TrocasEquip!$H$2:$H$1000,M147))))</f>
        <v/>
      </c>
    </row>
    <row r="148">
      <c r="A148" s="54" t="n"/>
      <c r="B148" s="55" t="n"/>
      <c r="C148">
        <f>IF(B148="","",IF(N148="","posição não encontrada",IF(M148=0,INDEX(Equipamentos!$S$2:$S$61,N148),INDEX(TrocasEquip!$G$2:$G$1000,M148))))</f>
        <v/>
      </c>
      <c r="D148" s="56">
        <f>IF(OR(A148="",N148=""),"",P148+IF(E148="dias",MAX(0,A148-O148),IF(INDEX(Equipamentos!$D$2:$D$61,N148)=2,SUMIFS(Producao!$D:$D,Producao!$A:$A,"&gt;="&amp;O148,Producao!$A:$A,"&lt;"&amp;A148),IF(INDEX(Equipamentos!$D$2:$D$61,N148)=3,SUMIFS(Producao!$E:$E,Producao!$A:$A,"&gt;="&amp;O148,Producao!$A:$A,"&lt;"&amp;A148),SUMIFS(Producao!$B:$B,Producao!$A:$A,"&gt;="&amp;O148,Producao!$A:$A,"&lt;"&amp;A148)))))</f>
        <v/>
      </c>
      <c r="E148">
        <f>IF(N148="","",INDEX(Equipamentos!$C$2:$C$61,N148))</f>
        <v/>
      </c>
      <c r="F148" s="57">
        <f>IF(OR(D148="",N(Q148)&lt;=0),"",D148/Q148)</f>
        <v/>
      </c>
      <c r="G148" s="55" t="n"/>
      <c r="H148" s="58" t="n"/>
      <c r="I148" s="58" t="n"/>
      <c r="J148" s="55" t="n"/>
      <c r="K148" s="55" t="n"/>
      <c r="L148">
        <f>IF(OR(A148="",B148=""),"",_xlfn.MAXIFS(TrocasEquip!$A$2:$A$1000,TrocasEquip!$B$2:$B$1000,B148,TrocasEquip!$A$2:$A$1000,"&lt;"&amp;A148))</f>
        <v/>
      </c>
      <c r="M148">
        <f>IF(N(L148)=0,0,MATCH(1,INDEX((TrocasEquip!$B$2:$B$1000=B148)*(TrocasEquip!$A$2:$A$1000=L148),0),0))</f>
        <v/>
      </c>
      <c r="N148">
        <f>IF(B148="","",IFERROR(MATCH(B148,Equipamentos!$P$2:$P$61,0),""))</f>
        <v/>
      </c>
      <c r="O148">
        <f>IF(N148="","",IF(M148=0,INDEX(Equipamentos!$U$2:$U$61,N148),L148))</f>
        <v/>
      </c>
      <c r="P148">
        <f>IF(N148="","",IF(M148=0,N(INDEX(Equipamentos!$V$2:$V$61,N148)),N(INDEX(TrocasEquip!$I$2:$I$1000,M148))))</f>
        <v/>
      </c>
      <c r="Q148">
        <f>IF(N148="","",IF(M148=0,INDEX(Equipamentos!$T$2:$T$61,N148),IF(INDEX(TrocasEquip!$H$2:$H$1000,M148)="",INDEX(Equipamentos!$T$2:$T$61,N148),INDEX(TrocasEquip!$H$2:$H$1000,M148))))</f>
        <v/>
      </c>
    </row>
    <row r="149">
      <c r="A149" s="54" t="n"/>
      <c r="B149" s="55" t="n"/>
      <c r="C149">
        <f>IF(B149="","",IF(N149="","posição não encontrada",IF(M149=0,INDEX(Equipamentos!$S$2:$S$61,N149),INDEX(TrocasEquip!$G$2:$G$1000,M149))))</f>
        <v/>
      </c>
      <c r="D149" s="56">
        <f>IF(OR(A149="",N149=""),"",P149+IF(E149="dias",MAX(0,A149-O149),IF(INDEX(Equipamentos!$D$2:$D$61,N149)=2,SUMIFS(Producao!$D:$D,Producao!$A:$A,"&gt;="&amp;O149,Producao!$A:$A,"&lt;"&amp;A149),IF(INDEX(Equipamentos!$D$2:$D$61,N149)=3,SUMIFS(Producao!$E:$E,Producao!$A:$A,"&gt;="&amp;O149,Producao!$A:$A,"&lt;"&amp;A149),SUMIFS(Producao!$B:$B,Producao!$A:$A,"&gt;="&amp;O149,Producao!$A:$A,"&lt;"&amp;A149)))))</f>
        <v/>
      </c>
      <c r="E149">
        <f>IF(N149="","",INDEX(Equipamentos!$C$2:$C$61,N149))</f>
        <v/>
      </c>
      <c r="F149" s="57">
        <f>IF(OR(D149="",N(Q149)&lt;=0),"",D149/Q149)</f>
        <v/>
      </c>
      <c r="G149" s="55" t="n"/>
      <c r="H149" s="58" t="n"/>
      <c r="I149" s="58" t="n"/>
      <c r="J149" s="55" t="n"/>
      <c r="K149" s="55" t="n"/>
      <c r="L149">
        <f>IF(OR(A149="",B149=""),"",_xlfn.MAXIFS(TrocasEquip!$A$2:$A$1000,TrocasEquip!$B$2:$B$1000,B149,TrocasEquip!$A$2:$A$1000,"&lt;"&amp;A149))</f>
        <v/>
      </c>
      <c r="M149">
        <f>IF(N(L149)=0,0,MATCH(1,INDEX((TrocasEquip!$B$2:$B$1000=B149)*(TrocasEquip!$A$2:$A$1000=L149),0),0))</f>
        <v/>
      </c>
      <c r="N149">
        <f>IF(B149="","",IFERROR(MATCH(B149,Equipamentos!$P$2:$P$61,0),""))</f>
        <v/>
      </c>
      <c r="O149">
        <f>IF(N149="","",IF(M149=0,INDEX(Equipamentos!$U$2:$U$61,N149),L149))</f>
        <v/>
      </c>
      <c r="P149">
        <f>IF(N149="","",IF(M149=0,N(INDEX(Equipamentos!$V$2:$V$61,N149)),N(INDEX(TrocasEquip!$I$2:$I$1000,M149))))</f>
        <v/>
      </c>
      <c r="Q149">
        <f>IF(N149="","",IF(M149=0,INDEX(Equipamentos!$T$2:$T$61,N149),IF(INDEX(TrocasEquip!$H$2:$H$1000,M149)="",INDEX(Equipamentos!$T$2:$T$61,N149),INDEX(TrocasEquip!$H$2:$H$1000,M149))))</f>
        <v/>
      </c>
    </row>
    <row r="150">
      <c r="A150" s="54" t="n"/>
      <c r="B150" s="55" t="n"/>
      <c r="C150">
        <f>IF(B150="","",IF(N150="","posição não encontrada",IF(M150=0,INDEX(Equipamentos!$S$2:$S$61,N150),INDEX(TrocasEquip!$G$2:$G$1000,M150))))</f>
        <v/>
      </c>
      <c r="D150" s="56">
        <f>IF(OR(A150="",N150=""),"",P150+IF(E150="dias",MAX(0,A150-O150),IF(INDEX(Equipamentos!$D$2:$D$61,N150)=2,SUMIFS(Producao!$D:$D,Producao!$A:$A,"&gt;="&amp;O150,Producao!$A:$A,"&lt;"&amp;A150),IF(INDEX(Equipamentos!$D$2:$D$61,N150)=3,SUMIFS(Producao!$E:$E,Producao!$A:$A,"&gt;="&amp;O150,Producao!$A:$A,"&lt;"&amp;A150),SUMIFS(Producao!$B:$B,Producao!$A:$A,"&gt;="&amp;O150,Producao!$A:$A,"&lt;"&amp;A150)))))</f>
        <v/>
      </c>
      <c r="E150">
        <f>IF(N150="","",INDEX(Equipamentos!$C$2:$C$61,N150))</f>
        <v/>
      </c>
      <c r="F150" s="57">
        <f>IF(OR(D150="",N(Q150)&lt;=0),"",D150/Q150)</f>
        <v/>
      </c>
      <c r="G150" s="55" t="n"/>
      <c r="H150" s="58" t="n"/>
      <c r="I150" s="58" t="n"/>
      <c r="J150" s="55" t="n"/>
      <c r="K150" s="55" t="n"/>
      <c r="L150">
        <f>IF(OR(A150="",B150=""),"",_xlfn.MAXIFS(TrocasEquip!$A$2:$A$1000,TrocasEquip!$B$2:$B$1000,B150,TrocasEquip!$A$2:$A$1000,"&lt;"&amp;A150))</f>
        <v/>
      </c>
      <c r="M150">
        <f>IF(N(L150)=0,0,MATCH(1,INDEX((TrocasEquip!$B$2:$B$1000=B150)*(TrocasEquip!$A$2:$A$1000=L150),0),0))</f>
        <v/>
      </c>
      <c r="N150">
        <f>IF(B150="","",IFERROR(MATCH(B150,Equipamentos!$P$2:$P$61,0),""))</f>
        <v/>
      </c>
      <c r="O150">
        <f>IF(N150="","",IF(M150=0,INDEX(Equipamentos!$U$2:$U$61,N150),L150))</f>
        <v/>
      </c>
      <c r="P150">
        <f>IF(N150="","",IF(M150=0,N(INDEX(Equipamentos!$V$2:$V$61,N150)),N(INDEX(TrocasEquip!$I$2:$I$1000,M150))))</f>
        <v/>
      </c>
      <c r="Q150">
        <f>IF(N150="","",IF(M150=0,INDEX(Equipamentos!$T$2:$T$61,N150),IF(INDEX(TrocasEquip!$H$2:$H$1000,M150)="",INDEX(Equipamentos!$T$2:$T$61,N150),INDEX(TrocasEquip!$H$2:$H$1000,M150))))</f>
        <v/>
      </c>
    </row>
    <row r="151">
      <c r="A151" s="54" t="n"/>
      <c r="B151" s="55" t="n"/>
      <c r="C151">
        <f>IF(B151="","",IF(N151="","posição não encontrada",IF(M151=0,INDEX(Equipamentos!$S$2:$S$61,N151),INDEX(TrocasEquip!$G$2:$G$1000,M151))))</f>
        <v/>
      </c>
      <c r="D151" s="56">
        <f>IF(OR(A151="",N151=""),"",P151+IF(E151="dias",MAX(0,A151-O151),IF(INDEX(Equipamentos!$D$2:$D$61,N151)=2,SUMIFS(Producao!$D:$D,Producao!$A:$A,"&gt;="&amp;O151,Producao!$A:$A,"&lt;"&amp;A151),IF(INDEX(Equipamentos!$D$2:$D$61,N151)=3,SUMIFS(Producao!$E:$E,Producao!$A:$A,"&gt;="&amp;O151,Producao!$A:$A,"&lt;"&amp;A151),SUMIFS(Producao!$B:$B,Producao!$A:$A,"&gt;="&amp;O151,Producao!$A:$A,"&lt;"&amp;A151)))))</f>
        <v/>
      </c>
      <c r="E151">
        <f>IF(N151="","",INDEX(Equipamentos!$C$2:$C$61,N151))</f>
        <v/>
      </c>
      <c r="F151" s="57">
        <f>IF(OR(D151="",N(Q151)&lt;=0),"",D151/Q151)</f>
        <v/>
      </c>
      <c r="G151" s="55" t="n"/>
      <c r="H151" s="58" t="n"/>
      <c r="I151" s="58" t="n"/>
      <c r="J151" s="55" t="n"/>
      <c r="K151" s="55" t="n"/>
      <c r="L151">
        <f>IF(OR(A151="",B151=""),"",_xlfn.MAXIFS(TrocasEquip!$A$2:$A$1000,TrocasEquip!$B$2:$B$1000,B151,TrocasEquip!$A$2:$A$1000,"&lt;"&amp;A151))</f>
        <v/>
      </c>
      <c r="M151">
        <f>IF(N(L151)=0,0,MATCH(1,INDEX((TrocasEquip!$B$2:$B$1000=B151)*(TrocasEquip!$A$2:$A$1000=L151),0),0))</f>
        <v/>
      </c>
      <c r="N151">
        <f>IF(B151="","",IFERROR(MATCH(B151,Equipamentos!$P$2:$P$61,0),""))</f>
        <v/>
      </c>
      <c r="O151">
        <f>IF(N151="","",IF(M151=0,INDEX(Equipamentos!$U$2:$U$61,N151),L151))</f>
        <v/>
      </c>
      <c r="P151">
        <f>IF(N151="","",IF(M151=0,N(INDEX(Equipamentos!$V$2:$V$61,N151)),N(INDEX(TrocasEquip!$I$2:$I$1000,M151))))</f>
        <v/>
      </c>
      <c r="Q151">
        <f>IF(N151="","",IF(M151=0,INDEX(Equipamentos!$T$2:$T$61,N151),IF(INDEX(TrocasEquip!$H$2:$H$1000,M151)="",INDEX(Equipamentos!$T$2:$T$61,N151),INDEX(TrocasEquip!$H$2:$H$1000,M151))))</f>
        <v/>
      </c>
    </row>
    <row r="152">
      <c r="A152" s="54" t="n"/>
      <c r="B152" s="55" t="n"/>
      <c r="C152">
        <f>IF(B152="","",IF(N152="","posição não encontrada",IF(M152=0,INDEX(Equipamentos!$S$2:$S$61,N152),INDEX(TrocasEquip!$G$2:$G$1000,M152))))</f>
        <v/>
      </c>
      <c r="D152" s="56">
        <f>IF(OR(A152="",N152=""),"",P152+IF(E152="dias",MAX(0,A152-O152),IF(INDEX(Equipamentos!$D$2:$D$61,N152)=2,SUMIFS(Producao!$D:$D,Producao!$A:$A,"&gt;="&amp;O152,Producao!$A:$A,"&lt;"&amp;A152),IF(INDEX(Equipamentos!$D$2:$D$61,N152)=3,SUMIFS(Producao!$E:$E,Producao!$A:$A,"&gt;="&amp;O152,Producao!$A:$A,"&lt;"&amp;A152),SUMIFS(Producao!$B:$B,Producao!$A:$A,"&gt;="&amp;O152,Producao!$A:$A,"&lt;"&amp;A152)))))</f>
        <v/>
      </c>
      <c r="E152">
        <f>IF(N152="","",INDEX(Equipamentos!$C$2:$C$61,N152))</f>
        <v/>
      </c>
      <c r="F152" s="57">
        <f>IF(OR(D152="",N(Q152)&lt;=0),"",D152/Q152)</f>
        <v/>
      </c>
      <c r="G152" s="55" t="n"/>
      <c r="H152" s="58" t="n"/>
      <c r="I152" s="58" t="n"/>
      <c r="J152" s="55" t="n"/>
      <c r="K152" s="55" t="n"/>
      <c r="L152">
        <f>IF(OR(A152="",B152=""),"",_xlfn.MAXIFS(TrocasEquip!$A$2:$A$1000,TrocasEquip!$B$2:$B$1000,B152,TrocasEquip!$A$2:$A$1000,"&lt;"&amp;A152))</f>
        <v/>
      </c>
      <c r="M152">
        <f>IF(N(L152)=0,0,MATCH(1,INDEX((TrocasEquip!$B$2:$B$1000=B152)*(TrocasEquip!$A$2:$A$1000=L152),0),0))</f>
        <v/>
      </c>
      <c r="N152">
        <f>IF(B152="","",IFERROR(MATCH(B152,Equipamentos!$P$2:$P$61,0),""))</f>
        <v/>
      </c>
      <c r="O152">
        <f>IF(N152="","",IF(M152=0,INDEX(Equipamentos!$U$2:$U$61,N152),L152))</f>
        <v/>
      </c>
      <c r="P152">
        <f>IF(N152="","",IF(M152=0,N(INDEX(Equipamentos!$V$2:$V$61,N152)),N(INDEX(TrocasEquip!$I$2:$I$1000,M152))))</f>
        <v/>
      </c>
      <c r="Q152">
        <f>IF(N152="","",IF(M152=0,INDEX(Equipamentos!$T$2:$T$61,N152),IF(INDEX(TrocasEquip!$H$2:$H$1000,M152)="",INDEX(Equipamentos!$T$2:$T$61,N152),INDEX(TrocasEquip!$H$2:$H$1000,M152))))</f>
        <v/>
      </c>
    </row>
    <row r="153">
      <c r="A153" s="54" t="n"/>
      <c r="B153" s="55" t="n"/>
      <c r="C153">
        <f>IF(B153="","",IF(N153="","posição não encontrada",IF(M153=0,INDEX(Equipamentos!$S$2:$S$61,N153),INDEX(TrocasEquip!$G$2:$G$1000,M153))))</f>
        <v/>
      </c>
      <c r="D153" s="56">
        <f>IF(OR(A153="",N153=""),"",P153+IF(E153="dias",MAX(0,A153-O153),IF(INDEX(Equipamentos!$D$2:$D$61,N153)=2,SUMIFS(Producao!$D:$D,Producao!$A:$A,"&gt;="&amp;O153,Producao!$A:$A,"&lt;"&amp;A153),IF(INDEX(Equipamentos!$D$2:$D$61,N153)=3,SUMIFS(Producao!$E:$E,Producao!$A:$A,"&gt;="&amp;O153,Producao!$A:$A,"&lt;"&amp;A153),SUMIFS(Producao!$B:$B,Producao!$A:$A,"&gt;="&amp;O153,Producao!$A:$A,"&lt;"&amp;A153)))))</f>
        <v/>
      </c>
      <c r="E153">
        <f>IF(N153="","",INDEX(Equipamentos!$C$2:$C$61,N153))</f>
        <v/>
      </c>
      <c r="F153" s="57">
        <f>IF(OR(D153="",N(Q153)&lt;=0),"",D153/Q153)</f>
        <v/>
      </c>
      <c r="G153" s="55" t="n"/>
      <c r="H153" s="58" t="n"/>
      <c r="I153" s="58" t="n"/>
      <c r="J153" s="55" t="n"/>
      <c r="K153" s="55" t="n"/>
      <c r="L153">
        <f>IF(OR(A153="",B153=""),"",_xlfn.MAXIFS(TrocasEquip!$A$2:$A$1000,TrocasEquip!$B$2:$B$1000,B153,TrocasEquip!$A$2:$A$1000,"&lt;"&amp;A153))</f>
        <v/>
      </c>
      <c r="M153">
        <f>IF(N(L153)=0,0,MATCH(1,INDEX((TrocasEquip!$B$2:$B$1000=B153)*(TrocasEquip!$A$2:$A$1000=L153),0),0))</f>
        <v/>
      </c>
      <c r="N153">
        <f>IF(B153="","",IFERROR(MATCH(B153,Equipamentos!$P$2:$P$61,0),""))</f>
        <v/>
      </c>
      <c r="O153">
        <f>IF(N153="","",IF(M153=0,INDEX(Equipamentos!$U$2:$U$61,N153),L153))</f>
        <v/>
      </c>
      <c r="P153">
        <f>IF(N153="","",IF(M153=0,N(INDEX(Equipamentos!$V$2:$V$61,N153)),N(INDEX(TrocasEquip!$I$2:$I$1000,M153))))</f>
        <v/>
      </c>
      <c r="Q153">
        <f>IF(N153="","",IF(M153=0,INDEX(Equipamentos!$T$2:$T$61,N153),IF(INDEX(TrocasEquip!$H$2:$H$1000,M153)="",INDEX(Equipamentos!$T$2:$T$61,N153),INDEX(TrocasEquip!$H$2:$H$1000,M153))))</f>
        <v/>
      </c>
    </row>
    <row r="154">
      <c r="A154" s="54" t="n"/>
      <c r="B154" s="55" t="n"/>
      <c r="C154">
        <f>IF(B154="","",IF(N154="","posição não encontrada",IF(M154=0,INDEX(Equipamentos!$S$2:$S$61,N154),INDEX(TrocasEquip!$G$2:$G$1000,M154))))</f>
        <v/>
      </c>
      <c r="D154" s="56">
        <f>IF(OR(A154="",N154=""),"",P154+IF(E154="dias",MAX(0,A154-O154),IF(INDEX(Equipamentos!$D$2:$D$61,N154)=2,SUMIFS(Producao!$D:$D,Producao!$A:$A,"&gt;="&amp;O154,Producao!$A:$A,"&lt;"&amp;A154),IF(INDEX(Equipamentos!$D$2:$D$61,N154)=3,SUMIFS(Producao!$E:$E,Producao!$A:$A,"&gt;="&amp;O154,Producao!$A:$A,"&lt;"&amp;A154),SUMIFS(Producao!$B:$B,Producao!$A:$A,"&gt;="&amp;O154,Producao!$A:$A,"&lt;"&amp;A154)))))</f>
        <v/>
      </c>
      <c r="E154">
        <f>IF(N154="","",INDEX(Equipamentos!$C$2:$C$61,N154))</f>
        <v/>
      </c>
      <c r="F154" s="57">
        <f>IF(OR(D154="",N(Q154)&lt;=0),"",D154/Q154)</f>
        <v/>
      </c>
      <c r="G154" s="55" t="n"/>
      <c r="H154" s="58" t="n"/>
      <c r="I154" s="58" t="n"/>
      <c r="J154" s="55" t="n"/>
      <c r="K154" s="55" t="n"/>
      <c r="L154">
        <f>IF(OR(A154="",B154=""),"",_xlfn.MAXIFS(TrocasEquip!$A$2:$A$1000,TrocasEquip!$B$2:$B$1000,B154,TrocasEquip!$A$2:$A$1000,"&lt;"&amp;A154))</f>
        <v/>
      </c>
      <c r="M154">
        <f>IF(N(L154)=0,0,MATCH(1,INDEX((TrocasEquip!$B$2:$B$1000=B154)*(TrocasEquip!$A$2:$A$1000=L154),0),0))</f>
        <v/>
      </c>
      <c r="N154">
        <f>IF(B154="","",IFERROR(MATCH(B154,Equipamentos!$P$2:$P$61,0),""))</f>
        <v/>
      </c>
      <c r="O154">
        <f>IF(N154="","",IF(M154=0,INDEX(Equipamentos!$U$2:$U$61,N154),L154))</f>
        <v/>
      </c>
      <c r="P154">
        <f>IF(N154="","",IF(M154=0,N(INDEX(Equipamentos!$V$2:$V$61,N154)),N(INDEX(TrocasEquip!$I$2:$I$1000,M154))))</f>
        <v/>
      </c>
      <c r="Q154">
        <f>IF(N154="","",IF(M154=0,INDEX(Equipamentos!$T$2:$T$61,N154),IF(INDEX(TrocasEquip!$H$2:$H$1000,M154)="",INDEX(Equipamentos!$T$2:$T$61,N154),INDEX(TrocasEquip!$H$2:$H$1000,M154))))</f>
        <v/>
      </c>
    </row>
    <row r="155">
      <c r="A155" s="54" t="n"/>
      <c r="B155" s="55" t="n"/>
      <c r="C155">
        <f>IF(B155="","",IF(N155="","posição não encontrada",IF(M155=0,INDEX(Equipamentos!$S$2:$S$61,N155),INDEX(TrocasEquip!$G$2:$G$1000,M155))))</f>
        <v/>
      </c>
      <c r="D155" s="56">
        <f>IF(OR(A155="",N155=""),"",P155+IF(E155="dias",MAX(0,A155-O155),IF(INDEX(Equipamentos!$D$2:$D$61,N155)=2,SUMIFS(Producao!$D:$D,Producao!$A:$A,"&gt;="&amp;O155,Producao!$A:$A,"&lt;"&amp;A155),IF(INDEX(Equipamentos!$D$2:$D$61,N155)=3,SUMIFS(Producao!$E:$E,Producao!$A:$A,"&gt;="&amp;O155,Producao!$A:$A,"&lt;"&amp;A155),SUMIFS(Producao!$B:$B,Producao!$A:$A,"&gt;="&amp;O155,Producao!$A:$A,"&lt;"&amp;A155)))))</f>
        <v/>
      </c>
      <c r="E155">
        <f>IF(N155="","",INDEX(Equipamentos!$C$2:$C$61,N155))</f>
        <v/>
      </c>
      <c r="F155" s="57">
        <f>IF(OR(D155="",N(Q155)&lt;=0),"",D155/Q155)</f>
        <v/>
      </c>
      <c r="G155" s="55" t="n"/>
      <c r="H155" s="58" t="n"/>
      <c r="I155" s="58" t="n"/>
      <c r="J155" s="55" t="n"/>
      <c r="K155" s="55" t="n"/>
      <c r="L155">
        <f>IF(OR(A155="",B155=""),"",_xlfn.MAXIFS(TrocasEquip!$A$2:$A$1000,TrocasEquip!$B$2:$B$1000,B155,TrocasEquip!$A$2:$A$1000,"&lt;"&amp;A155))</f>
        <v/>
      </c>
      <c r="M155">
        <f>IF(N(L155)=0,0,MATCH(1,INDEX((TrocasEquip!$B$2:$B$1000=B155)*(TrocasEquip!$A$2:$A$1000=L155),0),0))</f>
        <v/>
      </c>
      <c r="N155">
        <f>IF(B155="","",IFERROR(MATCH(B155,Equipamentos!$P$2:$P$61,0),""))</f>
        <v/>
      </c>
      <c r="O155">
        <f>IF(N155="","",IF(M155=0,INDEX(Equipamentos!$U$2:$U$61,N155),L155))</f>
        <v/>
      </c>
      <c r="P155">
        <f>IF(N155="","",IF(M155=0,N(INDEX(Equipamentos!$V$2:$V$61,N155)),N(INDEX(TrocasEquip!$I$2:$I$1000,M155))))</f>
        <v/>
      </c>
      <c r="Q155">
        <f>IF(N155="","",IF(M155=0,INDEX(Equipamentos!$T$2:$T$61,N155),IF(INDEX(TrocasEquip!$H$2:$H$1000,M155)="",INDEX(Equipamentos!$T$2:$T$61,N155),INDEX(TrocasEquip!$H$2:$H$1000,M155))))</f>
        <v/>
      </c>
    </row>
    <row r="156">
      <c r="A156" s="54" t="n"/>
      <c r="B156" s="55" t="n"/>
      <c r="C156">
        <f>IF(B156="","",IF(N156="","posição não encontrada",IF(M156=0,INDEX(Equipamentos!$S$2:$S$61,N156),INDEX(TrocasEquip!$G$2:$G$1000,M156))))</f>
        <v/>
      </c>
      <c r="D156" s="56">
        <f>IF(OR(A156="",N156=""),"",P156+IF(E156="dias",MAX(0,A156-O156),IF(INDEX(Equipamentos!$D$2:$D$61,N156)=2,SUMIFS(Producao!$D:$D,Producao!$A:$A,"&gt;="&amp;O156,Producao!$A:$A,"&lt;"&amp;A156),IF(INDEX(Equipamentos!$D$2:$D$61,N156)=3,SUMIFS(Producao!$E:$E,Producao!$A:$A,"&gt;="&amp;O156,Producao!$A:$A,"&lt;"&amp;A156),SUMIFS(Producao!$B:$B,Producao!$A:$A,"&gt;="&amp;O156,Producao!$A:$A,"&lt;"&amp;A156)))))</f>
        <v/>
      </c>
      <c r="E156">
        <f>IF(N156="","",INDEX(Equipamentos!$C$2:$C$61,N156))</f>
        <v/>
      </c>
      <c r="F156" s="57">
        <f>IF(OR(D156="",N(Q156)&lt;=0),"",D156/Q156)</f>
        <v/>
      </c>
      <c r="G156" s="55" t="n"/>
      <c r="H156" s="58" t="n"/>
      <c r="I156" s="58" t="n"/>
      <c r="J156" s="55" t="n"/>
      <c r="K156" s="55" t="n"/>
      <c r="L156">
        <f>IF(OR(A156="",B156=""),"",_xlfn.MAXIFS(TrocasEquip!$A$2:$A$1000,TrocasEquip!$B$2:$B$1000,B156,TrocasEquip!$A$2:$A$1000,"&lt;"&amp;A156))</f>
        <v/>
      </c>
      <c r="M156">
        <f>IF(N(L156)=0,0,MATCH(1,INDEX((TrocasEquip!$B$2:$B$1000=B156)*(TrocasEquip!$A$2:$A$1000=L156),0),0))</f>
        <v/>
      </c>
      <c r="N156">
        <f>IF(B156="","",IFERROR(MATCH(B156,Equipamentos!$P$2:$P$61,0),""))</f>
        <v/>
      </c>
      <c r="O156">
        <f>IF(N156="","",IF(M156=0,INDEX(Equipamentos!$U$2:$U$61,N156),L156))</f>
        <v/>
      </c>
      <c r="P156">
        <f>IF(N156="","",IF(M156=0,N(INDEX(Equipamentos!$V$2:$V$61,N156)),N(INDEX(TrocasEquip!$I$2:$I$1000,M156))))</f>
        <v/>
      </c>
      <c r="Q156">
        <f>IF(N156="","",IF(M156=0,INDEX(Equipamentos!$T$2:$T$61,N156),IF(INDEX(TrocasEquip!$H$2:$H$1000,M156)="",INDEX(Equipamentos!$T$2:$T$61,N156),INDEX(TrocasEquip!$H$2:$H$1000,M156))))</f>
        <v/>
      </c>
    </row>
    <row r="157">
      <c r="A157" s="54" t="n"/>
      <c r="B157" s="55" t="n"/>
      <c r="C157">
        <f>IF(B157="","",IF(N157="","posição não encontrada",IF(M157=0,INDEX(Equipamentos!$S$2:$S$61,N157),INDEX(TrocasEquip!$G$2:$G$1000,M157))))</f>
        <v/>
      </c>
      <c r="D157" s="56">
        <f>IF(OR(A157="",N157=""),"",P157+IF(E157="dias",MAX(0,A157-O157),IF(INDEX(Equipamentos!$D$2:$D$61,N157)=2,SUMIFS(Producao!$D:$D,Producao!$A:$A,"&gt;="&amp;O157,Producao!$A:$A,"&lt;"&amp;A157),IF(INDEX(Equipamentos!$D$2:$D$61,N157)=3,SUMIFS(Producao!$E:$E,Producao!$A:$A,"&gt;="&amp;O157,Producao!$A:$A,"&lt;"&amp;A157),SUMIFS(Producao!$B:$B,Producao!$A:$A,"&gt;="&amp;O157,Producao!$A:$A,"&lt;"&amp;A157)))))</f>
        <v/>
      </c>
      <c r="E157">
        <f>IF(N157="","",INDEX(Equipamentos!$C$2:$C$61,N157))</f>
        <v/>
      </c>
      <c r="F157" s="57">
        <f>IF(OR(D157="",N(Q157)&lt;=0),"",D157/Q157)</f>
        <v/>
      </c>
      <c r="G157" s="55" t="n"/>
      <c r="H157" s="58" t="n"/>
      <c r="I157" s="58" t="n"/>
      <c r="J157" s="55" t="n"/>
      <c r="K157" s="55" t="n"/>
      <c r="L157">
        <f>IF(OR(A157="",B157=""),"",_xlfn.MAXIFS(TrocasEquip!$A$2:$A$1000,TrocasEquip!$B$2:$B$1000,B157,TrocasEquip!$A$2:$A$1000,"&lt;"&amp;A157))</f>
        <v/>
      </c>
      <c r="M157">
        <f>IF(N(L157)=0,0,MATCH(1,INDEX((TrocasEquip!$B$2:$B$1000=B157)*(TrocasEquip!$A$2:$A$1000=L157),0),0))</f>
        <v/>
      </c>
      <c r="N157">
        <f>IF(B157="","",IFERROR(MATCH(B157,Equipamentos!$P$2:$P$61,0),""))</f>
        <v/>
      </c>
      <c r="O157">
        <f>IF(N157="","",IF(M157=0,INDEX(Equipamentos!$U$2:$U$61,N157),L157))</f>
        <v/>
      </c>
      <c r="P157">
        <f>IF(N157="","",IF(M157=0,N(INDEX(Equipamentos!$V$2:$V$61,N157)),N(INDEX(TrocasEquip!$I$2:$I$1000,M157))))</f>
        <v/>
      </c>
      <c r="Q157">
        <f>IF(N157="","",IF(M157=0,INDEX(Equipamentos!$T$2:$T$61,N157),IF(INDEX(TrocasEquip!$H$2:$H$1000,M157)="",INDEX(Equipamentos!$T$2:$T$61,N157),INDEX(TrocasEquip!$H$2:$H$1000,M157))))</f>
        <v/>
      </c>
    </row>
    <row r="158">
      <c r="A158" s="54" t="n"/>
      <c r="B158" s="55" t="n"/>
      <c r="C158">
        <f>IF(B158="","",IF(N158="","posição não encontrada",IF(M158=0,INDEX(Equipamentos!$S$2:$S$61,N158),INDEX(TrocasEquip!$G$2:$G$1000,M158))))</f>
        <v/>
      </c>
      <c r="D158" s="56">
        <f>IF(OR(A158="",N158=""),"",P158+IF(E158="dias",MAX(0,A158-O158),IF(INDEX(Equipamentos!$D$2:$D$61,N158)=2,SUMIFS(Producao!$D:$D,Producao!$A:$A,"&gt;="&amp;O158,Producao!$A:$A,"&lt;"&amp;A158),IF(INDEX(Equipamentos!$D$2:$D$61,N158)=3,SUMIFS(Producao!$E:$E,Producao!$A:$A,"&gt;="&amp;O158,Producao!$A:$A,"&lt;"&amp;A158),SUMIFS(Producao!$B:$B,Producao!$A:$A,"&gt;="&amp;O158,Producao!$A:$A,"&lt;"&amp;A158)))))</f>
        <v/>
      </c>
      <c r="E158">
        <f>IF(N158="","",INDEX(Equipamentos!$C$2:$C$61,N158))</f>
        <v/>
      </c>
      <c r="F158" s="57">
        <f>IF(OR(D158="",N(Q158)&lt;=0),"",D158/Q158)</f>
        <v/>
      </c>
      <c r="G158" s="55" t="n"/>
      <c r="H158" s="58" t="n"/>
      <c r="I158" s="58" t="n"/>
      <c r="J158" s="55" t="n"/>
      <c r="K158" s="55" t="n"/>
      <c r="L158">
        <f>IF(OR(A158="",B158=""),"",_xlfn.MAXIFS(TrocasEquip!$A$2:$A$1000,TrocasEquip!$B$2:$B$1000,B158,TrocasEquip!$A$2:$A$1000,"&lt;"&amp;A158))</f>
        <v/>
      </c>
      <c r="M158">
        <f>IF(N(L158)=0,0,MATCH(1,INDEX((TrocasEquip!$B$2:$B$1000=B158)*(TrocasEquip!$A$2:$A$1000=L158),0),0))</f>
        <v/>
      </c>
      <c r="N158">
        <f>IF(B158="","",IFERROR(MATCH(B158,Equipamentos!$P$2:$P$61,0),""))</f>
        <v/>
      </c>
      <c r="O158">
        <f>IF(N158="","",IF(M158=0,INDEX(Equipamentos!$U$2:$U$61,N158),L158))</f>
        <v/>
      </c>
      <c r="P158">
        <f>IF(N158="","",IF(M158=0,N(INDEX(Equipamentos!$V$2:$V$61,N158)),N(INDEX(TrocasEquip!$I$2:$I$1000,M158))))</f>
        <v/>
      </c>
      <c r="Q158">
        <f>IF(N158="","",IF(M158=0,INDEX(Equipamentos!$T$2:$T$61,N158),IF(INDEX(TrocasEquip!$H$2:$H$1000,M158)="",INDEX(Equipamentos!$T$2:$T$61,N158),INDEX(TrocasEquip!$H$2:$H$1000,M158))))</f>
        <v/>
      </c>
    </row>
    <row r="159">
      <c r="A159" s="54" t="n"/>
      <c r="B159" s="55" t="n"/>
      <c r="C159">
        <f>IF(B159="","",IF(N159="","posição não encontrada",IF(M159=0,INDEX(Equipamentos!$S$2:$S$61,N159),INDEX(TrocasEquip!$G$2:$G$1000,M159))))</f>
        <v/>
      </c>
      <c r="D159" s="56">
        <f>IF(OR(A159="",N159=""),"",P159+IF(E159="dias",MAX(0,A159-O159),IF(INDEX(Equipamentos!$D$2:$D$61,N159)=2,SUMIFS(Producao!$D:$D,Producao!$A:$A,"&gt;="&amp;O159,Producao!$A:$A,"&lt;"&amp;A159),IF(INDEX(Equipamentos!$D$2:$D$61,N159)=3,SUMIFS(Producao!$E:$E,Producao!$A:$A,"&gt;="&amp;O159,Producao!$A:$A,"&lt;"&amp;A159),SUMIFS(Producao!$B:$B,Producao!$A:$A,"&gt;="&amp;O159,Producao!$A:$A,"&lt;"&amp;A159)))))</f>
        <v/>
      </c>
      <c r="E159">
        <f>IF(N159="","",INDEX(Equipamentos!$C$2:$C$61,N159))</f>
        <v/>
      </c>
      <c r="F159" s="57">
        <f>IF(OR(D159="",N(Q159)&lt;=0),"",D159/Q159)</f>
        <v/>
      </c>
      <c r="G159" s="55" t="n"/>
      <c r="H159" s="58" t="n"/>
      <c r="I159" s="58" t="n"/>
      <c r="J159" s="55" t="n"/>
      <c r="K159" s="55" t="n"/>
      <c r="L159">
        <f>IF(OR(A159="",B159=""),"",_xlfn.MAXIFS(TrocasEquip!$A$2:$A$1000,TrocasEquip!$B$2:$B$1000,B159,TrocasEquip!$A$2:$A$1000,"&lt;"&amp;A159))</f>
        <v/>
      </c>
      <c r="M159">
        <f>IF(N(L159)=0,0,MATCH(1,INDEX((TrocasEquip!$B$2:$B$1000=B159)*(TrocasEquip!$A$2:$A$1000=L159),0),0))</f>
        <v/>
      </c>
      <c r="N159">
        <f>IF(B159="","",IFERROR(MATCH(B159,Equipamentos!$P$2:$P$61,0),""))</f>
        <v/>
      </c>
      <c r="O159">
        <f>IF(N159="","",IF(M159=0,INDEX(Equipamentos!$U$2:$U$61,N159),L159))</f>
        <v/>
      </c>
      <c r="P159">
        <f>IF(N159="","",IF(M159=0,N(INDEX(Equipamentos!$V$2:$V$61,N159)),N(INDEX(TrocasEquip!$I$2:$I$1000,M159))))</f>
        <v/>
      </c>
      <c r="Q159">
        <f>IF(N159="","",IF(M159=0,INDEX(Equipamentos!$T$2:$T$61,N159),IF(INDEX(TrocasEquip!$H$2:$H$1000,M159)="",INDEX(Equipamentos!$T$2:$T$61,N159),INDEX(TrocasEquip!$H$2:$H$1000,M159))))</f>
        <v/>
      </c>
    </row>
    <row r="160">
      <c r="A160" s="54" t="n"/>
      <c r="B160" s="55" t="n"/>
      <c r="C160">
        <f>IF(B160="","",IF(N160="","posição não encontrada",IF(M160=0,INDEX(Equipamentos!$S$2:$S$61,N160),INDEX(TrocasEquip!$G$2:$G$1000,M160))))</f>
        <v/>
      </c>
      <c r="D160" s="56">
        <f>IF(OR(A160="",N160=""),"",P160+IF(E160="dias",MAX(0,A160-O160),IF(INDEX(Equipamentos!$D$2:$D$61,N160)=2,SUMIFS(Producao!$D:$D,Producao!$A:$A,"&gt;="&amp;O160,Producao!$A:$A,"&lt;"&amp;A160),IF(INDEX(Equipamentos!$D$2:$D$61,N160)=3,SUMIFS(Producao!$E:$E,Producao!$A:$A,"&gt;="&amp;O160,Producao!$A:$A,"&lt;"&amp;A160),SUMIFS(Producao!$B:$B,Producao!$A:$A,"&gt;="&amp;O160,Producao!$A:$A,"&lt;"&amp;A160)))))</f>
        <v/>
      </c>
      <c r="E160">
        <f>IF(N160="","",INDEX(Equipamentos!$C$2:$C$61,N160))</f>
        <v/>
      </c>
      <c r="F160" s="57">
        <f>IF(OR(D160="",N(Q160)&lt;=0),"",D160/Q160)</f>
        <v/>
      </c>
      <c r="G160" s="55" t="n"/>
      <c r="H160" s="58" t="n"/>
      <c r="I160" s="58" t="n"/>
      <c r="J160" s="55" t="n"/>
      <c r="K160" s="55" t="n"/>
      <c r="L160">
        <f>IF(OR(A160="",B160=""),"",_xlfn.MAXIFS(TrocasEquip!$A$2:$A$1000,TrocasEquip!$B$2:$B$1000,B160,TrocasEquip!$A$2:$A$1000,"&lt;"&amp;A160))</f>
        <v/>
      </c>
      <c r="M160">
        <f>IF(N(L160)=0,0,MATCH(1,INDEX((TrocasEquip!$B$2:$B$1000=B160)*(TrocasEquip!$A$2:$A$1000=L160),0),0))</f>
        <v/>
      </c>
      <c r="N160">
        <f>IF(B160="","",IFERROR(MATCH(B160,Equipamentos!$P$2:$P$61,0),""))</f>
        <v/>
      </c>
      <c r="O160">
        <f>IF(N160="","",IF(M160=0,INDEX(Equipamentos!$U$2:$U$61,N160),L160))</f>
        <v/>
      </c>
      <c r="P160">
        <f>IF(N160="","",IF(M160=0,N(INDEX(Equipamentos!$V$2:$V$61,N160)),N(INDEX(TrocasEquip!$I$2:$I$1000,M160))))</f>
        <v/>
      </c>
      <c r="Q160">
        <f>IF(N160="","",IF(M160=0,INDEX(Equipamentos!$T$2:$T$61,N160),IF(INDEX(TrocasEquip!$H$2:$H$1000,M160)="",INDEX(Equipamentos!$T$2:$T$61,N160),INDEX(TrocasEquip!$H$2:$H$1000,M160))))</f>
        <v/>
      </c>
    </row>
    <row r="161">
      <c r="A161" s="54" t="n"/>
      <c r="B161" s="55" t="n"/>
      <c r="C161">
        <f>IF(B161="","",IF(N161="","posição não encontrada",IF(M161=0,INDEX(Equipamentos!$S$2:$S$61,N161),INDEX(TrocasEquip!$G$2:$G$1000,M161))))</f>
        <v/>
      </c>
      <c r="D161" s="56">
        <f>IF(OR(A161="",N161=""),"",P161+IF(E161="dias",MAX(0,A161-O161),IF(INDEX(Equipamentos!$D$2:$D$61,N161)=2,SUMIFS(Producao!$D:$D,Producao!$A:$A,"&gt;="&amp;O161,Producao!$A:$A,"&lt;"&amp;A161),IF(INDEX(Equipamentos!$D$2:$D$61,N161)=3,SUMIFS(Producao!$E:$E,Producao!$A:$A,"&gt;="&amp;O161,Producao!$A:$A,"&lt;"&amp;A161),SUMIFS(Producao!$B:$B,Producao!$A:$A,"&gt;="&amp;O161,Producao!$A:$A,"&lt;"&amp;A161)))))</f>
        <v/>
      </c>
      <c r="E161">
        <f>IF(N161="","",INDEX(Equipamentos!$C$2:$C$61,N161))</f>
        <v/>
      </c>
      <c r="F161" s="57">
        <f>IF(OR(D161="",N(Q161)&lt;=0),"",D161/Q161)</f>
        <v/>
      </c>
      <c r="G161" s="55" t="n"/>
      <c r="H161" s="58" t="n"/>
      <c r="I161" s="58" t="n"/>
      <c r="J161" s="55" t="n"/>
      <c r="K161" s="55" t="n"/>
      <c r="L161">
        <f>IF(OR(A161="",B161=""),"",_xlfn.MAXIFS(TrocasEquip!$A$2:$A$1000,TrocasEquip!$B$2:$B$1000,B161,TrocasEquip!$A$2:$A$1000,"&lt;"&amp;A161))</f>
        <v/>
      </c>
      <c r="M161">
        <f>IF(N(L161)=0,0,MATCH(1,INDEX((TrocasEquip!$B$2:$B$1000=B161)*(TrocasEquip!$A$2:$A$1000=L161),0),0))</f>
        <v/>
      </c>
      <c r="N161">
        <f>IF(B161="","",IFERROR(MATCH(B161,Equipamentos!$P$2:$P$61,0),""))</f>
        <v/>
      </c>
      <c r="O161">
        <f>IF(N161="","",IF(M161=0,INDEX(Equipamentos!$U$2:$U$61,N161),L161))</f>
        <v/>
      </c>
      <c r="P161">
        <f>IF(N161="","",IF(M161=0,N(INDEX(Equipamentos!$V$2:$V$61,N161)),N(INDEX(TrocasEquip!$I$2:$I$1000,M161))))</f>
        <v/>
      </c>
      <c r="Q161">
        <f>IF(N161="","",IF(M161=0,INDEX(Equipamentos!$T$2:$T$61,N161),IF(INDEX(TrocasEquip!$H$2:$H$1000,M161)="",INDEX(Equipamentos!$T$2:$T$61,N161),INDEX(TrocasEquip!$H$2:$H$1000,M161))))</f>
        <v/>
      </c>
    </row>
    <row r="162">
      <c r="A162" s="54" t="n"/>
      <c r="B162" s="55" t="n"/>
      <c r="C162">
        <f>IF(B162="","",IF(N162="","posição não encontrada",IF(M162=0,INDEX(Equipamentos!$S$2:$S$61,N162),INDEX(TrocasEquip!$G$2:$G$1000,M162))))</f>
        <v/>
      </c>
      <c r="D162" s="56">
        <f>IF(OR(A162="",N162=""),"",P162+IF(E162="dias",MAX(0,A162-O162),IF(INDEX(Equipamentos!$D$2:$D$61,N162)=2,SUMIFS(Producao!$D:$D,Producao!$A:$A,"&gt;="&amp;O162,Producao!$A:$A,"&lt;"&amp;A162),IF(INDEX(Equipamentos!$D$2:$D$61,N162)=3,SUMIFS(Producao!$E:$E,Producao!$A:$A,"&gt;="&amp;O162,Producao!$A:$A,"&lt;"&amp;A162),SUMIFS(Producao!$B:$B,Producao!$A:$A,"&gt;="&amp;O162,Producao!$A:$A,"&lt;"&amp;A162)))))</f>
        <v/>
      </c>
      <c r="E162">
        <f>IF(N162="","",INDEX(Equipamentos!$C$2:$C$61,N162))</f>
        <v/>
      </c>
      <c r="F162" s="57">
        <f>IF(OR(D162="",N(Q162)&lt;=0),"",D162/Q162)</f>
        <v/>
      </c>
      <c r="G162" s="55" t="n"/>
      <c r="H162" s="58" t="n"/>
      <c r="I162" s="58" t="n"/>
      <c r="J162" s="55" t="n"/>
      <c r="K162" s="55" t="n"/>
      <c r="L162">
        <f>IF(OR(A162="",B162=""),"",_xlfn.MAXIFS(TrocasEquip!$A$2:$A$1000,TrocasEquip!$B$2:$B$1000,B162,TrocasEquip!$A$2:$A$1000,"&lt;"&amp;A162))</f>
        <v/>
      </c>
      <c r="M162">
        <f>IF(N(L162)=0,0,MATCH(1,INDEX((TrocasEquip!$B$2:$B$1000=B162)*(TrocasEquip!$A$2:$A$1000=L162),0),0))</f>
        <v/>
      </c>
      <c r="N162">
        <f>IF(B162="","",IFERROR(MATCH(B162,Equipamentos!$P$2:$P$61,0),""))</f>
        <v/>
      </c>
      <c r="O162">
        <f>IF(N162="","",IF(M162=0,INDEX(Equipamentos!$U$2:$U$61,N162),L162))</f>
        <v/>
      </c>
      <c r="P162">
        <f>IF(N162="","",IF(M162=0,N(INDEX(Equipamentos!$V$2:$V$61,N162)),N(INDEX(TrocasEquip!$I$2:$I$1000,M162))))</f>
        <v/>
      </c>
      <c r="Q162">
        <f>IF(N162="","",IF(M162=0,INDEX(Equipamentos!$T$2:$T$61,N162),IF(INDEX(TrocasEquip!$H$2:$H$1000,M162)="",INDEX(Equipamentos!$T$2:$T$61,N162),INDEX(TrocasEquip!$H$2:$H$1000,M162))))</f>
        <v/>
      </c>
    </row>
    <row r="163">
      <c r="A163" s="54" t="n"/>
      <c r="B163" s="55" t="n"/>
      <c r="C163">
        <f>IF(B163="","",IF(N163="","posição não encontrada",IF(M163=0,INDEX(Equipamentos!$S$2:$S$61,N163),INDEX(TrocasEquip!$G$2:$G$1000,M163))))</f>
        <v/>
      </c>
      <c r="D163" s="56">
        <f>IF(OR(A163="",N163=""),"",P163+IF(E163="dias",MAX(0,A163-O163),IF(INDEX(Equipamentos!$D$2:$D$61,N163)=2,SUMIFS(Producao!$D:$D,Producao!$A:$A,"&gt;="&amp;O163,Producao!$A:$A,"&lt;"&amp;A163),IF(INDEX(Equipamentos!$D$2:$D$61,N163)=3,SUMIFS(Producao!$E:$E,Producao!$A:$A,"&gt;="&amp;O163,Producao!$A:$A,"&lt;"&amp;A163),SUMIFS(Producao!$B:$B,Producao!$A:$A,"&gt;="&amp;O163,Producao!$A:$A,"&lt;"&amp;A163)))))</f>
        <v/>
      </c>
      <c r="E163">
        <f>IF(N163="","",INDEX(Equipamentos!$C$2:$C$61,N163))</f>
        <v/>
      </c>
      <c r="F163" s="57">
        <f>IF(OR(D163="",N(Q163)&lt;=0),"",D163/Q163)</f>
        <v/>
      </c>
      <c r="G163" s="55" t="n"/>
      <c r="H163" s="58" t="n"/>
      <c r="I163" s="58" t="n"/>
      <c r="J163" s="55" t="n"/>
      <c r="K163" s="55" t="n"/>
      <c r="L163">
        <f>IF(OR(A163="",B163=""),"",_xlfn.MAXIFS(TrocasEquip!$A$2:$A$1000,TrocasEquip!$B$2:$B$1000,B163,TrocasEquip!$A$2:$A$1000,"&lt;"&amp;A163))</f>
        <v/>
      </c>
      <c r="M163">
        <f>IF(N(L163)=0,0,MATCH(1,INDEX((TrocasEquip!$B$2:$B$1000=B163)*(TrocasEquip!$A$2:$A$1000=L163),0),0))</f>
        <v/>
      </c>
      <c r="N163">
        <f>IF(B163="","",IFERROR(MATCH(B163,Equipamentos!$P$2:$P$61,0),""))</f>
        <v/>
      </c>
      <c r="O163">
        <f>IF(N163="","",IF(M163=0,INDEX(Equipamentos!$U$2:$U$61,N163),L163))</f>
        <v/>
      </c>
      <c r="P163">
        <f>IF(N163="","",IF(M163=0,N(INDEX(Equipamentos!$V$2:$V$61,N163)),N(INDEX(TrocasEquip!$I$2:$I$1000,M163))))</f>
        <v/>
      </c>
      <c r="Q163">
        <f>IF(N163="","",IF(M163=0,INDEX(Equipamentos!$T$2:$T$61,N163),IF(INDEX(TrocasEquip!$H$2:$H$1000,M163)="",INDEX(Equipamentos!$T$2:$T$61,N163),INDEX(TrocasEquip!$H$2:$H$1000,M163))))</f>
        <v/>
      </c>
    </row>
    <row r="164">
      <c r="A164" s="54" t="n"/>
      <c r="B164" s="55" t="n"/>
      <c r="C164">
        <f>IF(B164="","",IF(N164="","posição não encontrada",IF(M164=0,INDEX(Equipamentos!$S$2:$S$61,N164),INDEX(TrocasEquip!$G$2:$G$1000,M164))))</f>
        <v/>
      </c>
      <c r="D164" s="56">
        <f>IF(OR(A164="",N164=""),"",P164+IF(E164="dias",MAX(0,A164-O164),IF(INDEX(Equipamentos!$D$2:$D$61,N164)=2,SUMIFS(Producao!$D:$D,Producao!$A:$A,"&gt;="&amp;O164,Producao!$A:$A,"&lt;"&amp;A164),IF(INDEX(Equipamentos!$D$2:$D$61,N164)=3,SUMIFS(Producao!$E:$E,Producao!$A:$A,"&gt;="&amp;O164,Producao!$A:$A,"&lt;"&amp;A164),SUMIFS(Producao!$B:$B,Producao!$A:$A,"&gt;="&amp;O164,Producao!$A:$A,"&lt;"&amp;A164)))))</f>
        <v/>
      </c>
      <c r="E164">
        <f>IF(N164="","",INDEX(Equipamentos!$C$2:$C$61,N164))</f>
        <v/>
      </c>
      <c r="F164" s="57">
        <f>IF(OR(D164="",N(Q164)&lt;=0),"",D164/Q164)</f>
        <v/>
      </c>
      <c r="G164" s="55" t="n"/>
      <c r="H164" s="58" t="n"/>
      <c r="I164" s="58" t="n"/>
      <c r="J164" s="55" t="n"/>
      <c r="K164" s="55" t="n"/>
      <c r="L164">
        <f>IF(OR(A164="",B164=""),"",_xlfn.MAXIFS(TrocasEquip!$A$2:$A$1000,TrocasEquip!$B$2:$B$1000,B164,TrocasEquip!$A$2:$A$1000,"&lt;"&amp;A164))</f>
        <v/>
      </c>
      <c r="M164">
        <f>IF(N(L164)=0,0,MATCH(1,INDEX((TrocasEquip!$B$2:$B$1000=B164)*(TrocasEquip!$A$2:$A$1000=L164),0),0))</f>
        <v/>
      </c>
      <c r="N164">
        <f>IF(B164="","",IFERROR(MATCH(B164,Equipamentos!$P$2:$P$61,0),""))</f>
        <v/>
      </c>
      <c r="O164">
        <f>IF(N164="","",IF(M164=0,INDEX(Equipamentos!$U$2:$U$61,N164),L164))</f>
        <v/>
      </c>
      <c r="P164">
        <f>IF(N164="","",IF(M164=0,N(INDEX(Equipamentos!$V$2:$V$61,N164)),N(INDEX(TrocasEquip!$I$2:$I$1000,M164))))</f>
        <v/>
      </c>
      <c r="Q164">
        <f>IF(N164="","",IF(M164=0,INDEX(Equipamentos!$T$2:$T$61,N164),IF(INDEX(TrocasEquip!$H$2:$H$1000,M164)="",INDEX(Equipamentos!$T$2:$T$61,N164),INDEX(TrocasEquip!$H$2:$H$1000,M164))))</f>
        <v/>
      </c>
    </row>
    <row r="165">
      <c r="A165" s="54" t="n"/>
      <c r="B165" s="55" t="n"/>
      <c r="C165">
        <f>IF(B165="","",IF(N165="","posição não encontrada",IF(M165=0,INDEX(Equipamentos!$S$2:$S$61,N165),INDEX(TrocasEquip!$G$2:$G$1000,M165))))</f>
        <v/>
      </c>
      <c r="D165" s="56">
        <f>IF(OR(A165="",N165=""),"",P165+IF(E165="dias",MAX(0,A165-O165),IF(INDEX(Equipamentos!$D$2:$D$61,N165)=2,SUMIFS(Producao!$D:$D,Producao!$A:$A,"&gt;="&amp;O165,Producao!$A:$A,"&lt;"&amp;A165),IF(INDEX(Equipamentos!$D$2:$D$61,N165)=3,SUMIFS(Producao!$E:$E,Producao!$A:$A,"&gt;="&amp;O165,Producao!$A:$A,"&lt;"&amp;A165),SUMIFS(Producao!$B:$B,Producao!$A:$A,"&gt;="&amp;O165,Producao!$A:$A,"&lt;"&amp;A165)))))</f>
        <v/>
      </c>
      <c r="E165">
        <f>IF(N165="","",INDEX(Equipamentos!$C$2:$C$61,N165))</f>
        <v/>
      </c>
      <c r="F165" s="57">
        <f>IF(OR(D165="",N(Q165)&lt;=0),"",D165/Q165)</f>
        <v/>
      </c>
      <c r="G165" s="55" t="n"/>
      <c r="H165" s="58" t="n"/>
      <c r="I165" s="58" t="n"/>
      <c r="J165" s="55" t="n"/>
      <c r="K165" s="55" t="n"/>
      <c r="L165">
        <f>IF(OR(A165="",B165=""),"",_xlfn.MAXIFS(TrocasEquip!$A$2:$A$1000,TrocasEquip!$B$2:$B$1000,B165,TrocasEquip!$A$2:$A$1000,"&lt;"&amp;A165))</f>
        <v/>
      </c>
      <c r="M165">
        <f>IF(N(L165)=0,0,MATCH(1,INDEX((TrocasEquip!$B$2:$B$1000=B165)*(TrocasEquip!$A$2:$A$1000=L165),0),0))</f>
        <v/>
      </c>
      <c r="N165">
        <f>IF(B165="","",IFERROR(MATCH(B165,Equipamentos!$P$2:$P$61,0),""))</f>
        <v/>
      </c>
      <c r="O165">
        <f>IF(N165="","",IF(M165=0,INDEX(Equipamentos!$U$2:$U$61,N165),L165))</f>
        <v/>
      </c>
      <c r="P165">
        <f>IF(N165="","",IF(M165=0,N(INDEX(Equipamentos!$V$2:$V$61,N165)),N(INDEX(TrocasEquip!$I$2:$I$1000,M165))))</f>
        <v/>
      </c>
      <c r="Q165">
        <f>IF(N165="","",IF(M165=0,INDEX(Equipamentos!$T$2:$T$61,N165),IF(INDEX(TrocasEquip!$H$2:$H$1000,M165)="",INDEX(Equipamentos!$T$2:$T$61,N165),INDEX(TrocasEquip!$H$2:$H$1000,M165))))</f>
        <v/>
      </c>
    </row>
    <row r="166">
      <c r="A166" s="54" t="n"/>
      <c r="B166" s="55" t="n"/>
      <c r="C166">
        <f>IF(B166="","",IF(N166="","posição não encontrada",IF(M166=0,INDEX(Equipamentos!$S$2:$S$61,N166),INDEX(TrocasEquip!$G$2:$G$1000,M166))))</f>
        <v/>
      </c>
      <c r="D166" s="56">
        <f>IF(OR(A166="",N166=""),"",P166+IF(E166="dias",MAX(0,A166-O166),IF(INDEX(Equipamentos!$D$2:$D$61,N166)=2,SUMIFS(Producao!$D:$D,Producao!$A:$A,"&gt;="&amp;O166,Producao!$A:$A,"&lt;"&amp;A166),IF(INDEX(Equipamentos!$D$2:$D$61,N166)=3,SUMIFS(Producao!$E:$E,Producao!$A:$A,"&gt;="&amp;O166,Producao!$A:$A,"&lt;"&amp;A166),SUMIFS(Producao!$B:$B,Producao!$A:$A,"&gt;="&amp;O166,Producao!$A:$A,"&lt;"&amp;A166)))))</f>
        <v/>
      </c>
      <c r="E166">
        <f>IF(N166="","",INDEX(Equipamentos!$C$2:$C$61,N166))</f>
        <v/>
      </c>
      <c r="F166" s="57">
        <f>IF(OR(D166="",N(Q166)&lt;=0),"",D166/Q166)</f>
        <v/>
      </c>
      <c r="G166" s="55" t="n"/>
      <c r="H166" s="58" t="n"/>
      <c r="I166" s="58" t="n"/>
      <c r="J166" s="55" t="n"/>
      <c r="K166" s="55" t="n"/>
      <c r="L166">
        <f>IF(OR(A166="",B166=""),"",_xlfn.MAXIFS(TrocasEquip!$A$2:$A$1000,TrocasEquip!$B$2:$B$1000,B166,TrocasEquip!$A$2:$A$1000,"&lt;"&amp;A166))</f>
        <v/>
      </c>
      <c r="M166">
        <f>IF(N(L166)=0,0,MATCH(1,INDEX((TrocasEquip!$B$2:$B$1000=B166)*(TrocasEquip!$A$2:$A$1000=L166),0),0))</f>
        <v/>
      </c>
      <c r="N166">
        <f>IF(B166="","",IFERROR(MATCH(B166,Equipamentos!$P$2:$P$61,0),""))</f>
        <v/>
      </c>
      <c r="O166">
        <f>IF(N166="","",IF(M166=0,INDEX(Equipamentos!$U$2:$U$61,N166),L166))</f>
        <v/>
      </c>
      <c r="P166">
        <f>IF(N166="","",IF(M166=0,N(INDEX(Equipamentos!$V$2:$V$61,N166)),N(INDEX(TrocasEquip!$I$2:$I$1000,M166))))</f>
        <v/>
      </c>
      <c r="Q166">
        <f>IF(N166="","",IF(M166=0,INDEX(Equipamentos!$T$2:$T$61,N166),IF(INDEX(TrocasEquip!$H$2:$H$1000,M166)="",INDEX(Equipamentos!$T$2:$T$61,N166),INDEX(TrocasEquip!$H$2:$H$1000,M166))))</f>
        <v/>
      </c>
    </row>
    <row r="167">
      <c r="A167" s="54" t="n"/>
      <c r="B167" s="55" t="n"/>
      <c r="C167">
        <f>IF(B167="","",IF(N167="","posição não encontrada",IF(M167=0,INDEX(Equipamentos!$S$2:$S$61,N167),INDEX(TrocasEquip!$G$2:$G$1000,M167))))</f>
        <v/>
      </c>
      <c r="D167" s="56">
        <f>IF(OR(A167="",N167=""),"",P167+IF(E167="dias",MAX(0,A167-O167),IF(INDEX(Equipamentos!$D$2:$D$61,N167)=2,SUMIFS(Producao!$D:$D,Producao!$A:$A,"&gt;="&amp;O167,Producao!$A:$A,"&lt;"&amp;A167),IF(INDEX(Equipamentos!$D$2:$D$61,N167)=3,SUMIFS(Producao!$E:$E,Producao!$A:$A,"&gt;="&amp;O167,Producao!$A:$A,"&lt;"&amp;A167),SUMIFS(Producao!$B:$B,Producao!$A:$A,"&gt;="&amp;O167,Producao!$A:$A,"&lt;"&amp;A167)))))</f>
        <v/>
      </c>
      <c r="E167">
        <f>IF(N167="","",INDEX(Equipamentos!$C$2:$C$61,N167))</f>
        <v/>
      </c>
      <c r="F167" s="57">
        <f>IF(OR(D167="",N(Q167)&lt;=0),"",D167/Q167)</f>
        <v/>
      </c>
      <c r="G167" s="55" t="n"/>
      <c r="H167" s="58" t="n"/>
      <c r="I167" s="58" t="n"/>
      <c r="J167" s="55" t="n"/>
      <c r="K167" s="55" t="n"/>
      <c r="L167">
        <f>IF(OR(A167="",B167=""),"",_xlfn.MAXIFS(TrocasEquip!$A$2:$A$1000,TrocasEquip!$B$2:$B$1000,B167,TrocasEquip!$A$2:$A$1000,"&lt;"&amp;A167))</f>
        <v/>
      </c>
      <c r="M167">
        <f>IF(N(L167)=0,0,MATCH(1,INDEX((TrocasEquip!$B$2:$B$1000=B167)*(TrocasEquip!$A$2:$A$1000=L167),0),0))</f>
        <v/>
      </c>
      <c r="N167">
        <f>IF(B167="","",IFERROR(MATCH(B167,Equipamentos!$P$2:$P$61,0),""))</f>
        <v/>
      </c>
      <c r="O167">
        <f>IF(N167="","",IF(M167=0,INDEX(Equipamentos!$U$2:$U$61,N167),L167))</f>
        <v/>
      </c>
      <c r="P167">
        <f>IF(N167="","",IF(M167=0,N(INDEX(Equipamentos!$V$2:$V$61,N167)),N(INDEX(TrocasEquip!$I$2:$I$1000,M167))))</f>
        <v/>
      </c>
      <c r="Q167">
        <f>IF(N167="","",IF(M167=0,INDEX(Equipamentos!$T$2:$T$61,N167),IF(INDEX(TrocasEquip!$H$2:$H$1000,M167)="",INDEX(Equipamentos!$T$2:$T$61,N167),INDEX(TrocasEquip!$H$2:$H$1000,M167))))</f>
        <v/>
      </c>
    </row>
    <row r="168">
      <c r="A168" s="54" t="n"/>
      <c r="B168" s="55" t="n"/>
      <c r="C168">
        <f>IF(B168="","",IF(N168="","posição não encontrada",IF(M168=0,INDEX(Equipamentos!$S$2:$S$61,N168),INDEX(TrocasEquip!$G$2:$G$1000,M168))))</f>
        <v/>
      </c>
      <c r="D168" s="56">
        <f>IF(OR(A168="",N168=""),"",P168+IF(E168="dias",MAX(0,A168-O168),IF(INDEX(Equipamentos!$D$2:$D$61,N168)=2,SUMIFS(Producao!$D:$D,Producao!$A:$A,"&gt;="&amp;O168,Producao!$A:$A,"&lt;"&amp;A168),IF(INDEX(Equipamentos!$D$2:$D$61,N168)=3,SUMIFS(Producao!$E:$E,Producao!$A:$A,"&gt;="&amp;O168,Producao!$A:$A,"&lt;"&amp;A168),SUMIFS(Producao!$B:$B,Producao!$A:$A,"&gt;="&amp;O168,Producao!$A:$A,"&lt;"&amp;A168)))))</f>
        <v/>
      </c>
      <c r="E168">
        <f>IF(N168="","",INDEX(Equipamentos!$C$2:$C$61,N168))</f>
        <v/>
      </c>
      <c r="F168" s="57">
        <f>IF(OR(D168="",N(Q168)&lt;=0),"",D168/Q168)</f>
        <v/>
      </c>
      <c r="G168" s="55" t="n"/>
      <c r="H168" s="58" t="n"/>
      <c r="I168" s="58" t="n"/>
      <c r="J168" s="55" t="n"/>
      <c r="K168" s="55" t="n"/>
      <c r="L168">
        <f>IF(OR(A168="",B168=""),"",_xlfn.MAXIFS(TrocasEquip!$A$2:$A$1000,TrocasEquip!$B$2:$B$1000,B168,TrocasEquip!$A$2:$A$1000,"&lt;"&amp;A168))</f>
        <v/>
      </c>
      <c r="M168">
        <f>IF(N(L168)=0,0,MATCH(1,INDEX((TrocasEquip!$B$2:$B$1000=B168)*(TrocasEquip!$A$2:$A$1000=L168),0),0))</f>
        <v/>
      </c>
      <c r="N168">
        <f>IF(B168="","",IFERROR(MATCH(B168,Equipamentos!$P$2:$P$61,0),""))</f>
        <v/>
      </c>
      <c r="O168">
        <f>IF(N168="","",IF(M168=0,INDEX(Equipamentos!$U$2:$U$61,N168),L168))</f>
        <v/>
      </c>
      <c r="P168">
        <f>IF(N168="","",IF(M168=0,N(INDEX(Equipamentos!$V$2:$V$61,N168)),N(INDEX(TrocasEquip!$I$2:$I$1000,M168))))</f>
        <v/>
      </c>
      <c r="Q168">
        <f>IF(N168="","",IF(M168=0,INDEX(Equipamentos!$T$2:$T$61,N168),IF(INDEX(TrocasEquip!$H$2:$H$1000,M168)="",INDEX(Equipamentos!$T$2:$T$61,N168),INDEX(TrocasEquip!$H$2:$H$1000,M168))))</f>
        <v/>
      </c>
    </row>
    <row r="169">
      <c r="A169" s="54" t="n"/>
      <c r="B169" s="55" t="n"/>
      <c r="C169">
        <f>IF(B169="","",IF(N169="","posição não encontrada",IF(M169=0,INDEX(Equipamentos!$S$2:$S$61,N169),INDEX(TrocasEquip!$G$2:$G$1000,M169))))</f>
        <v/>
      </c>
      <c r="D169" s="56">
        <f>IF(OR(A169="",N169=""),"",P169+IF(E169="dias",MAX(0,A169-O169),IF(INDEX(Equipamentos!$D$2:$D$61,N169)=2,SUMIFS(Producao!$D:$D,Producao!$A:$A,"&gt;="&amp;O169,Producao!$A:$A,"&lt;"&amp;A169),IF(INDEX(Equipamentos!$D$2:$D$61,N169)=3,SUMIFS(Producao!$E:$E,Producao!$A:$A,"&gt;="&amp;O169,Producao!$A:$A,"&lt;"&amp;A169),SUMIFS(Producao!$B:$B,Producao!$A:$A,"&gt;="&amp;O169,Producao!$A:$A,"&lt;"&amp;A169)))))</f>
        <v/>
      </c>
      <c r="E169">
        <f>IF(N169="","",INDEX(Equipamentos!$C$2:$C$61,N169))</f>
        <v/>
      </c>
      <c r="F169" s="57">
        <f>IF(OR(D169="",N(Q169)&lt;=0),"",D169/Q169)</f>
        <v/>
      </c>
      <c r="G169" s="55" t="n"/>
      <c r="H169" s="58" t="n"/>
      <c r="I169" s="58" t="n"/>
      <c r="J169" s="55" t="n"/>
      <c r="K169" s="55" t="n"/>
      <c r="L169">
        <f>IF(OR(A169="",B169=""),"",_xlfn.MAXIFS(TrocasEquip!$A$2:$A$1000,TrocasEquip!$B$2:$B$1000,B169,TrocasEquip!$A$2:$A$1000,"&lt;"&amp;A169))</f>
        <v/>
      </c>
      <c r="M169">
        <f>IF(N(L169)=0,0,MATCH(1,INDEX((TrocasEquip!$B$2:$B$1000=B169)*(TrocasEquip!$A$2:$A$1000=L169),0),0))</f>
        <v/>
      </c>
      <c r="N169">
        <f>IF(B169="","",IFERROR(MATCH(B169,Equipamentos!$P$2:$P$61,0),""))</f>
        <v/>
      </c>
      <c r="O169">
        <f>IF(N169="","",IF(M169=0,INDEX(Equipamentos!$U$2:$U$61,N169),L169))</f>
        <v/>
      </c>
      <c r="P169">
        <f>IF(N169="","",IF(M169=0,N(INDEX(Equipamentos!$V$2:$V$61,N169)),N(INDEX(TrocasEquip!$I$2:$I$1000,M169))))</f>
        <v/>
      </c>
      <c r="Q169">
        <f>IF(N169="","",IF(M169=0,INDEX(Equipamentos!$T$2:$T$61,N169),IF(INDEX(TrocasEquip!$H$2:$H$1000,M169)="",INDEX(Equipamentos!$T$2:$T$61,N169),INDEX(TrocasEquip!$H$2:$H$1000,M169))))</f>
        <v/>
      </c>
    </row>
    <row r="170">
      <c r="A170" s="54" t="n"/>
      <c r="B170" s="55" t="n"/>
      <c r="C170">
        <f>IF(B170="","",IF(N170="","posição não encontrada",IF(M170=0,INDEX(Equipamentos!$S$2:$S$61,N170),INDEX(TrocasEquip!$G$2:$G$1000,M170))))</f>
        <v/>
      </c>
      <c r="D170" s="56">
        <f>IF(OR(A170="",N170=""),"",P170+IF(E170="dias",MAX(0,A170-O170),IF(INDEX(Equipamentos!$D$2:$D$61,N170)=2,SUMIFS(Producao!$D:$D,Producao!$A:$A,"&gt;="&amp;O170,Producao!$A:$A,"&lt;"&amp;A170),IF(INDEX(Equipamentos!$D$2:$D$61,N170)=3,SUMIFS(Producao!$E:$E,Producao!$A:$A,"&gt;="&amp;O170,Producao!$A:$A,"&lt;"&amp;A170),SUMIFS(Producao!$B:$B,Producao!$A:$A,"&gt;="&amp;O170,Producao!$A:$A,"&lt;"&amp;A170)))))</f>
        <v/>
      </c>
      <c r="E170">
        <f>IF(N170="","",INDEX(Equipamentos!$C$2:$C$61,N170))</f>
        <v/>
      </c>
      <c r="F170" s="57">
        <f>IF(OR(D170="",N(Q170)&lt;=0),"",D170/Q170)</f>
        <v/>
      </c>
      <c r="G170" s="55" t="n"/>
      <c r="H170" s="58" t="n"/>
      <c r="I170" s="58" t="n"/>
      <c r="J170" s="55" t="n"/>
      <c r="K170" s="55" t="n"/>
      <c r="L170">
        <f>IF(OR(A170="",B170=""),"",_xlfn.MAXIFS(TrocasEquip!$A$2:$A$1000,TrocasEquip!$B$2:$B$1000,B170,TrocasEquip!$A$2:$A$1000,"&lt;"&amp;A170))</f>
        <v/>
      </c>
      <c r="M170">
        <f>IF(N(L170)=0,0,MATCH(1,INDEX((TrocasEquip!$B$2:$B$1000=B170)*(TrocasEquip!$A$2:$A$1000=L170),0),0))</f>
        <v/>
      </c>
      <c r="N170">
        <f>IF(B170="","",IFERROR(MATCH(B170,Equipamentos!$P$2:$P$61,0),""))</f>
        <v/>
      </c>
      <c r="O170">
        <f>IF(N170="","",IF(M170=0,INDEX(Equipamentos!$U$2:$U$61,N170),L170))</f>
        <v/>
      </c>
      <c r="P170">
        <f>IF(N170="","",IF(M170=0,N(INDEX(Equipamentos!$V$2:$V$61,N170)),N(INDEX(TrocasEquip!$I$2:$I$1000,M170))))</f>
        <v/>
      </c>
      <c r="Q170">
        <f>IF(N170="","",IF(M170=0,INDEX(Equipamentos!$T$2:$T$61,N170),IF(INDEX(TrocasEquip!$H$2:$H$1000,M170)="",INDEX(Equipamentos!$T$2:$T$61,N170),INDEX(TrocasEquip!$H$2:$H$1000,M170))))</f>
        <v/>
      </c>
    </row>
    <row r="171">
      <c r="A171" s="54" t="n"/>
      <c r="B171" s="55" t="n"/>
      <c r="C171">
        <f>IF(B171="","",IF(N171="","posição não encontrada",IF(M171=0,INDEX(Equipamentos!$S$2:$S$61,N171),INDEX(TrocasEquip!$G$2:$G$1000,M171))))</f>
        <v/>
      </c>
      <c r="D171" s="56">
        <f>IF(OR(A171="",N171=""),"",P171+IF(E171="dias",MAX(0,A171-O171),IF(INDEX(Equipamentos!$D$2:$D$61,N171)=2,SUMIFS(Producao!$D:$D,Producao!$A:$A,"&gt;="&amp;O171,Producao!$A:$A,"&lt;"&amp;A171),IF(INDEX(Equipamentos!$D$2:$D$61,N171)=3,SUMIFS(Producao!$E:$E,Producao!$A:$A,"&gt;="&amp;O171,Producao!$A:$A,"&lt;"&amp;A171),SUMIFS(Producao!$B:$B,Producao!$A:$A,"&gt;="&amp;O171,Producao!$A:$A,"&lt;"&amp;A171)))))</f>
        <v/>
      </c>
      <c r="E171">
        <f>IF(N171="","",INDEX(Equipamentos!$C$2:$C$61,N171))</f>
        <v/>
      </c>
      <c r="F171" s="57">
        <f>IF(OR(D171="",N(Q171)&lt;=0),"",D171/Q171)</f>
        <v/>
      </c>
      <c r="G171" s="55" t="n"/>
      <c r="H171" s="58" t="n"/>
      <c r="I171" s="58" t="n"/>
      <c r="J171" s="55" t="n"/>
      <c r="K171" s="55" t="n"/>
      <c r="L171">
        <f>IF(OR(A171="",B171=""),"",_xlfn.MAXIFS(TrocasEquip!$A$2:$A$1000,TrocasEquip!$B$2:$B$1000,B171,TrocasEquip!$A$2:$A$1000,"&lt;"&amp;A171))</f>
        <v/>
      </c>
      <c r="M171">
        <f>IF(N(L171)=0,0,MATCH(1,INDEX((TrocasEquip!$B$2:$B$1000=B171)*(TrocasEquip!$A$2:$A$1000=L171),0),0))</f>
        <v/>
      </c>
      <c r="N171">
        <f>IF(B171="","",IFERROR(MATCH(B171,Equipamentos!$P$2:$P$61,0),""))</f>
        <v/>
      </c>
      <c r="O171">
        <f>IF(N171="","",IF(M171=0,INDEX(Equipamentos!$U$2:$U$61,N171),L171))</f>
        <v/>
      </c>
      <c r="P171">
        <f>IF(N171="","",IF(M171=0,N(INDEX(Equipamentos!$V$2:$V$61,N171)),N(INDEX(TrocasEquip!$I$2:$I$1000,M171))))</f>
        <v/>
      </c>
      <c r="Q171">
        <f>IF(N171="","",IF(M171=0,INDEX(Equipamentos!$T$2:$T$61,N171),IF(INDEX(TrocasEquip!$H$2:$H$1000,M171)="",INDEX(Equipamentos!$T$2:$T$61,N171),INDEX(TrocasEquip!$H$2:$H$1000,M171))))</f>
        <v/>
      </c>
    </row>
    <row r="172">
      <c r="A172" s="54" t="n"/>
      <c r="B172" s="55" t="n"/>
      <c r="C172">
        <f>IF(B172="","",IF(N172="","posição não encontrada",IF(M172=0,INDEX(Equipamentos!$S$2:$S$61,N172),INDEX(TrocasEquip!$G$2:$G$1000,M172))))</f>
        <v/>
      </c>
      <c r="D172" s="56">
        <f>IF(OR(A172="",N172=""),"",P172+IF(E172="dias",MAX(0,A172-O172),IF(INDEX(Equipamentos!$D$2:$D$61,N172)=2,SUMIFS(Producao!$D:$D,Producao!$A:$A,"&gt;="&amp;O172,Producao!$A:$A,"&lt;"&amp;A172),IF(INDEX(Equipamentos!$D$2:$D$61,N172)=3,SUMIFS(Producao!$E:$E,Producao!$A:$A,"&gt;="&amp;O172,Producao!$A:$A,"&lt;"&amp;A172),SUMIFS(Producao!$B:$B,Producao!$A:$A,"&gt;="&amp;O172,Producao!$A:$A,"&lt;"&amp;A172)))))</f>
        <v/>
      </c>
      <c r="E172">
        <f>IF(N172="","",INDEX(Equipamentos!$C$2:$C$61,N172))</f>
        <v/>
      </c>
      <c r="F172" s="57">
        <f>IF(OR(D172="",N(Q172)&lt;=0),"",D172/Q172)</f>
        <v/>
      </c>
      <c r="G172" s="55" t="n"/>
      <c r="H172" s="58" t="n"/>
      <c r="I172" s="58" t="n"/>
      <c r="J172" s="55" t="n"/>
      <c r="K172" s="55" t="n"/>
      <c r="L172">
        <f>IF(OR(A172="",B172=""),"",_xlfn.MAXIFS(TrocasEquip!$A$2:$A$1000,TrocasEquip!$B$2:$B$1000,B172,TrocasEquip!$A$2:$A$1000,"&lt;"&amp;A172))</f>
        <v/>
      </c>
      <c r="M172">
        <f>IF(N(L172)=0,0,MATCH(1,INDEX((TrocasEquip!$B$2:$B$1000=B172)*(TrocasEquip!$A$2:$A$1000=L172),0),0))</f>
        <v/>
      </c>
      <c r="N172">
        <f>IF(B172="","",IFERROR(MATCH(B172,Equipamentos!$P$2:$P$61,0),""))</f>
        <v/>
      </c>
      <c r="O172">
        <f>IF(N172="","",IF(M172=0,INDEX(Equipamentos!$U$2:$U$61,N172),L172))</f>
        <v/>
      </c>
      <c r="P172">
        <f>IF(N172="","",IF(M172=0,N(INDEX(Equipamentos!$V$2:$V$61,N172)),N(INDEX(TrocasEquip!$I$2:$I$1000,M172))))</f>
        <v/>
      </c>
      <c r="Q172">
        <f>IF(N172="","",IF(M172=0,INDEX(Equipamentos!$T$2:$T$61,N172),IF(INDEX(TrocasEquip!$H$2:$H$1000,M172)="",INDEX(Equipamentos!$T$2:$T$61,N172),INDEX(TrocasEquip!$H$2:$H$1000,M172))))</f>
        <v/>
      </c>
    </row>
    <row r="173">
      <c r="A173" s="54" t="n"/>
      <c r="B173" s="55" t="n"/>
      <c r="C173">
        <f>IF(B173="","",IF(N173="","posição não encontrada",IF(M173=0,INDEX(Equipamentos!$S$2:$S$61,N173),INDEX(TrocasEquip!$G$2:$G$1000,M173))))</f>
        <v/>
      </c>
      <c r="D173" s="56">
        <f>IF(OR(A173="",N173=""),"",P173+IF(E173="dias",MAX(0,A173-O173),IF(INDEX(Equipamentos!$D$2:$D$61,N173)=2,SUMIFS(Producao!$D:$D,Producao!$A:$A,"&gt;="&amp;O173,Producao!$A:$A,"&lt;"&amp;A173),IF(INDEX(Equipamentos!$D$2:$D$61,N173)=3,SUMIFS(Producao!$E:$E,Producao!$A:$A,"&gt;="&amp;O173,Producao!$A:$A,"&lt;"&amp;A173),SUMIFS(Producao!$B:$B,Producao!$A:$A,"&gt;="&amp;O173,Producao!$A:$A,"&lt;"&amp;A173)))))</f>
        <v/>
      </c>
      <c r="E173">
        <f>IF(N173="","",INDEX(Equipamentos!$C$2:$C$61,N173))</f>
        <v/>
      </c>
      <c r="F173" s="57">
        <f>IF(OR(D173="",N(Q173)&lt;=0),"",D173/Q173)</f>
        <v/>
      </c>
      <c r="G173" s="55" t="n"/>
      <c r="H173" s="58" t="n"/>
      <c r="I173" s="58" t="n"/>
      <c r="J173" s="55" t="n"/>
      <c r="K173" s="55" t="n"/>
      <c r="L173">
        <f>IF(OR(A173="",B173=""),"",_xlfn.MAXIFS(TrocasEquip!$A$2:$A$1000,TrocasEquip!$B$2:$B$1000,B173,TrocasEquip!$A$2:$A$1000,"&lt;"&amp;A173))</f>
        <v/>
      </c>
      <c r="M173">
        <f>IF(N(L173)=0,0,MATCH(1,INDEX((TrocasEquip!$B$2:$B$1000=B173)*(TrocasEquip!$A$2:$A$1000=L173),0),0))</f>
        <v/>
      </c>
      <c r="N173">
        <f>IF(B173="","",IFERROR(MATCH(B173,Equipamentos!$P$2:$P$61,0),""))</f>
        <v/>
      </c>
      <c r="O173">
        <f>IF(N173="","",IF(M173=0,INDEX(Equipamentos!$U$2:$U$61,N173),L173))</f>
        <v/>
      </c>
      <c r="P173">
        <f>IF(N173="","",IF(M173=0,N(INDEX(Equipamentos!$V$2:$V$61,N173)),N(INDEX(TrocasEquip!$I$2:$I$1000,M173))))</f>
        <v/>
      </c>
      <c r="Q173">
        <f>IF(N173="","",IF(M173=0,INDEX(Equipamentos!$T$2:$T$61,N173),IF(INDEX(TrocasEquip!$H$2:$H$1000,M173)="",INDEX(Equipamentos!$T$2:$T$61,N173),INDEX(TrocasEquip!$H$2:$H$1000,M173))))</f>
        <v/>
      </c>
    </row>
    <row r="174">
      <c r="A174" s="54" t="n"/>
      <c r="B174" s="55" t="n"/>
      <c r="C174">
        <f>IF(B174="","",IF(N174="","posição não encontrada",IF(M174=0,INDEX(Equipamentos!$S$2:$S$61,N174),INDEX(TrocasEquip!$G$2:$G$1000,M174))))</f>
        <v/>
      </c>
      <c r="D174" s="56">
        <f>IF(OR(A174="",N174=""),"",P174+IF(E174="dias",MAX(0,A174-O174),IF(INDEX(Equipamentos!$D$2:$D$61,N174)=2,SUMIFS(Producao!$D:$D,Producao!$A:$A,"&gt;="&amp;O174,Producao!$A:$A,"&lt;"&amp;A174),IF(INDEX(Equipamentos!$D$2:$D$61,N174)=3,SUMIFS(Producao!$E:$E,Producao!$A:$A,"&gt;="&amp;O174,Producao!$A:$A,"&lt;"&amp;A174),SUMIFS(Producao!$B:$B,Producao!$A:$A,"&gt;="&amp;O174,Producao!$A:$A,"&lt;"&amp;A174)))))</f>
        <v/>
      </c>
      <c r="E174">
        <f>IF(N174="","",INDEX(Equipamentos!$C$2:$C$61,N174))</f>
        <v/>
      </c>
      <c r="F174" s="57">
        <f>IF(OR(D174="",N(Q174)&lt;=0),"",D174/Q174)</f>
        <v/>
      </c>
      <c r="G174" s="55" t="n"/>
      <c r="H174" s="58" t="n"/>
      <c r="I174" s="58" t="n"/>
      <c r="J174" s="55" t="n"/>
      <c r="K174" s="55" t="n"/>
      <c r="L174">
        <f>IF(OR(A174="",B174=""),"",_xlfn.MAXIFS(TrocasEquip!$A$2:$A$1000,TrocasEquip!$B$2:$B$1000,B174,TrocasEquip!$A$2:$A$1000,"&lt;"&amp;A174))</f>
        <v/>
      </c>
      <c r="M174">
        <f>IF(N(L174)=0,0,MATCH(1,INDEX((TrocasEquip!$B$2:$B$1000=B174)*(TrocasEquip!$A$2:$A$1000=L174),0),0))</f>
        <v/>
      </c>
      <c r="N174">
        <f>IF(B174="","",IFERROR(MATCH(B174,Equipamentos!$P$2:$P$61,0),""))</f>
        <v/>
      </c>
      <c r="O174">
        <f>IF(N174="","",IF(M174=0,INDEX(Equipamentos!$U$2:$U$61,N174),L174))</f>
        <v/>
      </c>
      <c r="P174">
        <f>IF(N174="","",IF(M174=0,N(INDEX(Equipamentos!$V$2:$V$61,N174)),N(INDEX(TrocasEquip!$I$2:$I$1000,M174))))</f>
        <v/>
      </c>
      <c r="Q174">
        <f>IF(N174="","",IF(M174=0,INDEX(Equipamentos!$T$2:$T$61,N174),IF(INDEX(TrocasEquip!$H$2:$H$1000,M174)="",INDEX(Equipamentos!$T$2:$T$61,N174),INDEX(TrocasEquip!$H$2:$H$1000,M174))))</f>
        <v/>
      </c>
    </row>
    <row r="175">
      <c r="A175" s="54" t="n"/>
      <c r="B175" s="55" t="n"/>
      <c r="C175">
        <f>IF(B175="","",IF(N175="","posição não encontrada",IF(M175=0,INDEX(Equipamentos!$S$2:$S$61,N175),INDEX(TrocasEquip!$G$2:$G$1000,M175))))</f>
        <v/>
      </c>
      <c r="D175" s="56">
        <f>IF(OR(A175="",N175=""),"",P175+IF(E175="dias",MAX(0,A175-O175),IF(INDEX(Equipamentos!$D$2:$D$61,N175)=2,SUMIFS(Producao!$D:$D,Producao!$A:$A,"&gt;="&amp;O175,Producao!$A:$A,"&lt;"&amp;A175),IF(INDEX(Equipamentos!$D$2:$D$61,N175)=3,SUMIFS(Producao!$E:$E,Producao!$A:$A,"&gt;="&amp;O175,Producao!$A:$A,"&lt;"&amp;A175),SUMIFS(Producao!$B:$B,Producao!$A:$A,"&gt;="&amp;O175,Producao!$A:$A,"&lt;"&amp;A175)))))</f>
        <v/>
      </c>
      <c r="E175">
        <f>IF(N175="","",INDEX(Equipamentos!$C$2:$C$61,N175))</f>
        <v/>
      </c>
      <c r="F175" s="57">
        <f>IF(OR(D175="",N(Q175)&lt;=0),"",D175/Q175)</f>
        <v/>
      </c>
      <c r="G175" s="55" t="n"/>
      <c r="H175" s="58" t="n"/>
      <c r="I175" s="58" t="n"/>
      <c r="J175" s="55" t="n"/>
      <c r="K175" s="55" t="n"/>
      <c r="L175">
        <f>IF(OR(A175="",B175=""),"",_xlfn.MAXIFS(TrocasEquip!$A$2:$A$1000,TrocasEquip!$B$2:$B$1000,B175,TrocasEquip!$A$2:$A$1000,"&lt;"&amp;A175))</f>
        <v/>
      </c>
      <c r="M175">
        <f>IF(N(L175)=0,0,MATCH(1,INDEX((TrocasEquip!$B$2:$B$1000=B175)*(TrocasEquip!$A$2:$A$1000=L175),0),0))</f>
        <v/>
      </c>
      <c r="N175">
        <f>IF(B175="","",IFERROR(MATCH(B175,Equipamentos!$P$2:$P$61,0),""))</f>
        <v/>
      </c>
      <c r="O175">
        <f>IF(N175="","",IF(M175=0,INDEX(Equipamentos!$U$2:$U$61,N175),L175))</f>
        <v/>
      </c>
      <c r="P175">
        <f>IF(N175="","",IF(M175=0,N(INDEX(Equipamentos!$V$2:$V$61,N175)),N(INDEX(TrocasEquip!$I$2:$I$1000,M175))))</f>
        <v/>
      </c>
      <c r="Q175">
        <f>IF(N175="","",IF(M175=0,INDEX(Equipamentos!$T$2:$T$61,N175),IF(INDEX(TrocasEquip!$H$2:$H$1000,M175)="",INDEX(Equipamentos!$T$2:$T$61,N175),INDEX(TrocasEquip!$H$2:$H$1000,M175))))</f>
        <v/>
      </c>
    </row>
    <row r="176">
      <c r="A176" s="54" t="n"/>
      <c r="B176" s="55" t="n"/>
      <c r="C176">
        <f>IF(B176="","",IF(N176="","posição não encontrada",IF(M176=0,INDEX(Equipamentos!$S$2:$S$61,N176),INDEX(TrocasEquip!$G$2:$G$1000,M176))))</f>
        <v/>
      </c>
      <c r="D176" s="56">
        <f>IF(OR(A176="",N176=""),"",P176+IF(E176="dias",MAX(0,A176-O176),IF(INDEX(Equipamentos!$D$2:$D$61,N176)=2,SUMIFS(Producao!$D:$D,Producao!$A:$A,"&gt;="&amp;O176,Producao!$A:$A,"&lt;"&amp;A176),IF(INDEX(Equipamentos!$D$2:$D$61,N176)=3,SUMIFS(Producao!$E:$E,Producao!$A:$A,"&gt;="&amp;O176,Producao!$A:$A,"&lt;"&amp;A176),SUMIFS(Producao!$B:$B,Producao!$A:$A,"&gt;="&amp;O176,Producao!$A:$A,"&lt;"&amp;A176)))))</f>
        <v/>
      </c>
      <c r="E176">
        <f>IF(N176="","",INDEX(Equipamentos!$C$2:$C$61,N176))</f>
        <v/>
      </c>
      <c r="F176" s="57">
        <f>IF(OR(D176="",N(Q176)&lt;=0),"",D176/Q176)</f>
        <v/>
      </c>
      <c r="G176" s="55" t="n"/>
      <c r="H176" s="58" t="n"/>
      <c r="I176" s="58" t="n"/>
      <c r="J176" s="55" t="n"/>
      <c r="K176" s="55" t="n"/>
      <c r="L176">
        <f>IF(OR(A176="",B176=""),"",_xlfn.MAXIFS(TrocasEquip!$A$2:$A$1000,TrocasEquip!$B$2:$B$1000,B176,TrocasEquip!$A$2:$A$1000,"&lt;"&amp;A176))</f>
        <v/>
      </c>
      <c r="M176">
        <f>IF(N(L176)=0,0,MATCH(1,INDEX((TrocasEquip!$B$2:$B$1000=B176)*(TrocasEquip!$A$2:$A$1000=L176),0),0))</f>
        <v/>
      </c>
      <c r="N176">
        <f>IF(B176="","",IFERROR(MATCH(B176,Equipamentos!$P$2:$P$61,0),""))</f>
        <v/>
      </c>
      <c r="O176">
        <f>IF(N176="","",IF(M176=0,INDEX(Equipamentos!$U$2:$U$61,N176),L176))</f>
        <v/>
      </c>
      <c r="P176">
        <f>IF(N176="","",IF(M176=0,N(INDEX(Equipamentos!$V$2:$V$61,N176)),N(INDEX(TrocasEquip!$I$2:$I$1000,M176))))</f>
        <v/>
      </c>
      <c r="Q176">
        <f>IF(N176="","",IF(M176=0,INDEX(Equipamentos!$T$2:$T$61,N176),IF(INDEX(TrocasEquip!$H$2:$H$1000,M176)="",INDEX(Equipamentos!$T$2:$T$61,N176),INDEX(TrocasEquip!$H$2:$H$1000,M176))))</f>
        <v/>
      </c>
    </row>
    <row r="177">
      <c r="A177" s="54" t="n"/>
      <c r="B177" s="55" t="n"/>
      <c r="C177">
        <f>IF(B177="","",IF(N177="","posição não encontrada",IF(M177=0,INDEX(Equipamentos!$S$2:$S$61,N177),INDEX(TrocasEquip!$G$2:$G$1000,M177))))</f>
        <v/>
      </c>
      <c r="D177" s="56">
        <f>IF(OR(A177="",N177=""),"",P177+IF(E177="dias",MAX(0,A177-O177),IF(INDEX(Equipamentos!$D$2:$D$61,N177)=2,SUMIFS(Producao!$D:$D,Producao!$A:$A,"&gt;="&amp;O177,Producao!$A:$A,"&lt;"&amp;A177),IF(INDEX(Equipamentos!$D$2:$D$61,N177)=3,SUMIFS(Producao!$E:$E,Producao!$A:$A,"&gt;="&amp;O177,Producao!$A:$A,"&lt;"&amp;A177),SUMIFS(Producao!$B:$B,Producao!$A:$A,"&gt;="&amp;O177,Producao!$A:$A,"&lt;"&amp;A177)))))</f>
        <v/>
      </c>
      <c r="E177">
        <f>IF(N177="","",INDEX(Equipamentos!$C$2:$C$61,N177))</f>
        <v/>
      </c>
      <c r="F177" s="57">
        <f>IF(OR(D177="",N(Q177)&lt;=0),"",D177/Q177)</f>
        <v/>
      </c>
      <c r="G177" s="55" t="n"/>
      <c r="H177" s="58" t="n"/>
      <c r="I177" s="58" t="n"/>
      <c r="J177" s="55" t="n"/>
      <c r="K177" s="55" t="n"/>
      <c r="L177">
        <f>IF(OR(A177="",B177=""),"",_xlfn.MAXIFS(TrocasEquip!$A$2:$A$1000,TrocasEquip!$B$2:$B$1000,B177,TrocasEquip!$A$2:$A$1000,"&lt;"&amp;A177))</f>
        <v/>
      </c>
      <c r="M177">
        <f>IF(N(L177)=0,0,MATCH(1,INDEX((TrocasEquip!$B$2:$B$1000=B177)*(TrocasEquip!$A$2:$A$1000=L177),0),0))</f>
        <v/>
      </c>
      <c r="N177">
        <f>IF(B177="","",IFERROR(MATCH(B177,Equipamentos!$P$2:$P$61,0),""))</f>
        <v/>
      </c>
      <c r="O177">
        <f>IF(N177="","",IF(M177=0,INDEX(Equipamentos!$U$2:$U$61,N177),L177))</f>
        <v/>
      </c>
      <c r="P177">
        <f>IF(N177="","",IF(M177=0,N(INDEX(Equipamentos!$V$2:$V$61,N177)),N(INDEX(TrocasEquip!$I$2:$I$1000,M177))))</f>
        <v/>
      </c>
      <c r="Q177">
        <f>IF(N177="","",IF(M177=0,INDEX(Equipamentos!$T$2:$T$61,N177),IF(INDEX(TrocasEquip!$H$2:$H$1000,M177)="",INDEX(Equipamentos!$T$2:$T$61,N177),INDEX(TrocasEquip!$H$2:$H$1000,M177))))</f>
        <v/>
      </c>
    </row>
    <row r="178">
      <c r="A178" s="54" t="n"/>
      <c r="B178" s="55" t="n"/>
      <c r="C178">
        <f>IF(B178="","",IF(N178="","posição não encontrada",IF(M178=0,INDEX(Equipamentos!$S$2:$S$61,N178),INDEX(TrocasEquip!$G$2:$G$1000,M178))))</f>
        <v/>
      </c>
      <c r="D178" s="56">
        <f>IF(OR(A178="",N178=""),"",P178+IF(E178="dias",MAX(0,A178-O178),IF(INDEX(Equipamentos!$D$2:$D$61,N178)=2,SUMIFS(Producao!$D:$D,Producao!$A:$A,"&gt;="&amp;O178,Producao!$A:$A,"&lt;"&amp;A178),IF(INDEX(Equipamentos!$D$2:$D$61,N178)=3,SUMIFS(Producao!$E:$E,Producao!$A:$A,"&gt;="&amp;O178,Producao!$A:$A,"&lt;"&amp;A178),SUMIFS(Producao!$B:$B,Producao!$A:$A,"&gt;="&amp;O178,Producao!$A:$A,"&lt;"&amp;A178)))))</f>
        <v/>
      </c>
      <c r="E178">
        <f>IF(N178="","",INDEX(Equipamentos!$C$2:$C$61,N178))</f>
        <v/>
      </c>
      <c r="F178" s="57">
        <f>IF(OR(D178="",N(Q178)&lt;=0),"",D178/Q178)</f>
        <v/>
      </c>
      <c r="G178" s="55" t="n"/>
      <c r="H178" s="58" t="n"/>
      <c r="I178" s="58" t="n"/>
      <c r="J178" s="55" t="n"/>
      <c r="K178" s="55" t="n"/>
      <c r="L178">
        <f>IF(OR(A178="",B178=""),"",_xlfn.MAXIFS(TrocasEquip!$A$2:$A$1000,TrocasEquip!$B$2:$B$1000,B178,TrocasEquip!$A$2:$A$1000,"&lt;"&amp;A178))</f>
        <v/>
      </c>
      <c r="M178">
        <f>IF(N(L178)=0,0,MATCH(1,INDEX((TrocasEquip!$B$2:$B$1000=B178)*(TrocasEquip!$A$2:$A$1000=L178),0),0))</f>
        <v/>
      </c>
      <c r="N178">
        <f>IF(B178="","",IFERROR(MATCH(B178,Equipamentos!$P$2:$P$61,0),""))</f>
        <v/>
      </c>
      <c r="O178">
        <f>IF(N178="","",IF(M178=0,INDEX(Equipamentos!$U$2:$U$61,N178),L178))</f>
        <v/>
      </c>
      <c r="P178">
        <f>IF(N178="","",IF(M178=0,N(INDEX(Equipamentos!$V$2:$V$61,N178)),N(INDEX(TrocasEquip!$I$2:$I$1000,M178))))</f>
        <v/>
      </c>
      <c r="Q178">
        <f>IF(N178="","",IF(M178=0,INDEX(Equipamentos!$T$2:$T$61,N178),IF(INDEX(TrocasEquip!$H$2:$H$1000,M178)="",INDEX(Equipamentos!$T$2:$T$61,N178),INDEX(TrocasEquip!$H$2:$H$1000,M178))))</f>
        <v/>
      </c>
    </row>
    <row r="179">
      <c r="A179" s="54" t="n"/>
      <c r="B179" s="55" t="n"/>
      <c r="C179">
        <f>IF(B179="","",IF(N179="","posição não encontrada",IF(M179=0,INDEX(Equipamentos!$S$2:$S$61,N179),INDEX(TrocasEquip!$G$2:$G$1000,M179))))</f>
        <v/>
      </c>
      <c r="D179" s="56">
        <f>IF(OR(A179="",N179=""),"",P179+IF(E179="dias",MAX(0,A179-O179),IF(INDEX(Equipamentos!$D$2:$D$61,N179)=2,SUMIFS(Producao!$D:$D,Producao!$A:$A,"&gt;="&amp;O179,Producao!$A:$A,"&lt;"&amp;A179),IF(INDEX(Equipamentos!$D$2:$D$61,N179)=3,SUMIFS(Producao!$E:$E,Producao!$A:$A,"&gt;="&amp;O179,Producao!$A:$A,"&lt;"&amp;A179),SUMIFS(Producao!$B:$B,Producao!$A:$A,"&gt;="&amp;O179,Producao!$A:$A,"&lt;"&amp;A179)))))</f>
        <v/>
      </c>
      <c r="E179">
        <f>IF(N179="","",INDEX(Equipamentos!$C$2:$C$61,N179))</f>
        <v/>
      </c>
      <c r="F179" s="57">
        <f>IF(OR(D179="",N(Q179)&lt;=0),"",D179/Q179)</f>
        <v/>
      </c>
      <c r="G179" s="55" t="n"/>
      <c r="H179" s="58" t="n"/>
      <c r="I179" s="58" t="n"/>
      <c r="J179" s="55" t="n"/>
      <c r="K179" s="55" t="n"/>
      <c r="L179">
        <f>IF(OR(A179="",B179=""),"",_xlfn.MAXIFS(TrocasEquip!$A$2:$A$1000,TrocasEquip!$B$2:$B$1000,B179,TrocasEquip!$A$2:$A$1000,"&lt;"&amp;A179))</f>
        <v/>
      </c>
      <c r="M179">
        <f>IF(N(L179)=0,0,MATCH(1,INDEX((TrocasEquip!$B$2:$B$1000=B179)*(TrocasEquip!$A$2:$A$1000=L179),0),0))</f>
        <v/>
      </c>
      <c r="N179">
        <f>IF(B179="","",IFERROR(MATCH(B179,Equipamentos!$P$2:$P$61,0),""))</f>
        <v/>
      </c>
      <c r="O179">
        <f>IF(N179="","",IF(M179=0,INDEX(Equipamentos!$U$2:$U$61,N179),L179))</f>
        <v/>
      </c>
      <c r="P179">
        <f>IF(N179="","",IF(M179=0,N(INDEX(Equipamentos!$V$2:$V$61,N179)),N(INDEX(TrocasEquip!$I$2:$I$1000,M179))))</f>
        <v/>
      </c>
      <c r="Q179">
        <f>IF(N179="","",IF(M179=0,INDEX(Equipamentos!$T$2:$T$61,N179),IF(INDEX(TrocasEquip!$H$2:$H$1000,M179)="",INDEX(Equipamentos!$T$2:$T$61,N179),INDEX(TrocasEquip!$H$2:$H$1000,M179))))</f>
        <v/>
      </c>
    </row>
    <row r="180">
      <c r="A180" s="54" t="n"/>
      <c r="B180" s="55" t="n"/>
      <c r="C180">
        <f>IF(B180="","",IF(N180="","posição não encontrada",IF(M180=0,INDEX(Equipamentos!$S$2:$S$61,N180),INDEX(TrocasEquip!$G$2:$G$1000,M180))))</f>
        <v/>
      </c>
      <c r="D180" s="56">
        <f>IF(OR(A180="",N180=""),"",P180+IF(E180="dias",MAX(0,A180-O180),IF(INDEX(Equipamentos!$D$2:$D$61,N180)=2,SUMIFS(Producao!$D:$D,Producao!$A:$A,"&gt;="&amp;O180,Producao!$A:$A,"&lt;"&amp;A180),IF(INDEX(Equipamentos!$D$2:$D$61,N180)=3,SUMIFS(Producao!$E:$E,Producao!$A:$A,"&gt;="&amp;O180,Producao!$A:$A,"&lt;"&amp;A180),SUMIFS(Producao!$B:$B,Producao!$A:$A,"&gt;="&amp;O180,Producao!$A:$A,"&lt;"&amp;A180)))))</f>
        <v/>
      </c>
      <c r="E180">
        <f>IF(N180="","",INDEX(Equipamentos!$C$2:$C$61,N180))</f>
        <v/>
      </c>
      <c r="F180" s="57">
        <f>IF(OR(D180="",N(Q180)&lt;=0),"",D180/Q180)</f>
        <v/>
      </c>
      <c r="G180" s="55" t="n"/>
      <c r="H180" s="58" t="n"/>
      <c r="I180" s="58" t="n"/>
      <c r="J180" s="55" t="n"/>
      <c r="K180" s="55" t="n"/>
      <c r="L180">
        <f>IF(OR(A180="",B180=""),"",_xlfn.MAXIFS(TrocasEquip!$A$2:$A$1000,TrocasEquip!$B$2:$B$1000,B180,TrocasEquip!$A$2:$A$1000,"&lt;"&amp;A180))</f>
        <v/>
      </c>
      <c r="M180">
        <f>IF(N(L180)=0,0,MATCH(1,INDEX((TrocasEquip!$B$2:$B$1000=B180)*(TrocasEquip!$A$2:$A$1000=L180),0),0))</f>
        <v/>
      </c>
      <c r="N180">
        <f>IF(B180="","",IFERROR(MATCH(B180,Equipamentos!$P$2:$P$61,0),""))</f>
        <v/>
      </c>
      <c r="O180">
        <f>IF(N180="","",IF(M180=0,INDEX(Equipamentos!$U$2:$U$61,N180),L180))</f>
        <v/>
      </c>
      <c r="P180">
        <f>IF(N180="","",IF(M180=0,N(INDEX(Equipamentos!$V$2:$V$61,N180)),N(INDEX(TrocasEquip!$I$2:$I$1000,M180))))</f>
        <v/>
      </c>
      <c r="Q180">
        <f>IF(N180="","",IF(M180=0,INDEX(Equipamentos!$T$2:$T$61,N180),IF(INDEX(TrocasEquip!$H$2:$H$1000,M180)="",INDEX(Equipamentos!$T$2:$T$61,N180),INDEX(TrocasEquip!$H$2:$H$1000,M180))))</f>
        <v/>
      </c>
    </row>
    <row r="181">
      <c r="A181" s="54" t="n"/>
      <c r="B181" s="55" t="n"/>
      <c r="C181">
        <f>IF(B181="","",IF(N181="","posição não encontrada",IF(M181=0,INDEX(Equipamentos!$S$2:$S$61,N181),INDEX(TrocasEquip!$G$2:$G$1000,M181))))</f>
        <v/>
      </c>
      <c r="D181" s="56">
        <f>IF(OR(A181="",N181=""),"",P181+IF(E181="dias",MAX(0,A181-O181),IF(INDEX(Equipamentos!$D$2:$D$61,N181)=2,SUMIFS(Producao!$D:$D,Producao!$A:$A,"&gt;="&amp;O181,Producao!$A:$A,"&lt;"&amp;A181),IF(INDEX(Equipamentos!$D$2:$D$61,N181)=3,SUMIFS(Producao!$E:$E,Producao!$A:$A,"&gt;="&amp;O181,Producao!$A:$A,"&lt;"&amp;A181),SUMIFS(Producao!$B:$B,Producao!$A:$A,"&gt;="&amp;O181,Producao!$A:$A,"&lt;"&amp;A181)))))</f>
        <v/>
      </c>
      <c r="E181">
        <f>IF(N181="","",INDEX(Equipamentos!$C$2:$C$61,N181))</f>
        <v/>
      </c>
      <c r="F181" s="57">
        <f>IF(OR(D181="",N(Q181)&lt;=0),"",D181/Q181)</f>
        <v/>
      </c>
      <c r="G181" s="55" t="n"/>
      <c r="H181" s="58" t="n"/>
      <c r="I181" s="58" t="n"/>
      <c r="J181" s="55" t="n"/>
      <c r="K181" s="55" t="n"/>
      <c r="L181">
        <f>IF(OR(A181="",B181=""),"",_xlfn.MAXIFS(TrocasEquip!$A$2:$A$1000,TrocasEquip!$B$2:$B$1000,B181,TrocasEquip!$A$2:$A$1000,"&lt;"&amp;A181))</f>
        <v/>
      </c>
      <c r="M181">
        <f>IF(N(L181)=0,0,MATCH(1,INDEX((TrocasEquip!$B$2:$B$1000=B181)*(TrocasEquip!$A$2:$A$1000=L181),0),0))</f>
        <v/>
      </c>
      <c r="N181">
        <f>IF(B181="","",IFERROR(MATCH(B181,Equipamentos!$P$2:$P$61,0),""))</f>
        <v/>
      </c>
      <c r="O181">
        <f>IF(N181="","",IF(M181=0,INDEX(Equipamentos!$U$2:$U$61,N181),L181))</f>
        <v/>
      </c>
      <c r="P181">
        <f>IF(N181="","",IF(M181=0,N(INDEX(Equipamentos!$V$2:$V$61,N181)),N(INDEX(TrocasEquip!$I$2:$I$1000,M181))))</f>
        <v/>
      </c>
      <c r="Q181">
        <f>IF(N181="","",IF(M181=0,INDEX(Equipamentos!$T$2:$T$61,N181),IF(INDEX(TrocasEquip!$H$2:$H$1000,M181)="",INDEX(Equipamentos!$T$2:$T$61,N181),INDEX(TrocasEquip!$H$2:$H$1000,M181))))</f>
        <v/>
      </c>
    </row>
    <row r="182">
      <c r="A182" s="54" t="n"/>
      <c r="B182" s="55" t="n"/>
      <c r="C182">
        <f>IF(B182="","",IF(N182="","posição não encontrada",IF(M182=0,INDEX(Equipamentos!$S$2:$S$61,N182),INDEX(TrocasEquip!$G$2:$G$1000,M182))))</f>
        <v/>
      </c>
      <c r="D182" s="56">
        <f>IF(OR(A182="",N182=""),"",P182+IF(E182="dias",MAX(0,A182-O182),IF(INDEX(Equipamentos!$D$2:$D$61,N182)=2,SUMIFS(Producao!$D:$D,Producao!$A:$A,"&gt;="&amp;O182,Producao!$A:$A,"&lt;"&amp;A182),IF(INDEX(Equipamentos!$D$2:$D$61,N182)=3,SUMIFS(Producao!$E:$E,Producao!$A:$A,"&gt;="&amp;O182,Producao!$A:$A,"&lt;"&amp;A182),SUMIFS(Producao!$B:$B,Producao!$A:$A,"&gt;="&amp;O182,Producao!$A:$A,"&lt;"&amp;A182)))))</f>
        <v/>
      </c>
      <c r="E182">
        <f>IF(N182="","",INDEX(Equipamentos!$C$2:$C$61,N182))</f>
        <v/>
      </c>
      <c r="F182" s="57">
        <f>IF(OR(D182="",N(Q182)&lt;=0),"",D182/Q182)</f>
        <v/>
      </c>
      <c r="G182" s="55" t="n"/>
      <c r="H182" s="58" t="n"/>
      <c r="I182" s="58" t="n"/>
      <c r="J182" s="55" t="n"/>
      <c r="K182" s="55" t="n"/>
      <c r="L182">
        <f>IF(OR(A182="",B182=""),"",_xlfn.MAXIFS(TrocasEquip!$A$2:$A$1000,TrocasEquip!$B$2:$B$1000,B182,TrocasEquip!$A$2:$A$1000,"&lt;"&amp;A182))</f>
        <v/>
      </c>
      <c r="M182">
        <f>IF(N(L182)=0,0,MATCH(1,INDEX((TrocasEquip!$B$2:$B$1000=B182)*(TrocasEquip!$A$2:$A$1000=L182),0),0))</f>
        <v/>
      </c>
      <c r="N182">
        <f>IF(B182="","",IFERROR(MATCH(B182,Equipamentos!$P$2:$P$61,0),""))</f>
        <v/>
      </c>
      <c r="O182">
        <f>IF(N182="","",IF(M182=0,INDEX(Equipamentos!$U$2:$U$61,N182),L182))</f>
        <v/>
      </c>
      <c r="P182">
        <f>IF(N182="","",IF(M182=0,N(INDEX(Equipamentos!$V$2:$V$61,N182)),N(INDEX(TrocasEquip!$I$2:$I$1000,M182))))</f>
        <v/>
      </c>
      <c r="Q182">
        <f>IF(N182="","",IF(M182=0,INDEX(Equipamentos!$T$2:$T$61,N182),IF(INDEX(TrocasEquip!$H$2:$H$1000,M182)="",INDEX(Equipamentos!$T$2:$T$61,N182),INDEX(TrocasEquip!$H$2:$H$1000,M182))))</f>
        <v/>
      </c>
    </row>
    <row r="183">
      <c r="A183" s="54" t="n"/>
      <c r="B183" s="55" t="n"/>
      <c r="C183">
        <f>IF(B183="","",IF(N183="","posição não encontrada",IF(M183=0,INDEX(Equipamentos!$S$2:$S$61,N183),INDEX(TrocasEquip!$G$2:$G$1000,M183))))</f>
        <v/>
      </c>
      <c r="D183" s="56">
        <f>IF(OR(A183="",N183=""),"",P183+IF(E183="dias",MAX(0,A183-O183),IF(INDEX(Equipamentos!$D$2:$D$61,N183)=2,SUMIFS(Producao!$D:$D,Producao!$A:$A,"&gt;="&amp;O183,Producao!$A:$A,"&lt;"&amp;A183),IF(INDEX(Equipamentos!$D$2:$D$61,N183)=3,SUMIFS(Producao!$E:$E,Producao!$A:$A,"&gt;="&amp;O183,Producao!$A:$A,"&lt;"&amp;A183),SUMIFS(Producao!$B:$B,Producao!$A:$A,"&gt;="&amp;O183,Producao!$A:$A,"&lt;"&amp;A183)))))</f>
        <v/>
      </c>
      <c r="E183">
        <f>IF(N183="","",INDEX(Equipamentos!$C$2:$C$61,N183))</f>
        <v/>
      </c>
      <c r="F183" s="57">
        <f>IF(OR(D183="",N(Q183)&lt;=0),"",D183/Q183)</f>
        <v/>
      </c>
      <c r="G183" s="55" t="n"/>
      <c r="H183" s="58" t="n"/>
      <c r="I183" s="58" t="n"/>
      <c r="J183" s="55" t="n"/>
      <c r="K183" s="55" t="n"/>
      <c r="L183">
        <f>IF(OR(A183="",B183=""),"",_xlfn.MAXIFS(TrocasEquip!$A$2:$A$1000,TrocasEquip!$B$2:$B$1000,B183,TrocasEquip!$A$2:$A$1000,"&lt;"&amp;A183))</f>
        <v/>
      </c>
      <c r="M183">
        <f>IF(N(L183)=0,0,MATCH(1,INDEX((TrocasEquip!$B$2:$B$1000=B183)*(TrocasEquip!$A$2:$A$1000=L183),0),0))</f>
        <v/>
      </c>
      <c r="N183">
        <f>IF(B183="","",IFERROR(MATCH(B183,Equipamentos!$P$2:$P$61,0),""))</f>
        <v/>
      </c>
      <c r="O183">
        <f>IF(N183="","",IF(M183=0,INDEX(Equipamentos!$U$2:$U$61,N183),L183))</f>
        <v/>
      </c>
      <c r="P183">
        <f>IF(N183="","",IF(M183=0,N(INDEX(Equipamentos!$V$2:$V$61,N183)),N(INDEX(TrocasEquip!$I$2:$I$1000,M183))))</f>
        <v/>
      </c>
      <c r="Q183">
        <f>IF(N183="","",IF(M183=0,INDEX(Equipamentos!$T$2:$T$61,N183),IF(INDEX(TrocasEquip!$H$2:$H$1000,M183)="",INDEX(Equipamentos!$T$2:$T$61,N183),INDEX(TrocasEquip!$H$2:$H$1000,M183))))</f>
        <v/>
      </c>
    </row>
    <row r="184">
      <c r="A184" s="54" t="n"/>
      <c r="B184" s="55" t="n"/>
      <c r="C184">
        <f>IF(B184="","",IF(N184="","posição não encontrada",IF(M184=0,INDEX(Equipamentos!$S$2:$S$61,N184),INDEX(TrocasEquip!$G$2:$G$1000,M184))))</f>
        <v/>
      </c>
      <c r="D184" s="56">
        <f>IF(OR(A184="",N184=""),"",P184+IF(E184="dias",MAX(0,A184-O184),IF(INDEX(Equipamentos!$D$2:$D$61,N184)=2,SUMIFS(Producao!$D:$D,Producao!$A:$A,"&gt;="&amp;O184,Producao!$A:$A,"&lt;"&amp;A184),IF(INDEX(Equipamentos!$D$2:$D$61,N184)=3,SUMIFS(Producao!$E:$E,Producao!$A:$A,"&gt;="&amp;O184,Producao!$A:$A,"&lt;"&amp;A184),SUMIFS(Producao!$B:$B,Producao!$A:$A,"&gt;="&amp;O184,Producao!$A:$A,"&lt;"&amp;A184)))))</f>
        <v/>
      </c>
      <c r="E184">
        <f>IF(N184="","",INDEX(Equipamentos!$C$2:$C$61,N184))</f>
        <v/>
      </c>
      <c r="F184" s="57">
        <f>IF(OR(D184="",N(Q184)&lt;=0),"",D184/Q184)</f>
        <v/>
      </c>
      <c r="G184" s="55" t="n"/>
      <c r="H184" s="58" t="n"/>
      <c r="I184" s="58" t="n"/>
      <c r="J184" s="55" t="n"/>
      <c r="K184" s="55" t="n"/>
      <c r="L184">
        <f>IF(OR(A184="",B184=""),"",_xlfn.MAXIFS(TrocasEquip!$A$2:$A$1000,TrocasEquip!$B$2:$B$1000,B184,TrocasEquip!$A$2:$A$1000,"&lt;"&amp;A184))</f>
        <v/>
      </c>
      <c r="M184">
        <f>IF(N(L184)=0,0,MATCH(1,INDEX((TrocasEquip!$B$2:$B$1000=B184)*(TrocasEquip!$A$2:$A$1000=L184),0),0))</f>
        <v/>
      </c>
      <c r="N184">
        <f>IF(B184="","",IFERROR(MATCH(B184,Equipamentos!$P$2:$P$61,0),""))</f>
        <v/>
      </c>
      <c r="O184">
        <f>IF(N184="","",IF(M184=0,INDEX(Equipamentos!$U$2:$U$61,N184),L184))</f>
        <v/>
      </c>
      <c r="P184">
        <f>IF(N184="","",IF(M184=0,N(INDEX(Equipamentos!$V$2:$V$61,N184)),N(INDEX(TrocasEquip!$I$2:$I$1000,M184))))</f>
        <v/>
      </c>
      <c r="Q184">
        <f>IF(N184="","",IF(M184=0,INDEX(Equipamentos!$T$2:$T$61,N184),IF(INDEX(TrocasEquip!$H$2:$H$1000,M184)="",INDEX(Equipamentos!$T$2:$T$61,N184),INDEX(TrocasEquip!$H$2:$H$1000,M184))))</f>
        <v/>
      </c>
    </row>
    <row r="185">
      <c r="A185" s="54" t="n"/>
      <c r="B185" s="55" t="n"/>
      <c r="C185">
        <f>IF(B185="","",IF(N185="","posição não encontrada",IF(M185=0,INDEX(Equipamentos!$S$2:$S$61,N185),INDEX(TrocasEquip!$G$2:$G$1000,M185))))</f>
        <v/>
      </c>
      <c r="D185" s="56">
        <f>IF(OR(A185="",N185=""),"",P185+IF(E185="dias",MAX(0,A185-O185),IF(INDEX(Equipamentos!$D$2:$D$61,N185)=2,SUMIFS(Producao!$D:$D,Producao!$A:$A,"&gt;="&amp;O185,Producao!$A:$A,"&lt;"&amp;A185),IF(INDEX(Equipamentos!$D$2:$D$61,N185)=3,SUMIFS(Producao!$E:$E,Producao!$A:$A,"&gt;="&amp;O185,Producao!$A:$A,"&lt;"&amp;A185),SUMIFS(Producao!$B:$B,Producao!$A:$A,"&gt;="&amp;O185,Producao!$A:$A,"&lt;"&amp;A185)))))</f>
        <v/>
      </c>
      <c r="E185">
        <f>IF(N185="","",INDEX(Equipamentos!$C$2:$C$61,N185))</f>
        <v/>
      </c>
      <c r="F185" s="57">
        <f>IF(OR(D185="",N(Q185)&lt;=0),"",D185/Q185)</f>
        <v/>
      </c>
      <c r="G185" s="55" t="n"/>
      <c r="H185" s="58" t="n"/>
      <c r="I185" s="58" t="n"/>
      <c r="J185" s="55" t="n"/>
      <c r="K185" s="55" t="n"/>
      <c r="L185">
        <f>IF(OR(A185="",B185=""),"",_xlfn.MAXIFS(TrocasEquip!$A$2:$A$1000,TrocasEquip!$B$2:$B$1000,B185,TrocasEquip!$A$2:$A$1000,"&lt;"&amp;A185))</f>
        <v/>
      </c>
      <c r="M185">
        <f>IF(N(L185)=0,0,MATCH(1,INDEX((TrocasEquip!$B$2:$B$1000=B185)*(TrocasEquip!$A$2:$A$1000=L185),0),0))</f>
        <v/>
      </c>
      <c r="N185">
        <f>IF(B185="","",IFERROR(MATCH(B185,Equipamentos!$P$2:$P$61,0),""))</f>
        <v/>
      </c>
      <c r="O185">
        <f>IF(N185="","",IF(M185=0,INDEX(Equipamentos!$U$2:$U$61,N185),L185))</f>
        <v/>
      </c>
      <c r="P185">
        <f>IF(N185="","",IF(M185=0,N(INDEX(Equipamentos!$V$2:$V$61,N185)),N(INDEX(TrocasEquip!$I$2:$I$1000,M185))))</f>
        <v/>
      </c>
      <c r="Q185">
        <f>IF(N185="","",IF(M185=0,INDEX(Equipamentos!$T$2:$T$61,N185),IF(INDEX(TrocasEquip!$H$2:$H$1000,M185)="",INDEX(Equipamentos!$T$2:$T$61,N185),INDEX(TrocasEquip!$H$2:$H$1000,M185))))</f>
        <v/>
      </c>
    </row>
    <row r="186">
      <c r="A186" s="54" t="n"/>
      <c r="B186" s="55" t="n"/>
      <c r="C186">
        <f>IF(B186="","",IF(N186="","posição não encontrada",IF(M186=0,INDEX(Equipamentos!$S$2:$S$61,N186),INDEX(TrocasEquip!$G$2:$G$1000,M186))))</f>
        <v/>
      </c>
      <c r="D186" s="56">
        <f>IF(OR(A186="",N186=""),"",P186+IF(E186="dias",MAX(0,A186-O186),IF(INDEX(Equipamentos!$D$2:$D$61,N186)=2,SUMIFS(Producao!$D:$D,Producao!$A:$A,"&gt;="&amp;O186,Producao!$A:$A,"&lt;"&amp;A186),IF(INDEX(Equipamentos!$D$2:$D$61,N186)=3,SUMIFS(Producao!$E:$E,Producao!$A:$A,"&gt;="&amp;O186,Producao!$A:$A,"&lt;"&amp;A186),SUMIFS(Producao!$B:$B,Producao!$A:$A,"&gt;="&amp;O186,Producao!$A:$A,"&lt;"&amp;A186)))))</f>
        <v/>
      </c>
      <c r="E186">
        <f>IF(N186="","",INDEX(Equipamentos!$C$2:$C$61,N186))</f>
        <v/>
      </c>
      <c r="F186" s="57">
        <f>IF(OR(D186="",N(Q186)&lt;=0),"",D186/Q186)</f>
        <v/>
      </c>
      <c r="G186" s="55" t="n"/>
      <c r="H186" s="58" t="n"/>
      <c r="I186" s="58" t="n"/>
      <c r="J186" s="55" t="n"/>
      <c r="K186" s="55" t="n"/>
      <c r="L186">
        <f>IF(OR(A186="",B186=""),"",_xlfn.MAXIFS(TrocasEquip!$A$2:$A$1000,TrocasEquip!$B$2:$B$1000,B186,TrocasEquip!$A$2:$A$1000,"&lt;"&amp;A186))</f>
        <v/>
      </c>
      <c r="M186">
        <f>IF(N(L186)=0,0,MATCH(1,INDEX((TrocasEquip!$B$2:$B$1000=B186)*(TrocasEquip!$A$2:$A$1000=L186),0),0))</f>
        <v/>
      </c>
      <c r="N186">
        <f>IF(B186="","",IFERROR(MATCH(B186,Equipamentos!$P$2:$P$61,0),""))</f>
        <v/>
      </c>
      <c r="O186">
        <f>IF(N186="","",IF(M186=0,INDEX(Equipamentos!$U$2:$U$61,N186),L186))</f>
        <v/>
      </c>
      <c r="P186">
        <f>IF(N186="","",IF(M186=0,N(INDEX(Equipamentos!$V$2:$V$61,N186)),N(INDEX(TrocasEquip!$I$2:$I$1000,M186))))</f>
        <v/>
      </c>
      <c r="Q186">
        <f>IF(N186="","",IF(M186=0,INDEX(Equipamentos!$T$2:$T$61,N186),IF(INDEX(TrocasEquip!$H$2:$H$1000,M186)="",INDEX(Equipamentos!$T$2:$T$61,N186),INDEX(TrocasEquip!$H$2:$H$1000,M186))))</f>
        <v/>
      </c>
    </row>
    <row r="187">
      <c r="A187" s="54" t="n"/>
      <c r="B187" s="55" t="n"/>
      <c r="C187">
        <f>IF(B187="","",IF(N187="","posição não encontrada",IF(M187=0,INDEX(Equipamentos!$S$2:$S$61,N187),INDEX(TrocasEquip!$G$2:$G$1000,M187))))</f>
        <v/>
      </c>
      <c r="D187" s="56">
        <f>IF(OR(A187="",N187=""),"",P187+IF(E187="dias",MAX(0,A187-O187),IF(INDEX(Equipamentos!$D$2:$D$61,N187)=2,SUMIFS(Producao!$D:$D,Producao!$A:$A,"&gt;="&amp;O187,Producao!$A:$A,"&lt;"&amp;A187),IF(INDEX(Equipamentos!$D$2:$D$61,N187)=3,SUMIFS(Producao!$E:$E,Producao!$A:$A,"&gt;="&amp;O187,Producao!$A:$A,"&lt;"&amp;A187),SUMIFS(Producao!$B:$B,Producao!$A:$A,"&gt;="&amp;O187,Producao!$A:$A,"&lt;"&amp;A187)))))</f>
        <v/>
      </c>
      <c r="E187">
        <f>IF(N187="","",INDEX(Equipamentos!$C$2:$C$61,N187))</f>
        <v/>
      </c>
      <c r="F187" s="57">
        <f>IF(OR(D187="",N(Q187)&lt;=0),"",D187/Q187)</f>
        <v/>
      </c>
      <c r="G187" s="55" t="n"/>
      <c r="H187" s="58" t="n"/>
      <c r="I187" s="58" t="n"/>
      <c r="J187" s="55" t="n"/>
      <c r="K187" s="55" t="n"/>
      <c r="L187">
        <f>IF(OR(A187="",B187=""),"",_xlfn.MAXIFS(TrocasEquip!$A$2:$A$1000,TrocasEquip!$B$2:$B$1000,B187,TrocasEquip!$A$2:$A$1000,"&lt;"&amp;A187))</f>
        <v/>
      </c>
      <c r="M187">
        <f>IF(N(L187)=0,0,MATCH(1,INDEX((TrocasEquip!$B$2:$B$1000=B187)*(TrocasEquip!$A$2:$A$1000=L187),0),0))</f>
        <v/>
      </c>
      <c r="N187">
        <f>IF(B187="","",IFERROR(MATCH(B187,Equipamentos!$P$2:$P$61,0),""))</f>
        <v/>
      </c>
      <c r="O187">
        <f>IF(N187="","",IF(M187=0,INDEX(Equipamentos!$U$2:$U$61,N187),L187))</f>
        <v/>
      </c>
      <c r="P187">
        <f>IF(N187="","",IF(M187=0,N(INDEX(Equipamentos!$V$2:$V$61,N187)),N(INDEX(TrocasEquip!$I$2:$I$1000,M187))))</f>
        <v/>
      </c>
      <c r="Q187">
        <f>IF(N187="","",IF(M187=0,INDEX(Equipamentos!$T$2:$T$61,N187),IF(INDEX(TrocasEquip!$H$2:$H$1000,M187)="",INDEX(Equipamentos!$T$2:$T$61,N187),INDEX(TrocasEquip!$H$2:$H$1000,M187))))</f>
        <v/>
      </c>
    </row>
    <row r="188">
      <c r="A188" s="54" t="n"/>
      <c r="B188" s="55" t="n"/>
      <c r="C188">
        <f>IF(B188="","",IF(N188="","posição não encontrada",IF(M188=0,INDEX(Equipamentos!$S$2:$S$61,N188),INDEX(TrocasEquip!$G$2:$G$1000,M188))))</f>
        <v/>
      </c>
      <c r="D188" s="56">
        <f>IF(OR(A188="",N188=""),"",P188+IF(E188="dias",MAX(0,A188-O188),IF(INDEX(Equipamentos!$D$2:$D$61,N188)=2,SUMIFS(Producao!$D:$D,Producao!$A:$A,"&gt;="&amp;O188,Producao!$A:$A,"&lt;"&amp;A188),IF(INDEX(Equipamentos!$D$2:$D$61,N188)=3,SUMIFS(Producao!$E:$E,Producao!$A:$A,"&gt;="&amp;O188,Producao!$A:$A,"&lt;"&amp;A188),SUMIFS(Producao!$B:$B,Producao!$A:$A,"&gt;="&amp;O188,Producao!$A:$A,"&lt;"&amp;A188)))))</f>
        <v/>
      </c>
      <c r="E188">
        <f>IF(N188="","",INDEX(Equipamentos!$C$2:$C$61,N188))</f>
        <v/>
      </c>
      <c r="F188" s="57">
        <f>IF(OR(D188="",N(Q188)&lt;=0),"",D188/Q188)</f>
        <v/>
      </c>
      <c r="G188" s="55" t="n"/>
      <c r="H188" s="58" t="n"/>
      <c r="I188" s="58" t="n"/>
      <c r="J188" s="55" t="n"/>
      <c r="K188" s="55" t="n"/>
      <c r="L188">
        <f>IF(OR(A188="",B188=""),"",_xlfn.MAXIFS(TrocasEquip!$A$2:$A$1000,TrocasEquip!$B$2:$B$1000,B188,TrocasEquip!$A$2:$A$1000,"&lt;"&amp;A188))</f>
        <v/>
      </c>
      <c r="M188">
        <f>IF(N(L188)=0,0,MATCH(1,INDEX((TrocasEquip!$B$2:$B$1000=B188)*(TrocasEquip!$A$2:$A$1000=L188),0),0))</f>
        <v/>
      </c>
      <c r="N188">
        <f>IF(B188="","",IFERROR(MATCH(B188,Equipamentos!$P$2:$P$61,0),""))</f>
        <v/>
      </c>
      <c r="O188">
        <f>IF(N188="","",IF(M188=0,INDEX(Equipamentos!$U$2:$U$61,N188),L188))</f>
        <v/>
      </c>
      <c r="P188">
        <f>IF(N188="","",IF(M188=0,N(INDEX(Equipamentos!$V$2:$V$61,N188)),N(INDEX(TrocasEquip!$I$2:$I$1000,M188))))</f>
        <v/>
      </c>
      <c r="Q188">
        <f>IF(N188="","",IF(M188=0,INDEX(Equipamentos!$T$2:$T$61,N188),IF(INDEX(TrocasEquip!$H$2:$H$1000,M188)="",INDEX(Equipamentos!$T$2:$T$61,N188),INDEX(TrocasEquip!$H$2:$H$1000,M188))))</f>
        <v/>
      </c>
    </row>
    <row r="189">
      <c r="A189" s="54" t="n"/>
      <c r="B189" s="55" t="n"/>
      <c r="C189">
        <f>IF(B189="","",IF(N189="","posição não encontrada",IF(M189=0,INDEX(Equipamentos!$S$2:$S$61,N189),INDEX(TrocasEquip!$G$2:$G$1000,M189))))</f>
        <v/>
      </c>
      <c r="D189" s="56">
        <f>IF(OR(A189="",N189=""),"",P189+IF(E189="dias",MAX(0,A189-O189),IF(INDEX(Equipamentos!$D$2:$D$61,N189)=2,SUMIFS(Producao!$D:$D,Producao!$A:$A,"&gt;="&amp;O189,Producao!$A:$A,"&lt;"&amp;A189),IF(INDEX(Equipamentos!$D$2:$D$61,N189)=3,SUMIFS(Producao!$E:$E,Producao!$A:$A,"&gt;="&amp;O189,Producao!$A:$A,"&lt;"&amp;A189),SUMIFS(Producao!$B:$B,Producao!$A:$A,"&gt;="&amp;O189,Producao!$A:$A,"&lt;"&amp;A189)))))</f>
        <v/>
      </c>
      <c r="E189">
        <f>IF(N189="","",INDEX(Equipamentos!$C$2:$C$61,N189))</f>
        <v/>
      </c>
      <c r="F189" s="57">
        <f>IF(OR(D189="",N(Q189)&lt;=0),"",D189/Q189)</f>
        <v/>
      </c>
      <c r="G189" s="55" t="n"/>
      <c r="H189" s="58" t="n"/>
      <c r="I189" s="58" t="n"/>
      <c r="J189" s="55" t="n"/>
      <c r="K189" s="55" t="n"/>
      <c r="L189">
        <f>IF(OR(A189="",B189=""),"",_xlfn.MAXIFS(TrocasEquip!$A$2:$A$1000,TrocasEquip!$B$2:$B$1000,B189,TrocasEquip!$A$2:$A$1000,"&lt;"&amp;A189))</f>
        <v/>
      </c>
      <c r="M189">
        <f>IF(N(L189)=0,0,MATCH(1,INDEX((TrocasEquip!$B$2:$B$1000=B189)*(TrocasEquip!$A$2:$A$1000=L189),0),0))</f>
        <v/>
      </c>
      <c r="N189">
        <f>IF(B189="","",IFERROR(MATCH(B189,Equipamentos!$P$2:$P$61,0),""))</f>
        <v/>
      </c>
      <c r="O189">
        <f>IF(N189="","",IF(M189=0,INDEX(Equipamentos!$U$2:$U$61,N189),L189))</f>
        <v/>
      </c>
      <c r="P189">
        <f>IF(N189="","",IF(M189=0,N(INDEX(Equipamentos!$V$2:$V$61,N189)),N(INDEX(TrocasEquip!$I$2:$I$1000,M189))))</f>
        <v/>
      </c>
      <c r="Q189">
        <f>IF(N189="","",IF(M189=0,INDEX(Equipamentos!$T$2:$T$61,N189),IF(INDEX(TrocasEquip!$H$2:$H$1000,M189)="",INDEX(Equipamentos!$T$2:$T$61,N189),INDEX(TrocasEquip!$H$2:$H$1000,M189))))</f>
        <v/>
      </c>
    </row>
    <row r="190">
      <c r="A190" s="54" t="n"/>
      <c r="B190" s="55" t="n"/>
      <c r="C190">
        <f>IF(B190="","",IF(N190="","posição não encontrada",IF(M190=0,INDEX(Equipamentos!$S$2:$S$61,N190),INDEX(TrocasEquip!$G$2:$G$1000,M190))))</f>
        <v/>
      </c>
      <c r="D190" s="56">
        <f>IF(OR(A190="",N190=""),"",P190+IF(E190="dias",MAX(0,A190-O190),IF(INDEX(Equipamentos!$D$2:$D$61,N190)=2,SUMIFS(Producao!$D:$D,Producao!$A:$A,"&gt;="&amp;O190,Producao!$A:$A,"&lt;"&amp;A190),IF(INDEX(Equipamentos!$D$2:$D$61,N190)=3,SUMIFS(Producao!$E:$E,Producao!$A:$A,"&gt;="&amp;O190,Producao!$A:$A,"&lt;"&amp;A190),SUMIFS(Producao!$B:$B,Producao!$A:$A,"&gt;="&amp;O190,Producao!$A:$A,"&lt;"&amp;A190)))))</f>
        <v/>
      </c>
      <c r="E190">
        <f>IF(N190="","",INDEX(Equipamentos!$C$2:$C$61,N190))</f>
        <v/>
      </c>
      <c r="F190" s="57">
        <f>IF(OR(D190="",N(Q190)&lt;=0),"",D190/Q190)</f>
        <v/>
      </c>
      <c r="G190" s="55" t="n"/>
      <c r="H190" s="58" t="n"/>
      <c r="I190" s="58" t="n"/>
      <c r="J190" s="55" t="n"/>
      <c r="K190" s="55" t="n"/>
      <c r="L190">
        <f>IF(OR(A190="",B190=""),"",_xlfn.MAXIFS(TrocasEquip!$A$2:$A$1000,TrocasEquip!$B$2:$B$1000,B190,TrocasEquip!$A$2:$A$1000,"&lt;"&amp;A190))</f>
        <v/>
      </c>
      <c r="M190">
        <f>IF(N(L190)=0,0,MATCH(1,INDEX((TrocasEquip!$B$2:$B$1000=B190)*(TrocasEquip!$A$2:$A$1000=L190),0),0))</f>
        <v/>
      </c>
      <c r="N190">
        <f>IF(B190="","",IFERROR(MATCH(B190,Equipamentos!$P$2:$P$61,0),""))</f>
        <v/>
      </c>
      <c r="O190">
        <f>IF(N190="","",IF(M190=0,INDEX(Equipamentos!$U$2:$U$61,N190),L190))</f>
        <v/>
      </c>
      <c r="P190">
        <f>IF(N190="","",IF(M190=0,N(INDEX(Equipamentos!$V$2:$V$61,N190)),N(INDEX(TrocasEquip!$I$2:$I$1000,M190))))</f>
        <v/>
      </c>
      <c r="Q190">
        <f>IF(N190="","",IF(M190=0,INDEX(Equipamentos!$T$2:$T$61,N190),IF(INDEX(TrocasEquip!$H$2:$H$1000,M190)="",INDEX(Equipamentos!$T$2:$T$61,N190),INDEX(TrocasEquip!$H$2:$H$1000,M190))))</f>
        <v/>
      </c>
    </row>
    <row r="191">
      <c r="A191" s="54" t="n"/>
      <c r="B191" s="55" t="n"/>
      <c r="C191">
        <f>IF(B191="","",IF(N191="","posição não encontrada",IF(M191=0,INDEX(Equipamentos!$S$2:$S$61,N191),INDEX(TrocasEquip!$G$2:$G$1000,M191))))</f>
        <v/>
      </c>
      <c r="D191" s="56">
        <f>IF(OR(A191="",N191=""),"",P191+IF(E191="dias",MAX(0,A191-O191),IF(INDEX(Equipamentos!$D$2:$D$61,N191)=2,SUMIFS(Producao!$D:$D,Producao!$A:$A,"&gt;="&amp;O191,Producao!$A:$A,"&lt;"&amp;A191),IF(INDEX(Equipamentos!$D$2:$D$61,N191)=3,SUMIFS(Producao!$E:$E,Producao!$A:$A,"&gt;="&amp;O191,Producao!$A:$A,"&lt;"&amp;A191),SUMIFS(Producao!$B:$B,Producao!$A:$A,"&gt;="&amp;O191,Producao!$A:$A,"&lt;"&amp;A191)))))</f>
        <v/>
      </c>
      <c r="E191">
        <f>IF(N191="","",INDEX(Equipamentos!$C$2:$C$61,N191))</f>
        <v/>
      </c>
      <c r="F191" s="57">
        <f>IF(OR(D191="",N(Q191)&lt;=0),"",D191/Q191)</f>
        <v/>
      </c>
      <c r="G191" s="55" t="n"/>
      <c r="H191" s="58" t="n"/>
      <c r="I191" s="58" t="n"/>
      <c r="J191" s="55" t="n"/>
      <c r="K191" s="55" t="n"/>
      <c r="L191">
        <f>IF(OR(A191="",B191=""),"",_xlfn.MAXIFS(TrocasEquip!$A$2:$A$1000,TrocasEquip!$B$2:$B$1000,B191,TrocasEquip!$A$2:$A$1000,"&lt;"&amp;A191))</f>
        <v/>
      </c>
      <c r="M191">
        <f>IF(N(L191)=0,0,MATCH(1,INDEX((TrocasEquip!$B$2:$B$1000=B191)*(TrocasEquip!$A$2:$A$1000=L191),0),0))</f>
        <v/>
      </c>
      <c r="N191">
        <f>IF(B191="","",IFERROR(MATCH(B191,Equipamentos!$P$2:$P$61,0),""))</f>
        <v/>
      </c>
      <c r="O191">
        <f>IF(N191="","",IF(M191=0,INDEX(Equipamentos!$U$2:$U$61,N191),L191))</f>
        <v/>
      </c>
      <c r="P191">
        <f>IF(N191="","",IF(M191=0,N(INDEX(Equipamentos!$V$2:$V$61,N191)),N(INDEX(TrocasEquip!$I$2:$I$1000,M191))))</f>
        <v/>
      </c>
      <c r="Q191">
        <f>IF(N191="","",IF(M191=0,INDEX(Equipamentos!$T$2:$T$61,N191),IF(INDEX(TrocasEquip!$H$2:$H$1000,M191)="",INDEX(Equipamentos!$T$2:$T$61,N191),INDEX(TrocasEquip!$H$2:$H$1000,M191))))</f>
        <v/>
      </c>
    </row>
    <row r="192">
      <c r="A192" s="54" t="n"/>
      <c r="B192" s="55" t="n"/>
      <c r="C192">
        <f>IF(B192="","",IF(N192="","posição não encontrada",IF(M192=0,INDEX(Equipamentos!$S$2:$S$61,N192),INDEX(TrocasEquip!$G$2:$G$1000,M192))))</f>
        <v/>
      </c>
      <c r="D192" s="56">
        <f>IF(OR(A192="",N192=""),"",P192+IF(E192="dias",MAX(0,A192-O192),IF(INDEX(Equipamentos!$D$2:$D$61,N192)=2,SUMIFS(Producao!$D:$D,Producao!$A:$A,"&gt;="&amp;O192,Producao!$A:$A,"&lt;"&amp;A192),IF(INDEX(Equipamentos!$D$2:$D$61,N192)=3,SUMIFS(Producao!$E:$E,Producao!$A:$A,"&gt;="&amp;O192,Producao!$A:$A,"&lt;"&amp;A192),SUMIFS(Producao!$B:$B,Producao!$A:$A,"&gt;="&amp;O192,Producao!$A:$A,"&lt;"&amp;A192)))))</f>
        <v/>
      </c>
      <c r="E192">
        <f>IF(N192="","",INDEX(Equipamentos!$C$2:$C$61,N192))</f>
        <v/>
      </c>
      <c r="F192" s="57">
        <f>IF(OR(D192="",N(Q192)&lt;=0),"",D192/Q192)</f>
        <v/>
      </c>
      <c r="G192" s="55" t="n"/>
      <c r="H192" s="58" t="n"/>
      <c r="I192" s="58" t="n"/>
      <c r="J192" s="55" t="n"/>
      <c r="K192" s="55" t="n"/>
      <c r="L192">
        <f>IF(OR(A192="",B192=""),"",_xlfn.MAXIFS(TrocasEquip!$A$2:$A$1000,TrocasEquip!$B$2:$B$1000,B192,TrocasEquip!$A$2:$A$1000,"&lt;"&amp;A192))</f>
        <v/>
      </c>
      <c r="M192">
        <f>IF(N(L192)=0,0,MATCH(1,INDEX((TrocasEquip!$B$2:$B$1000=B192)*(TrocasEquip!$A$2:$A$1000=L192),0),0))</f>
        <v/>
      </c>
      <c r="N192">
        <f>IF(B192="","",IFERROR(MATCH(B192,Equipamentos!$P$2:$P$61,0),""))</f>
        <v/>
      </c>
      <c r="O192">
        <f>IF(N192="","",IF(M192=0,INDEX(Equipamentos!$U$2:$U$61,N192),L192))</f>
        <v/>
      </c>
      <c r="P192">
        <f>IF(N192="","",IF(M192=0,N(INDEX(Equipamentos!$V$2:$V$61,N192)),N(INDEX(TrocasEquip!$I$2:$I$1000,M192))))</f>
        <v/>
      </c>
      <c r="Q192">
        <f>IF(N192="","",IF(M192=0,INDEX(Equipamentos!$T$2:$T$61,N192),IF(INDEX(TrocasEquip!$H$2:$H$1000,M192)="",INDEX(Equipamentos!$T$2:$T$61,N192),INDEX(TrocasEquip!$H$2:$H$1000,M192))))</f>
        <v/>
      </c>
    </row>
    <row r="193">
      <c r="A193" s="54" t="n"/>
      <c r="B193" s="55" t="n"/>
      <c r="C193">
        <f>IF(B193="","",IF(N193="","posição não encontrada",IF(M193=0,INDEX(Equipamentos!$S$2:$S$61,N193),INDEX(TrocasEquip!$G$2:$G$1000,M193))))</f>
        <v/>
      </c>
      <c r="D193" s="56">
        <f>IF(OR(A193="",N193=""),"",P193+IF(E193="dias",MAX(0,A193-O193),IF(INDEX(Equipamentos!$D$2:$D$61,N193)=2,SUMIFS(Producao!$D:$D,Producao!$A:$A,"&gt;="&amp;O193,Producao!$A:$A,"&lt;"&amp;A193),IF(INDEX(Equipamentos!$D$2:$D$61,N193)=3,SUMIFS(Producao!$E:$E,Producao!$A:$A,"&gt;="&amp;O193,Producao!$A:$A,"&lt;"&amp;A193),SUMIFS(Producao!$B:$B,Producao!$A:$A,"&gt;="&amp;O193,Producao!$A:$A,"&lt;"&amp;A193)))))</f>
        <v/>
      </c>
      <c r="E193">
        <f>IF(N193="","",INDEX(Equipamentos!$C$2:$C$61,N193))</f>
        <v/>
      </c>
      <c r="F193" s="57">
        <f>IF(OR(D193="",N(Q193)&lt;=0),"",D193/Q193)</f>
        <v/>
      </c>
      <c r="G193" s="55" t="n"/>
      <c r="H193" s="58" t="n"/>
      <c r="I193" s="58" t="n"/>
      <c r="J193" s="55" t="n"/>
      <c r="K193" s="55" t="n"/>
      <c r="L193">
        <f>IF(OR(A193="",B193=""),"",_xlfn.MAXIFS(TrocasEquip!$A$2:$A$1000,TrocasEquip!$B$2:$B$1000,B193,TrocasEquip!$A$2:$A$1000,"&lt;"&amp;A193))</f>
        <v/>
      </c>
      <c r="M193">
        <f>IF(N(L193)=0,0,MATCH(1,INDEX((TrocasEquip!$B$2:$B$1000=B193)*(TrocasEquip!$A$2:$A$1000=L193),0),0))</f>
        <v/>
      </c>
      <c r="N193">
        <f>IF(B193="","",IFERROR(MATCH(B193,Equipamentos!$P$2:$P$61,0),""))</f>
        <v/>
      </c>
      <c r="O193">
        <f>IF(N193="","",IF(M193=0,INDEX(Equipamentos!$U$2:$U$61,N193),L193))</f>
        <v/>
      </c>
      <c r="P193">
        <f>IF(N193="","",IF(M193=0,N(INDEX(Equipamentos!$V$2:$V$61,N193)),N(INDEX(TrocasEquip!$I$2:$I$1000,M193))))</f>
        <v/>
      </c>
      <c r="Q193">
        <f>IF(N193="","",IF(M193=0,INDEX(Equipamentos!$T$2:$T$61,N193),IF(INDEX(TrocasEquip!$H$2:$H$1000,M193)="",INDEX(Equipamentos!$T$2:$T$61,N193),INDEX(TrocasEquip!$H$2:$H$1000,M193))))</f>
        <v/>
      </c>
    </row>
    <row r="194">
      <c r="A194" s="54" t="n"/>
      <c r="B194" s="55" t="n"/>
      <c r="C194">
        <f>IF(B194="","",IF(N194="","posição não encontrada",IF(M194=0,INDEX(Equipamentos!$S$2:$S$61,N194),INDEX(TrocasEquip!$G$2:$G$1000,M194))))</f>
        <v/>
      </c>
      <c r="D194" s="56">
        <f>IF(OR(A194="",N194=""),"",P194+IF(E194="dias",MAX(0,A194-O194),IF(INDEX(Equipamentos!$D$2:$D$61,N194)=2,SUMIFS(Producao!$D:$D,Producao!$A:$A,"&gt;="&amp;O194,Producao!$A:$A,"&lt;"&amp;A194),IF(INDEX(Equipamentos!$D$2:$D$61,N194)=3,SUMIFS(Producao!$E:$E,Producao!$A:$A,"&gt;="&amp;O194,Producao!$A:$A,"&lt;"&amp;A194),SUMIFS(Producao!$B:$B,Producao!$A:$A,"&gt;="&amp;O194,Producao!$A:$A,"&lt;"&amp;A194)))))</f>
        <v/>
      </c>
      <c r="E194">
        <f>IF(N194="","",INDEX(Equipamentos!$C$2:$C$61,N194))</f>
        <v/>
      </c>
      <c r="F194" s="57">
        <f>IF(OR(D194="",N(Q194)&lt;=0),"",D194/Q194)</f>
        <v/>
      </c>
      <c r="G194" s="55" t="n"/>
      <c r="H194" s="58" t="n"/>
      <c r="I194" s="58" t="n"/>
      <c r="J194" s="55" t="n"/>
      <c r="K194" s="55" t="n"/>
      <c r="L194">
        <f>IF(OR(A194="",B194=""),"",_xlfn.MAXIFS(TrocasEquip!$A$2:$A$1000,TrocasEquip!$B$2:$B$1000,B194,TrocasEquip!$A$2:$A$1000,"&lt;"&amp;A194))</f>
        <v/>
      </c>
      <c r="M194">
        <f>IF(N(L194)=0,0,MATCH(1,INDEX((TrocasEquip!$B$2:$B$1000=B194)*(TrocasEquip!$A$2:$A$1000=L194),0),0))</f>
        <v/>
      </c>
      <c r="N194">
        <f>IF(B194="","",IFERROR(MATCH(B194,Equipamentos!$P$2:$P$61,0),""))</f>
        <v/>
      </c>
      <c r="O194">
        <f>IF(N194="","",IF(M194=0,INDEX(Equipamentos!$U$2:$U$61,N194),L194))</f>
        <v/>
      </c>
      <c r="P194">
        <f>IF(N194="","",IF(M194=0,N(INDEX(Equipamentos!$V$2:$V$61,N194)),N(INDEX(TrocasEquip!$I$2:$I$1000,M194))))</f>
        <v/>
      </c>
      <c r="Q194">
        <f>IF(N194="","",IF(M194=0,INDEX(Equipamentos!$T$2:$T$61,N194),IF(INDEX(TrocasEquip!$H$2:$H$1000,M194)="",INDEX(Equipamentos!$T$2:$T$61,N194),INDEX(TrocasEquip!$H$2:$H$1000,M194))))</f>
        <v/>
      </c>
    </row>
    <row r="195">
      <c r="A195" s="54" t="n"/>
      <c r="B195" s="55" t="n"/>
      <c r="C195">
        <f>IF(B195="","",IF(N195="","posição não encontrada",IF(M195=0,INDEX(Equipamentos!$S$2:$S$61,N195),INDEX(TrocasEquip!$G$2:$G$1000,M195))))</f>
        <v/>
      </c>
      <c r="D195" s="56">
        <f>IF(OR(A195="",N195=""),"",P195+IF(E195="dias",MAX(0,A195-O195),IF(INDEX(Equipamentos!$D$2:$D$61,N195)=2,SUMIFS(Producao!$D:$D,Producao!$A:$A,"&gt;="&amp;O195,Producao!$A:$A,"&lt;"&amp;A195),IF(INDEX(Equipamentos!$D$2:$D$61,N195)=3,SUMIFS(Producao!$E:$E,Producao!$A:$A,"&gt;="&amp;O195,Producao!$A:$A,"&lt;"&amp;A195),SUMIFS(Producao!$B:$B,Producao!$A:$A,"&gt;="&amp;O195,Producao!$A:$A,"&lt;"&amp;A195)))))</f>
        <v/>
      </c>
      <c r="E195">
        <f>IF(N195="","",INDEX(Equipamentos!$C$2:$C$61,N195))</f>
        <v/>
      </c>
      <c r="F195" s="57">
        <f>IF(OR(D195="",N(Q195)&lt;=0),"",D195/Q195)</f>
        <v/>
      </c>
      <c r="G195" s="55" t="n"/>
      <c r="H195" s="58" t="n"/>
      <c r="I195" s="58" t="n"/>
      <c r="J195" s="55" t="n"/>
      <c r="K195" s="55" t="n"/>
      <c r="L195">
        <f>IF(OR(A195="",B195=""),"",_xlfn.MAXIFS(TrocasEquip!$A$2:$A$1000,TrocasEquip!$B$2:$B$1000,B195,TrocasEquip!$A$2:$A$1000,"&lt;"&amp;A195))</f>
        <v/>
      </c>
      <c r="M195">
        <f>IF(N(L195)=0,0,MATCH(1,INDEX((TrocasEquip!$B$2:$B$1000=B195)*(TrocasEquip!$A$2:$A$1000=L195),0),0))</f>
        <v/>
      </c>
      <c r="N195">
        <f>IF(B195="","",IFERROR(MATCH(B195,Equipamentos!$P$2:$P$61,0),""))</f>
        <v/>
      </c>
      <c r="O195">
        <f>IF(N195="","",IF(M195=0,INDEX(Equipamentos!$U$2:$U$61,N195),L195))</f>
        <v/>
      </c>
      <c r="P195">
        <f>IF(N195="","",IF(M195=0,N(INDEX(Equipamentos!$V$2:$V$61,N195)),N(INDEX(TrocasEquip!$I$2:$I$1000,M195))))</f>
        <v/>
      </c>
      <c r="Q195">
        <f>IF(N195="","",IF(M195=0,INDEX(Equipamentos!$T$2:$T$61,N195),IF(INDEX(TrocasEquip!$H$2:$H$1000,M195)="",INDEX(Equipamentos!$T$2:$T$61,N195),INDEX(TrocasEquip!$H$2:$H$1000,M195))))</f>
        <v/>
      </c>
    </row>
    <row r="196">
      <c r="A196" s="54" t="n"/>
      <c r="B196" s="55" t="n"/>
      <c r="C196">
        <f>IF(B196="","",IF(N196="","posição não encontrada",IF(M196=0,INDEX(Equipamentos!$S$2:$S$61,N196),INDEX(TrocasEquip!$G$2:$G$1000,M196))))</f>
        <v/>
      </c>
      <c r="D196" s="56">
        <f>IF(OR(A196="",N196=""),"",P196+IF(E196="dias",MAX(0,A196-O196),IF(INDEX(Equipamentos!$D$2:$D$61,N196)=2,SUMIFS(Producao!$D:$D,Producao!$A:$A,"&gt;="&amp;O196,Producao!$A:$A,"&lt;"&amp;A196),IF(INDEX(Equipamentos!$D$2:$D$61,N196)=3,SUMIFS(Producao!$E:$E,Producao!$A:$A,"&gt;="&amp;O196,Producao!$A:$A,"&lt;"&amp;A196),SUMIFS(Producao!$B:$B,Producao!$A:$A,"&gt;="&amp;O196,Producao!$A:$A,"&lt;"&amp;A196)))))</f>
        <v/>
      </c>
      <c r="E196">
        <f>IF(N196="","",INDEX(Equipamentos!$C$2:$C$61,N196))</f>
        <v/>
      </c>
      <c r="F196" s="57">
        <f>IF(OR(D196="",N(Q196)&lt;=0),"",D196/Q196)</f>
        <v/>
      </c>
      <c r="G196" s="55" t="n"/>
      <c r="H196" s="58" t="n"/>
      <c r="I196" s="58" t="n"/>
      <c r="J196" s="55" t="n"/>
      <c r="K196" s="55" t="n"/>
      <c r="L196">
        <f>IF(OR(A196="",B196=""),"",_xlfn.MAXIFS(TrocasEquip!$A$2:$A$1000,TrocasEquip!$B$2:$B$1000,B196,TrocasEquip!$A$2:$A$1000,"&lt;"&amp;A196))</f>
        <v/>
      </c>
      <c r="M196">
        <f>IF(N(L196)=0,0,MATCH(1,INDEX((TrocasEquip!$B$2:$B$1000=B196)*(TrocasEquip!$A$2:$A$1000=L196),0),0))</f>
        <v/>
      </c>
      <c r="N196">
        <f>IF(B196="","",IFERROR(MATCH(B196,Equipamentos!$P$2:$P$61,0),""))</f>
        <v/>
      </c>
      <c r="O196">
        <f>IF(N196="","",IF(M196=0,INDEX(Equipamentos!$U$2:$U$61,N196),L196))</f>
        <v/>
      </c>
      <c r="P196">
        <f>IF(N196="","",IF(M196=0,N(INDEX(Equipamentos!$V$2:$V$61,N196)),N(INDEX(TrocasEquip!$I$2:$I$1000,M196))))</f>
        <v/>
      </c>
      <c r="Q196">
        <f>IF(N196="","",IF(M196=0,INDEX(Equipamentos!$T$2:$T$61,N196),IF(INDEX(TrocasEquip!$H$2:$H$1000,M196)="",INDEX(Equipamentos!$T$2:$T$61,N196),INDEX(TrocasEquip!$H$2:$H$1000,M196))))</f>
        <v/>
      </c>
    </row>
    <row r="197">
      <c r="A197" s="54" t="n"/>
      <c r="B197" s="55" t="n"/>
      <c r="C197">
        <f>IF(B197="","",IF(N197="","posição não encontrada",IF(M197=0,INDEX(Equipamentos!$S$2:$S$61,N197),INDEX(TrocasEquip!$G$2:$G$1000,M197))))</f>
        <v/>
      </c>
      <c r="D197" s="56">
        <f>IF(OR(A197="",N197=""),"",P197+IF(E197="dias",MAX(0,A197-O197),IF(INDEX(Equipamentos!$D$2:$D$61,N197)=2,SUMIFS(Producao!$D:$D,Producao!$A:$A,"&gt;="&amp;O197,Producao!$A:$A,"&lt;"&amp;A197),IF(INDEX(Equipamentos!$D$2:$D$61,N197)=3,SUMIFS(Producao!$E:$E,Producao!$A:$A,"&gt;="&amp;O197,Producao!$A:$A,"&lt;"&amp;A197),SUMIFS(Producao!$B:$B,Producao!$A:$A,"&gt;="&amp;O197,Producao!$A:$A,"&lt;"&amp;A197)))))</f>
        <v/>
      </c>
      <c r="E197">
        <f>IF(N197="","",INDEX(Equipamentos!$C$2:$C$61,N197))</f>
        <v/>
      </c>
      <c r="F197" s="57">
        <f>IF(OR(D197="",N(Q197)&lt;=0),"",D197/Q197)</f>
        <v/>
      </c>
      <c r="G197" s="55" t="n"/>
      <c r="H197" s="58" t="n"/>
      <c r="I197" s="58" t="n"/>
      <c r="J197" s="55" t="n"/>
      <c r="K197" s="55" t="n"/>
      <c r="L197">
        <f>IF(OR(A197="",B197=""),"",_xlfn.MAXIFS(TrocasEquip!$A$2:$A$1000,TrocasEquip!$B$2:$B$1000,B197,TrocasEquip!$A$2:$A$1000,"&lt;"&amp;A197))</f>
        <v/>
      </c>
      <c r="M197">
        <f>IF(N(L197)=0,0,MATCH(1,INDEX((TrocasEquip!$B$2:$B$1000=B197)*(TrocasEquip!$A$2:$A$1000=L197),0),0))</f>
        <v/>
      </c>
      <c r="N197">
        <f>IF(B197="","",IFERROR(MATCH(B197,Equipamentos!$P$2:$P$61,0),""))</f>
        <v/>
      </c>
      <c r="O197">
        <f>IF(N197="","",IF(M197=0,INDEX(Equipamentos!$U$2:$U$61,N197),L197))</f>
        <v/>
      </c>
      <c r="P197">
        <f>IF(N197="","",IF(M197=0,N(INDEX(Equipamentos!$V$2:$V$61,N197)),N(INDEX(TrocasEquip!$I$2:$I$1000,M197))))</f>
        <v/>
      </c>
      <c r="Q197">
        <f>IF(N197="","",IF(M197=0,INDEX(Equipamentos!$T$2:$T$61,N197),IF(INDEX(TrocasEquip!$H$2:$H$1000,M197)="",INDEX(Equipamentos!$T$2:$T$61,N197),INDEX(TrocasEquip!$H$2:$H$1000,M197))))</f>
        <v/>
      </c>
    </row>
    <row r="198">
      <c r="A198" s="54" t="n"/>
      <c r="B198" s="55" t="n"/>
      <c r="C198">
        <f>IF(B198="","",IF(N198="","posição não encontrada",IF(M198=0,INDEX(Equipamentos!$S$2:$S$61,N198),INDEX(TrocasEquip!$G$2:$G$1000,M198))))</f>
        <v/>
      </c>
      <c r="D198" s="56">
        <f>IF(OR(A198="",N198=""),"",P198+IF(E198="dias",MAX(0,A198-O198),IF(INDEX(Equipamentos!$D$2:$D$61,N198)=2,SUMIFS(Producao!$D:$D,Producao!$A:$A,"&gt;="&amp;O198,Producao!$A:$A,"&lt;"&amp;A198),IF(INDEX(Equipamentos!$D$2:$D$61,N198)=3,SUMIFS(Producao!$E:$E,Producao!$A:$A,"&gt;="&amp;O198,Producao!$A:$A,"&lt;"&amp;A198),SUMIFS(Producao!$B:$B,Producao!$A:$A,"&gt;="&amp;O198,Producao!$A:$A,"&lt;"&amp;A198)))))</f>
        <v/>
      </c>
      <c r="E198">
        <f>IF(N198="","",INDEX(Equipamentos!$C$2:$C$61,N198))</f>
        <v/>
      </c>
      <c r="F198" s="57">
        <f>IF(OR(D198="",N(Q198)&lt;=0),"",D198/Q198)</f>
        <v/>
      </c>
      <c r="G198" s="55" t="n"/>
      <c r="H198" s="58" t="n"/>
      <c r="I198" s="58" t="n"/>
      <c r="J198" s="55" t="n"/>
      <c r="K198" s="55" t="n"/>
      <c r="L198">
        <f>IF(OR(A198="",B198=""),"",_xlfn.MAXIFS(TrocasEquip!$A$2:$A$1000,TrocasEquip!$B$2:$B$1000,B198,TrocasEquip!$A$2:$A$1000,"&lt;"&amp;A198))</f>
        <v/>
      </c>
      <c r="M198">
        <f>IF(N(L198)=0,0,MATCH(1,INDEX((TrocasEquip!$B$2:$B$1000=B198)*(TrocasEquip!$A$2:$A$1000=L198),0),0))</f>
        <v/>
      </c>
      <c r="N198">
        <f>IF(B198="","",IFERROR(MATCH(B198,Equipamentos!$P$2:$P$61,0),""))</f>
        <v/>
      </c>
      <c r="O198">
        <f>IF(N198="","",IF(M198=0,INDEX(Equipamentos!$U$2:$U$61,N198),L198))</f>
        <v/>
      </c>
      <c r="P198">
        <f>IF(N198="","",IF(M198=0,N(INDEX(Equipamentos!$V$2:$V$61,N198)),N(INDEX(TrocasEquip!$I$2:$I$1000,M198))))</f>
        <v/>
      </c>
      <c r="Q198">
        <f>IF(N198="","",IF(M198=0,INDEX(Equipamentos!$T$2:$T$61,N198),IF(INDEX(TrocasEquip!$H$2:$H$1000,M198)="",INDEX(Equipamentos!$T$2:$T$61,N198),INDEX(TrocasEquip!$H$2:$H$1000,M198))))</f>
        <v/>
      </c>
    </row>
    <row r="199">
      <c r="A199" s="54" t="n"/>
      <c r="B199" s="55" t="n"/>
      <c r="C199">
        <f>IF(B199="","",IF(N199="","posição não encontrada",IF(M199=0,INDEX(Equipamentos!$S$2:$S$61,N199),INDEX(TrocasEquip!$G$2:$G$1000,M199))))</f>
        <v/>
      </c>
      <c r="D199" s="56">
        <f>IF(OR(A199="",N199=""),"",P199+IF(E199="dias",MAX(0,A199-O199),IF(INDEX(Equipamentos!$D$2:$D$61,N199)=2,SUMIFS(Producao!$D:$D,Producao!$A:$A,"&gt;="&amp;O199,Producao!$A:$A,"&lt;"&amp;A199),IF(INDEX(Equipamentos!$D$2:$D$61,N199)=3,SUMIFS(Producao!$E:$E,Producao!$A:$A,"&gt;="&amp;O199,Producao!$A:$A,"&lt;"&amp;A199),SUMIFS(Producao!$B:$B,Producao!$A:$A,"&gt;="&amp;O199,Producao!$A:$A,"&lt;"&amp;A199)))))</f>
        <v/>
      </c>
      <c r="E199">
        <f>IF(N199="","",INDEX(Equipamentos!$C$2:$C$61,N199))</f>
        <v/>
      </c>
      <c r="F199" s="57">
        <f>IF(OR(D199="",N(Q199)&lt;=0),"",D199/Q199)</f>
        <v/>
      </c>
      <c r="G199" s="55" t="n"/>
      <c r="H199" s="58" t="n"/>
      <c r="I199" s="58" t="n"/>
      <c r="J199" s="55" t="n"/>
      <c r="K199" s="55" t="n"/>
      <c r="L199">
        <f>IF(OR(A199="",B199=""),"",_xlfn.MAXIFS(TrocasEquip!$A$2:$A$1000,TrocasEquip!$B$2:$B$1000,B199,TrocasEquip!$A$2:$A$1000,"&lt;"&amp;A199))</f>
        <v/>
      </c>
      <c r="M199">
        <f>IF(N(L199)=0,0,MATCH(1,INDEX((TrocasEquip!$B$2:$B$1000=B199)*(TrocasEquip!$A$2:$A$1000=L199),0),0))</f>
        <v/>
      </c>
      <c r="N199">
        <f>IF(B199="","",IFERROR(MATCH(B199,Equipamentos!$P$2:$P$61,0),""))</f>
        <v/>
      </c>
      <c r="O199">
        <f>IF(N199="","",IF(M199=0,INDEX(Equipamentos!$U$2:$U$61,N199),L199))</f>
        <v/>
      </c>
      <c r="P199">
        <f>IF(N199="","",IF(M199=0,N(INDEX(Equipamentos!$V$2:$V$61,N199)),N(INDEX(TrocasEquip!$I$2:$I$1000,M199))))</f>
        <v/>
      </c>
      <c r="Q199">
        <f>IF(N199="","",IF(M199=0,INDEX(Equipamentos!$T$2:$T$61,N199),IF(INDEX(TrocasEquip!$H$2:$H$1000,M199)="",INDEX(Equipamentos!$T$2:$T$61,N199),INDEX(TrocasEquip!$H$2:$H$1000,M199))))</f>
        <v/>
      </c>
    </row>
    <row r="200">
      <c r="A200" s="54" t="n"/>
      <c r="B200" s="55" t="n"/>
      <c r="C200">
        <f>IF(B200="","",IF(N200="","posição não encontrada",IF(M200=0,INDEX(Equipamentos!$S$2:$S$61,N200),INDEX(TrocasEquip!$G$2:$G$1000,M200))))</f>
        <v/>
      </c>
      <c r="D200" s="56">
        <f>IF(OR(A200="",N200=""),"",P200+IF(E200="dias",MAX(0,A200-O200),IF(INDEX(Equipamentos!$D$2:$D$61,N200)=2,SUMIFS(Producao!$D:$D,Producao!$A:$A,"&gt;="&amp;O200,Producao!$A:$A,"&lt;"&amp;A200),IF(INDEX(Equipamentos!$D$2:$D$61,N200)=3,SUMIFS(Producao!$E:$E,Producao!$A:$A,"&gt;="&amp;O200,Producao!$A:$A,"&lt;"&amp;A200),SUMIFS(Producao!$B:$B,Producao!$A:$A,"&gt;="&amp;O200,Producao!$A:$A,"&lt;"&amp;A200)))))</f>
        <v/>
      </c>
      <c r="E200">
        <f>IF(N200="","",INDEX(Equipamentos!$C$2:$C$61,N200))</f>
        <v/>
      </c>
      <c r="F200" s="57">
        <f>IF(OR(D200="",N(Q200)&lt;=0),"",D200/Q200)</f>
        <v/>
      </c>
      <c r="G200" s="55" t="n"/>
      <c r="H200" s="58" t="n"/>
      <c r="I200" s="58" t="n"/>
      <c r="J200" s="55" t="n"/>
      <c r="K200" s="55" t="n"/>
      <c r="L200">
        <f>IF(OR(A200="",B200=""),"",_xlfn.MAXIFS(TrocasEquip!$A$2:$A$1000,TrocasEquip!$B$2:$B$1000,B200,TrocasEquip!$A$2:$A$1000,"&lt;"&amp;A200))</f>
        <v/>
      </c>
      <c r="M200">
        <f>IF(N(L200)=0,0,MATCH(1,INDEX((TrocasEquip!$B$2:$B$1000=B200)*(TrocasEquip!$A$2:$A$1000=L200),0),0))</f>
        <v/>
      </c>
      <c r="N200">
        <f>IF(B200="","",IFERROR(MATCH(B200,Equipamentos!$P$2:$P$61,0),""))</f>
        <v/>
      </c>
      <c r="O200">
        <f>IF(N200="","",IF(M200=0,INDEX(Equipamentos!$U$2:$U$61,N200),L200))</f>
        <v/>
      </c>
      <c r="P200">
        <f>IF(N200="","",IF(M200=0,N(INDEX(Equipamentos!$V$2:$V$61,N200)),N(INDEX(TrocasEquip!$I$2:$I$1000,M200))))</f>
        <v/>
      </c>
      <c r="Q200">
        <f>IF(N200="","",IF(M200=0,INDEX(Equipamentos!$T$2:$T$61,N200),IF(INDEX(TrocasEquip!$H$2:$H$1000,M200)="",INDEX(Equipamentos!$T$2:$T$61,N200),INDEX(TrocasEquip!$H$2:$H$1000,M200))))</f>
        <v/>
      </c>
    </row>
    <row r="201">
      <c r="A201" s="54" t="n"/>
      <c r="B201" s="55" t="n"/>
      <c r="C201">
        <f>IF(B201="","",IF(N201="","posição não encontrada",IF(M201=0,INDEX(Equipamentos!$S$2:$S$61,N201),INDEX(TrocasEquip!$G$2:$G$1000,M201))))</f>
        <v/>
      </c>
      <c r="D201" s="56">
        <f>IF(OR(A201="",N201=""),"",P201+IF(E201="dias",MAX(0,A201-O201),IF(INDEX(Equipamentos!$D$2:$D$61,N201)=2,SUMIFS(Producao!$D:$D,Producao!$A:$A,"&gt;="&amp;O201,Producao!$A:$A,"&lt;"&amp;A201),IF(INDEX(Equipamentos!$D$2:$D$61,N201)=3,SUMIFS(Producao!$E:$E,Producao!$A:$A,"&gt;="&amp;O201,Producao!$A:$A,"&lt;"&amp;A201),SUMIFS(Producao!$B:$B,Producao!$A:$A,"&gt;="&amp;O201,Producao!$A:$A,"&lt;"&amp;A201)))))</f>
        <v/>
      </c>
      <c r="E201">
        <f>IF(N201="","",INDEX(Equipamentos!$C$2:$C$61,N201))</f>
        <v/>
      </c>
      <c r="F201" s="57">
        <f>IF(OR(D201="",N(Q201)&lt;=0),"",D201/Q201)</f>
        <v/>
      </c>
      <c r="G201" s="55" t="n"/>
      <c r="H201" s="58" t="n"/>
      <c r="I201" s="58" t="n"/>
      <c r="J201" s="55" t="n"/>
      <c r="K201" s="55" t="n"/>
      <c r="L201">
        <f>IF(OR(A201="",B201=""),"",_xlfn.MAXIFS(TrocasEquip!$A$2:$A$1000,TrocasEquip!$B$2:$B$1000,B201,TrocasEquip!$A$2:$A$1000,"&lt;"&amp;A201))</f>
        <v/>
      </c>
      <c r="M201">
        <f>IF(N(L201)=0,0,MATCH(1,INDEX((TrocasEquip!$B$2:$B$1000=B201)*(TrocasEquip!$A$2:$A$1000=L201),0),0))</f>
        <v/>
      </c>
      <c r="N201">
        <f>IF(B201="","",IFERROR(MATCH(B201,Equipamentos!$P$2:$P$61,0),""))</f>
        <v/>
      </c>
      <c r="O201">
        <f>IF(N201="","",IF(M201=0,INDEX(Equipamentos!$U$2:$U$61,N201),L201))</f>
        <v/>
      </c>
      <c r="P201">
        <f>IF(N201="","",IF(M201=0,N(INDEX(Equipamentos!$V$2:$V$61,N201)),N(INDEX(TrocasEquip!$I$2:$I$1000,M201))))</f>
        <v/>
      </c>
      <c r="Q201">
        <f>IF(N201="","",IF(M201=0,INDEX(Equipamentos!$T$2:$T$61,N201),IF(INDEX(TrocasEquip!$H$2:$H$1000,M201)="",INDEX(Equipamentos!$T$2:$T$61,N201),INDEX(TrocasEquip!$H$2:$H$1000,M201))))</f>
        <v/>
      </c>
    </row>
    <row r="202">
      <c r="A202" s="54" t="n"/>
      <c r="B202" s="55" t="n"/>
      <c r="C202">
        <f>IF(B202="","",IF(N202="","posição não encontrada",IF(M202=0,INDEX(Equipamentos!$S$2:$S$61,N202),INDEX(TrocasEquip!$G$2:$G$1000,M202))))</f>
        <v/>
      </c>
      <c r="D202" s="56">
        <f>IF(OR(A202="",N202=""),"",P202+IF(E202="dias",MAX(0,A202-O202),IF(INDEX(Equipamentos!$D$2:$D$61,N202)=2,SUMIFS(Producao!$D:$D,Producao!$A:$A,"&gt;="&amp;O202,Producao!$A:$A,"&lt;"&amp;A202),IF(INDEX(Equipamentos!$D$2:$D$61,N202)=3,SUMIFS(Producao!$E:$E,Producao!$A:$A,"&gt;="&amp;O202,Producao!$A:$A,"&lt;"&amp;A202),SUMIFS(Producao!$B:$B,Producao!$A:$A,"&gt;="&amp;O202,Producao!$A:$A,"&lt;"&amp;A202)))))</f>
        <v/>
      </c>
      <c r="E202">
        <f>IF(N202="","",INDEX(Equipamentos!$C$2:$C$61,N202))</f>
        <v/>
      </c>
      <c r="F202" s="57">
        <f>IF(OR(D202="",N(Q202)&lt;=0),"",D202/Q202)</f>
        <v/>
      </c>
      <c r="G202" s="55" t="n"/>
      <c r="H202" s="58" t="n"/>
      <c r="I202" s="58" t="n"/>
      <c r="J202" s="55" t="n"/>
      <c r="K202" s="55" t="n"/>
      <c r="L202">
        <f>IF(OR(A202="",B202=""),"",_xlfn.MAXIFS(TrocasEquip!$A$2:$A$1000,TrocasEquip!$B$2:$B$1000,B202,TrocasEquip!$A$2:$A$1000,"&lt;"&amp;A202))</f>
        <v/>
      </c>
      <c r="M202">
        <f>IF(N(L202)=0,0,MATCH(1,INDEX((TrocasEquip!$B$2:$B$1000=B202)*(TrocasEquip!$A$2:$A$1000=L202),0),0))</f>
        <v/>
      </c>
      <c r="N202">
        <f>IF(B202="","",IFERROR(MATCH(B202,Equipamentos!$P$2:$P$61,0),""))</f>
        <v/>
      </c>
      <c r="O202">
        <f>IF(N202="","",IF(M202=0,INDEX(Equipamentos!$U$2:$U$61,N202),L202))</f>
        <v/>
      </c>
      <c r="P202">
        <f>IF(N202="","",IF(M202=0,N(INDEX(Equipamentos!$V$2:$V$61,N202)),N(INDEX(TrocasEquip!$I$2:$I$1000,M202))))</f>
        <v/>
      </c>
      <c r="Q202">
        <f>IF(N202="","",IF(M202=0,INDEX(Equipamentos!$T$2:$T$61,N202),IF(INDEX(TrocasEquip!$H$2:$H$1000,M202)="",INDEX(Equipamentos!$T$2:$T$61,N202),INDEX(TrocasEquip!$H$2:$H$1000,M202))))</f>
        <v/>
      </c>
    </row>
    <row r="203">
      <c r="A203" s="54" t="n"/>
      <c r="B203" s="55" t="n"/>
      <c r="C203">
        <f>IF(B203="","",IF(N203="","posição não encontrada",IF(M203=0,INDEX(Equipamentos!$S$2:$S$61,N203),INDEX(TrocasEquip!$G$2:$G$1000,M203))))</f>
        <v/>
      </c>
      <c r="D203" s="56">
        <f>IF(OR(A203="",N203=""),"",P203+IF(E203="dias",MAX(0,A203-O203),IF(INDEX(Equipamentos!$D$2:$D$61,N203)=2,SUMIFS(Producao!$D:$D,Producao!$A:$A,"&gt;="&amp;O203,Producao!$A:$A,"&lt;"&amp;A203),IF(INDEX(Equipamentos!$D$2:$D$61,N203)=3,SUMIFS(Producao!$E:$E,Producao!$A:$A,"&gt;="&amp;O203,Producao!$A:$A,"&lt;"&amp;A203),SUMIFS(Producao!$B:$B,Producao!$A:$A,"&gt;="&amp;O203,Producao!$A:$A,"&lt;"&amp;A203)))))</f>
        <v/>
      </c>
      <c r="E203">
        <f>IF(N203="","",INDEX(Equipamentos!$C$2:$C$61,N203))</f>
        <v/>
      </c>
      <c r="F203" s="57">
        <f>IF(OR(D203="",N(Q203)&lt;=0),"",D203/Q203)</f>
        <v/>
      </c>
      <c r="G203" s="55" t="n"/>
      <c r="H203" s="58" t="n"/>
      <c r="I203" s="58" t="n"/>
      <c r="J203" s="55" t="n"/>
      <c r="K203" s="55" t="n"/>
      <c r="L203">
        <f>IF(OR(A203="",B203=""),"",_xlfn.MAXIFS(TrocasEquip!$A$2:$A$1000,TrocasEquip!$B$2:$B$1000,B203,TrocasEquip!$A$2:$A$1000,"&lt;"&amp;A203))</f>
        <v/>
      </c>
      <c r="M203">
        <f>IF(N(L203)=0,0,MATCH(1,INDEX((TrocasEquip!$B$2:$B$1000=B203)*(TrocasEquip!$A$2:$A$1000=L203),0),0))</f>
        <v/>
      </c>
      <c r="N203">
        <f>IF(B203="","",IFERROR(MATCH(B203,Equipamentos!$P$2:$P$61,0),""))</f>
        <v/>
      </c>
      <c r="O203">
        <f>IF(N203="","",IF(M203=0,INDEX(Equipamentos!$U$2:$U$61,N203),L203))</f>
        <v/>
      </c>
      <c r="P203">
        <f>IF(N203="","",IF(M203=0,N(INDEX(Equipamentos!$V$2:$V$61,N203)),N(INDEX(TrocasEquip!$I$2:$I$1000,M203))))</f>
        <v/>
      </c>
      <c r="Q203">
        <f>IF(N203="","",IF(M203=0,INDEX(Equipamentos!$T$2:$T$61,N203),IF(INDEX(TrocasEquip!$H$2:$H$1000,M203)="",INDEX(Equipamentos!$T$2:$T$61,N203),INDEX(TrocasEquip!$H$2:$H$1000,M203))))</f>
        <v/>
      </c>
    </row>
    <row r="204">
      <c r="A204" s="54" t="n"/>
      <c r="B204" s="55" t="n"/>
      <c r="C204">
        <f>IF(B204="","",IF(N204="","posição não encontrada",IF(M204=0,INDEX(Equipamentos!$S$2:$S$61,N204),INDEX(TrocasEquip!$G$2:$G$1000,M204))))</f>
        <v/>
      </c>
      <c r="D204" s="56">
        <f>IF(OR(A204="",N204=""),"",P204+IF(E204="dias",MAX(0,A204-O204),IF(INDEX(Equipamentos!$D$2:$D$61,N204)=2,SUMIFS(Producao!$D:$D,Producao!$A:$A,"&gt;="&amp;O204,Producao!$A:$A,"&lt;"&amp;A204),IF(INDEX(Equipamentos!$D$2:$D$61,N204)=3,SUMIFS(Producao!$E:$E,Producao!$A:$A,"&gt;="&amp;O204,Producao!$A:$A,"&lt;"&amp;A204),SUMIFS(Producao!$B:$B,Producao!$A:$A,"&gt;="&amp;O204,Producao!$A:$A,"&lt;"&amp;A204)))))</f>
        <v/>
      </c>
      <c r="E204">
        <f>IF(N204="","",INDEX(Equipamentos!$C$2:$C$61,N204))</f>
        <v/>
      </c>
      <c r="F204" s="57">
        <f>IF(OR(D204="",N(Q204)&lt;=0),"",D204/Q204)</f>
        <v/>
      </c>
      <c r="G204" s="55" t="n"/>
      <c r="H204" s="58" t="n"/>
      <c r="I204" s="58" t="n"/>
      <c r="J204" s="55" t="n"/>
      <c r="K204" s="55" t="n"/>
      <c r="L204">
        <f>IF(OR(A204="",B204=""),"",_xlfn.MAXIFS(TrocasEquip!$A$2:$A$1000,TrocasEquip!$B$2:$B$1000,B204,TrocasEquip!$A$2:$A$1000,"&lt;"&amp;A204))</f>
        <v/>
      </c>
      <c r="M204">
        <f>IF(N(L204)=0,0,MATCH(1,INDEX((TrocasEquip!$B$2:$B$1000=B204)*(TrocasEquip!$A$2:$A$1000=L204),0),0))</f>
        <v/>
      </c>
      <c r="N204">
        <f>IF(B204="","",IFERROR(MATCH(B204,Equipamentos!$P$2:$P$61,0),""))</f>
        <v/>
      </c>
      <c r="O204">
        <f>IF(N204="","",IF(M204=0,INDEX(Equipamentos!$U$2:$U$61,N204),L204))</f>
        <v/>
      </c>
      <c r="P204">
        <f>IF(N204="","",IF(M204=0,N(INDEX(Equipamentos!$V$2:$V$61,N204)),N(INDEX(TrocasEquip!$I$2:$I$1000,M204))))</f>
        <v/>
      </c>
      <c r="Q204">
        <f>IF(N204="","",IF(M204=0,INDEX(Equipamentos!$T$2:$T$61,N204),IF(INDEX(TrocasEquip!$H$2:$H$1000,M204)="",INDEX(Equipamentos!$T$2:$T$61,N204),INDEX(TrocasEquip!$H$2:$H$1000,M204))))</f>
        <v/>
      </c>
    </row>
    <row r="205">
      <c r="A205" s="54" t="n"/>
      <c r="B205" s="55" t="n"/>
      <c r="C205">
        <f>IF(B205="","",IF(N205="","posição não encontrada",IF(M205=0,INDEX(Equipamentos!$S$2:$S$61,N205),INDEX(TrocasEquip!$G$2:$G$1000,M205))))</f>
        <v/>
      </c>
      <c r="D205" s="56">
        <f>IF(OR(A205="",N205=""),"",P205+IF(E205="dias",MAX(0,A205-O205),IF(INDEX(Equipamentos!$D$2:$D$61,N205)=2,SUMIFS(Producao!$D:$D,Producao!$A:$A,"&gt;="&amp;O205,Producao!$A:$A,"&lt;"&amp;A205),IF(INDEX(Equipamentos!$D$2:$D$61,N205)=3,SUMIFS(Producao!$E:$E,Producao!$A:$A,"&gt;="&amp;O205,Producao!$A:$A,"&lt;"&amp;A205),SUMIFS(Producao!$B:$B,Producao!$A:$A,"&gt;="&amp;O205,Producao!$A:$A,"&lt;"&amp;A205)))))</f>
        <v/>
      </c>
      <c r="E205">
        <f>IF(N205="","",INDEX(Equipamentos!$C$2:$C$61,N205))</f>
        <v/>
      </c>
      <c r="F205" s="57">
        <f>IF(OR(D205="",N(Q205)&lt;=0),"",D205/Q205)</f>
        <v/>
      </c>
      <c r="G205" s="55" t="n"/>
      <c r="H205" s="58" t="n"/>
      <c r="I205" s="58" t="n"/>
      <c r="J205" s="55" t="n"/>
      <c r="K205" s="55" t="n"/>
      <c r="L205">
        <f>IF(OR(A205="",B205=""),"",_xlfn.MAXIFS(TrocasEquip!$A$2:$A$1000,TrocasEquip!$B$2:$B$1000,B205,TrocasEquip!$A$2:$A$1000,"&lt;"&amp;A205))</f>
        <v/>
      </c>
      <c r="M205">
        <f>IF(N(L205)=0,0,MATCH(1,INDEX((TrocasEquip!$B$2:$B$1000=B205)*(TrocasEquip!$A$2:$A$1000=L205),0),0))</f>
        <v/>
      </c>
      <c r="N205">
        <f>IF(B205="","",IFERROR(MATCH(B205,Equipamentos!$P$2:$P$61,0),""))</f>
        <v/>
      </c>
      <c r="O205">
        <f>IF(N205="","",IF(M205=0,INDEX(Equipamentos!$U$2:$U$61,N205),L205))</f>
        <v/>
      </c>
      <c r="P205">
        <f>IF(N205="","",IF(M205=0,N(INDEX(Equipamentos!$V$2:$V$61,N205)),N(INDEX(TrocasEquip!$I$2:$I$1000,M205))))</f>
        <v/>
      </c>
      <c r="Q205">
        <f>IF(N205="","",IF(M205=0,INDEX(Equipamentos!$T$2:$T$61,N205),IF(INDEX(TrocasEquip!$H$2:$H$1000,M205)="",INDEX(Equipamentos!$T$2:$T$61,N205),INDEX(TrocasEquip!$H$2:$H$1000,M205))))</f>
        <v/>
      </c>
    </row>
    <row r="206">
      <c r="A206" s="54" t="n"/>
      <c r="B206" s="55" t="n"/>
      <c r="C206">
        <f>IF(B206="","",IF(N206="","posição não encontrada",IF(M206=0,INDEX(Equipamentos!$S$2:$S$61,N206),INDEX(TrocasEquip!$G$2:$G$1000,M206))))</f>
        <v/>
      </c>
      <c r="D206" s="56">
        <f>IF(OR(A206="",N206=""),"",P206+IF(E206="dias",MAX(0,A206-O206),IF(INDEX(Equipamentos!$D$2:$D$61,N206)=2,SUMIFS(Producao!$D:$D,Producao!$A:$A,"&gt;="&amp;O206,Producao!$A:$A,"&lt;"&amp;A206),IF(INDEX(Equipamentos!$D$2:$D$61,N206)=3,SUMIFS(Producao!$E:$E,Producao!$A:$A,"&gt;="&amp;O206,Producao!$A:$A,"&lt;"&amp;A206),SUMIFS(Producao!$B:$B,Producao!$A:$A,"&gt;="&amp;O206,Producao!$A:$A,"&lt;"&amp;A206)))))</f>
        <v/>
      </c>
      <c r="E206">
        <f>IF(N206="","",INDEX(Equipamentos!$C$2:$C$61,N206))</f>
        <v/>
      </c>
      <c r="F206" s="57">
        <f>IF(OR(D206="",N(Q206)&lt;=0),"",D206/Q206)</f>
        <v/>
      </c>
      <c r="G206" s="55" t="n"/>
      <c r="H206" s="58" t="n"/>
      <c r="I206" s="58" t="n"/>
      <c r="J206" s="55" t="n"/>
      <c r="K206" s="55" t="n"/>
      <c r="L206">
        <f>IF(OR(A206="",B206=""),"",_xlfn.MAXIFS(TrocasEquip!$A$2:$A$1000,TrocasEquip!$B$2:$B$1000,B206,TrocasEquip!$A$2:$A$1000,"&lt;"&amp;A206))</f>
        <v/>
      </c>
      <c r="M206">
        <f>IF(N(L206)=0,0,MATCH(1,INDEX((TrocasEquip!$B$2:$B$1000=B206)*(TrocasEquip!$A$2:$A$1000=L206),0),0))</f>
        <v/>
      </c>
      <c r="N206">
        <f>IF(B206="","",IFERROR(MATCH(B206,Equipamentos!$P$2:$P$61,0),""))</f>
        <v/>
      </c>
      <c r="O206">
        <f>IF(N206="","",IF(M206=0,INDEX(Equipamentos!$U$2:$U$61,N206),L206))</f>
        <v/>
      </c>
      <c r="P206">
        <f>IF(N206="","",IF(M206=0,N(INDEX(Equipamentos!$V$2:$V$61,N206)),N(INDEX(TrocasEquip!$I$2:$I$1000,M206))))</f>
        <v/>
      </c>
      <c r="Q206">
        <f>IF(N206="","",IF(M206=0,INDEX(Equipamentos!$T$2:$T$61,N206),IF(INDEX(TrocasEquip!$H$2:$H$1000,M206)="",INDEX(Equipamentos!$T$2:$T$61,N206),INDEX(TrocasEquip!$H$2:$H$1000,M206))))</f>
        <v/>
      </c>
    </row>
    <row r="207">
      <c r="A207" s="54" t="n"/>
      <c r="B207" s="55" t="n"/>
      <c r="C207">
        <f>IF(B207="","",IF(N207="","posição não encontrada",IF(M207=0,INDEX(Equipamentos!$S$2:$S$61,N207),INDEX(TrocasEquip!$G$2:$G$1000,M207))))</f>
        <v/>
      </c>
      <c r="D207" s="56">
        <f>IF(OR(A207="",N207=""),"",P207+IF(E207="dias",MAX(0,A207-O207),IF(INDEX(Equipamentos!$D$2:$D$61,N207)=2,SUMIFS(Producao!$D:$D,Producao!$A:$A,"&gt;="&amp;O207,Producao!$A:$A,"&lt;"&amp;A207),IF(INDEX(Equipamentos!$D$2:$D$61,N207)=3,SUMIFS(Producao!$E:$E,Producao!$A:$A,"&gt;="&amp;O207,Producao!$A:$A,"&lt;"&amp;A207),SUMIFS(Producao!$B:$B,Producao!$A:$A,"&gt;="&amp;O207,Producao!$A:$A,"&lt;"&amp;A207)))))</f>
        <v/>
      </c>
      <c r="E207">
        <f>IF(N207="","",INDEX(Equipamentos!$C$2:$C$61,N207))</f>
        <v/>
      </c>
      <c r="F207" s="57">
        <f>IF(OR(D207="",N(Q207)&lt;=0),"",D207/Q207)</f>
        <v/>
      </c>
      <c r="G207" s="55" t="n"/>
      <c r="H207" s="58" t="n"/>
      <c r="I207" s="58" t="n"/>
      <c r="J207" s="55" t="n"/>
      <c r="K207" s="55" t="n"/>
      <c r="L207">
        <f>IF(OR(A207="",B207=""),"",_xlfn.MAXIFS(TrocasEquip!$A$2:$A$1000,TrocasEquip!$B$2:$B$1000,B207,TrocasEquip!$A$2:$A$1000,"&lt;"&amp;A207))</f>
        <v/>
      </c>
      <c r="M207">
        <f>IF(N(L207)=0,0,MATCH(1,INDEX((TrocasEquip!$B$2:$B$1000=B207)*(TrocasEquip!$A$2:$A$1000=L207),0),0))</f>
        <v/>
      </c>
      <c r="N207">
        <f>IF(B207="","",IFERROR(MATCH(B207,Equipamentos!$P$2:$P$61,0),""))</f>
        <v/>
      </c>
      <c r="O207">
        <f>IF(N207="","",IF(M207=0,INDEX(Equipamentos!$U$2:$U$61,N207),L207))</f>
        <v/>
      </c>
      <c r="P207">
        <f>IF(N207="","",IF(M207=0,N(INDEX(Equipamentos!$V$2:$V$61,N207)),N(INDEX(TrocasEquip!$I$2:$I$1000,M207))))</f>
        <v/>
      </c>
      <c r="Q207">
        <f>IF(N207="","",IF(M207=0,INDEX(Equipamentos!$T$2:$T$61,N207),IF(INDEX(TrocasEquip!$H$2:$H$1000,M207)="",INDEX(Equipamentos!$T$2:$T$61,N207),INDEX(TrocasEquip!$H$2:$H$1000,M207))))</f>
        <v/>
      </c>
    </row>
    <row r="208">
      <c r="A208" s="54" t="n"/>
      <c r="B208" s="55" t="n"/>
      <c r="C208">
        <f>IF(B208="","",IF(N208="","posição não encontrada",IF(M208=0,INDEX(Equipamentos!$S$2:$S$61,N208),INDEX(TrocasEquip!$G$2:$G$1000,M208))))</f>
        <v/>
      </c>
      <c r="D208" s="56">
        <f>IF(OR(A208="",N208=""),"",P208+IF(E208="dias",MAX(0,A208-O208),IF(INDEX(Equipamentos!$D$2:$D$61,N208)=2,SUMIFS(Producao!$D:$D,Producao!$A:$A,"&gt;="&amp;O208,Producao!$A:$A,"&lt;"&amp;A208),IF(INDEX(Equipamentos!$D$2:$D$61,N208)=3,SUMIFS(Producao!$E:$E,Producao!$A:$A,"&gt;="&amp;O208,Producao!$A:$A,"&lt;"&amp;A208),SUMIFS(Producao!$B:$B,Producao!$A:$A,"&gt;="&amp;O208,Producao!$A:$A,"&lt;"&amp;A208)))))</f>
        <v/>
      </c>
      <c r="E208">
        <f>IF(N208="","",INDEX(Equipamentos!$C$2:$C$61,N208))</f>
        <v/>
      </c>
      <c r="F208" s="57">
        <f>IF(OR(D208="",N(Q208)&lt;=0),"",D208/Q208)</f>
        <v/>
      </c>
      <c r="G208" s="55" t="n"/>
      <c r="H208" s="58" t="n"/>
      <c r="I208" s="58" t="n"/>
      <c r="J208" s="55" t="n"/>
      <c r="K208" s="55" t="n"/>
      <c r="L208">
        <f>IF(OR(A208="",B208=""),"",_xlfn.MAXIFS(TrocasEquip!$A$2:$A$1000,TrocasEquip!$B$2:$B$1000,B208,TrocasEquip!$A$2:$A$1000,"&lt;"&amp;A208))</f>
        <v/>
      </c>
      <c r="M208">
        <f>IF(N(L208)=0,0,MATCH(1,INDEX((TrocasEquip!$B$2:$B$1000=B208)*(TrocasEquip!$A$2:$A$1000=L208),0),0))</f>
        <v/>
      </c>
      <c r="N208">
        <f>IF(B208="","",IFERROR(MATCH(B208,Equipamentos!$P$2:$P$61,0),""))</f>
        <v/>
      </c>
      <c r="O208">
        <f>IF(N208="","",IF(M208=0,INDEX(Equipamentos!$U$2:$U$61,N208),L208))</f>
        <v/>
      </c>
      <c r="P208">
        <f>IF(N208="","",IF(M208=0,N(INDEX(Equipamentos!$V$2:$V$61,N208)),N(INDEX(TrocasEquip!$I$2:$I$1000,M208))))</f>
        <v/>
      </c>
      <c r="Q208">
        <f>IF(N208="","",IF(M208=0,INDEX(Equipamentos!$T$2:$T$61,N208),IF(INDEX(TrocasEquip!$H$2:$H$1000,M208)="",INDEX(Equipamentos!$T$2:$T$61,N208),INDEX(TrocasEquip!$H$2:$H$1000,M208))))</f>
        <v/>
      </c>
    </row>
    <row r="209">
      <c r="A209" s="54" t="n"/>
      <c r="B209" s="55" t="n"/>
      <c r="C209">
        <f>IF(B209="","",IF(N209="","posição não encontrada",IF(M209=0,INDEX(Equipamentos!$S$2:$S$61,N209),INDEX(TrocasEquip!$G$2:$G$1000,M209))))</f>
        <v/>
      </c>
      <c r="D209" s="56">
        <f>IF(OR(A209="",N209=""),"",P209+IF(E209="dias",MAX(0,A209-O209),IF(INDEX(Equipamentos!$D$2:$D$61,N209)=2,SUMIFS(Producao!$D:$D,Producao!$A:$A,"&gt;="&amp;O209,Producao!$A:$A,"&lt;"&amp;A209),IF(INDEX(Equipamentos!$D$2:$D$61,N209)=3,SUMIFS(Producao!$E:$E,Producao!$A:$A,"&gt;="&amp;O209,Producao!$A:$A,"&lt;"&amp;A209),SUMIFS(Producao!$B:$B,Producao!$A:$A,"&gt;="&amp;O209,Producao!$A:$A,"&lt;"&amp;A209)))))</f>
        <v/>
      </c>
      <c r="E209">
        <f>IF(N209="","",INDEX(Equipamentos!$C$2:$C$61,N209))</f>
        <v/>
      </c>
      <c r="F209" s="57">
        <f>IF(OR(D209="",N(Q209)&lt;=0),"",D209/Q209)</f>
        <v/>
      </c>
      <c r="G209" s="55" t="n"/>
      <c r="H209" s="58" t="n"/>
      <c r="I209" s="58" t="n"/>
      <c r="J209" s="55" t="n"/>
      <c r="K209" s="55" t="n"/>
      <c r="L209">
        <f>IF(OR(A209="",B209=""),"",_xlfn.MAXIFS(TrocasEquip!$A$2:$A$1000,TrocasEquip!$B$2:$B$1000,B209,TrocasEquip!$A$2:$A$1000,"&lt;"&amp;A209))</f>
        <v/>
      </c>
      <c r="M209">
        <f>IF(N(L209)=0,0,MATCH(1,INDEX((TrocasEquip!$B$2:$B$1000=B209)*(TrocasEquip!$A$2:$A$1000=L209),0),0))</f>
        <v/>
      </c>
      <c r="N209">
        <f>IF(B209="","",IFERROR(MATCH(B209,Equipamentos!$P$2:$P$61,0),""))</f>
        <v/>
      </c>
      <c r="O209">
        <f>IF(N209="","",IF(M209=0,INDEX(Equipamentos!$U$2:$U$61,N209),L209))</f>
        <v/>
      </c>
      <c r="P209">
        <f>IF(N209="","",IF(M209=0,N(INDEX(Equipamentos!$V$2:$V$61,N209)),N(INDEX(TrocasEquip!$I$2:$I$1000,M209))))</f>
        <v/>
      </c>
      <c r="Q209">
        <f>IF(N209="","",IF(M209=0,INDEX(Equipamentos!$T$2:$T$61,N209),IF(INDEX(TrocasEquip!$H$2:$H$1000,M209)="",INDEX(Equipamentos!$T$2:$T$61,N209),INDEX(TrocasEquip!$H$2:$H$1000,M209))))</f>
        <v/>
      </c>
    </row>
    <row r="210">
      <c r="A210" s="54" t="n"/>
      <c r="B210" s="55" t="n"/>
      <c r="C210">
        <f>IF(B210="","",IF(N210="","posição não encontrada",IF(M210=0,INDEX(Equipamentos!$S$2:$S$61,N210),INDEX(TrocasEquip!$G$2:$G$1000,M210))))</f>
        <v/>
      </c>
      <c r="D210" s="56">
        <f>IF(OR(A210="",N210=""),"",P210+IF(E210="dias",MAX(0,A210-O210),IF(INDEX(Equipamentos!$D$2:$D$61,N210)=2,SUMIFS(Producao!$D:$D,Producao!$A:$A,"&gt;="&amp;O210,Producao!$A:$A,"&lt;"&amp;A210),IF(INDEX(Equipamentos!$D$2:$D$61,N210)=3,SUMIFS(Producao!$E:$E,Producao!$A:$A,"&gt;="&amp;O210,Producao!$A:$A,"&lt;"&amp;A210),SUMIFS(Producao!$B:$B,Producao!$A:$A,"&gt;="&amp;O210,Producao!$A:$A,"&lt;"&amp;A210)))))</f>
        <v/>
      </c>
      <c r="E210">
        <f>IF(N210="","",INDEX(Equipamentos!$C$2:$C$61,N210))</f>
        <v/>
      </c>
      <c r="F210" s="57">
        <f>IF(OR(D210="",N(Q210)&lt;=0),"",D210/Q210)</f>
        <v/>
      </c>
      <c r="G210" s="55" t="n"/>
      <c r="H210" s="58" t="n"/>
      <c r="I210" s="58" t="n"/>
      <c r="J210" s="55" t="n"/>
      <c r="K210" s="55" t="n"/>
      <c r="L210">
        <f>IF(OR(A210="",B210=""),"",_xlfn.MAXIFS(TrocasEquip!$A$2:$A$1000,TrocasEquip!$B$2:$B$1000,B210,TrocasEquip!$A$2:$A$1000,"&lt;"&amp;A210))</f>
        <v/>
      </c>
      <c r="M210">
        <f>IF(N(L210)=0,0,MATCH(1,INDEX((TrocasEquip!$B$2:$B$1000=B210)*(TrocasEquip!$A$2:$A$1000=L210),0),0))</f>
        <v/>
      </c>
      <c r="N210">
        <f>IF(B210="","",IFERROR(MATCH(B210,Equipamentos!$P$2:$P$61,0),""))</f>
        <v/>
      </c>
      <c r="O210">
        <f>IF(N210="","",IF(M210=0,INDEX(Equipamentos!$U$2:$U$61,N210),L210))</f>
        <v/>
      </c>
      <c r="P210">
        <f>IF(N210="","",IF(M210=0,N(INDEX(Equipamentos!$V$2:$V$61,N210)),N(INDEX(TrocasEquip!$I$2:$I$1000,M210))))</f>
        <v/>
      </c>
      <c r="Q210">
        <f>IF(N210="","",IF(M210=0,INDEX(Equipamentos!$T$2:$T$61,N210),IF(INDEX(TrocasEquip!$H$2:$H$1000,M210)="",INDEX(Equipamentos!$T$2:$T$61,N210),INDEX(TrocasEquip!$H$2:$H$1000,M210))))</f>
        <v/>
      </c>
    </row>
    <row r="211">
      <c r="A211" s="54" t="n"/>
      <c r="B211" s="55" t="n"/>
      <c r="C211">
        <f>IF(B211="","",IF(N211="","posição não encontrada",IF(M211=0,INDEX(Equipamentos!$S$2:$S$61,N211),INDEX(TrocasEquip!$G$2:$G$1000,M211))))</f>
        <v/>
      </c>
      <c r="D211" s="56">
        <f>IF(OR(A211="",N211=""),"",P211+IF(E211="dias",MAX(0,A211-O211),IF(INDEX(Equipamentos!$D$2:$D$61,N211)=2,SUMIFS(Producao!$D:$D,Producao!$A:$A,"&gt;="&amp;O211,Producao!$A:$A,"&lt;"&amp;A211),IF(INDEX(Equipamentos!$D$2:$D$61,N211)=3,SUMIFS(Producao!$E:$E,Producao!$A:$A,"&gt;="&amp;O211,Producao!$A:$A,"&lt;"&amp;A211),SUMIFS(Producao!$B:$B,Producao!$A:$A,"&gt;="&amp;O211,Producao!$A:$A,"&lt;"&amp;A211)))))</f>
        <v/>
      </c>
      <c r="E211">
        <f>IF(N211="","",INDEX(Equipamentos!$C$2:$C$61,N211))</f>
        <v/>
      </c>
      <c r="F211" s="57">
        <f>IF(OR(D211="",N(Q211)&lt;=0),"",D211/Q211)</f>
        <v/>
      </c>
      <c r="G211" s="55" t="n"/>
      <c r="H211" s="58" t="n"/>
      <c r="I211" s="58" t="n"/>
      <c r="J211" s="55" t="n"/>
      <c r="K211" s="55" t="n"/>
      <c r="L211">
        <f>IF(OR(A211="",B211=""),"",_xlfn.MAXIFS(TrocasEquip!$A$2:$A$1000,TrocasEquip!$B$2:$B$1000,B211,TrocasEquip!$A$2:$A$1000,"&lt;"&amp;A211))</f>
        <v/>
      </c>
      <c r="M211">
        <f>IF(N(L211)=0,0,MATCH(1,INDEX((TrocasEquip!$B$2:$B$1000=B211)*(TrocasEquip!$A$2:$A$1000=L211),0),0))</f>
        <v/>
      </c>
      <c r="N211">
        <f>IF(B211="","",IFERROR(MATCH(B211,Equipamentos!$P$2:$P$61,0),""))</f>
        <v/>
      </c>
      <c r="O211">
        <f>IF(N211="","",IF(M211=0,INDEX(Equipamentos!$U$2:$U$61,N211),L211))</f>
        <v/>
      </c>
      <c r="P211">
        <f>IF(N211="","",IF(M211=0,N(INDEX(Equipamentos!$V$2:$V$61,N211)),N(INDEX(TrocasEquip!$I$2:$I$1000,M211))))</f>
        <v/>
      </c>
      <c r="Q211">
        <f>IF(N211="","",IF(M211=0,INDEX(Equipamentos!$T$2:$T$61,N211),IF(INDEX(TrocasEquip!$H$2:$H$1000,M211)="",INDEX(Equipamentos!$T$2:$T$61,N211),INDEX(TrocasEquip!$H$2:$H$1000,M211))))</f>
        <v/>
      </c>
    </row>
    <row r="212">
      <c r="A212" s="54" t="n"/>
      <c r="B212" s="55" t="n"/>
      <c r="C212">
        <f>IF(B212="","",IF(N212="","posição não encontrada",IF(M212=0,INDEX(Equipamentos!$S$2:$S$61,N212),INDEX(TrocasEquip!$G$2:$G$1000,M212))))</f>
        <v/>
      </c>
      <c r="D212" s="56">
        <f>IF(OR(A212="",N212=""),"",P212+IF(E212="dias",MAX(0,A212-O212),IF(INDEX(Equipamentos!$D$2:$D$61,N212)=2,SUMIFS(Producao!$D:$D,Producao!$A:$A,"&gt;="&amp;O212,Producao!$A:$A,"&lt;"&amp;A212),IF(INDEX(Equipamentos!$D$2:$D$61,N212)=3,SUMIFS(Producao!$E:$E,Producao!$A:$A,"&gt;="&amp;O212,Producao!$A:$A,"&lt;"&amp;A212),SUMIFS(Producao!$B:$B,Producao!$A:$A,"&gt;="&amp;O212,Producao!$A:$A,"&lt;"&amp;A212)))))</f>
        <v/>
      </c>
      <c r="E212">
        <f>IF(N212="","",INDEX(Equipamentos!$C$2:$C$61,N212))</f>
        <v/>
      </c>
      <c r="F212" s="57">
        <f>IF(OR(D212="",N(Q212)&lt;=0),"",D212/Q212)</f>
        <v/>
      </c>
      <c r="G212" s="55" t="n"/>
      <c r="H212" s="58" t="n"/>
      <c r="I212" s="58" t="n"/>
      <c r="J212" s="55" t="n"/>
      <c r="K212" s="55" t="n"/>
      <c r="L212">
        <f>IF(OR(A212="",B212=""),"",_xlfn.MAXIFS(TrocasEquip!$A$2:$A$1000,TrocasEquip!$B$2:$B$1000,B212,TrocasEquip!$A$2:$A$1000,"&lt;"&amp;A212))</f>
        <v/>
      </c>
      <c r="M212">
        <f>IF(N(L212)=0,0,MATCH(1,INDEX((TrocasEquip!$B$2:$B$1000=B212)*(TrocasEquip!$A$2:$A$1000=L212),0),0))</f>
        <v/>
      </c>
      <c r="N212">
        <f>IF(B212="","",IFERROR(MATCH(B212,Equipamentos!$P$2:$P$61,0),""))</f>
        <v/>
      </c>
      <c r="O212">
        <f>IF(N212="","",IF(M212=0,INDEX(Equipamentos!$U$2:$U$61,N212),L212))</f>
        <v/>
      </c>
      <c r="P212">
        <f>IF(N212="","",IF(M212=0,N(INDEX(Equipamentos!$V$2:$V$61,N212)),N(INDEX(TrocasEquip!$I$2:$I$1000,M212))))</f>
        <v/>
      </c>
      <c r="Q212">
        <f>IF(N212="","",IF(M212=0,INDEX(Equipamentos!$T$2:$T$61,N212),IF(INDEX(TrocasEquip!$H$2:$H$1000,M212)="",INDEX(Equipamentos!$T$2:$T$61,N212),INDEX(TrocasEquip!$H$2:$H$1000,M212))))</f>
        <v/>
      </c>
    </row>
    <row r="213">
      <c r="A213" s="54" t="n"/>
      <c r="B213" s="55" t="n"/>
      <c r="C213">
        <f>IF(B213="","",IF(N213="","posição não encontrada",IF(M213=0,INDEX(Equipamentos!$S$2:$S$61,N213),INDEX(TrocasEquip!$G$2:$G$1000,M213))))</f>
        <v/>
      </c>
      <c r="D213" s="56">
        <f>IF(OR(A213="",N213=""),"",P213+IF(E213="dias",MAX(0,A213-O213),IF(INDEX(Equipamentos!$D$2:$D$61,N213)=2,SUMIFS(Producao!$D:$D,Producao!$A:$A,"&gt;="&amp;O213,Producao!$A:$A,"&lt;"&amp;A213),IF(INDEX(Equipamentos!$D$2:$D$61,N213)=3,SUMIFS(Producao!$E:$E,Producao!$A:$A,"&gt;="&amp;O213,Producao!$A:$A,"&lt;"&amp;A213),SUMIFS(Producao!$B:$B,Producao!$A:$A,"&gt;="&amp;O213,Producao!$A:$A,"&lt;"&amp;A213)))))</f>
        <v/>
      </c>
      <c r="E213">
        <f>IF(N213="","",INDEX(Equipamentos!$C$2:$C$61,N213))</f>
        <v/>
      </c>
      <c r="F213" s="57">
        <f>IF(OR(D213="",N(Q213)&lt;=0),"",D213/Q213)</f>
        <v/>
      </c>
      <c r="G213" s="55" t="n"/>
      <c r="H213" s="58" t="n"/>
      <c r="I213" s="58" t="n"/>
      <c r="J213" s="55" t="n"/>
      <c r="K213" s="55" t="n"/>
      <c r="L213">
        <f>IF(OR(A213="",B213=""),"",_xlfn.MAXIFS(TrocasEquip!$A$2:$A$1000,TrocasEquip!$B$2:$B$1000,B213,TrocasEquip!$A$2:$A$1000,"&lt;"&amp;A213))</f>
        <v/>
      </c>
      <c r="M213">
        <f>IF(N(L213)=0,0,MATCH(1,INDEX((TrocasEquip!$B$2:$B$1000=B213)*(TrocasEquip!$A$2:$A$1000=L213),0),0))</f>
        <v/>
      </c>
      <c r="N213">
        <f>IF(B213="","",IFERROR(MATCH(B213,Equipamentos!$P$2:$P$61,0),""))</f>
        <v/>
      </c>
      <c r="O213">
        <f>IF(N213="","",IF(M213=0,INDEX(Equipamentos!$U$2:$U$61,N213),L213))</f>
        <v/>
      </c>
      <c r="P213">
        <f>IF(N213="","",IF(M213=0,N(INDEX(Equipamentos!$V$2:$V$61,N213)),N(INDEX(TrocasEquip!$I$2:$I$1000,M213))))</f>
        <v/>
      </c>
      <c r="Q213">
        <f>IF(N213="","",IF(M213=0,INDEX(Equipamentos!$T$2:$T$61,N213),IF(INDEX(TrocasEquip!$H$2:$H$1000,M213)="",INDEX(Equipamentos!$T$2:$T$61,N213),INDEX(TrocasEquip!$H$2:$H$1000,M213))))</f>
        <v/>
      </c>
    </row>
    <row r="214">
      <c r="A214" s="54" t="n"/>
      <c r="B214" s="55" t="n"/>
      <c r="C214">
        <f>IF(B214="","",IF(N214="","posição não encontrada",IF(M214=0,INDEX(Equipamentos!$S$2:$S$61,N214),INDEX(TrocasEquip!$G$2:$G$1000,M214))))</f>
        <v/>
      </c>
      <c r="D214" s="56">
        <f>IF(OR(A214="",N214=""),"",P214+IF(E214="dias",MAX(0,A214-O214),IF(INDEX(Equipamentos!$D$2:$D$61,N214)=2,SUMIFS(Producao!$D:$D,Producao!$A:$A,"&gt;="&amp;O214,Producao!$A:$A,"&lt;"&amp;A214),IF(INDEX(Equipamentos!$D$2:$D$61,N214)=3,SUMIFS(Producao!$E:$E,Producao!$A:$A,"&gt;="&amp;O214,Producao!$A:$A,"&lt;"&amp;A214),SUMIFS(Producao!$B:$B,Producao!$A:$A,"&gt;="&amp;O214,Producao!$A:$A,"&lt;"&amp;A214)))))</f>
        <v/>
      </c>
      <c r="E214">
        <f>IF(N214="","",INDEX(Equipamentos!$C$2:$C$61,N214))</f>
        <v/>
      </c>
      <c r="F214" s="57">
        <f>IF(OR(D214="",N(Q214)&lt;=0),"",D214/Q214)</f>
        <v/>
      </c>
      <c r="G214" s="55" t="n"/>
      <c r="H214" s="58" t="n"/>
      <c r="I214" s="58" t="n"/>
      <c r="J214" s="55" t="n"/>
      <c r="K214" s="55" t="n"/>
      <c r="L214">
        <f>IF(OR(A214="",B214=""),"",_xlfn.MAXIFS(TrocasEquip!$A$2:$A$1000,TrocasEquip!$B$2:$B$1000,B214,TrocasEquip!$A$2:$A$1000,"&lt;"&amp;A214))</f>
        <v/>
      </c>
      <c r="M214">
        <f>IF(N(L214)=0,0,MATCH(1,INDEX((TrocasEquip!$B$2:$B$1000=B214)*(TrocasEquip!$A$2:$A$1000=L214),0),0))</f>
        <v/>
      </c>
      <c r="N214">
        <f>IF(B214="","",IFERROR(MATCH(B214,Equipamentos!$P$2:$P$61,0),""))</f>
        <v/>
      </c>
      <c r="O214">
        <f>IF(N214="","",IF(M214=0,INDEX(Equipamentos!$U$2:$U$61,N214),L214))</f>
        <v/>
      </c>
      <c r="P214">
        <f>IF(N214="","",IF(M214=0,N(INDEX(Equipamentos!$V$2:$V$61,N214)),N(INDEX(TrocasEquip!$I$2:$I$1000,M214))))</f>
        <v/>
      </c>
      <c r="Q214">
        <f>IF(N214="","",IF(M214=0,INDEX(Equipamentos!$T$2:$T$61,N214),IF(INDEX(TrocasEquip!$H$2:$H$1000,M214)="",INDEX(Equipamentos!$T$2:$T$61,N214),INDEX(TrocasEquip!$H$2:$H$1000,M214))))</f>
        <v/>
      </c>
    </row>
    <row r="215">
      <c r="A215" s="54" t="n"/>
      <c r="B215" s="55" t="n"/>
      <c r="C215">
        <f>IF(B215="","",IF(N215="","posição não encontrada",IF(M215=0,INDEX(Equipamentos!$S$2:$S$61,N215),INDEX(TrocasEquip!$G$2:$G$1000,M215))))</f>
        <v/>
      </c>
      <c r="D215" s="56">
        <f>IF(OR(A215="",N215=""),"",P215+IF(E215="dias",MAX(0,A215-O215),IF(INDEX(Equipamentos!$D$2:$D$61,N215)=2,SUMIFS(Producao!$D:$D,Producao!$A:$A,"&gt;="&amp;O215,Producao!$A:$A,"&lt;"&amp;A215),IF(INDEX(Equipamentos!$D$2:$D$61,N215)=3,SUMIFS(Producao!$E:$E,Producao!$A:$A,"&gt;="&amp;O215,Producao!$A:$A,"&lt;"&amp;A215),SUMIFS(Producao!$B:$B,Producao!$A:$A,"&gt;="&amp;O215,Producao!$A:$A,"&lt;"&amp;A215)))))</f>
        <v/>
      </c>
      <c r="E215">
        <f>IF(N215="","",INDEX(Equipamentos!$C$2:$C$61,N215))</f>
        <v/>
      </c>
      <c r="F215" s="57">
        <f>IF(OR(D215="",N(Q215)&lt;=0),"",D215/Q215)</f>
        <v/>
      </c>
      <c r="G215" s="55" t="n"/>
      <c r="H215" s="58" t="n"/>
      <c r="I215" s="58" t="n"/>
      <c r="J215" s="55" t="n"/>
      <c r="K215" s="55" t="n"/>
      <c r="L215">
        <f>IF(OR(A215="",B215=""),"",_xlfn.MAXIFS(TrocasEquip!$A$2:$A$1000,TrocasEquip!$B$2:$B$1000,B215,TrocasEquip!$A$2:$A$1000,"&lt;"&amp;A215))</f>
        <v/>
      </c>
      <c r="M215">
        <f>IF(N(L215)=0,0,MATCH(1,INDEX((TrocasEquip!$B$2:$B$1000=B215)*(TrocasEquip!$A$2:$A$1000=L215),0),0))</f>
        <v/>
      </c>
      <c r="N215">
        <f>IF(B215="","",IFERROR(MATCH(B215,Equipamentos!$P$2:$P$61,0),""))</f>
        <v/>
      </c>
      <c r="O215">
        <f>IF(N215="","",IF(M215=0,INDEX(Equipamentos!$U$2:$U$61,N215),L215))</f>
        <v/>
      </c>
      <c r="P215">
        <f>IF(N215="","",IF(M215=0,N(INDEX(Equipamentos!$V$2:$V$61,N215)),N(INDEX(TrocasEquip!$I$2:$I$1000,M215))))</f>
        <v/>
      </c>
      <c r="Q215">
        <f>IF(N215="","",IF(M215=0,INDEX(Equipamentos!$T$2:$T$61,N215),IF(INDEX(TrocasEquip!$H$2:$H$1000,M215)="",INDEX(Equipamentos!$T$2:$T$61,N215),INDEX(TrocasEquip!$H$2:$H$1000,M215))))</f>
        <v/>
      </c>
    </row>
    <row r="216">
      <c r="A216" s="54" t="n"/>
      <c r="B216" s="55" t="n"/>
      <c r="C216">
        <f>IF(B216="","",IF(N216="","posição não encontrada",IF(M216=0,INDEX(Equipamentos!$S$2:$S$61,N216),INDEX(TrocasEquip!$G$2:$G$1000,M216))))</f>
        <v/>
      </c>
      <c r="D216" s="56">
        <f>IF(OR(A216="",N216=""),"",P216+IF(E216="dias",MAX(0,A216-O216),IF(INDEX(Equipamentos!$D$2:$D$61,N216)=2,SUMIFS(Producao!$D:$D,Producao!$A:$A,"&gt;="&amp;O216,Producao!$A:$A,"&lt;"&amp;A216),IF(INDEX(Equipamentos!$D$2:$D$61,N216)=3,SUMIFS(Producao!$E:$E,Producao!$A:$A,"&gt;="&amp;O216,Producao!$A:$A,"&lt;"&amp;A216),SUMIFS(Producao!$B:$B,Producao!$A:$A,"&gt;="&amp;O216,Producao!$A:$A,"&lt;"&amp;A216)))))</f>
        <v/>
      </c>
      <c r="E216">
        <f>IF(N216="","",INDEX(Equipamentos!$C$2:$C$61,N216))</f>
        <v/>
      </c>
      <c r="F216" s="57">
        <f>IF(OR(D216="",N(Q216)&lt;=0),"",D216/Q216)</f>
        <v/>
      </c>
      <c r="G216" s="55" t="n"/>
      <c r="H216" s="58" t="n"/>
      <c r="I216" s="58" t="n"/>
      <c r="J216" s="55" t="n"/>
      <c r="K216" s="55" t="n"/>
      <c r="L216">
        <f>IF(OR(A216="",B216=""),"",_xlfn.MAXIFS(TrocasEquip!$A$2:$A$1000,TrocasEquip!$B$2:$B$1000,B216,TrocasEquip!$A$2:$A$1000,"&lt;"&amp;A216))</f>
        <v/>
      </c>
      <c r="M216">
        <f>IF(N(L216)=0,0,MATCH(1,INDEX((TrocasEquip!$B$2:$B$1000=B216)*(TrocasEquip!$A$2:$A$1000=L216),0),0))</f>
        <v/>
      </c>
      <c r="N216">
        <f>IF(B216="","",IFERROR(MATCH(B216,Equipamentos!$P$2:$P$61,0),""))</f>
        <v/>
      </c>
      <c r="O216">
        <f>IF(N216="","",IF(M216=0,INDEX(Equipamentos!$U$2:$U$61,N216),L216))</f>
        <v/>
      </c>
      <c r="P216">
        <f>IF(N216="","",IF(M216=0,N(INDEX(Equipamentos!$V$2:$V$61,N216)),N(INDEX(TrocasEquip!$I$2:$I$1000,M216))))</f>
        <v/>
      </c>
      <c r="Q216">
        <f>IF(N216="","",IF(M216=0,INDEX(Equipamentos!$T$2:$T$61,N216),IF(INDEX(TrocasEquip!$H$2:$H$1000,M216)="",INDEX(Equipamentos!$T$2:$T$61,N216),INDEX(TrocasEquip!$H$2:$H$1000,M216))))</f>
        <v/>
      </c>
    </row>
    <row r="217">
      <c r="A217" s="54" t="n"/>
      <c r="B217" s="55" t="n"/>
      <c r="C217">
        <f>IF(B217="","",IF(N217="","posição não encontrada",IF(M217=0,INDEX(Equipamentos!$S$2:$S$61,N217),INDEX(TrocasEquip!$G$2:$G$1000,M217))))</f>
        <v/>
      </c>
      <c r="D217" s="56">
        <f>IF(OR(A217="",N217=""),"",P217+IF(E217="dias",MAX(0,A217-O217),IF(INDEX(Equipamentos!$D$2:$D$61,N217)=2,SUMIFS(Producao!$D:$D,Producao!$A:$A,"&gt;="&amp;O217,Producao!$A:$A,"&lt;"&amp;A217),IF(INDEX(Equipamentos!$D$2:$D$61,N217)=3,SUMIFS(Producao!$E:$E,Producao!$A:$A,"&gt;="&amp;O217,Producao!$A:$A,"&lt;"&amp;A217),SUMIFS(Producao!$B:$B,Producao!$A:$A,"&gt;="&amp;O217,Producao!$A:$A,"&lt;"&amp;A217)))))</f>
        <v/>
      </c>
      <c r="E217">
        <f>IF(N217="","",INDEX(Equipamentos!$C$2:$C$61,N217))</f>
        <v/>
      </c>
      <c r="F217" s="57">
        <f>IF(OR(D217="",N(Q217)&lt;=0),"",D217/Q217)</f>
        <v/>
      </c>
      <c r="G217" s="55" t="n"/>
      <c r="H217" s="58" t="n"/>
      <c r="I217" s="58" t="n"/>
      <c r="J217" s="55" t="n"/>
      <c r="K217" s="55" t="n"/>
      <c r="L217">
        <f>IF(OR(A217="",B217=""),"",_xlfn.MAXIFS(TrocasEquip!$A$2:$A$1000,TrocasEquip!$B$2:$B$1000,B217,TrocasEquip!$A$2:$A$1000,"&lt;"&amp;A217))</f>
        <v/>
      </c>
      <c r="M217">
        <f>IF(N(L217)=0,0,MATCH(1,INDEX((TrocasEquip!$B$2:$B$1000=B217)*(TrocasEquip!$A$2:$A$1000=L217),0),0))</f>
        <v/>
      </c>
      <c r="N217">
        <f>IF(B217="","",IFERROR(MATCH(B217,Equipamentos!$P$2:$P$61,0),""))</f>
        <v/>
      </c>
      <c r="O217">
        <f>IF(N217="","",IF(M217=0,INDEX(Equipamentos!$U$2:$U$61,N217),L217))</f>
        <v/>
      </c>
      <c r="P217">
        <f>IF(N217="","",IF(M217=0,N(INDEX(Equipamentos!$V$2:$V$61,N217)),N(INDEX(TrocasEquip!$I$2:$I$1000,M217))))</f>
        <v/>
      </c>
      <c r="Q217">
        <f>IF(N217="","",IF(M217=0,INDEX(Equipamentos!$T$2:$T$61,N217),IF(INDEX(TrocasEquip!$H$2:$H$1000,M217)="",INDEX(Equipamentos!$T$2:$T$61,N217),INDEX(TrocasEquip!$H$2:$H$1000,M217))))</f>
        <v/>
      </c>
    </row>
    <row r="218">
      <c r="A218" s="54" t="n"/>
      <c r="B218" s="55" t="n"/>
      <c r="C218">
        <f>IF(B218="","",IF(N218="","posição não encontrada",IF(M218=0,INDEX(Equipamentos!$S$2:$S$61,N218),INDEX(TrocasEquip!$G$2:$G$1000,M218))))</f>
        <v/>
      </c>
      <c r="D218" s="56">
        <f>IF(OR(A218="",N218=""),"",P218+IF(E218="dias",MAX(0,A218-O218),IF(INDEX(Equipamentos!$D$2:$D$61,N218)=2,SUMIFS(Producao!$D:$D,Producao!$A:$A,"&gt;="&amp;O218,Producao!$A:$A,"&lt;"&amp;A218),IF(INDEX(Equipamentos!$D$2:$D$61,N218)=3,SUMIFS(Producao!$E:$E,Producao!$A:$A,"&gt;="&amp;O218,Producao!$A:$A,"&lt;"&amp;A218),SUMIFS(Producao!$B:$B,Producao!$A:$A,"&gt;="&amp;O218,Producao!$A:$A,"&lt;"&amp;A218)))))</f>
        <v/>
      </c>
      <c r="E218">
        <f>IF(N218="","",INDEX(Equipamentos!$C$2:$C$61,N218))</f>
        <v/>
      </c>
      <c r="F218" s="57">
        <f>IF(OR(D218="",N(Q218)&lt;=0),"",D218/Q218)</f>
        <v/>
      </c>
      <c r="G218" s="55" t="n"/>
      <c r="H218" s="58" t="n"/>
      <c r="I218" s="58" t="n"/>
      <c r="J218" s="55" t="n"/>
      <c r="K218" s="55" t="n"/>
      <c r="L218">
        <f>IF(OR(A218="",B218=""),"",_xlfn.MAXIFS(TrocasEquip!$A$2:$A$1000,TrocasEquip!$B$2:$B$1000,B218,TrocasEquip!$A$2:$A$1000,"&lt;"&amp;A218))</f>
        <v/>
      </c>
      <c r="M218">
        <f>IF(N(L218)=0,0,MATCH(1,INDEX((TrocasEquip!$B$2:$B$1000=B218)*(TrocasEquip!$A$2:$A$1000=L218),0),0))</f>
        <v/>
      </c>
      <c r="N218">
        <f>IF(B218="","",IFERROR(MATCH(B218,Equipamentos!$P$2:$P$61,0),""))</f>
        <v/>
      </c>
      <c r="O218">
        <f>IF(N218="","",IF(M218=0,INDEX(Equipamentos!$U$2:$U$61,N218),L218))</f>
        <v/>
      </c>
      <c r="P218">
        <f>IF(N218="","",IF(M218=0,N(INDEX(Equipamentos!$V$2:$V$61,N218)),N(INDEX(TrocasEquip!$I$2:$I$1000,M218))))</f>
        <v/>
      </c>
      <c r="Q218">
        <f>IF(N218="","",IF(M218=0,INDEX(Equipamentos!$T$2:$T$61,N218),IF(INDEX(TrocasEquip!$H$2:$H$1000,M218)="",INDEX(Equipamentos!$T$2:$T$61,N218),INDEX(TrocasEquip!$H$2:$H$1000,M218))))</f>
        <v/>
      </c>
    </row>
    <row r="219">
      <c r="A219" s="54" t="n"/>
      <c r="B219" s="55" t="n"/>
      <c r="C219">
        <f>IF(B219="","",IF(N219="","posição não encontrada",IF(M219=0,INDEX(Equipamentos!$S$2:$S$61,N219),INDEX(TrocasEquip!$G$2:$G$1000,M219))))</f>
        <v/>
      </c>
      <c r="D219" s="56">
        <f>IF(OR(A219="",N219=""),"",P219+IF(E219="dias",MAX(0,A219-O219),IF(INDEX(Equipamentos!$D$2:$D$61,N219)=2,SUMIFS(Producao!$D:$D,Producao!$A:$A,"&gt;="&amp;O219,Producao!$A:$A,"&lt;"&amp;A219),IF(INDEX(Equipamentos!$D$2:$D$61,N219)=3,SUMIFS(Producao!$E:$E,Producao!$A:$A,"&gt;="&amp;O219,Producao!$A:$A,"&lt;"&amp;A219),SUMIFS(Producao!$B:$B,Producao!$A:$A,"&gt;="&amp;O219,Producao!$A:$A,"&lt;"&amp;A219)))))</f>
        <v/>
      </c>
      <c r="E219">
        <f>IF(N219="","",INDEX(Equipamentos!$C$2:$C$61,N219))</f>
        <v/>
      </c>
      <c r="F219" s="57">
        <f>IF(OR(D219="",N(Q219)&lt;=0),"",D219/Q219)</f>
        <v/>
      </c>
      <c r="G219" s="55" t="n"/>
      <c r="H219" s="58" t="n"/>
      <c r="I219" s="58" t="n"/>
      <c r="J219" s="55" t="n"/>
      <c r="K219" s="55" t="n"/>
      <c r="L219">
        <f>IF(OR(A219="",B219=""),"",_xlfn.MAXIFS(TrocasEquip!$A$2:$A$1000,TrocasEquip!$B$2:$B$1000,B219,TrocasEquip!$A$2:$A$1000,"&lt;"&amp;A219))</f>
        <v/>
      </c>
      <c r="M219">
        <f>IF(N(L219)=0,0,MATCH(1,INDEX((TrocasEquip!$B$2:$B$1000=B219)*(TrocasEquip!$A$2:$A$1000=L219),0),0))</f>
        <v/>
      </c>
      <c r="N219">
        <f>IF(B219="","",IFERROR(MATCH(B219,Equipamentos!$P$2:$P$61,0),""))</f>
        <v/>
      </c>
      <c r="O219">
        <f>IF(N219="","",IF(M219=0,INDEX(Equipamentos!$U$2:$U$61,N219),L219))</f>
        <v/>
      </c>
      <c r="P219">
        <f>IF(N219="","",IF(M219=0,N(INDEX(Equipamentos!$V$2:$V$61,N219)),N(INDEX(TrocasEquip!$I$2:$I$1000,M219))))</f>
        <v/>
      </c>
      <c r="Q219">
        <f>IF(N219="","",IF(M219=0,INDEX(Equipamentos!$T$2:$T$61,N219),IF(INDEX(TrocasEquip!$H$2:$H$1000,M219)="",INDEX(Equipamentos!$T$2:$T$61,N219),INDEX(TrocasEquip!$H$2:$H$1000,M219))))</f>
        <v/>
      </c>
    </row>
    <row r="220">
      <c r="A220" s="54" t="n"/>
      <c r="B220" s="55" t="n"/>
      <c r="C220">
        <f>IF(B220="","",IF(N220="","posição não encontrada",IF(M220=0,INDEX(Equipamentos!$S$2:$S$61,N220),INDEX(TrocasEquip!$G$2:$G$1000,M220))))</f>
        <v/>
      </c>
      <c r="D220" s="56">
        <f>IF(OR(A220="",N220=""),"",P220+IF(E220="dias",MAX(0,A220-O220),IF(INDEX(Equipamentos!$D$2:$D$61,N220)=2,SUMIFS(Producao!$D:$D,Producao!$A:$A,"&gt;="&amp;O220,Producao!$A:$A,"&lt;"&amp;A220),IF(INDEX(Equipamentos!$D$2:$D$61,N220)=3,SUMIFS(Producao!$E:$E,Producao!$A:$A,"&gt;="&amp;O220,Producao!$A:$A,"&lt;"&amp;A220),SUMIFS(Producao!$B:$B,Producao!$A:$A,"&gt;="&amp;O220,Producao!$A:$A,"&lt;"&amp;A220)))))</f>
        <v/>
      </c>
      <c r="E220">
        <f>IF(N220="","",INDEX(Equipamentos!$C$2:$C$61,N220))</f>
        <v/>
      </c>
      <c r="F220" s="57">
        <f>IF(OR(D220="",N(Q220)&lt;=0),"",D220/Q220)</f>
        <v/>
      </c>
      <c r="G220" s="55" t="n"/>
      <c r="H220" s="58" t="n"/>
      <c r="I220" s="58" t="n"/>
      <c r="J220" s="55" t="n"/>
      <c r="K220" s="55" t="n"/>
      <c r="L220">
        <f>IF(OR(A220="",B220=""),"",_xlfn.MAXIFS(TrocasEquip!$A$2:$A$1000,TrocasEquip!$B$2:$B$1000,B220,TrocasEquip!$A$2:$A$1000,"&lt;"&amp;A220))</f>
        <v/>
      </c>
      <c r="M220">
        <f>IF(N(L220)=0,0,MATCH(1,INDEX((TrocasEquip!$B$2:$B$1000=B220)*(TrocasEquip!$A$2:$A$1000=L220),0),0))</f>
        <v/>
      </c>
      <c r="N220">
        <f>IF(B220="","",IFERROR(MATCH(B220,Equipamentos!$P$2:$P$61,0),""))</f>
        <v/>
      </c>
      <c r="O220">
        <f>IF(N220="","",IF(M220=0,INDEX(Equipamentos!$U$2:$U$61,N220),L220))</f>
        <v/>
      </c>
      <c r="P220">
        <f>IF(N220="","",IF(M220=0,N(INDEX(Equipamentos!$V$2:$V$61,N220)),N(INDEX(TrocasEquip!$I$2:$I$1000,M220))))</f>
        <v/>
      </c>
      <c r="Q220">
        <f>IF(N220="","",IF(M220=0,INDEX(Equipamentos!$T$2:$T$61,N220),IF(INDEX(TrocasEquip!$H$2:$H$1000,M220)="",INDEX(Equipamentos!$T$2:$T$61,N220),INDEX(TrocasEquip!$H$2:$H$1000,M220))))</f>
        <v/>
      </c>
    </row>
    <row r="221">
      <c r="A221" s="54" t="n"/>
      <c r="B221" s="55" t="n"/>
      <c r="C221">
        <f>IF(B221="","",IF(N221="","posição não encontrada",IF(M221=0,INDEX(Equipamentos!$S$2:$S$61,N221),INDEX(TrocasEquip!$G$2:$G$1000,M221))))</f>
        <v/>
      </c>
      <c r="D221" s="56">
        <f>IF(OR(A221="",N221=""),"",P221+IF(E221="dias",MAX(0,A221-O221),IF(INDEX(Equipamentos!$D$2:$D$61,N221)=2,SUMIFS(Producao!$D:$D,Producao!$A:$A,"&gt;="&amp;O221,Producao!$A:$A,"&lt;"&amp;A221),IF(INDEX(Equipamentos!$D$2:$D$61,N221)=3,SUMIFS(Producao!$E:$E,Producao!$A:$A,"&gt;="&amp;O221,Producao!$A:$A,"&lt;"&amp;A221),SUMIFS(Producao!$B:$B,Producao!$A:$A,"&gt;="&amp;O221,Producao!$A:$A,"&lt;"&amp;A221)))))</f>
        <v/>
      </c>
      <c r="E221">
        <f>IF(N221="","",INDEX(Equipamentos!$C$2:$C$61,N221))</f>
        <v/>
      </c>
      <c r="F221" s="57">
        <f>IF(OR(D221="",N(Q221)&lt;=0),"",D221/Q221)</f>
        <v/>
      </c>
      <c r="G221" s="55" t="n"/>
      <c r="H221" s="58" t="n"/>
      <c r="I221" s="58" t="n"/>
      <c r="J221" s="55" t="n"/>
      <c r="K221" s="55" t="n"/>
      <c r="L221">
        <f>IF(OR(A221="",B221=""),"",_xlfn.MAXIFS(TrocasEquip!$A$2:$A$1000,TrocasEquip!$B$2:$B$1000,B221,TrocasEquip!$A$2:$A$1000,"&lt;"&amp;A221))</f>
        <v/>
      </c>
      <c r="M221">
        <f>IF(N(L221)=0,0,MATCH(1,INDEX((TrocasEquip!$B$2:$B$1000=B221)*(TrocasEquip!$A$2:$A$1000=L221),0),0))</f>
        <v/>
      </c>
      <c r="N221">
        <f>IF(B221="","",IFERROR(MATCH(B221,Equipamentos!$P$2:$P$61,0),""))</f>
        <v/>
      </c>
      <c r="O221">
        <f>IF(N221="","",IF(M221=0,INDEX(Equipamentos!$U$2:$U$61,N221),L221))</f>
        <v/>
      </c>
      <c r="P221">
        <f>IF(N221="","",IF(M221=0,N(INDEX(Equipamentos!$V$2:$V$61,N221)),N(INDEX(TrocasEquip!$I$2:$I$1000,M221))))</f>
        <v/>
      </c>
      <c r="Q221">
        <f>IF(N221="","",IF(M221=0,INDEX(Equipamentos!$T$2:$T$61,N221),IF(INDEX(TrocasEquip!$H$2:$H$1000,M221)="",INDEX(Equipamentos!$T$2:$T$61,N221),INDEX(TrocasEquip!$H$2:$H$1000,M221))))</f>
        <v/>
      </c>
    </row>
    <row r="222">
      <c r="A222" s="54" t="n"/>
      <c r="B222" s="55" t="n"/>
      <c r="C222">
        <f>IF(B222="","",IF(N222="","posição não encontrada",IF(M222=0,INDEX(Equipamentos!$S$2:$S$61,N222),INDEX(TrocasEquip!$G$2:$G$1000,M222))))</f>
        <v/>
      </c>
      <c r="D222" s="56">
        <f>IF(OR(A222="",N222=""),"",P222+IF(E222="dias",MAX(0,A222-O222),IF(INDEX(Equipamentos!$D$2:$D$61,N222)=2,SUMIFS(Producao!$D:$D,Producao!$A:$A,"&gt;="&amp;O222,Producao!$A:$A,"&lt;"&amp;A222),IF(INDEX(Equipamentos!$D$2:$D$61,N222)=3,SUMIFS(Producao!$E:$E,Producao!$A:$A,"&gt;="&amp;O222,Producao!$A:$A,"&lt;"&amp;A222),SUMIFS(Producao!$B:$B,Producao!$A:$A,"&gt;="&amp;O222,Producao!$A:$A,"&lt;"&amp;A222)))))</f>
        <v/>
      </c>
      <c r="E222">
        <f>IF(N222="","",INDEX(Equipamentos!$C$2:$C$61,N222))</f>
        <v/>
      </c>
      <c r="F222" s="57">
        <f>IF(OR(D222="",N(Q222)&lt;=0),"",D222/Q222)</f>
        <v/>
      </c>
      <c r="G222" s="55" t="n"/>
      <c r="H222" s="58" t="n"/>
      <c r="I222" s="58" t="n"/>
      <c r="J222" s="55" t="n"/>
      <c r="K222" s="55" t="n"/>
      <c r="L222">
        <f>IF(OR(A222="",B222=""),"",_xlfn.MAXIFS(TrocasEquip!$A$2:$A$1000,TrocasEquip!$B$2:$B$1000,B222,TrocasEquip!$A$2:$A$1000,"&lt;"&amp;A222))</f>
        <v/>
      </c>
      <c r="M222">
        <f>IF(N(L222)=0,0,MATCH(1,INDEX((TrocasEquip!$B$2:$B$1000=B222)*(TrocasEquip!$A$2:$A$1000=L222),0),0))</f>
        <v/>
      </c>
      <c r="N222">
        <f>IF(B222="","",IFERROR(MATCH(B222,Equipamentos!$P$2:$P$61,0),""))</f>
        <v/>
      </c>
      <c r="O222">
        <f>IF(N222="","",IF(M222=0,INDEX(Equipamentos!$U$2:$U$61,N222),L222))</f>
        <v/>
      </c>
      <c r="P222">
        <f>IF(N222="","",IF(M222=0,N(INDEX(Equipamentos!$V$2:$V$61,N222)),N(INDEX(TrocasEquip!$I$2:$I$1000,M222))))</f>
        <v/>
      </c>
      <c r="Q222">
        <f>IF(N222="","",IF(M222=0,INDEX(Equipamentos!$T$2:$T$61,N222),IF(INDEX(TrocasEquip!$H$2:$H$1000,M222)="",INDEX(Equipamentos!$T$2:$T$61,N222),INDEX(TrocasEquip!$H$2:$H$1000,M222))))</f>
        <v/>
      </c>
    </row>
    <row r="223">
      <c r="A223" s="54" t="n"/>
      <c r="B223" s="55" t="n"/>
      <c r="C223">
        <f>IF(B223="","",IF(N223="","posição não encontrada",IF(M223=0,INDEX(Equipamentos!$S$2:$S$61,N223),INDEX(TrocasEquip!$G$2:$G$1000,M223))))</f>
        <v/>
      </c>
      <c r="D223" s="56">
        <f>IF(OR(A223="",N223=""),"",P223+IF(E223="dias",MAX(0,A223-O223),IF(INDEX(Equipamentos!$D$2:$D$61,N223)=2,SUMIFS(Producao!$D:$D,Producao!$A:$A,"&gt;="&amp;O223,Producao!$A:$A,"&lt;"&amp;A223),IF(INDEX(Equipamentos!$D$2:$D$61,N223)=3,SUMIFS(Producao!$E:$E,Producao!$A:$A,"&gt;="&amp;O223,Producao!$A:$A,"&lt;"&amp;A223),SUMIFS(Producao!$B:$B,Producao!$A:$A,"&gt;="&amp;O223,Producao!$A:$A,"&lt;"&amp;A223)))))</f>
        <v/>
      </c>
      <c r="E223">
        <f>IF(N223="","",INDEX(Equipamentos!$C$2:$C$61,N223))</f>
        <v/>
      </c>
      <c r="F223" s="57">
        <f>IF(OR(D223="",N(Q223)&lt;=0),"",D223/Q223)</f>
        <v/>
      </c>
      <c r="G223" s="55" t="n"/>
      <c r="H223" s="58" t="n"/>
      <c r="I223" s="58" t="n"/>
      <c r="J223" s="55" t="n"/>
      <c r="K223" s="55" t="n"/>
      <c r="L223">
        <f>IF(OR(A223="",B223=""),"",_xlfn.MAXIFS(TrocasEquip!$A$2:$A$1000,TrocasEquip!$B$2:$B$1000,B223,TrocasEquip!$A$2:$A$1000,"&lt;"&amp;A223))</f>
        <v/>
      </c>
      <c r="M223">
        <f>IF(N(L223)=0,0,MATCH(1,INDEX((TrocasEquip!$B$2:$B$1000=B223)*(TrocasEquip!$A$2:$A$1000=L223),0),0))</f>
        <v/>
      </c>
      <c r="N223">
        <f>IF(B223="","",IFERROR(MATCH(B223,Equipamentos!$P$2:$P$61,0),""))</f>
        <v/>
      </c>
      <c r="O223">
        <f>IF(N223="","",IF(M223=0,INDEX(Equipamentos!$U$2:$U$61,N223),L223))</f>
        <v/>
      </c>
      <c r="P223">
        <f>IF(N223="","",IF(M223=0,N(INDEX(Equipamentos!$V$2:$V$61,N223)),N(INDEX(TrocasEquip!$I$2:$I$1000,M223))))</f>
        <v/>
      </c>
      <c r="Q223">
        <f>IF(N223="","",IF(M223=0,INDEX(Equipamentos!$T$2:$T$61,N223),IF(INDEX(TrocasEquip!$H$2:$H$1000,M223)="",INDEX(Equipamentos!$T$2:$T$61,N223),INDEX(TrocasEquip!$H$2:$H$1000,M223))))</f>
        <v/>
      </c>
    </row>
    <row r="224">
      <c r="A224" s="54" t="n"/>
      <c r="B224" s="55" t="n"/>
      <c r="C224">
        <f>IF(B224="","",IF(N224="","posição não encontrada",IF(M224=0,INDEX(Equipamentos!$S$2:$S$61,N224),INDEX(TrocasEquip!$G$2:$G$1000,M224))))</f>
        <v/>
      </c>
      <c r="D224" s="56">
        <f>IF(OR(A224="",N224=""),"",P224+IF(E224="dias",MAX(0,A224-O224),IF(INDEX(Equipamentos!$D$2:$D$61,N224)=2,SUMIFS(Producao!$D:$D,Producao!$A:$A,"&gt;="&amp;O224,Producao!$A:$A,"&lt;"&amp;A224),IF(INDEX(Equipamentos!$D$2:$D$61,N224)=3,SUMIFS(Producao!$E:$E,Producao!$A:$A,"&gt;="&amp;O224,Producao!$A:$A,"&lt;"&amp;A224),SUMIFS(Producao!$B:$B,Producao!$A:$A,"&gt;="&amp;O224,Producao!$A:$A,"&lt;"&amp;A224)))))</f>
        <v/>
      </c>
      <c r="E224">
        <f>IF(N224="","",INDEX(Equipamentos!$C$2:$C$61,N224))</f>
        <v/>
      </c>
      <c r="F224" s="57">
        <f>IF(OR(D224="",N(Q224)&lt;=0),"",D224/Q224)</f>
        <v/>
      </c>
      <c r="G224" s="55" t="n"/>
      <c r="H224" s="58" t="n"/>
      <c r="I224" s="58" t="n"/>
      <c r="J224" s="55" t="n"/>
      <c r="K224" s="55" t="n"/>
      <c r="L224">
        <f>IF(OR(A224="",B224=""),"",_xlfn.MAXIFS(TrocasEquip!$A$2:$A$1000,TrocasEquip!$B$2:$B$1000,B224,TrocasEquip!$A$2:$A$1000,"&lt;"&amp;A224))</f>
        <v/>
      </c>
      <c r="M224">
        <f>IF(N(L224)=0,0,MATCH(1,INDEX((TrocasEquip!$B$2:$B$1000=B224)*(TrocasEquip!$A$2:$A$1000=L224),0),0))</f>
        <v/>
      </c>
      <c r="N224">
        <f>IF(B224="","",IFERROR(MATCH(B224,Equipamentos!$P$2:$P$61,0),""))</f>
        <v/>
      </c>
      <c r="O224">
        <f>IF(N224="","",IF(M224=0,INDEX(Equipamentos!$U$2:$U$61,N224),L224))</f>
        <v/>
      </c>
      <c r="P224">
        <f>IF(N224="","",IF(M224=0,N(INDEX(Equipamentos!$V$2:$V$61,N224)),N(INDEX(TrocasEquip!$I$2:$I$1000,M224))))</f>
        <v/>
      </c>
      <c r="Q224">
        <f>IF(N224="","",IF(M224=0,INDEX(Equipamentos!$T$2:$T$61,N224),IF(INDEX(TrocasEquip!$H$2:$H$1000,M224)="",INDEX(Equipamentos!$T$2:$T$61,N224),INDEX(TrocasEquip!$H$2:$H$1000,M224))))</f>
        <v/>
      </c>
    </row>
    <row r="225">
      <c r="A225" s="54" t="n"/>
      <c r="B225" s="55" t="n"/>
      <c r="C225">
        <f>IF(B225="","",IF(N225="","posição não encontrada",IF(M225=0,INDEX(Equipamentos!$S$2:$S$61,N225),INDEX(TrocasEquip!$G$2:$G$1000,M225))))</f>
        <v/>
      </c>
      <c r="D225" s="56">
        <f>IF(OR(A225="",N225=""),"",P225+IF(E225="dias",MAX(0,A225-O225),IF(INDEX(Equipamentos!$D$2:$D$61,N225)=2,SUMIFS(Producao!$D:$D,Producao!$A:$A,"&gt;="&amp;O225,Producao!$A:$A,"&lt;"&amp;A225),IF(INDEX(Equipamentos!$D$2:$D$61,N225)=3,SUMIFS(Producao!$E:$E,Producao!$A:$A,"&gt;="&amp;O225,Producao!$A:$A,"&lt;"&amp;A225),SUMIFS(Producao!$B:$B,Producao!$A:$A,"&gt;="&amp;O225,Producao!$A:$A,"&lt;"&amp;A225)))))</f>
        <v/>
      </c>
      <c r="E225">
        <f>IF(N225="","",INDEX(Equipamentos!$C$2:$C$61,N225))</f>
        <v/>
      </c>
      <c r="F225" s="57">
        <f>IF(OR(D225="",N(Q225)&lt;=0),"",D225/Q225)</f>
        <v/>
      </c>
      <c r="G225" s="55" t="n"/>
      <c r="H225" s="58" t="n"/>
      <c r="I225" s="58" t="n"/>
      <c r="J225" s="55" t="n"/>
      <c r="K225" s="55" t="n"/>
      <c r="L225">
        <f>IF(OR(A225="",B225=""),"",_xlfn.MAXIFS(TrocasEquip!$A$2:$A$1000,TrocasEquip!$B$2:$B$1000,B225,TrocasEquip!$A$2:$A$1000,"&lt;"&amp;A225))</f>
        <v/>
      </c>
      <c r="M225">
        <f>IF(N(L225)=0,0,MATCH(1,INDEX((TrocasEquip!$B$2:$B$1000=B225)*(TrocasEquip!$A$2:$A$1000=L225),0),0))</f>
        <v/>
      </c>
      <c r="N225">
        <f>IF(B225="","",IFERROR(MATCH(B225,Equipamentos!$P$2:$P$61,0),""))</f>
        <v/>
      </c>
      <c r="O225">
        <f>IF(N225="","",IF(M225=0,INDEX(Equipamentos!$U$2:$U$61,N225),L225))</f>
        <v/>
      </c>
      <c r="P225">
        <f>IF(N225="","",IF(M225=0,N(INDEX(Equipamentos!$V$2:$V$61,N225)),N(INDEX(TrocasEquip!$I$2:$I$1000,M225))))</f>
        <v/>
      </c>
      <c r="Q225">
        <f>IF(N225="","",IF(M225=0,INDEX(Equipamentos!$T$2:$T$61,N225),IF(INDEX(TrocasEquip!$H$2:$H$1000,M225)="",INDEX(Equipamentos!$T$2:$T$61,N225),INDEX(TrocasEquip!$H$2:$H$1000,M225))))</f>
        <v/>
      </c>
    </row>
    <row r="226">
      <c r="A226" s="54" t="n"/>
      <c r="B226" s="55" t="n"/>
      <c r="C226">
        <f>IF(B226="","",IF(N226="","posição não encontrada",IF(M226=0,INDEX(Equipamentos!$S$2:$S$61,N226),INDEX(TrocasEquip!$G$2:$G$1000,M226))))</f>
        <v/>
      </c>
      <c r="D226" s="56">
        <f>IF(OR(A226="",N226=""),"",P226+IF(E226="dias",MAX(0,A226-O226),IF(INDEX(Equipamentos!$D$2:$D$61,N226)=2,SUMIFS(Producao!$D:$D,Producao!$A:$A,"&gt;="&amp;O226,Producao!$A:$A,"&lt;"&amp;A226),IF(INDEX(Equipamentos!$D$2:$D$61,N226)=3,SUMIFS(Producao!$E:$E,Producao!$A:$A,"&gt;="&amp;O226,Producao!$A:$A,"&lt;"&amp;A226),SUMIFS(Producao!$B:$B,Producao!$A:$A,"&gt;="&amp;O226,Producao!$A:$A,"&lt;"&amp;A226)))))</f>
        <v/>
      </c>
      <c r="E226">
        <f>IF(N226="","",INDEX(Equipamentos!$C$2:$C$61,N226))</f>
        <v/>
      </c>
      <c r="F226" s="57">
        <f>IF(OR(D226="",N(Q226)&lt;=0),"",D226/Q226)</f>
        <v/>
      </c>
      <c r="G226" s="55" t="n"/>
      <c r="H226" s="58" t="n"/>
      <c r="I226" s="58" t="n"/>
      <c r="J226" s="55" t="n"/>
      <c r="K226" s="55" t="n"/>
      <c r="L226">
        <f>IF(OR(A226="",B226=""),"",_xlfn.MAXIFS(TrocasEquip!$A$2:$A$1000,TrocasEquip!$B$2:$B$1000,B226,TrocasEquip!$A$2:$A$1000,"&lt;"&amp;A226))</f>
        <v/>
      </c>
      <c r="M226">
        <f>IF(N(L226)=0,0,MATCH(1,INDEX((TrocasEquip!$B$2:$B$1000=B226)*(TrocasEquip!$A$2:$A$1000=L226),0),0))</f>
        <v/>
      </c>
      <c r="N226">
        <f>IF(B226="","",IFERROR(MATCH(B226,Equipamentos!$P$2:$P$61,0),""))</f>
        <v/>
      </c>
      <c r="O226">
        <f>IF(N226="","",IF(M226=0,INDEX(Equipamentos!$U$2:$U$61,N226),L226))</f>
        <v/>
      </c>
      <c r="P226">
        <f>IF(N226="","",IF(M226=0,N(INDEX(Equipamentos!$V$2:$V$61,N226)),N(INDEX(TrocasEquip!$I$2:$I$1000,M226))))</f>
        <v/>
      </c>
      <c r="Q226">
        <f>IF(N226="","",IF(M226=0,INDEX(Equipamentos!$T$2:$T$61,N226),IF(INDEX(TrocasEquip!$H$2:$H$1000,M226)="",INDEX(Equipamentos!$T$2:$T$61,N226),INDEX(TrocasEquip!$H$2:$H$1000,M226))))</f>
        <v/>
      </c>
    </row>
    <row r="227">
      <c r="A227" s="54" t="n"/>
      <c r="B227" s="55" t="n"/>
      <c r="C227">
        <f>IF(B227="","",IF(N227="","posição não encontrada",IF(M227=0,INDEX(Equipamentos!$S$2:$S$61,N227),INDEX(TrocasEquip!$G$2:$G$1000,M227))))</f>
        <v/>
      </c>
      <c r="D227" s="56">
        <f>IF(OR(A227="",N227=""),"",P227+IF(E227="dias",MAX(0,A227-O227),IF(INDEX(Equipamentos!$D$2:$D$61,N227)=2,SUMIFS(Producao!$D:$D,Producao!$A:$A,"&gt;="&amp;O227,Producao!$A:$A,"&lt;"&amp;A227),IF(INDEX(Equipamentos!$D$2:$D$61,N227)=3,SUMIFS(Producao!$E:$E,Producao!$A:$A,"&gt;="&amp;O227,Producao!$A:$A,"&lt;"&amp;A227),SUMIFS(Producao!$B:$B,Producao!$A:$A,"&gt;="&amp;O227,Producao!$A:$A,"&lt;"&amp;A227)))))</f>
        <v/>
      </c>
      <c r="E227">
        <f>IF(N227="","",INDEX(Equipamentos!$C$2:$C$61,N227))</f>
        <v/>
      </c>
      <c r="F227" s="57">
        <f>IF(OR(D227="",N(Q227)&lt;=0),"",D227/Q227)</f>
        <v/>
      </c>
      <c r="G227" s="55" t="n"/>
      <c r="H227" s="58" t="n"/>
      <c r="I227" s="58" t="n"/>
      <c r="J227" s="55" t="n"/>
      <c r="K227" s="55" t="n"/>
      <c r="L227">
        <f>IF(OR(A227="",B227=""),"",_xlfn.MAXIFS(TrocasEquip!$A$2:$A$1000,TrocasEquip!$B$2:$B$1000,B227,TrocasEquip!$A$2:$A$1000,"&lt;"&amp;A227))</f>
        <v/>
      </c>
      <c r="M227">
        <f>IF(N(L227)=0,0,MATCH(1,INDEX((TrocasEquip!$B$2:$B$1000=B227)*(TrocasEquip!$A$2:$A$1000=L227),0),0))</f>
        <v/>
      </c>
      <c r="N227">
        <f>IF(B227="","",IFERROR(MATCH(B227,Equipamentos!$P$2:$P$61,0),""))</f>
        <v/>
      </c>
      <c r="O227">
        <f>IF(N227="","",IF(M227=0,INDEX(Equipamentos!$U$2:$U$61,N227),L227))</f>
        <v/>
      </c>
      <c r="P227">
        <f>IF(N227="","",IF(M227=0,N(INDEX(Equipamentos!$V$2:$V$61,N227)),N(INDEX(TrocasEquip!$I$2:$I$1000,M227))))</f>
        <v/>
      </c>
      <c r="Q227">
        <f>IF(N227="","",IF(M227=0,INDEX(Equipamentos!$T$2:$T$61,N227),IF(INDEX(TrocasEquip!$H$2:$H$1000,M227)="",INDEX(Equipamentos!$T$2:$T$61,N227),INDEX(TrocasEquip!$H$2:$H$1000,M227))))</f>
        <v/>
      </c>
    </row>
    <row r="228">
      <c r="A228" s="54" t="n"/>
      <c r="B228" s="55" t="n"/>
      <c r="C228">
        <f>IF(B228="","",IF(N228="","posição não encontrada",IF(M228=0,INDEX(Equipamentos!$S$2:$S$61,N228),INDEX(TrocasEquip!$G$2:$G$1000,M228))))</f>
        <v/>
      </c>
      <c r="D228" s="56">
        <f>IF(OR(A228="",N228=""),"",P228+IF(E228="dias",MAX(0,A228-O228),IF(INDEX(Equipamentos!$D$2:$D$61,N228)=2,SUMIFS(Producao!$D:$D,Producao!$A:$A,"&gt;="&amp;O228,Producao!$A:$A,"&lt;"&amp;A228),IF(INDEX(Equipamentos!$D$2:$D$61,N228)=3,SUMIFS(Producao!$E:$E,Producao!$A:$A,"&gt;="&amp;O228,Producao!$A:$A,"&lt;"&amp;A228),SUMIFS(Producao!$B:$B,Producao!$A:$A,"&gt;="&amp;O228,Producao!$A:$A,"&lt;"&amp;A228)))))</f>
        <v/>
      </c>
      <c r="E228">
        <f>IF(N228="","",INDEX(Equipamentos!$C$2:$C$61,N228))</f>
        <v/>
      </c>
      <c r="F228" s="57">
        <f>IF(OR(D228="",N(Q228)&lt;=0),"",D228/Q228)</f>
        <v/>
      </c>
      <c r="G228" s="55" t="n"/>
      <c r="H228" s="58" t="n"/>
      <c r="I228" s="58" t="n"/>
      <c r="J228" s="55" t="n"/>
      <c r="K228" s="55" t="n"/>
      <c r="L228">
        <f>IF(OR(A228="",B228=""),"",_xlfn.MAXIFS(TrocasEquip!$A$2:$A$1000,TrocasEquip!$B$2:$B$1000,B228,TrocasEquip!$A$2:$A$1000,"&lt;"&amp;A228))</f>
        <v/>
      </c>
      <c r="M228">
        <f>IF(N(L228)=0,0,MATCH(1,INDEX((TrocasEquip!$B$2:$B$1000=B228)*(TrocasEquip!$A$2:$A$1000=L228),0),0))</f>
        <v/>
      </c>
      <c r="N228">
        <f>IF(B228="","",IFERROR(MATCH(B228,Equipamentos!$P$2:$P$61,0),""))</f>
        <v/>
      </c>
      <c r="O228">
        <f>IF(N228="","",IF(M228=0,INDEX(Equipamentos!$U$2:$U$61,N228),L228))</f>
        <v/>
      </c>
      <c r="P228">
        <f>IF(N228="","",IF(M228=0,N(INDEX(Equipamentos!$V$2:$V$61,N228)),N(INDEX(TrocasEquip!$I$2:$I$1000,M228))))</f>
        <v/>
      </c>
      <c r="Q228">
        <f>IF(N228="","",IF(M228=0,INDEX(Equipamentos!$T$2:$T$61,N228),IF(INDEX(TrocasEquip!$H$2:$H$1000,M228)="",INDEX(Equipamentos!$T$2:$T$61,N228),INDEX(TrocasEquip!$H$2:$H$1000,M228))))</f>
        <v/>
      </c>
    </row>
    <row r="229">
      <c r="A229" s="54" t="n"/>
      <c r="B229" s="55" t="n"/>
      <c r="C229">
        <f>IF(B229="","",IF(N229="","posição não encontrada",IF(M229=0,INDEX(Equipamentos!$S$2:$S$61,N229),INDEX(TrocasEquip!$G$2:$G$1000,M229))))</f>
        <v/>
      </c>
      <c r="D229" s="56">
        <f>IF(OR(A229="",N229=""),"",P229+IF(E229="dias",MAX(0,A229-O229),IF(INDEX(Equipamentos!$D$2:$D$61,N229)=2,SUMIFS(Producao!$D:$D,Producao!$A:$A,"&gt;="&amp;O229,Producao!$A:$A,"&lt;"&amp;A229),IF(INDEX(Equipamentos!$D$2:$D$61,N229)=3,SUMIFS(Producao!$E:$E,Producao!$A:$A,"&gt;="&amp;O229,Producao!$A:$A,"&lt;"&amp;A229),SUMIFS(Producao!$B:$B,Producao!$A:$A,"&gt;="&amp;O229,Producao!$A:$A,"&lt;"&amp;A229)))))</f>
        <v/>
      </c>
      <c r="E229">
        <f>IF(N229="","",INDEX(Equipamentos!$C$2:$C$61,N229))</f>
        <v/>
      </c>
      <c r="F229" s="57">
        <f>IF(OR(D229="",N(Q229)&lt;=0),"",D229/Q229)</f>
        <v/>
      </c>
      <c r="G229" s="55" t="n"/>
      <c r="H229" s="58" t="n"/>
      <c r="I229" s="58" t="n"/>
      <c r="J229" s="55" t="n"/>
      <c r="K229" s="55" t="n"/>
      <c r="L229">
        <f>IF(OR(A229="",B229=""),"",_xlfn.MAXIFS(TrocasEquip!$A$2:$A$1000,TrocasEquip!$B$2:$B$1000,B229,TrocasEquip!$A$2:$A$1000,"&lt;"&amp;A229))</f>
        <v/>
      </c>
      <c r="M229">
        <f>IF(N(L229)=0,0,MATCH(1,INDEX((TrocasEquip!$B$2:$B$1000=B229)*(TrocasEquip!$A$2:$A$1000=L229),0),0))</f>
        <v/>
      </c>
      <c r="N229">
        <f>IF(B229="","",IFERROR(MATCH(B229,Equipamentos!$P$2:$P$61,0),""))</f>
        <v/>
      </c>
      <c r="O229">
        <f>IF(N229="","",IF(M229=0,INDEX(Equipamentos!$U$2:$U$61,N229),L229))</f>
        <v/>
      </c>
      <c r="P229">
        <f>IF(N229="","",IF(M229=0,N(INDEX(Equipamentos!$V$2:$V$61,N229)),N(INDEX(TrocasEquip!$I$2:$I$1000,M229))))</f>
        <v/>
      </c>
      <c r="Q229">
        <f>IF(N229="","",IF(M229=0,INDEX(Equipamentos!$T$2:$T$61,N229),IF(INDEX(TrocasEquip!$H$2:$H$1000,M229)="",INDEX(Equipamentos!$T$2:$T$61,N229),INDEX(TrocasEquip!$H$2:$H$1000,M229))))</f>
        <v/>
      </c>
    </row>
    <row r="230">
      <c r="A230" s="54" t="n"/>
      <c r="B230" s="55" t="n"/>
      <c r="C230">
        <f>IF(B230="","",IF(N230="","posição não encontrada",IF(M230=0,INDEX(Equipamentos!$S$2:$S$61,N230),INDEX(TrocasEquip!$G$2:$G$1000,M230))))</f>
        <v/>
      </c>
      <c r="D230" s="56">
        <f>IF(OR(A230="",N230=""),"",P230+IF(E230="dias",MAX(0,A230-O230),IF(INDEX(Equipamentos!$D$2:$D$61,N230)=2,SUMIFS(Producao!$D:$D,Producao!$A:$A,"&gt;="&amp;O230,Producao!$A:$A,"&lt;"&amp;A230),IF(INDEX(Equipamentos!$D$2:$D$61,N230)=3,SUMIFS(Producao!$E:$E,Producao!$A:$A,"&gt;="&amp;O230,Producao!$A:$A,"&lt;"&amp;A230),SUMIFS(Producao!$B:$B,Producao!$A:$A,"&gt;="&amp;O230,Producao!$A:$A,"&lt;"&amp;A230)))))</f>
        <v/>
      </c>
      <c r="E230">
        <f>IF(N230="","",INDEX(Equipamentos!$C$2:$C$61,N230))</f>
        <v/>
      </c>
      <c r="F230" s="57">
        <f>IF(OR(D230="",N(Q230)&lt;=0),"",D230/Q230)</f>
        <v/>
      </c>
      <c r="G230" s="55" t="n"/>
      <c r="H230" s="58" t="n"/>
      <c r="I230" s="58" t="n"/>
      <c r="J230" s="55" t="n"/>
      <c r="K230" s="55" t="n"/>
      <c r="L230">
        <f>IF(OR(A230="",B230=""),"",_xlfn.MAXIFS(TrocasEquip!$A$2:$A$1000,TrocasEquip!$B$2:$B$1000,B230,TrocasEquip!$A$2:$A$1000,"&lt;"&amp;A230))</f>
        <v/>
      </c>
      <c r="M230">
        <f>IF(N(L230)=0,0,MATCH(1,INDEX((TrocasEquip!$B$2:$B$1000=B230)*(TrocasEquip!$A$2:$A$1000=L230),0),0))</f>
        <v/>
      </c>
      <c r="N230">
        <f>IF(B230="","",IFERROR(MATCH(B230,Equipamentos!$P$2:$P$61,0),""))</f>
        <v/>
      </c>
      <c r="O230">
        <f>IF(N230="","",IF(M230=0,INDEX(Equipamentos!$U$2:$U$61,N230),L230))</f>
        <v/>
      </c>
      <c r="P230">
        <f>IF(N230="","",IF(M230=0,N(INDEX(Equipamentos!$V$2:$V$61,N230)),N(INDEX(TrocasEquip!$I$2:$I$1000,M230))))</f>
        <v/>
      </c>
      <c r="Q230">
        <f>IF(N230="","",IF(M230=0,INDEX(Equipamentos!$T$2:$T$61,N230),IF(INDEX(TrocasEquip!$H$2:$H$1000,M230)="",INDEX(Equipamentos!$T$2:$T$61,N230),INDEX(TrocasEquip!$H$2:$H$1000,M230))))</f>
        <v/>
      </c>
    </row>
    <row r="231">
      <c r="A231" s="54" t="n"/>
      <c r="B231" s="55" t="n"/>
      <c r="C231">
        <f>IF(B231="","",IF(N231="","posição não encontrada",IF(M231=0,INDEX(Equipamentos!$S$2:$S$61,N231),INDEX(TrocasEquip!$G$2:$G$1000,M231))))</f>
        <v/>
      </c>
      <c r="D231" s="56">
        <f>IF(OR(A231="",N231=""),"",P231+IF(E231="dias",MAX(0,A231-O231),IF(INDEX(Equipamentos!$D$2:$D$61,N231)=2,SUMIFS(Producao!$D:$D,Producao!$A:$A,"&gt;="&amp;O231,Producao!$A:$A,"&lt;"&amp;A231),IF(INDEX(Equipamentos!$D$2:$D$61,N231)=3,SUMIFS(Producao!$E:$E,Producao!$A:$A,"&gt;="&amp;O231,Producao!$A:$A,"&lt;"&amp;A231),SUMIFS(Producao!$B:$B,Producao!$A:$A,"&gt;="&amp;O231,Producao!$A:$A,"&lt;"&amp;A231)))))</f>
        <v/>
      </c>
      <c r="E231">
        <f>IF(N231="","",INDEX(Equipamentos!$C$2:$C$61,N231))</f>
        <v/>
      </c>
      <c r="F231" s="57">
        <f>IF(OR(D231="",N(Q231)&lt;=0),"",D231/Q231)</f>
        <v/>
      </c>
      <c r="G231" s="55" t="n"/>
      <c r="H231" s="58" t="n"/>
      <c r="I231" s="58" t="n"/>
      <c r="J231" s="55" t="n"/>
      <c r="K231" s="55" t="n"/>
      <c r="L231">
        <f>IF(OR(A231="",B231=""),"",_xlfn.MAXIFS(TrocasEquip!$A$2:$A$1000,TrocasEquip!$B$2:$B$1000,B231,TrocasEquip!$A$2:$A$1000,"&lt;"&amp;A231))</f>
        <v/>
      </c>
      <c r="M231">
        <f>IF(N(L231)=0,0,MATCH(1,INDEX((TrocasEquip!$B$2:$B$1000=B231)*(TrocasEquip!$A$2:$A$1000=L231),0),0))</f>
        <v/>
      </c>
      <c r="N231">
        <f>IF(B231="","",IFERROR(MATCH(B231,Equipamentos!$P$2:$P$61,0),""))</f>
        <v/>
      </c>
      <c r="O231">
        <f>IF(N231="","",IF(M231=0,INDEX(Equipamentos!$U$2:$U$61,N231),L231))</f>
        <v/>
      </c>
      <c r="P231">
        <f>IF(N231="","",IF(M231=0,N(INDEX(Equipamentos!$V$2:$V$61,N231)),N(INDEX(TrocasEquip!$I$2:$I$1000,M231))))</f>
        <v/>
      </c>
      <c r="Q231">
        <f>IF(N231="","",IF(M231=0,INDEX(Equipamentos!$T$2:$T$61,N231),IF(INDEX(TrocasEquip!$H$2:$H$1000,M231)="",INDEX(Equipamentos!$T$2:$T$61,N231),INDEX(TrocasEquip!$H$2:$H$1000,M231))))</f>
        <v/>
      </c>
    </row>
    <row r="232">
      <c r="A232" s="54" t="n"/>
      <c r="B232" s="55" t="n"/>
      <c r="C232">
        <f>IF(B232="","",IF(N232="","posição não encontrada",IF(M232=0,INDEX(Equipamentos!$S$2:$S$61,N232),INDEX(TrocasEquip!$G$2:$G$1000,M232))))</f>
        <v/>
      </c>
      <c r="D232" s="56">
        <f>IF(OR(A232="",N232=""),"",P232+IF(E232="dias",MAX(0,A232-O232),IF(INDEX(Equipamentos!$D$2:$D$61,N232)=2,SUMIFS(Producao!$D:$D,Producao!$A:$A,"&gt;="&amp;O232,Producao!$A:$A,"&lt;"&amp;A232),IF(INDEX(Equipamentos!$D$2:$D$61,N232)=3,SUMIFS(Producao!$E:$E,Producao!$A:$A,"&gt;="&amp;O232,Producao!$A:$A,"&lt;"&amp;A232),SUMIFS(Producao!$B:$B,Producao!$A:$A,"&gt;="&amp;O232,Producao!$A:$A,"&lt;"&amp;A232)))))</f>
        <v/>
      </c>
      <c r="E232">
        <f>IF(N232="","",INDEX(Equipamentos!$C$2:$C$61,N232))</f>
        <v/>
      </c>
      <c r="F232" s="57">
        <f>IF(OR(D232="",N(Q232)&lt;=0),"",D232/Q232)</f>
        <v/>
      </c>
      <c r="G232" s="55" t="n"/>
      <c r="H232" s="58" t="n"/>
      <c r="I232" s="58" t="n"/>
      <c r="J232" s="55" t="n"/>
      <c r="K232" s="55" t="n"/>
      <c r="L232">
        <f>IF(OR(A232="",B232=""),"",_xlfn.MAXIFS(TrocasEquip!$A$2:$A$1000,TrocasEquip!$B$2:$B$1000,B232,TrocasEquip!$A$2:$A$1000,"&lt;"&amp;A232))</f>
        <v/>
      </c>
      <c r="M232">
        <f>IF(N(L232)=0,0,MATCH(1,INDEX((TrocasEquip!$B$2:$B$1000=B232)*(TrocasEquip!$A$2:$A$1000=L232),0),0))</f>
        <v/>
      </c>
      <c r="N232">
        <f>IF(B232="","",IFERROR(MATCH(B232,Equipamentos!$P$2:$P$61,0),""))</f>
        <v/>
      </c>
      <c r="O232">
        <f>IF(N232="","",IF(M232=0,INDEX(Equipamentos!$U$2:$U$61,N232),L232))</f>
        <v/>
      </c>
      <c r="P232">
        <f>IF(N232="","",IF(M232=0,N(INDEX(Equipamentos!$V$2:$V$61,N232)),N(INDEX(TrocasEquip!$I$2:$I$1000,M232))))</f>
        <v/>
      </c>
      <c r="Q232">
        <f>IF(N232="","",IF(M232=0,INDEX(Equipamentos!$T$2:$T$61,N232),IF(INDEX(TrocasEquip!$H$2:$H$1000,M232)="",INDEX(Equipamentos!$T$2:$T$61,N232),INDEX(TrocasEquip!$H$2:$H$1000,M232))))</f>
        <v/>
      </c>
    </row>
    <row r="233">
      <c r="A233" s="54" t="n"/>
      <c r="B233" s="55" t="n"/>
      <c r="C233">
        <f>IF(B233="","",IF(N233="","posição não encontrada",IF(M233=0,INDEX(Equipamentos!$S$2:$S$61,N233),INDEX(TrocasEquip!$G$2:$G$1000,M233))))</f>
        <v/>
      </c>
      <c r="D233" s="56">
        <f>IF(OR(A233="",N233=""),"",P233+IF(E233="dias",MAX(0,A233-O233),IF(INDEX(Equipamentos!$D$2:$D$61,N233)=2,SUMIFS(Producao!$D:$D,Producao!$A:$A,"&gt;="&amp;O233,Producao!$A:$A,"&lt;"&amp;A233),IF(INDEX(Equipamentos!$D$2:$D$61,N233)=3,SUMIFS(Producao!$E:$E,Producao!$A:$A,"&gt;="&amp;O233,Producao!$A:$A,"&lt;"&amp;A233),SUMIFS(Producao!$B:$B,Producao!$A:$A,"&gt;="&amp;O233,Producao!$A:$A,"&lt;"&amp;A233)))))</f>
        <v/>
      </c>
      <c r="E233">
        <f>IF(N233="","",INDEX(Equipamentos!$C$2:$C$61,N233))</f>
        <v/>
      </c>
      <c r="F233" s="57">
        <f>IF(OR(D233="",N(Q233)&lt;=0),"",D233/Q233)</f>
        <v/>
      </c>
      <c r="G233" s="55" t="n"/>
      <c r="H233" s="58" t="n"/>
      <c r="I233" s="58" t="n"/>
      <c r="J233" s="55" t="n"/>
      <c r="K233" s="55" t="n"/>
      <c r="L233">
        <f>IF(OR(A233="",B233=""),"",_xlfn.MAXIFS(TrocasEquip!$A$2:$A$1000,TrocasEquip!$B$2:$B$1000,B233,TrocasEquip!$A$2:$A$1000,"&lt;"&amp;A233))</f>
        <v/>
      </c>
      <c r="M233">
        <f>IF(N(L233)=0,0,MATCH(1,INDEX((TrocasEquip!$B$2:$B$1000=B233)*(TrocasEquip!$A$2:$A$1000=L233),0),0))</f>
        <v/>
      </c>
      <c r="N233">
        <f>IF(B233="","",IFERROR(MATCH(B233,Equipamentos!$P$2:$P$61,0),""))</f>
        <v/>
      </c>
      <c r="O233">
        <f>IF(N233="","",IF(M233=0,INDEX(Equipamentos!$U$2:$U$61,N233),L233))</f>
        <v/>
      </c>
      <c r="P233">
        <f>IF(N233="","",IF(M233=0,N(INDEX(Equipamentos!$V$2:$V$61,N233)),N(INDEX(TrocasEquip!$I$2:$I$1000,M233))))</f>
        <v/>
      </c>
      <c r="Q233">
        <f>IF(N233="","",IF(M233=0,INDEX(Equipamentos!$T$2:$T$61,N233),IF(INDEX(TrocasEquip!$H$2:$H$1000,M233)="",INDEX(Equipamentos!$T$2:$T$61,N233),INDEX(TrocasEquip!$H$2:$H$1000,M233))))</f>
        <v/>
      </c>
    </row>
    <row r="234">
      <c r="A234" s="54" t="n"/>
      <c r="B234" s="55" t="n"/>
      <c r="C234">
        <f>IF(B234="","",IF(N234="","posição não encontrada",IF(M234=0,INDEX(Equipamentos!$S$2:$S$61,N234),INDEX(TrocasEquip!$G$2:$G$1000,M234))))</f>
        <v/>
      </c>
      <c r="D234" s="56">
        <f>IF(OR(A234="",N234=""),"",P234+IF(E234="dias",MAX(0,A234-O234),IF(INDEX(Equipamentos!$D$2:$D$61,N234)=2,SUMIFS(Producao!$D:$D,Producao!$A:$A,"&gt;="&amp;O234,Producao!$A:$A,"&lt;"&amp;A234),IF(INDEX(Equipamentos!$D$2:$D$61,N234)=3,SUMIFS(Producao!$E:$E,Producao!$A:$A,"&gt;="&amp;O234,Producao!$A:$A,"&lt;"&amp;A234),SUMIFS(Producao!$B:$B,Producao!$A:$A,"&gt;="&amp;O234,Producao!$A:$A,"&lt;"&amp;A234)))))</f>
        <v/>
      </c>
      <c r="E234">
        <f>IF(N234="","",INDEX(Equipamentos!$C$2:$C$61,N234))</f>
        <v/>
      </c>
      <c r="F234" s="57">
        <f>IF(OR(D234="",N(Q234)&lt;=0),"",D234/Q234)</f>
        <v/>
      </c>
      <c r="G234" s="55" t="n"/>
      <c r="H234" s="58" t="n"/>
      <c r="I234" s="58" t="n"/>
      <c r="J234" s="55" t="n"/>
      <c r="K234" s="55" t="n"/>
      <c r="L234">
        <f>IF(OR(A234="",B234=""),"",_xlfn.MAXIFS(TrocasEquip!$A$2:$A$1000,TrocasEquip!$B$2:$B$1000,B234,TrocasEquip!$A$2:$A$1000,"&lt;"&amp;A234))</f>
        <v/>
      </c>
      <c r="M234">
        <f>IF(N(L234)=0,0,MATCH(1,INDEX((TrocasEquip!$B$2:$B$1000=B234)*(TrocasEquip!$A$2:$A$1000=L234),0),0))</f>
        <v/>
      </c>
      <c r="N234">
        <f>IF(B234="","",IFERROR(MATCH(B234,Equipamentos!$P$2:$P$61,0),""))</f>
        <v/>
      </c>
      <c r="O234">
        <f>IF(N234="","",IF(M234=0,INDEX(Equipamentos!$U$2:$U$61,N234),L234))</f>
        <v/>
      </c>
      <c r="P234">
        <f>IF(N234="","",IF(M234=0,N(INDEX(Equipamentos!$V$2:$V$61,N234)),N(INDEX(TrocasEquip!$I$2:$I$1000,M234))))</f>
        <v/>
      </c>
      <c r="Q234">
        <f>IF(N234="","",IF(M234=0,INDEX(Equipamentos!$T$2:$T$61,N234),IF(INDEX(TrocasEquip!$H$2:$H$1000,M234)="",INDEX(Equipamentos!$T$2:$T$61,N234),INDEX(TrocasEquip!$H$2:$H$1000,M234))))</f>
        <v/>
      </c>
    </row>
    <row r="235">
      <c r="A235" s="54" t="n"/>
      <c r="B235" s="55" t="n"/>
      <c r="C235">
        <f>IF(B235="","",IF(N235="","posição não encontrada",IF(M235=0,INDEX(Equipamentos!$S$2:$S$61,N235),INDEX(TrocasEquip!$G$2:$G$1000,M235))))</f>
        <v/>
      </c>
      <c r="D235" s="56">
        <f>IF(OR(A235="",N235=""),"",P235+IF(E235="dias",MAX(0,A235-O235),IF(INDEX(Equipamentos!$D$2:$D$61,N235)=2,SUMIFS(Producao!$D:$D,Producao!$A:$A,"&gt;="&amp;O235,Producao!$A:$A,"&lt;"&amp;A235),IF(INDEX(Equipamentos!$D$2:$D$61,N235)=3,SUMIFS(Producao!$E:$E,Producao!$A:$A,"&gt;="&amp;O235,Producao!$A:$A,"&lt;"&amp;A235),SUMIFS(Producao!$B:$B,Producao!$A:$A,"&gt;="&amp;O235,Producao!$A:$A,"&lt;"&amp;A235)))))</f>
        <v/>
      </c>
      <c r="E235">
        <f>IF(N235="","",INDEX(Equipamentos!$C$2:$C$61,N235))</f>
        <v/>
      </c>
      <c r="F235" s="57">
        <f>IF(OR(D235="",N(Q235)&lt;=0),"",D235/Q235)</f>
        <v/>
      </c>
      <c r="G235" s="55" t="n"/>
      <c r="H235" s="58" t="n"/>
      <c r="I235" s="58" t="n"/>
      <c r="J235" s="55" t="n"/>
      <c r="K235" s="55" t="n"/>
      <c r="L235">
        <f>IF(OR(A235="",B235=""),"",_xlfn.MAXIFS(TrocasEquip!$A$2:$A$1000,TrocasEquip!$B$2:$B$1000,B235,TrocasEquip!$A$2:$A$1000,"&lt;"&amp;A235))</f>
        <v/>
      </c>
      <c r="M235">
        <f>IF(N(L235)=0,0,MATCH(1,INDEX((TrocasEquip!$B$2:$B$1000=B235)*(TrocasEquip!$A$2:$A$1000=L235),0),0))</f>
        <v/>
      </c>
      <c r="N235">
        <f>IF(B235="","",IFERROR(MATCH(B235,Equipamentos!$P$2:$P$61,0),""))</f>
        <v/>
      </c>
      <c r="O235">
        <f>IF(N235="","",IF(M235=0,INDEX(Equipamentos!$U$2:$U$61,N235),L235))</f>
        <v/>
      </c>
      <c r="P235">
        <f>IF(N235="","",IF(M235=0,N(INDEX(Equipamentos!$V$2:$V$61,N235)),N(INDEX(TrocasEquip!$I$2:$I$1000,M235))))</f>
        <v/>
      </c>
      <c r="Q235">
        <f>IF(N235="","",IF(M235=0,INDEX(Equipamentos!$T$2:$T$61,N235),IF(INDEX(TrocasEquip!$H$2:$H$1000,M235)="",INDEX(Equipamentos!$T$2:$T$61,N235),INDEX(TrocasEquip!$H$2:$H$1000,M235))))</f>
        <v/>
      </c>
    </row>
    <row r="236">
      <c r="A236" s="54" t="n"/>
      <c r="B236" s="55" t="n"/>
      <c r="C236">
        <f>IF(B236="","",IF(N236="","posição não encontrada",IF(M236=0,INDEX(Equipamentos!$S$2:$S$61,N236),INDEX(TrocasEquip!$G$2:$G$1000,M236))))</f>
        <v/>
      </c>
      <c r="D236" s="56">
        <f>IF(OR(A236="",N236=""),"",P236+IF(E236="dias",MAX(0,A236-O236),IF(INDEX(Equipamentos!$D$2:$D$61,N236)=2,SUMIFS(Producao!$D:$D,Producao!$A:$A,"&gt;="&amp;O236,Producao!$A:$A,"&lt;"&amp;A236),IF(INDEX(Equipamentos!$D$2:$D$61,N236)=3,SUMIFS(Producao!$E:$E,Producao!$A:$A,"&gt;="&amp;O236,Producao!$A:$A,"&lt;"&amp;A236),SUMIFS(Producao!$B:$B,Producao!$A:$A,"&gt;="&amp;O236,Producao!$A:$A,"&lt;"&amp;A236)))))</f>
        <v/>
      </c>
      <c r="E236">
        <f>IF(N236="","",INDEX(Equipamentos!$C$2:$C$61,N236))</f>
        <v/>
      </c>
      <c r="F236" s="57">
        <f>IF(OR(D236="",N(Q236)&lt;=0),"",D236/Q236)</f>
        <v/>
      </c>
      <c r="G236" s="55" t="n"/>
      <c r="H236" s="58" t="n"/>
      <c r="I236" s="58" t="n"/>
      <c r="J236" s="55" t="n"/>
      <c r="K236" s="55" t="n"/>
      <c r="L236">
        <f>IF(OR(A236="",B236=""),"",_xlfn.MAXIFS(TrocasEquip!$A$2:$A$1000,TrocasEquip!$B$2:$B$1000,B236,TrocasEquip!$A$2:$A$1000,"&lt;"&amp;A236))</f>
        <v/>
      </c>
      <c r="M236">
        <f>IF(N(L236)=0,0,MATCH(1,INDEX((TrocasEquip!$B$2:$B$1000=B236)*(TrocasEquip!$A$2:$A$1000=L236),0),0))</f>
        <v/>
      </c>
      <c r="N236">
        <f>IF(B236="","",IFERROR(MATCH(B236,Equipamentos!$P$2:$P$61,0),""))</f>
        <v/>
      </c>
      <c r="O236">
        <f>IF(N236="","",IF(M236=0,INDEX(Equipamentos!$U$2:$U$61,N236),L236))</f>
        <v/>
      </c>
      <c r="P236">
        <f>IF(N236="","",IF(M236=0,N(INDEX(Equipamentos!$V$2:$V$61,N236)),N(INDEX(TrocasEquip!$I$2:$I$1000,M236))))</f>
        <v/>
      </c>
      <c r="Q236">
        <f>IF(N236="","",IF(M236=0,INDEX(Equipamentos!$T$2:$T$61,N236),IF(INDEX(TrocasEquip!$H$2:$H$1000,M236)="",INDEX(Equipamentos!$T$2:$T$61,N236),INDEX(TrocasEquip!$H$2:$H$1000,M236))))</f>
        <v/>
      </c>
    </row>
    <row r="237">
      <c r="A237" s="54" t="n"/>
      <c r="B237" s="55" t="n"/>
      <c r="C237">
        <f>IF(B237="","",IF(N237="","posição não encontrada",IF(M237=0,INDEX(Equipamentos!$S$2:$S$61,N237),INDEX(TrocasEquip!$G$2:$G$1000,M237))))</f>
        <v/>
      </c>
      <c r="D237" s="56">
        <f>IF(OR(A237="",N237=""),"",P237+IF(E237="dias",MAX(0,A237-O237),IF(INDEX(Equipamentos!$D$2:$D$61,N237)=2,SUMIFS(Producao!$D:$D,Producao!$A:$A,"&gt;="&amp;O237,Producao!$A:$A,"&lt;"&amp;A237),IF(INDEX(Equipamentos!$D$2:$D$61,N237)=3,SUMIFS(Producao!$E:$E,Producao!$A:$A,"&gt;="&amp;O237,Producao!$A:$A,"&lt;"&amp;A237),SUMIFS(Producao!$B:$B,Producao!$A:$A,"&gt;="&amp;O237,Producao!$A:$A,"&lt;"&amp;A237)))))</f>
        <v/>
      </c>
      <c r="E237">
        <f>IF(N237="","",INDEX(Equipamentos!$C$2:$C$61,N237))</f>
        <v/>
      </c>
      <c r="F237" s="57">
        <f>IF(OR(D237="",N(Q237)&lt;=0),"",D237/Q237)</f>
        <v/>
      </c>
      <c r="G237" s="55" t="n"/>
      <c r="H237" s="58" t="n"/>
      <c r="I237" s="58" t="n"/>
      <c r="J237" s="55" t="n"/>
      <c r="K237" s="55" t="n"/>
      <c r="L237">
        <f>IF(OR(A237="",B237=""),"",_xlfn.MAXIFS(TrocasEquip!$A$2:$A$1000,TrocasEquip!$B$2:$B$1000,B237,TrocasEquip!$A$2:$A$1000,"&lt;"&amp;A237))</f>
        <v/>
      </c>
      <c r="M237">
        <f>IF(N(L237)=0,0,MATCH(1,INDEX((TrocasEquip!$B$2:$B$1000=B237)*(TrocasEquip!$A$2:$A$1000=L237),0),0))</f>
        <v/>
      </c>
      <c r="N237">
        <f>IF(B237="","",IFERROR(MATCH(B237,Equipamentos!$P$2:$P$61,0),""))</f>
        <v/>
      </c>
      <c r="O237">
        <f>IF(N237="","",IF(M237=0,INDEX(Equipamentos!$U$2:$U$61,N237),L237))</f>
        <v/>
      </c>
      <c r="P237">
        <f>IF(N237="","",IF(M237=0,N(INDEX(Equipamentos!$V$2:$V$61,N237)),N(INDEX(TrocasEquip!$I$2:$I$1000,M237))))</f>
        <v/>
      </c>
      <c r="Q237">
        <f>IF(N237="","",IF(M237=0,INDEX(Equipamentos!$T$2:$T$61,N237),IF(INDEX(TrocasEquip!$H$2:$H$1000,M237)="",INDEX(Equipamentos!$T$2:$T$61,N237),INDEX(TrocasEquip!$H$2:$H$1000,M237))))</f>
        <v/>
      </c>
    </row>
    <row r="238">
      <c r="A238" s="54" t="n"/>
      <c r="B238" s="55" t="n"/>
      <c r="C238">
        <f>IF(B238="","",IF(N238="","posição não encontrada",IF(M238=0,INDEX(Equipamentos!$S$2:$S$61,N238),INDEX(TrocasEquip!$G$2:$G$1000,M238))))</f>
        <v/>
      </c>
      <c r="D238" s="56">
        <f>IF(OR(A238="",N238=""),"",P238+IF(E238="dias",MAX(0,A238-O238),IF(INDEX(Equipamentos!$D$2:$D$61,N238)=2,SUMIFS(Producao!$D:$D,Producao!$A:$A,"&gt;="&amp;O238,Producao!$A:$A,"&lt;"&amp;A238),IF(INDEX(Equipamentos!$D$2:$D$61,N238)=3,SUMIFS(Producao!$E:$E,Producao!$A:$A,"&gt;="&amp;O238,Producao!$A:$A,"&lt;"&amp;A238),SUMIFS(Producao!$B:$B,Producao!$A:$A,"&gt;="&amp;O238,Producao!$A:$A,"&lt;"&amp;A238)))))</f>
        <v/>
      </c>
      <c r="E238">
        <f>IF(N238="","",INDEX(Equipamentos!$C$2:$C$61,N238))</f>
        <v/>
      </c>
      <c r="F238" s="57">
        <f>IF(OR(D238="",N(Q238)&lt;=0),"",D238/Q238)</f>
        <v/>
      </c>
      <c r="G238" s="55" t="n"/>
      <c r="H238" s="58" t="n"/>
      <c r="I238" s="58" t="n"/>
      <c r="J238" s="55" t="n"/>
      <c r="K238" s="55" t="n"/>
      <c r="L238">
        <f>IF(OR(A238="",B238=""),"",_xlfn.MAXIFS(TrocasEquip!$A$2:$A$1000,TrocasEquip!$B$2:$B$1000,B238,TrocasEquip!$A$2:$A$1000,"&lt;"&amp;A238))</f>
        <v/>
      </c>
      <c r="M238">
        <f>IF(N(L238)=0,0,MATCH(1,INDEX((TrocasEquip!$B$2:$B$1000=B238)*(TrocasEquip!$A$2:$A$1000=L238),0),0))</f>
        <v/>
      </c>
      <c r="N238">
        <f>IF(B238="","",IFERROR(MATCH(B238,Equipamentos!$P$2:$P$61,0),""))</f>
        <v/>
      </c>
      <c r="O238">
        <f>IF(N238="","",IF(M238=0,INDEX(Equipamentos!$U$2:$U$61,N238),L238))</f>
        <v/>
      </c>
      <c r="P238">
        <f>IF(N238="","",IF(M238=0,N(INDEX(Equipamentos!$V$2:$V$61,N238)),N(INDEX(TrocasEquip!$I$2:$I$1000,M238))))</f>
        <v/>
      </c>
      <c r="Q238">
        <f>IF(N238="","",IF(M238=0,INDEX(Equipamentos!$T$2:$T$61,N238),IF(INDEX(TrocasEquip!$H$2:$H$1000,M238)="",INDEX(Equipamentos!$T$2:$T$61,N238),INDEX(TrocasEquip!$H$2:$H$1000,M238))))</f>
        <v/>
      </c>
    </row>
    <row r="239">
      <c r="A239" s="54" t="n"/>
      <c r="B239" s="55" t="n"/>
      <c r="C239">
        <f>IF(B239="","",IF(N239="","posição não encontrada",IF(M239=0,INDEX(Equipamentos!$S$2:$S$61,N239),INDEX(TrocasEquip!$G$2:$G$1000,M239))))</f>
        <v/>
      </c>
      <c r="D239" s="56">
        <f>IF(OR(A239="",N239=""),"",P239+IF(E239="dias",MAX(0,A239-O239),IF(INDEX(Equipamentos!$D$2:$D$61,N239)=2,SUMIFS(Producao!$D:$D,Producao!$A:$A,"&gt;="&amp;O239,Producao!$A:$A,"&lt;"&amp;A239),IF(INDEX(Equipamentos!$D$2:$D$61,N239)=3,SUMIFS(Producao!$E:$E,Producao!$A:$A,"&gt;="&amp;O239,Producao!$A:$A,"&lt;"&amp;A239),SUMIFS(Producao!$B:$B,Producao!$A:$A,"&gt;="&amp;O239,Producao!$A:$A,"&lt;"&amp;A239)))))</f>
        <v/>
      </c>
      <c r="E239">
        <f>IF(N239="","",INDEX(Equipamentos!$C$2:$C$61,N239))</f>
        <v/>
      </c>
      <c r="F239" s="57">
        <f>IF(OR(D239="",N(Q239)&lt;=0),"",D239/Q239)</f>
        <v/>
      </c>
      <c r="G239" s="55" t="n"/>
      <c r="H239" s="58" t="n"/>
      <c r="I239" s="58" t="n"/>
      <c r="J239" s="55" t="n"/>
      <c r="K239" s="55" t="n"/>
      <c r="L239">
        <f>IF(OR(A239="",B239=""),"",_xlfn.MAXIFS(TrocasEquip!$A$2:$A$1000,TrocasEquip!$B$2:$B$1000,B239,TrocasEquip!$A$2:$A$1000,"&lt;"&amp;A239))</f>
        <v/>
      </c>
      <c r="M239">
        <f>IF(N(L239)=0,0,MATCH(1,INDEX((TrocasEquip!$B$2:$B$1000=B239)*(TrocasEquip!$A$2:$A$1000=L239),0),0))</f>
        <v/>
      </c>
      <c r="N239">
        <f>IF(B239="","",IFERROR(MATCH(B239,Equipamentos!$P$2:$P$61,0),""))</f>
        <v/>
      </c>
      <c r="O239">
        <f>IF(N239="","",IF(M239=0,INDEX(Equipamentos!$U$2:$U$61,N239),L239))</f>
        <v/>
      </c>
      <c r="P239">
        <f>IF(N239="","",IF(M239=0,N(INDEX(Equipamentos!$V$2:$V$61,N239)),N(INDEX(TrocasEquip!$I$2:$I$1000,M239))))</f>
        <v/>
      </c>
      <c r="Q239">
        <f>IF(N239="","",IF(M239=0,INDEX(Equipamentos!$T$2:$T$61,N239),IF(INDEX(TrocasEquip!$H$2:$H$1000,M239)="",INDEX(Equipamentos!$T$2:$T$61,N239),INDEX(TrocasEquip!$H$2:$H$1000,M239))))</f>
        <v/>
      </c>
    </row>
    <row r="240">
      <c r="A240" s="54" t="n"/>
      <c r="B240" s="55" t="n"/>
      <c r="C240">
        <f>IF(B240="","",IF(N240="","posição não encontrada",IF(M240=0,INDEX(Equipamentos!$S$2:$S$61,N240),INDEX(TrocasEquip!$G$2:$G$1000,M240))))</f>
        <v/>
      </c>
      <c r="D240" s="56">
        <f>IF(OR(A240="",N240=""),"",P240+IF(E240="dias",MAX(0,A240-O240),IF(INDEX(Equipamentos!$D$2:$D$61,N240)=2,SUMIFS(Producao!$D:$D,Producao!$A:$A,"&gt;="&amp;O240,Producao!$A:$A,"&lt;"&amp;A240),IF(INDEX(Equipamentos!$D$2:$D$61,N240)=3,SUMIFS(Producao!$E:$E,Producao!$A:$A,"&gt;="&amp;O240,Producao!$A:$A,"&lt;"&amp;A240),SUMIFS(Producao!$B:$B,Producao!$A:$A,"&gt;="&amp;O240,Producao!$A:$A,"&lt;"&amp;A240)))))</f>
        <v/>
      </c>
      <c r="E240">
        <f>IF(N240="","",INDEX(Equipamentos!$C$2:$C$61,N240))</f>
        <v/>
      </c>
      <c r="F240" s="57">
        <f>IF(OR(D240="",N(Q240)&lt;=0),"",D240/Q240)</f>
        <v/>
      </c>
      <c r="G240" s="55" t="n"/>
      <c r="H240" s="58" t="n"/>
      <c r="I240" s="58" t="n"/>
      <c r="J240" s="55" t="n"/>
      <c r="K240" s="55" t="n"/>
      <c r="L240">
        <f>IF(OR(A240="",B240=""),"",_xlfn.MAXIFS(TrocasEquip!$A$2:$A$1000,TrocasEquip!$B$2:$B$1000,B240,TrocasEquip!$A$2:$A$1000,"&lt;"&amp;A240))</f>
        <v/>
      </c>
      <c r="M240">
        <f>IF(N(L240)=0,0,MATCH(1,INDEX((TrocasEquip!$B$2:$B$1000=B240)*(TrocasEquip!$A$2:$A$1000=L240),0),0))</f>
        <v/>
      </c>
      <c r="N240">
        <f>IF(B240="","",IFERROR(MATCH(B240,Equipamentos!$P$2:$P$61,0),""))</f>
        <v/>
      </c>
      <c r="O240">
        <f>IF(N240="","",IF(M240=0,INDEX(Equipamentos!$U$2:$U$61,N240),L240))</f>
        <v/>
      </c>
      <c r="P240">
        <f>IF(N240="","",IF(M240=0,N(INDEX(Equipamentos!$V$2:$V$61,N240)),N(INDEX(TrocasEquip!$I$2:$I$1000,M240))))</f>
        <v/>
      </c>
      <c r="Q240">
        <f>IF(N240="","",IF(M240=0,INDEX(Equipamentos!$T$2:$T$61,N240),IF(INDEX(TrocasEquip!$H$2:$H$1000,M240)="",INDEX(Equipamentos!$T$2:$T$61,N240),INDEX(TrocasEquip!$H$2:$H$1000,M240))))</f>
        <v/>
      </c>
    </row>
    <row r="241">
      <c r="A241" s="54" t="n"/>
      <c r="B241" s="55" t="n"/>
      <c r="C241">
        <f>IF(B241="","",IF(N241="","posição não encontrada",IF(M241=0,INDEX(Equipamentos!$S$2:$S$61,N241),INDEX(TrocasEquip!$G$2:$G$1000,M241))))</f>
        <v/>
      </c>
      <c r="D241" s="56">
        <f>IF(OR(A241="",N241=""),"",P241+IF(E241="dias",MAX(0,A241-O241),IF(INDEX(Equipamentos!$D$2:$D$61,N241)=2,SUMIFS(Producao!$D:$D,Producao!$A:$A,"&gt;="&amp;O241,Producao!$A:$A,"&lt;"&amp;A241),IF(INDEX(Equipamentos!$D$2:$D$61,N241)=3,SUMIFS(Producao!$E:$E,Producao!$A:$A,"&gt;="&amp;O241,Producao!$A:$A,"&lt;"&amp;A241),SUMIFS(Producao!$B:$B,Producao!$A:$A,"&gt;="&amp;O241,Producao!$A:$A,"&lt;"&amp;A241)))))</f>
        <v/>
      </c>
      <c r="E241">
        <f>IF(N241="","",INDEX(Equipamentos!$C$2:$C$61,N241))</f>
        <v/>
      </c>
      <c r="F241" s="57">
        <f>IF(OR(D241="",N(Q241)&lt;=0),"",D241/Q241)</f>
        <v/>
      </c>
      <c r="G241" s="55" t="n"/>
      <c r="H241" s="58" t="n"/>
      <c r="I241" s="58" t="n"/>
      <c r="J241" s="55" t="n"/>
      <c r="K241" s="55" t="n"/>
      <c r="L241">
        <f>IF(OR(A241="",B241=""),"",_xlfn.MAXIFS(TrocasEquip!$A$2:$A$1000,TrocasEquip!$B$2:$B$1000,B241,TrocasEquip!$A$2:$A$1000,"&lt;"&amp;A241))</f>
        <v/>
      </c>
      <c r="M241">
        <f>IF(N(L241)=0,0,MATCH(1,INDEX((TrocasEquip!$B$2:$B$1000=B241)*(TrocasEquip!$A$2:$A$1000=L241),0),0))</f>
        <v/>
      </c>
      <c r="N241">
        <f>IF(B241="","",IFERROR(MATCH(B241,Equipamentos!$P$2:$P$61,0),""))</f>
        <v/>
      </c>
      <c r="O241">
        <f>IF(N241="","",IF(M241=0,INDEX(Equipamentos!$U$2:$U$61,N241),L241))</f>
        <v/>
      </c>
      <c r="P241">
        <f>IF(N241="","",IF(M241=0,N(INDEX(Equipamentos!$V$2:$V$61,N241)),N(INDEX(TrocasEquip!$I$2:$I$1000,M241))))</f>
        <v/>
      </c>
      <c r="Q241">
        <f>IF(N241="","",IF(M241=0,INDEX(Equipamentos!$T$2:$T$61,N241),IF(INDEX(TrocasEquip!$H$2:$H$1000,M241)="",INDEX(Equipamentos!$T$2:$T$61,N241),INDEX(TrocasEquip!$H$2:$H$1000,M241))))</f>
        <v/>
      </c>
    </row>
    <row r="242">
      <c r="A242" s="54" t="n"/>
      <c r="B242" s="55" t="n"/>
      <c r="C242">
        <f>IF(B242="","",IF(N242="","posição não encontrada",IF(M242=0,INDEX(Equipamentos!$S$2:$S$61,N242),INDEX(TrocasEquip!$G$2:$G$1000,M242))))</f>
        <v/>
      </c>
      <c r="D242" s="56">
        <f>IF(OR(A242="",N242=""),"",P242+IF(E242="dias",MAX(0,A242-O242),IF(INDEX(Equipamentos!$D$2:$D$61,N242)=2,SUMIFS(Producao!$D:$D,Producao!$A:$A,"&gt;="&amp;O242,Producao!$A:$A,"&lt;"&amp;A242),IF(INDEX(Equipamentos!$D$2:$D$61,N242)=3,SUMIFS(Producao!$E:$E,Producao!$A:$A,"&gt;="&amp;O242,Producao!$A:$A,"&lt;"&amp;A242),SUMIFS(Producao!$B:$B,Producao!$A:$A,"&gt;="&amp;O242,Producao!$A:$A,"&lt;"&amp;A242)))))</f>
        <v/>
      </c>
      <c r="E242">
        <f>IF(N242="","",INDEX(Equipamentos!$C$2:$C$61,N242))</f>
        <v/>
      </c>
      <c r="F242" s="57">
        <f>IF(OR(D242="",N(Q242)&lt;=0),"",D242/Q242)</f>
        <v/>
      </c>
      <c r="G242" s="55" t="n"/>
      <c r="H242" s="58" t="n"/>
      <c r="I242" s="58" t="n"/>
      <c r="J242" s="55" t="n"/>
      <c r="K242" s="55" t="n"/>
      <c r="L242">
        <f>IF(OR(A242="",B242=""),"",_xlfn.MAXIFS(TrocasEquip!$A$2:$A$1000,TrocasEquip!$B$2:$B$1000,B242,TrocasEquip!$A$2:$A$1000,"&lt;"&amp;A242))</f>
        <v/>
      </c>
      <c r="M242">
        <f>IF(N(L242)=0,0,MATCH(1,INDEX((TrocasEquip!$B$2:$B$1000=B242)*(TrocasEquip!$A$2:$A$1000=L242),0),0))</f>
        <v/>
      </c>
      <c r="N242">
        <f>IF(B242="","",IFERROR(MATCH(B242,Equipamentos!$P$2:$P$61,0),""))</f>
        <v/>
      </c>
      <c r="O242">
        <f>IF(N242="","",IF(M242=0,INDEX(Equipamentos!$U$2:$U$61,N242),L242))</f>
        <v/>
      </c>
      <c r="P242">
        <f>IF(N242="","",IF(M242=0,N(INDEX(Equipamentos!$V$2:$V$61,N242)),N(INDEX(TrocasEquip!$I$2:$I$1000,M242))))</f>
        <v/>
      </c>
      <c r="Q242">
        <f>IF(N242="","",IF(M242=0,INDEX(Equipamentos!$T$2:$T$61,N242),IF(INDEX(TrocasEquip!$H$2:$H$1000,M242)="",INDEX(Equipamentos!$T$2:$T$61,N242),INDEX(TrocasEquip!$H$2:$H$1000,M242))))</f>
        <v/>
      </c>
    </row>
    <row r="243">
      <c r="A243" s="54" t="n"/>
      <c r="B243" s="55" t="n"/>
      <c r="C243">
        <f>IF(B243="","",IF(N243="","posição não encontrada",IF(M243=0,INDEX(Equipamentos!$S$2:$S$61,N243),INDEX(TrocasEquip!$G$2:$G$1000,M243))))</f>
        <v/>
      </c>
      <c r="D243" s="56">
        <f>IF(OR(A243="",N243=""),"",P243+IF(E243="dias",MAX(0,A243-O243),IF(INDEX(Equipamentos!$D$2:$D$61,N243)=2,SUMIFS(Producao!$D:$D,Producao!$A:$A,"&gt;="&amp;O243,Producao!$A:$A,"&lt;"&amp;A243),IF(INDEX(Equipamentos!$D$2:$D$61,N243)=3,SUMIFS(Producao!$E:$E,Producao!$A:$A,"&gt;="&amp;O243,Producao!$A:$A,"&lt;"&amp;A243),SUMIFS(Producao!$B:$B,Producao!$A:$A,"&gt;="&amp;O243,Producao!$A:$A,"&lt;"&amp;A243)))))</f>
        <v/>
      </c>
      <c r="E243">
        <f>IF(N243="","",INDEX(Equipamentos!$C$2:$C$61,N243))</f>
        <v/>
      </c>
      <c r="F243" s="57">
        <f>IF(OR(D243="",N(Q243)&lt;=0),"",D243/Q243)</f>
        <v/>
      </c>
      <c r="G243" s="55" t="n"/>
      <c r="H243" s="58" t="n"/>
      <c r="I243" s="58" t="n"/>
      <c r="J243" s="55" t="n"/>
      <c r="K243" s="55" t="n"/>
      <c r="L243">
        <f>IF(OR(A243="",B243=""),"",_xlfn.MAXIFS(TrocasEquip!$A$2:$A$1000,TrocasEquip!$B$2:$B$1000,B243,TrocasEquip!$A$2:$A$1000,"&lt;"&amp;A243))</f>
        <v/>
      </c>
      <c r="M243">
        <f>IF(N(L243)=0,0,MATCH(1,INDEX((TrocasEquip!$B$2:$B$1000=B243)*(TrocasEquip!$A$2:$A$1000=L243),0),0))</f>
        <v/>
      </c>
      <c r="N243">
        <f>IF(B243="","",IFERROR(MATCH(B243,Equipamentos!$P$2:$P$61,0),""))</f>
        <v/>
      </c>
      <c r="O243">
        <f>IF(N243="","",IF(M243=0,INDEX(Equipamentos!$U$2:$U$61,N243),L243))</f>
        <v/>
      </c>
      <c r="P243">
        <f>IF(N243="","",IF(M243=0,N(INDEX(Equipamentos!$V$2:$V$61,N243)),N(INDEX(TrocasEquip!$I$2:$I$1000,M243))))</f>
        <v/>
      </c>
      <c r="Q243">
        <f>IF(N243="","",IF(M243=0,INDEX(Equipamentos!$T$2:$T$61,N243),IF(INDEX(TrocasEquip!$H$2:$H$1000,M243)="",INDEX(Equipamentos!$T$2:$T$61,N243),INDEX(TrocasEquip!$H$2:$H$1000,M243))))</f>
        <v/>
      </c>
    </row>
    <row r="244">
      <c r="A244" s="54" t="n"/>
      <c r="B244" s="55" t="n"/>
      <c r="C244">
        <f>IF(B244="","",IF(N244="","posição não encontrada",IF(M244=0,INDEX(Equipamentos!$S$2:$S$61,N244),INDEX(TrocasEquip!$G$2:$G$1000,M244))))</f>
        <v/>
      </c>
      <c r="D244" s="56">
        <f>IF(OR(A244="",N244=""),"",P244+IF(E244="dias",MAX(0,A244-O244),IF(INDEX(Equipamentos!$D$2:$D$61,N244)=2,SUMIFS(Producao!$D:$D,Producao!$A:$A,"&gt;="&amp;O244,Producao!$A:$A,"&lt;"&amp;A244),IF(INDEX(Equipamentos!$D$2:$D$61,N244)=3,SUMIFS(Producao!$E:$E,Producao!$A:$A,"&gt;="&amp;O244,Producao!$A:$A,"&lt;"&amp;A244),SUMIFS(Producao!$B:$B,Producao!$A:$A,"&gt;="&amp;O244,Producao!$A:$A,"&lt;"&amp;A244)))))</f>
        <v/>
      </c>
      <c r="E244">
        <f>IF(N244="","",INDEX(Equipamentos!$C$2:$C$61,N244))</f>
        <v/>
      </c>
      <c r="F244" s="57">
        <f>IF(OR(D244="",N(Q244)&lt;=0),"",D244/Q244)</f>
        <v/>
      </c>
      <c r="G244" s="55" t="n"/>
      <c r="H244" s="58" t="n"/>
      <c r="I244" s="58" t="n"/>
      <c r="J244" s="55" t="n"/>
      <c r="K244" s="55" t="n"/>
      <c r="L244">
        <f>IF(OR(A244="",B244=""),"",_xlfn.MAXIFS(TrocasEquip!$A$2:$A$1000,TrocasEquip!$B$2:$B$1000,B244,TrocasEquip!$A$2:$A$1000,"&lt;"&amp;A244))</f>
        <v/>
      </c>
      <c r="M244">
        <f>IF(N(L244)=0,0,MATCH(1,INDEX((TrocasEquip!$B$2:$B$1000=B244)*(TrocasEquip!$A$2:$A$1000=L244),0),0))</f>
        <v/>
      </c>
      <c r="N244">
        <f>IF(B244="","",IFERROR(MATCH(B244,Equipamentos!$P$2:$P$61,0),""))</f>
        <v/>
      </c>
      <c r="O244">
        <f>IF(N244="","",IF(M244=0,INDEX(Equipamentos!$U$2:$U$61,N244),L244))</f>
        <v/>
      </c>
      <c r="P244">
        <f>IF(N244="","",IF(M244=0,N(INDEX(Equipamentos!$V$2:$V$61,N244)),N(INDEX(TrocasEquip!$I$2:$I$1000,M244))))</f>
        <v/>
      </c>
      <c r="Q244">
        <f>IF(N244="","",IF(M244=0,INDEX(Equipamentos!$T$2:$T$61,N244),IF(INDEX(TrocasEquip!$H$2:$H$1000,M244)="",INDEX(Equipamentos!$T$2:$T$61,N244),INDEX(TrocasEquip!$H$2:$H$1000,M244))))</f>
        <v/>
      </c>
    </row>
    <row r="245">
      <c r="A245" s="54" t="n"/>
      <c r="B245" s="55" t="n"/>
      <c r="C245">
        <f>IF(B245="","",IF(N245="","posição não encontrada",IF(M245=0,INDEX(Equipamentos!$S$2:$S$61,N245),INDEX(TrocasEquip!$G$2:$G$1000,M245))))</f>
        <v/>
      </c>
      <c r="D245" s="56">
        <f>IF(OR(A245="",N245=""),"",P245+IF(E245="dias",MAX(0,A245-O245),IF(INDEX(Equipamentos!$D$2:$D$61,N245)=2,SUMIFS(Producao!$D:$D,Producao!$A:$A,"&gt;="&amp;O245,Producao!$A:$A,"&lt;"&amp;A245),IF(INDEX(Equipamentos!$D$2:$D$61,N245)=3,SUMIFS(Producao!$E:$E,Producao!$A:$A,"&gt;="&amp;O245,Producao!$A:$A,"&lt;"&amp;A245),SUMIFS(Producao!$B:$B,Producao!$A:$A,"&gt;="&amp;O245,Producao!$A:$A,"&lt;"&amp;A245)))))</f>
        <v/>
      </c>
      <c r="E245">
        <f>IF(N245="","",INDEX(Equipamentos!$C$2:$C$61,N245))</f>
        <v/>
      </c>
      <c r="F245" s="57">
        <f>IF(OR(D245="",N(Q245)&lt;=0),"",D245/Q245)</f>
        <v/>
      </c>
      <c r="G245" s="55" t="n"/>
      <c r="H245" s="58" t="n"/>
      <c r="I245" s="58" t="n"/>
      <c r="J245" s="55" t="n"/>
      <c r="K245" s="55" t="n"/>
      <c r="L245">
        <f>IF(OR(A245="",B245=""),"",_xlfn.MAXIFS(TrocasEquip!$A$2:$A$1000,TrocasEquip!$B$2:$B$1000,B245,TrocasEquip!$A$2:$A$1000,"&lt;"&amp;A245))</f>
        <v/>
      </c>
      <c r="M245">
        <f>IF(N(L245)=0,0,MATCH(1,INDEX((TrocasEquip!$B$2:$B$1000=B245)*(TrocasEquip!$A$2:$A$1000=L245),0),0))</f>
        <v/>
      </c>
      <c r="N245">
        <f>IF(B245="","",IFERROR(MATCH(B245,Equipamentos!$P$2:$P$61,0),""))</f>
        <v/>
      </c>
      <c r="O245">
        <f>IF(N245="","",IF(M245=0,INDEX(Equipamentos!$U$2:$U$61,N245),L245))</f>
        <v/>
      </c>
      <c r="P245">
        <f>IF(N245="","",IF(M245=0,N(INDEX(Equipamentos!$V$2:$V$61,N245)),N(INDEX(TrocasEquip!$I$2:$I$1000,M245))))</f>
        <v/>
      </c>
      <c r="Q245">
        <f>IF(N245="","",IF(M245=0,INDEX(Equipamentos!$T$2:$T$61,N245),IF(INDEX(TrocasEquip!$H$2:$H$1000,M245)="",INDEX(Equipamentos!$T$2:$T$61,N245),INDEX(TrocasEquip!$H$2:$H$1000,M245))))</f>
        <v/>
      </c>
    </row>
    <row r="246">
      <c r="A246" s="54" t="n"/>
      <c r="B246" s="55" t="n"/>
      <c r="C246">
        <f>IF(B246="","",IF(N246="","posição não encontrada",IF(M246=0,INDEX(Equipamentos!$S$2:$S$61,N246),INDEX(TrocasEquip!$G$2:$G$1000,M246))))</f>
        <v/>
      </c>
      <c r="D246" s="56">
        <f>IF(OR(A246="",N246=""),"",P246+IF(E246="dias",MAX(0,A246-O246),IF(INDEX(Equipamentos!$D$2:$D$61,N246)=2,SUMIFS(Producao!$D:$D,Producao!$A:$A,"&gt;="&amp;O246,Producao!$A:$A,"&lt;"&amp;A246),IF(INDEX(Equipamentos!$D$2:$D$61,N246)=3,SUMIFS(Producao!$E:$E,Producao!$A:$A,"&gt;="&amp;O246,Producao!$A:$A,"&lt;"&amp;A246),SUMIFS(Producao!$B:$B,Producao!$A:$A,"&gt;="&amp;O246,Producao!$A:$A,"&lt;"&amp;A246)))))</f>
        <v/>
      </c>
      <c r="E246">
        <f>IF(N246="","",INDEX(Equipamentos!$C$2:$C$61,N246))</f>
        <v/>
      </c>
      <c r="F246" s="57">
        <f>IF(OR(D246="",N(Q246)&lt;=0),"",D246/Q246)</f>
        <v/>
      </c>
      <c r="G246" s="55" t="n"/>
      <c r="H246" s="58" t="n"/>
      <c r="I246" s="58" t="n"/>
      <c r="J246" s="55" t="n"/>
      <c r="K246" s="55" t="n"/>
      <c r="L246">
        <f>IF(OR(A246="",B246=""),"",_xlfn.MAXIFS(TrocasEquip!$A$2:$A$1000,TrocasEquip!$B$2:$B$1000,B246,TrocasEquip!$A$2:$A$1000,"&lt;"&amp;A246))</f>
        <v/>
      </c>
      <c r="M246">
        <f>IF(N(L246)=0,0,MATCH(1,INDEX((TrocasEquip!$B$2:$B$1000=B246)*(TrocasEquip!$A$2:$A$1000=L246),0),0))</f>
        <v/>
      </c>
      <c r="N246">
        <f>IF(B246="","",IFERROR(MATCH(B246,Equipamentos!$P$2:$P$61,0),""))</f>
        <v/>
      </c>
      <c r="O246">
        <f>IF(N246="","",IF(M246=0,INDEX(Equipamentos!$U$2:$U$61,N246),L246))</f>
        <v/>
      </c>
      <c r="P246">
        <f>IF(N246="","",IF(M246=0,N(INDEX(Equipamentos!$V$2:$V$61,N246)),N(INDEX(TrocasEquip!$I$2:$I$1000,M246))))</f>
        <v/>
      </c>
      <c r="Q246">
        <f>IF(N246="","",IF(M246=0,INDEX(Equipamentos!$T$2:$T$61,N246),IF(INDEX(TrocasEquip!$H$2:$H$1000,M246)="",INDEX(Equipamentos!$T$2:$T$61,N246),INDEX(TrocasEquip!$H$2:$H$1000,M246))))</f>
        <v/>
      </c>
    </row>
    <row r="247">
      <c r="A247" s="54" t="n"/>
      <c r="B247" s="55" t="n"/>
      <c r="C247">
        <f>IF(B247="","",IF(N247="","posição não encontrada",IF(M247=0,INDEX(Equipamentos!$S$2:$S$61,N247),INDEX(TrocasEquip!$G$2:$G$1000,M247))))</f>
        <v/>
      </c>
      <c r="D247" s="56">
        <f>IF(OR(A247="",N247=""),"",P247+IF(E247="dias",MAX(0,A247-O247),IF(INDEX(Equipamentos!$D$2:$D$61,N247)=2,SUMIFS(Producao!$D:$D,Producao!$A:$A,"&gt;="&amp;O247,Producao!$A:$A,"&lt;"&amp;A247),IF(INDEX(Equipamentos!$D$2:$D$61,N247)=3,SUMIFS(Producao!$E:$E,Producao!$A:$A,"&gt;="&amp;O247,Producao!$A:$A,"&lt;"&amp;A247),SUMIFS(Producao!$B:$B,Producao!$A:$A,"&gt;="&amp;O247,Producao!$A:$A,"&lt;"&amp;A247)))))</f>
        <v/>
      </c>
      <c r="E247">
        <f>IF(N247="","",INDEX(Equipamentos!$C$2:$C$61,N247))</f>
        <v/>
      </c>
      <c r="F247" s="57">
        <f>IF(OR(D247="",N(Q247)&lt;=0),"",D247/Q247)</f>
        <v/>
      </c>
      <c r="G247" s="55" t="n"/>
      <c r="H247" s="58" t="n"/>
      <c r="I247" s="58" t="n"/>
      <c r="J247" s="55" t="n"/>
      <c r="K247" s="55" t="n"/>
      <c r="L247">
        <f>IF(OR(A247="",B247=""),"",_xlfn.MAXIFS(TrocasEquip!$A$2:$A$1000,TrocasEquip!$B$2:$B$1000,B247,TrocasEquip!$A$2:$A$1000,"&lt;"&amp;A247))</f>
        <v/>
      </c>
      <c r="M247">
        <f>IF(N(L247)=0,0,MATCH(1,INDEX((TrocasEquip!$B$2:$B$1000=B247)*(TrocasEquip!$A$2:$A$1000=L247),0),0))</f>
        <v/>
      </c>
      <c r="N247">
        <f>IF(B247="","",IFERROR(MATCH(B247,Equipamentos!$P$2:$P$61,0),""))</f>
        <v/>
      </c>
      <c r="O247">
        <f>IF(N247="","",IF(M247=0,INDEX(Equipamentos!$U$2:$U$61,N247),L247))</f>
        <v/>
      </c>
      <c r="P247">
        <f>IF(N247="","",IF(M247=0,N(INDEX(Equipamentos!$V$2:$V$61,N247)),N(INDEX(TrocasEquip!$I$2:$I$1000,M247))))</f>
        <v/>
      </c>
      <c r="Q247">
        <f>IF(N247="","",IF(M247=0,INDEX(Equipamentos!$T$2:$T$61,N247),IF(INDEX(TrocasEquip!$H$2:$H$1000,M247)="",INDEX(Equipamentos!$T$2:$T$61,N247),INDEX(TrocasEquip!$H$2:$H$1000,M247))))</f>
        <v/>
      </c>
    </row>
    <row r="248">
      <c r="A248" s="54" t="n"/>
      <c r="B248" s="55" t="n"/>
      <c r="C248">
        <f>IF(B248="","",IF(N248="","posição não encontrada",IF(M248=0,INDEX(Equipamentos!$S$2:$S$61,N248),INDEX(TrocasEquip!$G$2:$G$1000,M248))))</f>
        <v/>
      </c>
      <c r="D248" s="56">
        <f>IF(OR(A248="",N248=""),"",P248+IF(E248="dias",MAX(0,A248-O248),IF(INDEX(Equipamentos!$D$2:$D$61,N248)=2,SUMIFS(Producao!$D:$D,Producao!$A:$A,"&gt;="&amp;O248,Producao!$A:$A,"&lt;"&amp;A248),IF(INDEX(Equipamentos!$D$2:$D$61,N248)=3,SUMIFS(Producao!$E:$E,Producao!$A:$A,"&gt;="&amp;O248,Producao!$A:$A,"&lt;"&amp;A248),SUMIFS(Producao!$B:$B,Producao!$A:$A,"&gt;="&amp;O248,Producao!$A:$A,"&lt;"&amp;A248)))))</f>
        <v/>
      </c>
      <c r="E248">
        <f>IF(N248="","",INDEX(Equipamentos!$C$2:$C$61,N248))</f>
        <v/>
      </c>
      <c r="F248" s="57">
        <f>IF(OR(D248="",N(Q248)&lt;=0),"",D248/Q248)</f>
        <v/>
      </c>
      <c r="G248" s="55" t="n"/>
      <c r="H248" s="58" t="n"/>
      <c r="I248" s="58" t="n"/>
      <c r="J248" s="55" t="n"/>
      <c r="K248" s="55" t="n"/>
      <c r="L248">
        <f>IF(OR(A248="",B248=""),"",_xlfn.MAXIFS(TrocasEquip!$A$2:$A$1000,TrocasEquip!$B$2:$B$1000,B248,TrocasEquip!$A$2:$A$1000,"&lt;"&amp;A248))</f>
        <v/>
      </c>
      <c r="M248">
        <f>IF(N(L248)=0,0,MATCH(1,INDEX((TrocasEquip!$B$2:$B$1000=B248)*(TrocasEquip!$A$2:$A$1000=L248),0),0))</f>
        <v/>
      </c>
      <c r="N248">
        <f>IF(B248="","",IFERROR(MATCH(B248,Equipamentos!$P$2:$P$61,0),""))</f>
        <v/>
      </c>
      <c r="O248">
        <f>IF(N248="","",IF(M248=0,INDEX(Equipamentos!$U$2:$U$61,N248),L248))</f>
        <v/>
      </c>
      <c r="P248">
        <f>IF(N248="","",IF(M248=0,N(INDEX(Equipamentos!$V$2:$V$61,N248)),N(INDEX(TrocasEquip!$I$2:$I$1000,M248))))</f>
        <v/>
      </c>
      <c r="Q248">
        <f>IF(N248="","",IF(M248=0,INDEX(Equipamentos!$T$2:$T$61,N248),IF(INDEX(TrocasEquip!$H$2:$H$1000,M248)="",INDEX(Equipamentos!$T$2:$T$61,N248),INDEX(TrocasEquip!$H$2:$H$1000,M248))))</f>
        <v/>
      </c>
    </row>
    <row r="249">
      <c r="A249" s="54" t="n"/>
      <c r="B249" s="55" t="n"/>
      <c r="C249">
        <f>IF(B249="","",IF(N249="","posição não encontrada",IF(M249=0,INDEX(Equipamentos!$S$2:$S$61,N249),INDEX(TrocasEquip!$G$2:$G$1000,M249))))</f>
        <v/>
      </c>
      <c r="D249" s="56">
        <f>IF(OR(A249="",N249=""),"",P249+IF(E249="dias",MAX(0,A249-O249),IF(INDEX(Equipamentos!$D$2:$D$61,N249)=2,SUMIFS(Producao!$D:$D,Producao!$A:$A,"&gt;="&amp;O249,Producao!$A:$A,"&lt;"&amp;A249),IF(INDEX(Equipamentos!$D$2:$D$61,N249)=3,SUMIFS(Producao!$E:$E,Producao!$A:$A,"&gt;="&amp;O249,Producao!$A:$A,"&lt;"&amp;A249),SUMIFS(Producao!$B:$B,Producao!$A:$A,"&gt;="&amp;O249,Producao!$A:$A,"&lt;"&amp;A249)))))</f>
        <v/>
      </c>
      <c r="E249">
        <f>IF(N249="","",INDEX(Equipamentos!$C$2:$C$61,N249))</f>
        <v/>
      </c>
      <c r="F249" s="57">
        <f>IF(OR(D249="",N(Q249)&lt;=0),"",D249/Q249)</f>
        <v/>
      </c>
      <c r="G249" s="55" t="n"/>
      <c r="H249" s="58" t="n"/>
      <c r="I249" s="58" t="n"/>
      <c r="J249" s="55" t="n"/>
      <c r="K249" s="55" t="n"/>
      <c r="L249">
        <f>IF(OR(A249="",B249=""),"",_xlfn.MAXIFS(TrocasEquip!$A$2:$A$1000,TrocasEquip!$B$2:$B$1000,B249,TrocasEquip!$A$2:$A$1000,"&lt;"&amp;A249))</f>
        <v/>
      </c>
      <c r="M249">
        <f>IF(N(L249)=0,0,MATCH(1,INDEX((TrocasEquip!$B$2:$B$1000=B249)*(TrocasEquip!$A$2:$A$1000=L249),0),0))</f>
        <v/>
      </c>
      <c r="N249">
        <f>IF(B249="","",IFERROR(MATCH(B249,Equipamentos!$P$2:$P$61,0),""))</f>
        <v/>
      </c>
      <c r="O249">
        <f>IF(N249="","",IF(M249=0,INDEX(Equipamentos!$U$2:$U$61,N249),L249))</f>
        <v/>
      </c>
      <c r="P249">
        <f>IF(N249="","",IF(M249=0,N(INDEX(Equipamentos!$V$2:$V$61,N249)),N(INDEX(TrocasEquip!$I$2:$I$1000,M249))))</f>
        <v/>
      </c>
      <c r="Q249">
        <f>IF(N249="","",IF(M249=0,INDEX(Equipamentos!$T$2:$T$61,N249),IF(INDEX(TrocasEquip!$H$2:$H$1000,M249)="",INDEX(Equipamentos!$T$2:$T$61,N249),INDEX(TrocasEquip!$H$2:$H$1000,M249))))</f>
        <v/>
      </c>
    </row>
    <row r="250">
      <c r="A250" s="54" t="n"/>
      <c r="B250" s="55" t="n"/>
      <c r="C250">
        <f>IF(B250="","",IF(N250="","posição não encontrada",IF(M250=0,INDEX(Equipamentos!$S$2:$S$61,N250),INDEX(TrocasEquip!$G$2:$G$1000,M250))))</f>
        <v/>
      </c>
      <c r="D250" s="56">
        <f>IF(OR(A250="",N250=""),"",P250+IF(E250="dias",MAX(0,A250-O250),IF(INDEX(Equipamentos!$D$2:$D$61,N250)=2,SUMIFS(Producao!$D:$D,Producao!$A:$A,"&gt;="&amp;O250,Producao!$A:$A,"&lt;"&amp;A250),IF(INDEX(Equipamentos!$D$2:$D$61,N250)=3,SUMIFS(Producao!$E:$E,Producao!$A:$A,"&gt;="&amp;O250,Producao!$A:$A,"&lt;"&amp;A250),SUMIFS(Producao!$B:$B,Producao!$A:$A,"&gt;="&amp;O250,Producao!$A:$A,"&lt;"&amp;A250)))))</f>
        <v/>
      </c>
      <c r="E250">
        <f>IF(N250="","",INDEX(Equipamentos!$C$2:$C$61,N250))</f>
        <v/>
      </c>
      <c r="F250" s="57">
        <f>IF(OR(D250="",N(Q250)&lt;=0),"",D250/Q250)</f>
        <v/>
      </c>
      <c r="G250" s="55" t="n"/>
      <c r="H250" s="58" t="n"/>
      <c r="I250" s="58" t="n"/>
      <c r="J250" s="55" t="n"/>
      <c r="K250" s="55" t="n"/>
      <c r="L250">
        <f>IF(OR(A250="",B250=""),"",_xlfn.MAXIFS(TrocasEquip!$A$2:$A$1000,TrocasEquip!$B$2:$B$1000,B250,TrocasEquip!$A$2:$A$1000,"&lt;"&amp;A250))</f>
        <v/>
      </c>
      <c r="M250">
        <f>IF(N(L250)=0,0,MATCH(1,INDEX((TrocasEquip!$B$2:$B$1000=B250)*(TrocasEquip!$A$2:$A$1000=L250),0),0))</f>
        <v/>
      </c>
      <c r="N250">
        <f>IF(B250="","",IFERROR(MATCH(B250,Equipamentos!$P$2:$P$61,0),""))</f>
        <v/>
      </c>
      <c r="O250">
        <f>IF(N250="","",IF(M250=0,INDEX(Equipamentos!$U$2:$U$61,N250),L250))</f>
        <v/>
      </c>
      <c r="P250">
        <f>IF(N250="","",IF(M250=0,N(INDEX(Equipamentos!$V$2:$V$61,N250)),N(INDEX(TrocasEquip!$I$2:$I$1000,M250))))</f>
        <v/>
      </c>
      <c r="Q250">
        <f>IF(N250="","",IF(M250=0,INDEX(Equipamentos!$T$2:$T$61,N250),IF(INDEX(TrocasEquip!$H$2:$H$1000,M250)="",INDEX(Equipamentos!$T$2:$T$61,N250),INDEX(TrocasEquip!$H$2:$H$1000,M250))))</f>
        <v/>
      </c>
    </row>
    <row r="251">
      <c r="A251" s="54" t="n"/>
      <c r="B251" s="55" t="n"/>
      <c r="C251">
        <f>IF(B251="","",IF(N251="","posição não encontrada",IF(M251=0,INDEX(Equipamentos!$S$2:$S$61,N251),INDEX(TrocasEquip!$G$2:$G$1000,M251))))</f>
        <v/>
      </c>
      <c r="D251" s="56">
        <f>IF(OR(A251="",N251=""),"",P251+IF(E251="dias",MAX(0,A251-O251),IF(INDEX(Equipamentos!$D$2:$D$61,N251)=2,SUMIFS(Producao!$D:$D,Producao!$A:$A,"&gt;="&amp;O251,Producao!$A:$A,"&lt;"&amp;A251),IF(INDEX(Equipamentos!$D$2:$D$61,N251)=3,SUMIFS(Producao!$E:$E,Producao!$A:$A,"&gt;="&amp;O251,Producao!$A:$A,"&lt;"&amp;A251),SUMIFS(Producao!$B:$B,Producao!$A:$A,"&gt;="&amp;O251,Producao!$A:$A,"&lt;"&amp;A251)))))</f>
        <v/>
      </c>
      <c r="E251">
        <f>IF(N251="","",INDEX(Equipamentos!$C$2:$C$61,N251))</f>
        <v/>
      </c>
      <c r="F251" s="57">
        <f>IF(OR(D251="",N(Q251)&lt;=0),"",D251/Q251)</f>
        <v/>
      </c>
      <c r="G251" s="55" t="n"/>
      <c r="H251" s="58" t="n"/>
      <c r="I251" s="58" t="n"/>
      <c r="J251" s="55" t="n"/>
      <c r="K251" s="55" t="n"/>
      <c r="L251">
        <f>IF(OR(A251="",B251=""),"",_xlfn.MAXIFS(TrocasEquip!$A$2:$A$1000,TrocasEquip!$B$2:$B$1000,B251,TrocasEquip!$A$2:$A$1000,"&lt;"&amp;A251))</f>
        <v/>
      </c>
      <c r="M251">
        <f>IF(N(L251)=0,0,MATCH(1,INDEX((TrocasEquip!$B$2:$B$1000=B251)*(TrocasEquip!$A$2:$A$1000=L251),0),0))</f>
        <v/>
      </c>
      <c r="N251">
        <f>IF(B251="","",IFERROR(MATCH(B251,Equipamentos!$P$2:$P$61,0),""))</f>
        <v/>
      </c>
      <c r="O251">
        <f>IF(N251="","",IF(M251=0,INDEX(Equipamentos!$U$2:$U$61,N251),L251))</f>
        <v/>
      </c>
      <c r="P251">
        <f>IF(N251="","",IF(M251=0,N(INDEX(Equipamentos!$V$2:$V$61,N251)),N(INDEX(TrocasEquip!$I$2:$I$1000,M251))))</f>
        <v/>
      </c>
      <c r="Q251">
        <f>IF(N251="","",IF(M251=0,INDEX(Equipamentos!$T$2:$T$61,N251),IF(INDEX(TrocasEquip!$H$2:$H$1000,M251)="",INDEX(Equipamentos!$T$2:$T$61,N251),INDEX(TrocasEquip!$H$2:$H$1000,M251))))</f>
        <v/>
      </c>
    </row>
    <row r="252">
      <c r="A252" s="54" t="n"/>
      <c r="B252" s="55" t="n"/>
      <c r="C252">
        <f>IF(B252="","",IF(N252="","posição não encontrada",IF(M252=0,INDEX(Equipamentos!$S$2:$S$61,N252),INDEX(TrocasEquip!$G$2:$G$1000,M252))))</f>
        <v/>
      </c>
      <c r="D252" s="56">
        <f>IF(OR(A252="",N252=""),"",P252+IF(E252="dias",MAX(0,A252-O252),IF(INDEX(Equipamentos!$D$2:$D$61,N252)=2,SUMIFS(Producao!$D:$D,Producao!$A:$A,"&gt;="&amp;O252,Producao!$A:$A,"&lt;"&amp;A252),IF(INDEX(Equipamentos!$D$2:$D$61,N252)=3,SUMIFS(Producao!$E:$E,Producao!$A:$A,"&gt;="&amp;O252,Producao!$A:$A,"&lt;"&amp;A252),SUMIFS(Producao!$B:$B,Producao!$A:$A,"&gt;="&amp;O252,Producao!$A:$A,"&lt;"&amp;A252)))))</f>
        <v/>
      </c>
      <c r="E252">
        <f>IF(N252="","",INDEX(Equipamentos!$C$2:$C$61,N252))</f>
        <v/>
      </c>
      <c r="F252" s="57">
        <f>IF(OR(D252="",N(Q252)&lt;=0),"",D252/Q252)</f>
        <v/>
      </c>
      <c r="G252" s="55" t="n"/>
      <c r="H252" s="58" t="n"/>
      <c r="I252" s="58" t="n"/>
      <c r="J252" s="55" t="n"/>
      <c r="K252" s="55" t="n"/>
      <c r="L252">
        <f>IF(OR(A252="",B252=""),"",_xlfn.MAXIFS(TrocasEquip!$A$2:$A$1000,TrocasEquip!$B$2:$B$1000,B252,TrocasEquip!$A$2:$A$1000,"&lt;"&amp;A252))</f>
        <v/>
      </c>
      <c r="M252">
        <f>IF(N(L252)=0,0,MATCH(1,INDEX((TrocasEquip!$B$2:$B$1000=B252)*(TrocasEquip!$A$2:$A$1000=L252),0),0))</f>
        <v/>
      </c>
      <c r="N252">
        <f>IF(B252="","",IFERROR(MATCH(B252,Equipamentos!$P$2:$P$61,0),""))</f>
        <v/>
      </c>
      <c r="O252">
        <f>IF(N252="","",IF(M252=0,INDEX(Equipamentos!$U$2:$U$61,N252),L252))</f>
        <v/>
      </c>
      <c r="P252">
        <f>IF(N252="","",IF(M252=0,N(INDEX(Equipamentos!$V$2:$V$61,N252)),N(INDEX(TrocasEquip!$I$2:$I$1000,M252))))</f>
        <v/>
      </c>
      <c r="Q252">
        <f>IF(N252="","",IF(M252=0,INDEX(Equipamentos!$T$2:$T$61,N252),IF(INDEX(TrocasEquip!$H$2:$H$1000,M252)="",INDEX(Equipamentos!$T$2:$T$61,N252),INDEX(TrocasEquip!$H$2:$H$1000,M252))))</f>
        <v/>
      </c>
    </row>
    <row r="253">
      <c r="A253" s="54" t="n"/>
      <c r="B253" s="55" t="n"/>
      <c r="C253">
        <f>IF(B253="","",IF(N253="","posição não encontrada",IF(M253=0,INDEX(Equipamentos!$S$2:$S$61,N253),INDEX(TrocasEquip!$G$2:$G$1000,M253))))</f>
        <v/>
      </c>
      <c r="D253" s="56">
        <f>IF(OR(A253="",N253=""),"",P253+IF(E253="dias",MAX(0,A253-O253),IF(INDEX(Equipamentos!$D$2:$D$61,N253)=2,SUMIFS(Producao!$D:$D,Producao!$A:$A,"&gt;="&amp;O253,Producao!$A:$A,"&lt;"&amp;A253),IF(INDEX(Equipamentos!$D$2:$D$61,N253)=3,SUMIFS(Producao!$E:$E,Producao!$A:$A,"&gt;="&amp;O253,Producao!$A:$A,"&lt;"&amp;A253),SUMIFS(Producao!$B:$B,Producao!$A:$A,"&gt;="&amp;O253,Producao!$A:$A,"&lt;"&amp;A253)))))</f>
        <v/>
      </c>
      <c r="E253">
        <f>IF(N253="","",INDEX(Equipamentos!$C$2:$C$61,N253))</f>
        <v/>
      </c>
      <c r="F253" s="57">
        <f>IF(OR(D253="",N(Q253)&lt;=0),"",D253/Q253)</f>
        <v/>
      </c>
      <c r="G253" s="55" t="n"/>
      <c r="H253" s="58" t="n"/>
      <c r="I253" s="58" t="n"/>
      <c r="J253" s="55" t="n"/>
      <c r="K253" s="55" t="n"/>
      <c r="L253">
        <f>IF(OR(A253="",B253=""),"",_xlfn.MAXIFS(TrocasEquip!$A$2:$A$1000,TrocasEquip!$B$2:$B$1000,B253,TrocasEquip!$A$2:$A$1000,"&lt;"&amp;A253))</f>
        <v/>
      </c>
      <c r="M253">
        <f>IF(N(L253)=0,0,MATCH(1,INDEX((TrocasEquip!$B$2:$B$1000=B253)*(TrocasEquip!$A$2:$A$1000=L253),0),0))</f>
        <v/>
      </c>
      <c r="N253">
        <f>IF(B253="","",IFERROR(MATCH(B253,Equipamentos!$P$2:$P$61,0),""))</f>
        <v/>
      </c>
      <c r="O253">
        <f>IF(N253="","",IF(M253=0,INDEX(Equipamentos!$U$2:$U$61,N253),L253))</f>
        <v/>
      </c>
      <c r="P253">
        <f>IF(N253="","",IF(M253=0,N(INDEX(Equipamentos!$V$2:$V$61,N253)),N(INDEX(TrocasEquip!$I$2:$I$1000,M253))))</f>
        <v/>
      </c>
      <c r="Q253">
        <f>IF(N253="","",IF(M253=0,INDEX(Equipamentos!$T$2:$T$61,N253),IF(INDEX(TrocasEquip!$H$2:$H$1000,M253)="",INDEX(Equipamentos!$T$2:$T$61,N253),INDEX(TrocasEquip!$H$2:$H$1000,M253))))</f>
        <v/>
      </c>
    </row>
    <row r="254">
      <c r="A254" s="54" t="n"/>
      <c r="B254" s="55" t="n"/>
      <c r="C254">
        <f>IF(B254="","",IF(N254="","posição não encontrada",IF(M254=0,INDEX(Equipamentos!$S$2:$S$61,N254),INDEX(TrocasEquip!$G$2:$G$1000,M254))))</f>
        <v/>
      </c>
      <c r="D254" s="56">
        <f>IF(OR(A254="",N254=""),"",P254+IF(E254="dias",MAX(0,A254-O254),IF(INDEX(Equipamentos!$D$2:$D$61,N254)=2,SUMIFS(Producao!$D:$D,Producao!$A:$A,"&gt;="&amp;O254,Producao!$A:$A,"&lt;"&amp;A254),IF(INDEX(Equipamentos!$D$2:$D$61,N254)=3,SUMIFS(Producao!$E:$E,Producao!$A:$A,"&gt;="&amp;O254,Producao!$A:$A,"&lt;"&amp;A254),SUMIFS(Producao!$B:$B,Producao!$A:$A,"&gt;="&amp;O254,Producao!$A:$A,"&lt;"&amp;A254)))))</f>
        <v/>
      </c>
      <c r="E254">
        <f>IF(N254="","",INDEX(Equipamentos!$C$2:$C$61,N254))</f>
        <v/>
      </c>
      <c r="F254" s="57">
        <f>IF(OR(D254="",N(Q254)&lt;=0),"",D254/Q254)</f>
        <v/>
      </c>
      <c r="G254" s="55" t="n"/>
      <c r="H254" s="58" t="n"/>
      <c r="I254" s="58" t="n"/>
      <c r="J254" s="55" t="n"/>
      <c r="K254" s="55" t="n"/>
      <c r="L254">
        <f>IF(OR(A254="",B254=""),"",_xlfn.MAXIFS(TrocasEquip!$A$2:$A$1000,TrocasEquip!$B$2:$B$1000,B254,TrocasEquip!$A$2:$A$1000,"&lt;"&amp;A254))</f>
        <v/>
      </c>
      <c r="M254">
        <f>IF(N(L254)=0,0,MATCH(1,INDEX((TrocasEquip!$B$2:$B$1000=B254)*(TrocasEquip!$A$2:$A$1000=L254),0),0))</f>
        <v/>
      </c>
      <c r="N254">
        <f>IF(B254="","",IFERROR(MATCH(B254,Equipamentos!$P$2:$P$61,0),""))</f>
        <v/>
      </c>
      <c r="O254">
        <f>IF(N254="","",IF(M254=0,INDEX(Equipamentos!$U$2:$U$61,N254),L254))</f>
        <v/>
      </c>
      <c r="P254">
        <f>IF(N254="","",IF(M254=0,N(INDEX(Equipamentos!$V$2:$V$61,N254)),N(INDEX(TrocasEquip!$I$2:$I$1000,M254))))</f>
        <v/>
      </c>
      <c r="Q254">
        <f>IF(N254="","",IF(M254=0,INDEX(Equipamentos!$T$2:$T$61,N254),IF(INDEX(TrocasEquip!$H$2:$H$1000,M254)="",INDEX(Equipamentos!$T$2:$T$61,N254),INDEX(TrocasEquip!$H$2:$H$1000,M254))))</f>
        <v/>
      </c>
    </row>
    <row r="255">
      <c r="A255" s="54" t="n"/>
      <c r="B255" s="55" t="n"/>
      <c r="C255">
        <f>IF(B255="","",IF(N255="","posição não encontrada",IF(M255=0,INDEX(Equipamentos!$S$2:$S$61,N255),INDEX(TrocasEquip!$G$2:$G$1000,M255))))</f>
        <v/>
      </c>
      <c r="D255" s="56">
        <f>IF(OR(A255="",N255=""),"",P255+IF(E255="dias",MAX(0,A255-O255),IF(INDEX(Equipamentos!$D$2:$D$61,N255)=2,SUMIFS(Producao!$D:$D,Producao!$A:$A,"&gt;="&amp;O255,Producao!$A:$A,"&lt;"&amp;A255),IF(INDEX(Equipamentos!$D$2:$D$61,N255)=3,SUMIFS(Producao!$E:$E,Producao!$A:$A,"&gt;="&amp;O255,Producao!$A:$A,"&lt;"&amp;A255),SUMIFS(Producao!$B:$B,Producao!$A:$A,"&gt;="&amp;O255,Producao!$A:$A,"&lt;"&amp;A255)))))</f>
        <v/>
      </c>
      <c r="E255">
        <f>IF(N255="","",INDEX(Equipamentos!$C$2:$C$61,N255))</f>
        <v/>
      </c>
      <c r="F255" s="57">
        <f>IF(OR(D255="",N(Q255)&lt;=0),"",D255/Q255)</f>
        <v/>
      </c>
      <c r="G255" s="55" t="n"/>
      <c r="H255" s="58" t="n"/>
      <c r="I255" s="58" t="n"/>
      <c r="J255" s="55" t="n"/>
      <c r="K255" s="55" t="n"/>
      <c r="L255">
        <f>IF(OR(A255="",B255=""),"",_xlfn.MAXIFS(TrocasEquip!$A$2:$A$1000,TrocasEquip!$B$2:$B$1000,B255,TrocasEquip!$A$2:$A$1000,"&lt;"&amp;A255))</f>
        <v/>
      </c>
      <c r="M255">
        <f>IF(N(L255)=0,0,MATCH(1,INDEX((TrocasEquip!$B$2:$B$1000=B255)*(TrocasEquip!$A$2:$A$1000=L255),0),0))</f>
        <v/>
      </c>
      <c r="N255">
        <f>IF(B255="","",IFERROR(MATCH(B255,Equipamentos!$P$2:$P$61,0),""))</f>
        <v/>
      </c>
      <c r="O255">
        <f>IF(N255="","",IF(M255=0,INDEX(Equipamentos!$U$2:$U$61,N255),L255))</f>
        <v/>
      </c>
      <c r="P255">
        <f>IF(N255="","",IF(M255=0,N(INDEX(Equipamentos!$V$2:$V$61,N255)),N(INDEX(TrocasEquip!$I$2:$I$1000,M255))))</f>
        <v/>
      </c>
      <c r="Q255">
        <f>IF(N255="","",IF(M255=0,INDEX(Equipamentos!$T$2:$T$61,N255),IF(INDEX(TrocasEquip!$H$2:$H$1000,M255)="",INDEX(Equipamentos!$T$2:$T$61,N255),INDEX(TrocasEquip!$H$2:$H$1000,M255))))</f>
        <v/>
      </c>
    </row>
    <row r="256">
      <c r="A256" s="54" t="n"/>
      <c r="B256" s="55" t="n"/>
      <c r="C256">
        <f>IF(B256="","",IF(N256="","posição não encontrada",IF(M256=0,INDEX(Equipamentos!$S$2:$S$61,N256),INDEX(TrocasEquip!$G$2:$G$1000,M256))))</f>
        <v/>
      </c>
      <c r="D256" s="56">
        <f>IF(OR(A256="",N256=""),"",P256+IF(E256="dias",MAX(0,A256-O256),IF(INDEX(Equipamentos!$D$2:$D$61,N256)=2,SUMIFS(Producao!$D:$D,Producao!$A:$A,"&gt;="&amp;O256,Producao!$A:$A,"&lt;"&amp;A256),IF(INDEX(Equipamentos!$D$2:$D$61,N256)=3,SUMIFS(Producao!$E:$E,Producao!$A:$A,"&gt;="&amp;O256,Producao!$A:$A,"&lt;"&amp;A256),SUMIFS(Producao!$B:$B,Producao!$A:$A,"&gt;="&amp;O256,Producao!$A:$A,"&lt;"&amp;A256)))))</f>
        <v/>
      </c>
      <c r="E256">
        <f>IF(N256="","",INDEX(Equipamentos!$C$2:$C$61,N256))</f>
        <v/>
      </c>
      <c r="F256" s="57">
        <f>IF(OR(D256="",N(Q256)&lt;=0),"",D256/Q256)</f>
        <v/>
      </c>
      <c r="G256" s="55" t="n"/>
      <c r="H256" s="58" t="n"/>
      <c r="I256" s="58" t="n"/>
      <c r="J256" s="55" t="n"/>
      <c r="K256" s="55" t="n"/>
      <c r="L256">
        <f>IF(OR(A256="",B256=""),"",_xlfn.MAXIFS(TrocasEquip!$A$2:$A$1000,TrocasEquip!$B$2:$B$1000,B256,TrocasEquip!$A$2:$A$1000,"&lt;"&amp;A256))</f>
        <v/>
      </c>
      <c r="M256">
        <f>IF(N(L256)=0,0,MATCH(1,INDEX((TrocasEquip!$B$2:$B$1000=B256)*(TrocasEquip!$A$2:$A$1000=L256),0),0))</f>
        <v/>
      </c>
      <c r="N256">
        <f>IF(B256="","",IFERROR(MATCH(B256,Equipamentos!$P$2:$P$61,0),""))</f>
        <v/>
      </c>
      <c r="O256">
        <f>IF(N256="","",IF(M256=0,INDEX(Equipamentos!$U$2:$U$61,N256),L256))</f>
        <v/>
      </c>
      <c r="P256">
        <f>IF(N256="","",IF(M256=0,N(INDEX(Equipamentos!$V$2:$V$61,N256)),N(INDEX(TrocasEquip!$I$2:$I$1000,M256))))</f>
        <v/>
      </c>
      <c r="Q256">
        <f>IF(N256="","",IF(M256=0,INDEX(Equipamentos!$T$2:$T$61,N256),IF(INDEX(TrocasEquip!$H$2:$H$1000,M256)="",INDEX(Equipamentos!$T$2:$T$61,N256),INDEX(TrocasEquip!$H$2:$H$1000,M256))))</f>
        <v/>
      </c>
    </row>
    <row r="257">
      <c r="A257" s="54" t="n"/>
      <c r="B257" s="55" t="n"/>
      <c r="C257">
        <f>IF(B257="","",IF(N257="","posição não encontrada",IF(M257=0,INDEX(Equipamentos!$S$2:$S$61,N257),INDEX(TrocasEquip!$G$2:$G$1000,M257))))</f>
        <v/>
      </c>
      <c r="D257" s="56">
        <f>IF(OR(A257="",N257=""),"",P257+IF(E257="dias",MAX(0,A257-O257),IF(INDEX(Equipamentos!$D$2:$D$61,N257)=2,SUMIFS(Producao!$D:$D,Producao!$A:$A,"&gt;="&amp;O257,Producao!$A:$A,"&lt;"&amp;A257),IF(INDEX(Equipamentos!$D$2:$D$61,N257)=3,SUMIFS(Producao!$E:$E,Producao!$A:$A,"&gt;="&amp;O257,Producao!$A:$A,"&lt;"&amp;A257),SUMIFS(Producao!$B:$B,Producao!$A:$A,"&gt;="&amp;O257,Producao!$A:$A,"&lt;"&amp;A257)))))</f>
        <v/>
      </c>
      <c r="E257">
        <f>IF(N257="","",INDEX(Equipamentos!$C$2:$C$61,N257))</f>
        <v/>
      </c>
      <c r="F257" s="57">
        <f>IF(OR(D257="",N(Q257)&lt;=0),"",D257/Q257)</f>
        <v/>
      </c>
      <c r="G257" s="55" t="n"/>
      <c r="H257" s="58" t="n"/>
      <c r="I257" s="58" t="n"/>
      <c r="J257" s="55" t="n"/>
      <c r="K257" s="55" t="n"/>
      <c r="L257">
        <f>IF(OR(A257="",B257=""),"",_xlfn.MAXIFS(TrocasEquip!$A$2:$A$1000,TrocasEquip!$B$2:$B$1000,B257,TrocasEquip!$A$2:$A$1000,"&lt;"&amp;A257))</f>
        <v/>
      </c>
      <c r="M257">
        <f>IF(N(L257)=0,0,MATCH(1,INDEX((TrocasEquip!$B$2:$B$1000=B257)*(TrocasEquip!$A$2:$A$1000=L257),0),0))</f>
        <v/>
      </c>
      <c r="N257">
        <f>IF(B257="","",IFERROR(MATCH(B257,Equipamentos!$P$2:$P$61,0),""))</f>
        <v/>
      </c>
      <c r="O257">
        <f>IF(N257="","",IF(M257=0,INDEX(Equipamentos!$U$2:$U$61,N257),L257))</f>
        <v/>
      </c>
      <c r="P257">
        <f>IF(N257="","",IF(M257=0,N(INDEX(Equipamentos!$V$2:$V$61,N257)),N(INDEX(TrocasEquip!$I$2:$I$1000,M257))))</f>
        <v/>
      </c>
      <c r="Q257">
        <f>IF(N257="","",IF(M257=0,INDEX(Equipamentos!$T$2:$T$61,N257),IF(INDEX(TrocasEquip!$H$2:$H$1000,M257)="",INDEX(Equipamentos!$T$2:$T$61,N257),INDEX(TrocasEquip!$H$2:$H$1000,M257))))</f>
        <v/>
      </c>
    </row>
    <row r="258">
      <c r="A258" s="54" t="n"/>
      <c r="B258" s="55" t="n"/>
      <c r="C258">
        <f>IF(B258="","",IF(N258="","posição não encontrada",IF(M258=0,INDEX(Equipamentos!$S$2:$S$61,N258),INDEX(TrocasEquip!$G$2:$G$1000,M258))))</f>
        <v/>
      </c>
      <c r="D258" s="56">
        <f>IF(OR(A258="",N258=""),"",P258+IF(E258="dias",MAX(0,A258-O258),IF(INDEX(Equipamentos!$D$2:$D$61,N258)=2,SUMIFS(Producao!$D:$D,Producao!$A:$A,"&gt;="&amp;O258,Producao!$A:$A,"&lt;"&amp;A258),IF(INDEX(Equipamentos!$D$2:$D$61,N258)=3,SUMIFS(Producao!$E:$E,Producao!$A:$A,"&gt;="&amp;O258,Producao!$A:$A,"&lt;"&amp;A258),SUMIFS(Producao!$B:$B,Producao!$A:$A,"&gt;="&amp;O258,Producao!$A:$A,"&lt;"&amp;A258)))))</f>
        <v/>
      </c>
      <c r="E258">
        <f>IF(N258="","",INDEX(Equipamentos!$C$2:$C$61,N258))</f>
        <v/>
      </c>
      <c r="F258" s="57">
        <f>IF(OR(D258="",N(Q258)&lt;=0),"",D258/Q258)</f>
        <v/>
      </c>
      <c r="G258" s="55" t="n"/>
      <c r="H258" s="58" t="n"/>
      <c r="I258" s="58" t="n"/>
      <c r="J258" s="55" t="n"/>
      <c r="K258" s="55" t="n"/>
      <c r="L258">
        <f>IF(OR(A258="",B258=""),"",_xlfn.MAXIFS(TrocasEquip!$A$2:$A$1000,TrocasEquip!$B$2:$B$1000,B258,TrocasEquip!$A$2:$A$1000,"&lt;"&amp;A258))</f>
        <v/>
      </c>
      <c r="M258">
        <f>IF(N(L258)=0,0,MATCH(1,INDEX((TrocasEquip!$B$2:$B$1000=B258)*(TrocasEquip!$A$2:$A$1000=L258),0),0))</f>
        <v/>
      </c>
      <c r="N258">
        <f>IF(B258="","",IFERROR(MATCH(B258,Equipamentos!$P$2:$P$61,0),""))</f>
        <v/>
      </c>
      <c r="O258">
        <f>IF(N258="","",IF(M258=0,INDEX(Equipamentos!$U$2:$U$61,N258),L258))</f>
        <v/>
      </c>
      <c r="P258">
        <f>IF(N258="","",IF(M258=0,N(INDEX(Equipamentos!$V$2:$V$61,N258)),N(INDEX(TrocasEquip!$I$2:$I$1000,M258))))</f>
        <v/>
      </c>
      <c r="Q258">
        <f>IF(N258="","",IF(M258=0,INDEX(Equipamentos!$T$2:$T$61,N258),IF(INDEX(TrocasEquip!$H$2:$H$1000,M258)="",INDEX(Equipamentos!$T$2:$T$61,N258),INDEX(TrocasEquip!$H$2:$H$1000,M258))))</f>
        <v/>
      </c>
    </row>
    <row r="259">
      <c r="A259" s="54" t="n"/>
      <c r="B259" s="55" t="n"/>
      <c r="C259">
        <f>IF(B259="","",IF(N259="","posição não encontrada",IF(M259=0,INDEX(Equipamentos!$S$2:$S$61,N259),INDEX(TrocasEquip!$G$2:$G$1000,M259))))</f>
        <v/>
      </c>
      <c r="D259" s="56">
        <f>IF(OR(A259="",N259=""),"",P259+IF(E259="dias",MAX(0,A259-O259),IF(INDEX(Equipamentos!$D$2:$D$61,N259)=2,SUMIFS(Producao!$D:$D,Producao!$A:$A,"&gt;="&amp;O259,Producao!$A:$A,"&lt;"&amp;A259),IF(INDEX(Equipamentos!$D$2:$D$61,N259)=3,SUMIFS(Producao!$E:$E,Producao!$A:$A,"&gt;="&amp;O259,Producao!$A:$A,"&lt;"&amp;A259),SUMIFS(Producao!$B:$B,Producao!$A:$A,"&gt;="&amp;O259,Producao!$A:$A,"&lt;"&amp;A259)))))</f>
        <v/>
      </c>
      <c r="E259">
        <f>IF(N259="","",INDEX(Equipamentos!$C$2:$C$61,N259))</f>
        <v/>
      </c>
      <c r="F259" s="57">
        <f>IF(OR(D259="",N(Q259)&lt;=0),"",D259/Q259)</f>
        <v/>
      </c>
      <c r="G259" s="55" t="n"/>
      <c r="H259" s="58" t="n"/>
      <c r="I259" s="58" t="n"/>
      <c r="J259" s="55" t="n"/>
      <c r="K259" s="55" t="n"/>
      <c r="L259">
        <f>IF(OR(A259="",B259=""),"",_xlfn.MAXIFS(TrocasEquip!$A$2:$A$1000,TrocasEquip!$B$2:$B$1000,B259,TrocasEquip!$A$2:$A$1000,"&lt;"&amp;A259))</f>
        <v/>
      </c>
      <c r="M259">
        <f>IF(N(L259)=0,0,MATCH(1,INDEX((TrocasEquip!$B$2:$B$1000=B259)*(TrocasEquip!$A$2:$A$1000=L259),0),0))</f>
        <v/>
      </c>
      <c r="N259">
        <f>IF(B259="","",IFERROR(MATCH(B259,Equipamentos!$P$2:$P$61,0),""))</f>
        <v/>
      </c>
      <c r="O259">
        <f>IF(N259="","",IF(M259=0,INDEX(Equipamentos!$U$2:$U$61,N259),L259))</f>
        <v/>
      </c>
      <c r="P259">
        <f>IF(N259="","",IF(M259=0,N(INDEX(Equipamentos!$V$2:$V$61,N259)),N(INDEX(TrocasEquip!$I$2:$I$1000,M259))))</f>
        <v/>
      </c>
      <c r="Q259">
        <f>IF(N259="","",IF(M259=0,INDEX(Equipamentos!$T$2:$T$61,N259),IF(INDEX(TrocasEquip!$H$2:$H$1000,M259)="",INDEX(Equipamentos!$T$2:$T$61,N259),INDEX(TrocasEquip!$H$2:$H$1000,M259))))</f>
        <v/>
      </c>
    </row>
    <row r="260">
      <c r="A260" s="54" t="n"/>
      <c r="B260" s="55" t="n"/>
      <c r="C260">
        <f>IF(B260="","",IF(N260="","posição não encontrada",IF(M260=0,INDEX(Equipamentos!$S$2:$S$61,N260),INDEX(TrocasEquip!$G$2:$G$1000,M260))))</f>
        <v/>
      </c>
      <c r="D260" s="56">
        <f>IF(OR(A260="",N260=""),"",P260+IF(E260="dias",MAX(0,A260-O260),IF(INDEX(Equipamentos!$D$2:$D$61,N260)=2,SUMIFS(Producao!$D:$D,Producao!$A:$A,"&gt;="&amp;O260,Producao!$A:$A,"&lt;"&amp;A260),IF(INDEX(Equipamentos!$D$2:$D$61,N260)=3,SUMIFS(Producao!$E:$E,Producao!$A:$A,"&gt;="&amp;O260,Producao!$A:$A,"&lt;"&amp;A260),SUMIFS(Producao!$B:$B,Producao!$A:$A,"&gt;="&amp;O260,Producao!$A:$A,"&lt;"&amp;A260)))))</f>
        <v/>
      </c>
      <c r="E260">
        <f>IF(N260="","",INDEX(Equipamentos!$C$2:$C$61,N260))</f>
        <v/>
      </c>
      <c r="F260" s="57">
        <f>IF(OR(D260="",N(Q260)&lt;=0),"",D260/Q260)</f>
        <v/>
      </c>
      <c r="G260" s="55" t="n"/>
      <c r="H260" s="58" t="n"/>
      <c r="I260" s="58" t="n"/>
      <c r="J260" s="55" t="n"/>
      <c r="K260" s="55" t="n"/>
      <c r="L260">
        <f>IF(OR(A260="",B260=""),"",_xlfn.MAXIFS(TrocasEquip!$A$2:$A$1000,TrocasEquip!$B$2:$B$1000,B260,TrocasEquip!$A$2:$A$1000,"&lt;"&amp;A260))</f>
        <v/>
      </c>
      <c r="M260">
        <f>IF(N(L260)=0,0,MATCH(1,INDEX((TrocasEquip!$B$2:$B$1000=B260)*(TrocasEquip!$A$2:$A$1000=L260),0),0))</f>
        <v/>
      </c>
      <c r="N260">
        <f>IF(B260="","",IFERROR(MATCH(B260,Equipamentos!$P$2:$P$61,0),""))</f>
        <v/>
      </c>
      <c r="O260">
        <f>IF(N260="","",IF(M260=0,INDEX(Equipamentos!$U$2:$U$61,N260),L260))</f>
        <v/>
      </c>
      <c r="P260">
        <f>IF(N260="","",IF(M260=0,N(INDEX(Equipamentos!$V$2:$V$61,N260)),N(INDEX(TrocasEquip!$I$2:$I$1000,M260))))</f>
        <v/>
      </c>
      <c r="Q260">
        <f>IF(N260="","",IF(M260=0,INDEX(Equipamentos!$T$2:$T$61,N260),IF(INDEX(TrocasEquip!$H$2:$H$1000,M260)="",INDEX(Equipamentos!$T$2:$T$61,N260),INDEX(TrocasEquip!$H$2:$H$1000,M260))))</f>
        <v/>
      </c>
    </row>
    <row r="261">
      <c r="A261" s="54" t="n"/>
      <c r="B261" s="55" t="n"/>
      <c r="C261">
        <f>IF(B261="","",IF(N261="","posição não encontrada",IF(M261=0,INDEX(Equipamentos!$S$2:$S$61,N261),INDEX(TrocasEquip!$G$2:$G$1000,M261))))</f>
        <v/>
      </c>
      <c r="D261" s="56">
        <f>IF(OR(A261="",N261=""),"",P261+IF(E261="dias",MAX(0,A261-O261),IF(INDEX(Equipamentos!$D$2:$D$61,N261)=2,SUMIFS(Producao!$D:$D,Producao!$A:$A,"&gt;="&amp;O261,Producao!$A:$A,"&lt;"&amp;A261),IF(INDEX(Equipamentos!$D$2:$D$61,N261)=3,SUMIFS(Producao!$E:$E,Producao!$A:$A,"&gt;="&amp;O261,Producao!$A:$A,"&lt;"&amp;A261),SUMIFS(Producao!$B:$B,Producao!$A:$A,"&gt;="&amp;O261,Producao!$A:$A,"&lt;"&amp;A261)))))</f>
        <v/>
      </c>
      <c r="E261">
        <f>IF(N261="","",INDEX(Equipamentos!$C$2:$C$61,N261))</f>
        <v/>
      </c>
      <c r="F261" s="57">
        <f>IF(OR(D261="",N(Q261)&lt;=0),"",D261/Q261)</f>
        <v/>
      </c>
      <c r="G261" s="55" t="n"/>
      <c r="H261" s="58" t="n"/>
      <c r="I261" s="58" t="n"/>
      <c r="J261" s="55" t="n"/>
      <c r="K261" s="55" t="n"/>
      <c r="L261">
        <f>IF(OR(A261="",B261=""),"",_xlfn.MAXIFS(TrocasEquip!$A$2:$A$1000,TrocasEquip!$B$2:$B$1000,B261,TrocasEquip!$A$2:$A$1000,"&lt;"&amp;A261))</f>
        <v/>
      </c>
      <c r="M261">
        <f>IF(N(L261)=0,0,MATCH(1,INDEX((TrocasEquip!$B$2:$B$1000=B261)*(TrocasEquip!$A$2:$A$1000=L261),0),0))</f>
        <v/>
      </c>
      <c r="N261">
        <f>IF(B261="","",IFERROR(MATCH(B261,Equipamentos!$P$2:$P$61,0),""))</f>
        <v/>
      </c>
      <c r="O261">
        <f>IF(N261="","",IF(M261=0,INDEX(Equipamentos!$U$2:$U$61,N261),L261))</f>
        <v/>
      </c>
      <c r="P261">
        <f>IF(N261="","",IF(M261=0,N(INDEX(Equipamentos!$V$2:$V$61,N261)),N(INDEX(TrocasEquip!$I$2:$I$1000,M261))))</f>
        <v/>
      </c>
      <c r="Q261">
        <f>IF(N261="","",IF(M261=0,INDEX(Equipamentos!$T$2:$T$61,N261),IF(INDEX(TrocasEquip!$H$2:$H$1000,M261)="",INDEX(Equipamentos!$T$2:$T$61,N261),INDEX(TrocasEquip!$H$2:$H$1000,M261))))</f>
        <v/>
      </c>
    </row>
    <row r="262">
      <c r="A262" s="54" t="n"/>
      <c r="B262" s="55" t="n"/>
      <c r="C262">
        <f>IF(B262="","",IF(N262="","posição não encontrada",IF(M262=0,INDEX(Equipamentos!$S$2:$S$61,N262),INDEX(TrocasEquip!$G$2:$G$1000,M262))))</f>
        <v/>
      </c>
      <c r="D262" s="56">
        <f>IF(OR(A262="",N262=""),"",P262+IF(E262="dias",MAX(0,A262-O262),IF(INDEX(Equipamentos!$D$2:$D$61,N262)=2,SUMIFS(Producao!$D:$D,Producao!$A:$A,"&gt;="&amp;O262,Producao!$A:$A,"&lt;"&amp;A262),IF(INDEX(Equipamentos!$D$2:$D$61,N262)=3,SUMIFS(Producao!$E:$E,Producao!$A:$A,"&gt;="&amp;O262,Producao!$A:$A,"&lt;"&amp;A262),SUMIFS(Producao!$B:$B,Producao!$A:$A,"&gt;="&amp;O262,Producao!$A:$A,"&lt;"&amp;A262)))))</f>
        <v/>
      </c>
      <c r="E262">
        <f>IF(N262="","",INDEX(Equipamentos!$C$2:$C$61,N262))</f>
        <v/>
      </c>
      <c r="F262" s="57">
        <f>IF(OR(D262="",N(Q262)&lt;=0),"",D262/Q262)</f>
        <v/>
      </c>
      <c r="G262" s="55" t="n"/>
      <c r="H262" s="58" t="n"/>
      <c r="I262" s="58" t="n"/>
      <c r="J262" s="55" t="n"/>
      <c r="K262" s="55" t="n"/>
      <c r="L262">
        <f>IF(OR(A262="",B262=""),"",_xlfn.MAXIFS(TrocasEquip!$A$2:$A$1000,TrocasEquip!$B$2:$B$1000,B262,TrocasEquip!$A$2:$A$1000,"&lt;"&amp;A262))</f>
        <v/>
      </c>
      <c r="M262">
        <f>IF(N(L262)=0,0,MATCH(1,INDEX((TrocasEquip!$B$2:$B$1000=B262)*(TrocasEquip!$A$2:$A$1000=L262),0),0))</f>
        <v/>
      </c>
      <c r="N262">
        <f>IF(B262="","",IFERROR(MATCH(B262,Equipamentos!$P$2:$P$61,0),""))</f>
        <v/>
      </c>
      <c r="O262">
        <f>IF(N262="","",IF(M262=0,INDEX(Equipamentos!$U$2:$U$61,N262),L262))</f>
        <v/>
      </c>
      <c r="P262">
        <f>IF(N262="","",IF(M262=0,N(INDEX(Equipamentos!$V$2:$V$61,N262)),N(INDEX(TrocasEquip!$I$2:$I$1000,M262))))</f>
        <v/>
      </c>
      <c r="Q262">
        <f>IF(N262="","",IF(M262=0,INDEX(Equipamentos!$T$2:$T$61,N262),IF(INDEX(TrocasEquip!$H$2:$H$1000,M262)="",INDEX(Equipamentos!$T$2:$T$61,N262),INDEX(TrocasEquip!$H$2:$H$1000,M262))))</f>
        <v/>
      </c>
    </row>
    <row r="263">
      <c r="A263" s="54" t="n"/>
      <c r="B263" s="55" t="n"/>
      <c r="C263">
        <f>IF(B263="","",IF(N263="","posição não encontrada",IF(M263=0,INDEX(Equipamentos!$S$2:$S$61,N263),INDEX(TrocasEquip!$G$2:$G$1000,M263))))</f>
        <v/>
      </c>
      <c r="D263" s="56">
        <f>IF(OR(A263="",N263=""),"",P263+IF(E263="dias",MAX(0,A263-O263),IF(INDEX(Equipamentos!$D$2:$D$61,N263)=2,SUMIFS(Producao!$D:$D,Producao!$A:$A,"&gt;="&amp;O263,Producao!$A:$A,"&lt;"&amp;A263),IF(INDEX(Equipamentos!$D$2:$D$61,N263)=3,SUMIFS(Producao!$E:$E,Producao!$A:$A,"&gt;="&amp;O263,Producao!$A:$A,"&lt;"&amp;A263),SUMIFS(Producao!$B:$B,Producao!$A:$A,"&gt;="&amp;O263,Producao!$A:$A,"&lt;"&amp;A263)))))</f>
        <v/>
      </c>
      <c r="E263">
        <f>IF(N263="","",INDEX(Equipamentos!$C$2:$C$61,N263))</f>
        <v/>
      </c>
      <c r="F263" s="57">
        <f>IF(OR(D263="",N(Q263)&lt;=0),"",D263/Q263)</f>
        <v/>
      </c>
      <c r="G263" s="55" t="n"/>
      <c r="H263" s="58" t="n"/>
      <c r="I263" s="58" t="n"/>
      <c r="J263" s="55" t="n"/>
      <c r="K263" s="55" t="n"/>
      <c r="L263">
        <f>IF(OR(A263="",B263=""),"",_xlfn.MAXIFS(TrocasEquip!$A$2:$A$1000,TrocasEquip!$B$2:$B$1000,B263,TrocasEquip!$A$2:$A$1000,"&lt;"&amp;A263))</f>
        <v/>
      </c>
      <c r="M263">
        <f>IF(N(L263)=0,0,MATCH(1,INDEX((TrocasEquip!$B$2:$B$1000=B263)*(TrocasEquip!$A$2:$A$1000=L263),0),0))</f>
        <v/>
      </c>
      <c r="N263">
        <f>IF(B263="","",IFERROR(MATCH(B263,Equipamentos!$P$2:$P$61,0),""))</f>
        <v/>
      </c>
      <c r="O263">
        <f>IF(N263="","",IF(M263=0,INDEX(Equipamentos!$U$2:$U$61,N263),L263))</f>
        <v/>
      </c>
      <c r="P263">
        <f>IF(N263="","",IF(M263=0,N(INDEX(Equipamentos!$V$2:$V$61,N263)),N(INDEX(TrocasEquip!$I$2:$I$1000,M263))))</f>
        <v/>
      </c>
      <c r="Q263">
        <f>IF(N263="","",IF(M263=0,INDEX(Equipamentos!$T$2:$T$61,N263),IF(INDEX(TrocasEquip!$H$2:$H$1000,M263)="",INDEX(Equipamentos!$T$2:$T$61,N263),INDEX(TrocasEquip!$H$2:$H$1000,M263))))</f>
        <v/>
      </c>
    </row>
    <row r="264">
      <c r="A264" s="54" t="n"/>
      <c r="B264" s="55" t="n"/>
      <c r="C264">
        <f>IF(B264="","",IF(N264="","posição não encontrada",IF(M264=0,INDEX(Equipamentos!$S$2:$S$61,N264),INDEX(TrocasEquip!$G$2:$G$1000,M264))))</f>
        <v/>
      </c>
      <c r="D264" s="56">
        <f>IF(OR(A264="",N264=""),"",P264+IF(E264="dias",MAX(0,A264-O264),IF(INDEX(Equipamentos!$D$2:$D$61,N264)=2,SUMIFS(Producao!$D:$D,Producao!$A:$A,"&gt;="&amp;O264,Producao!$A:$A,"&lt;"&amp;A264),IF(INDEX(Equipamentos!$D$2:$D$61,N264)=3,SUMIFS(Producao!$E:$E,Producao!$A:$A,"&gt;="&amp;O264,Producao!$A:$A,"&lt;"&amp;A264),SUMIFS(Producao!$B:$B,Producao!$A:$A,"&gt;="&amp;O264,Producao!$A:$A,"&lt;"&amp;A264)))))</f>
        <v/>
      </c>
      <c r="E264">
        <f>IF(N264="","",INDEX(Equipamentos!$C$2:$C$61,N264))</f>
        <v/>
      </c>
      <c r="F264" s="57">
        <f>IF(OR(D264="",N(Q264)&lt;=0),"",D264/Q264)</f>
        <v/>
      </c>
      <c r="G264" s="55" t="n"/>
      <c r="H264" s="58" t="n"/>
      <c r="I264" s="58" t="n"/>
      <c r="J264" s="55" t="n"/>
      <c r="K264" s="55" t="n"/>
      <c r="L264">
        <f>IF(OR(A264="",B264=""),"",_xlfn.MAXIFS(TrocasEquip!$A$2:$A$1000,TrocasEquip!$B$2:$B$1000,B264,TrocasEquip!$A$2:$A$1000,"&lt;"&amp;A264))</f>
        <v/>
      </c>
      <c r="M264">
        <f>IF(N(L264)=0,0,MATCH(1,INDEX((TrocasEquip!$B$2:$B$1000=B264)*(TrocasEquip!$A$2:$A$1000=L264),0),0))</f>
        <v/>
      </c>
      <c r="N264">
        <f>IF(B264="","",IFERROR(MATCH(B264,Equipamentos!$P$2:$P$61,0),""))</f>
        <v/>
      </c>
      <c r="O264">
        <f>IF(N264="","",IF(M264=0,INDEX(Equipamentos!$U$2:$U$61,N264),L264))</f>
        <v/>
      </c>
      <c r="P264">
        <f>IF(N264="","",IF(M264=0,N(INDEX(Equipamentos!$V$2:$V$61,N264)),N(INDEX(TrocasEquip!$I$2:$I$1000,M264))))</f>
        <v/>
      </c>
      <c r="Q264">
        <f>IF(N264="","",IF(M264=0,INDEX(Equipamentos!$T$2:$T$61,N264),IF(INDEX(TrocasEquip!$H$2:$H$1000,M264)="",INDEX(Equipamentos!$T$2:$T$61,N264),INDEX(TrocasEquip!$H$2:$H$1000,M264))))</f>
        <v/>
      </c>
    </row>
    <row r="265">
      <c r="A265" s="54" t="n"/>
      <c r="B265" s="55" t="n"/>
      <c r="C265">
        <f>IF(B265="","",IF(N265="","posição não encontrada",IF(M265=0,INDEX(Equipamentos!$S$2:$S$61,N265),INDEX(TrocasEquip!$G$2:$G$1000,M265))))</f>
        <v/>
      </c>
      <c r="D265" s="56">
        <f>IF(OR(A265="",N265=""),"",P265+IF(E265="dias",MAX(0,A265-O265),IF(INDEX(Equipamentos!$D$2:$D$61,N265)=2,SUMIFS(Producao!$D:$D,Producao!$A:$A,"&gt;="&amp;O265,Producao!$A:$A,"&lt;"&amp;A265),IF(INDEX(Equipamentos!$D$2:$D$61,N265)=3,SUMIFS(Producao!$E:$E,Producao!$A:$A,"&gt;="&amp;O265,Producao!$A:$A,"&lt;"&amp;A265),SUMIFS(Producao!$B:$B,Producao!$A:$A,"&gt;="&amp;O265,Producao!$A:$A,"&lt;"&amp;A265)))))</f>
        <v/>
      </c>
      <c r="E265">
        <f>IF(N265="","",INDEX(Equipamentos!$C$2:$C$61,N265))</f>
        <v/>
      </c>
      <c r="F265" s="57">
        <f>IF(OR(D265="",N(Q265)&lt;=0),"",D265/Q265)</f>
        <v/>
      </c>
      <c r="G265" s="55" t="n"/>
      <c r="H265" s="58" t="n"/>
      <c r="I265" s="58" t="n"/>
      <c r="J265" s="55" t="n"/>
      <c r="K265" s="55" t="n"/>
      <c r="L265">
        <f>IF(OR(A265="",B265=""),"",_xlfn.MAXIFS(TrocasEquip!$A$2:$A$1000,TrocasEquip!$B$2:$B$1000,B265,TrocasEquip!$A$2:$A$1000,"&lt;"&amp;A265))</f>
        <v/>
      </c>
      <c r="M265">
        <f>IF(N(L265)=0,0,MATCH(1,INDEX((TrocasEquip!$B$2:$B$1000=B265)*(TrocasEquip!$A$2:$A$1000=L265),0),0))</f>
        <v/>
      </c>
      <c r="N265">
        <f>IF(B265="","",IFERROR(MATCH(B265,Equipamentos!$P$2:$P$61,0),""))</f>
        <v/>
      </c>
      <c r="O265">
        <f>IF(N265="","",IF(M265=0,INDEX(Equipamentos!$U$2:$U$61,N265),L265))</f>
        <v/>
      </c>
      <c r="P265">
        <f>IF(N265="","",IF(M265=0,N(INDEX(Equipamentos!$V$2:$V$61,N265)),N(INDEX(TrocasEquip!$I$2:$I$1000,M265))))</f>
        <v/>
      </c>
      <c r="Q265">
        <f>IF(N265="","",IF(M265=0,INDEX(Equipamentos!$T$2:$T$61,N265),IF(INDEX(TrocasEquip!$H$2:$H$1000,M265)="",INDEX(Equipamentos!$T$2:$T$61,N265),INDEX(TrocasEquip!$H$2:$H$1000,M265))))</f>
        <v/>
      </c>
    </row>
    <row r="266">
      <c r="A266" s="54" t="n"/>
      <c r="B266" s="55" t="n"/>
      <c r="C266">
        <f>IF(B266="","",IF(N266="","posição não encontrada",IF(M266=0,INDEX(Equipamentos!$S$2:$S$61,N266),INDEX(TrocasEquip!$G$2:$G$1000,M266))))</f>
        <v/>
      </c>
      <c r="D266" s="56">
        <f>IF(OR(A266="",N266=""),"",P266+IF(E266="dias",MAX(0,A266-O266),IF(INDEX(Equipamentos!$D$2:$D$61,N266)=2,SUMIFS(Producao!$D:$D,Producao!$A:$A,"&gt;="&amp;O266,Producao!$A:$A,"&lt;"&amp;A266),IF(INDEX(Equipamentos!$D$2:$D$61,N266)=3,SUMIFS(Producao!$E:$E,Producao!$A:$A,"&gt;="&amp;O266,Producao!$A:$A,"&lt;"&amp;A266),SUMIFS(Producao!$B:$B,Producao!$A:$A,"&gt;="&amp;O266,Producao!$A:$A,"&lt;"&amp;A266)))))</f>
        <v/>
      </c>
      <c r="E266">
        <f>IF(N266="","",INDEX(Equipamentos!$C$2:$C$61,N266))</f>
        <v/>
      </c>
      <c r="F266" s="57">
        <f>IF(OR(D266="",N(Q266)&lt;=0),"",D266/Q266)</f>
        <v/>
      </c>
      <c r="G266" s="55" t="n"/>
      <c r="H266" s="58" t="n"/>
      <c r="I266" s="58" t="n"/>
      <c r="J266" s="55" t="n"/>
      <c r="K266" s="55" t="n"/>
      <c r="L266">
        <f>IF(OR(A266="",B266=""),"",_xlfn.MAXIFS(TrocasEquip!$A$2:$A$1000,TrocasEquip!$B$2:$B$1000,B266,TrocasEquip!$A$2:$A$1000,"&lt;"&amp;A266))</f>
        <v/>
      </c>
      <c r="M266">
        <f>IF(N(L266)=0,0,MATCH(1,INDEX((TrocasEquip!$B$2:$B$1000=B266)*(TrocasEquip!$A$2:$A$1000=L266),0),0))</f>
        <v/>
      </c>
      <c r="N266">
        <f>IF(B266="","",IFERROR(MATCH(B266,Equipamentos!$P$2:$P$61,0),""))</f>
        <v/>
      </c>
      <c r="O266">
        <f>IF(N266="","",IF(M266=0,INDEX(Equipamentos!$U$2:$U$61,N266),L266))</f>
        <v/>
      </c>
      <c r="P266">
        <f>IF(N266="","",IF(M266=0,N(INDEX(Equipamentos!$V$2:$V$61,N266)),N(INDEX(TrocasEquip!$I$2:$I$1000,M266))))</f>
        <v/>
      </c>
      <c r="Q266">
        <f>IF(N266="","",IF(M266=0,INDEX(Equipamentos!$T$2:$T$61,N266),IF(INDEX(TrocasEquip!$H$2:$H$1000,M266)="",INDEX(Equipamentos!$T$2:$T$61,N266),INDEX(TrocasEquip!$H$2:$H$1000,M266))))</f>
        <v/>
      </c>
    </row>
    <row r="267">
      <c r="A267" s="54" t="n"/>
      <c r="B267" s="55" t="n"/>
      <c r="C267">
        <f>IF(B267="","",IF(N267="","posição não encontrada",IF(M267=0,INDEX(Equipamentos!$S$2:$S$61,N267),INDEX(TrocasEquip!$G$2:$G$1000,M267))))</f>
        <v/>
      </c>
      <c r="D267" s="56">
        <f>IF(OR(A267="",N267=""),"",P267+IF(E267="dias",MAX(0,A267-O267),IF(INDEX(Equipamentos!$D$2:$D$61,N267)=2,SUMIFS(Producao!$D:$D,Producao!$A:$A,"&gt;="&amp;O267,Producao!$A:$A,"&lt;"&amp;A267),IF(INDEX(Equipamentos!$D$2:$D$61,N267)=3,SUMIFS(Producao!$E:$E,Producao!$A:$A,"&gt;="&amp;O267,Producao!$A:$A,"&lt;"&amp;A267),SUMIFS(Producao!$B:$B,Producao!$A:$A,"&gt;="&amp;O267,Producao!$A:$A,"&lt;"&amp;A267)))))</f>
        <v/>
      </c>
      <c r="E267">
        <f>IF(N267="","",INDEX(Equipamentos!$C$2:$C$61,N267))</f>
        <v/>
      </c>
      <c r="F267" s="57">
        <f>IF(OR(D267="",N(Q267)&lt;=0),"",D267/Q267)</f>
        <v/>
      </c>
      <c r="G267" s="55" t="n"/>
      <c r="H267" s="58" t="n"/>
      <c r="I267" s="58" t="n"/>
      <c r="J267" s="55" t="n"/>
      <c r="K267" s="55" t="n"/>
      <c r="L267">
        <f>IF(OR(A267="",B267=""),"",_xlfn.MAXIFS(TrocasEquip!$A$2:$A$1000,TrocasEquip!$B$2:$B$1000,B267,TrocasEquip!$A$2:$A$1000,"&lt;"&amp;A267))</f>
        <v/>
      </c>
      <c r="M267">
        <f>IF(N(L267)=0,0,MATCH(1,INDEX((TrocasEquip!$B$2:$B$1000=B267)*(TrocasEquip!$A$2:$A$1000=L267),0),0))</f>
        <v/>
      </c>
      <c r="N267">
        <f>IF(B267="","",IFERROR(MATCH(B267,Equipamentos!$P$2:$P$61,0),""))</f>
        <v/>
      </c>
      <c r="O267">
        <f>IF(N267="","",IF(M267=0,INDEX(Equipamentos!$U$2:$U$61,N267),L267))</f>
        <v/>
      </c>
      <c r="P267">
        <f>IF(N267="","",IF(M267=0,N(INDEX(Equipamentos!$V$2:$V$61,N267)),N(INDEX(TrocasEquip!$I$2:$I$1000,M267))))</f>
        <v/>
      </c>
      <c r="Q267">
        <f>IF(N267="","",IF(M267=0,INDEX(Equipamentos!$T$2:$T$61,N267),IF(INDEX(TrocasEquip!$H$2:$H$1000,M267)="",INDEX(Equipamentos!$T$2:$T$61,N267),INDEX(TrocasEquip!$H$2:$H$1000,M267))))</f>
        <v/>
      </c>
    </row>
    <row r="268">
      <c r="A268" s="54" t="n"/>
      <c r="B268" s="55" t="n"/>
      <c r="C268">
        <f>IF(B268="","",IF(N268="","posição não encontrada",IF(M268=0,INDEX(Equipamentos!$S$2:$S$61,N268),INDEX(TrocasEquip!$G$2:$G$1000,M268))))</f>
        <v/>
      </c>
      <c r="D268" s="56">
        <f>IF(OR(A268="",N268=""),"",P268+IF(E268="dias",MAX(0,A268-O268),IF(INDEX(Equipamentos!$D$2:$D$61,N268)=2,SUMIFS(Producao!$D:$D,Producao!$A:$A,"&gt;="&amp;O268,Producao!$A:$A,"&lt;"&amp;A268),IF(INDEX(Equipamentos!$D$2:$D$61,N268)=3,SUMIFS(Producao!$E:$E,Producao!$A:$A,"&gt;="&amp;O268,Producao!$A:$A,"&lt;"&amp;A268),SUMIFS(Producao!$B:$B,Producao!$A:$A,"&gt;="&amp;O268,Producao!$A:$A,"&lt;"&amp;A268)))))</f>
        <v/>
      </c>
      <c r="E268">
        <f>IF(N268="","",INDEX(Equipamentos!$C$2:$C$61,N268))</f>
        <v/>
      </c>
      <c r="F268" s="57">
        <f>IF(OR(D268="",N(Q268)&lt;=0),"",D268/Q268)</f>
        <v/>
      </c>
      <c r="G268" s="55" t="n"/>
      <c r="H268" s="58" t="n"/>
      <c r="I268" s="58" t="n"/>
      <c r="J268" s="55" t="n"/>
      <c r="K268" s="55" t="n"/>
      <c r="L268">
        <f>IF(OR(A268="",B268=""),"",_xlfn.MAXIFS(TrocasEquip!$A$2:$A$1000,TrocasEquip!$B$2:$B$1000,B268,TrocasEquip!$A$2:$A$1000,"&lt;"&amp;A268))</f>
        <v/>
      </c>
      <c r="M268">
        <f>IF(N(L268)=0,0,MATCH(1,INDEX((TrocasEquip!$B$2:$B$1000=B268)*(TrocasEquip!$A$2:$A$1000=L268),0),0))</f>
        <v/>
      </c>
      <c r="N268">
        <f>IF(B268="","",IFERROR(MATCH(B268,Equipamentos!$P$2:$P$61,0),""))</f>
        <v/>
      </c>
      <c r="O268">
        <f>IF(N268="","",IF(M268=0,INDEX(Equipamentos!$U$2:$U$61,N268),L268))</f>
        <v/>
      </c>
      <c r="P268">
        <f>IF(N268="","",IF(M268=0,N(INDEX(Equipamentos!$V$2:$V$61,N268)),N(INDEX(TrocasEquip!$I$2:$I$1000,M268))))</f>
        <v/>
      </c>
      <c r="Q268">
        <f>IF(N268="","",IF(M268=0,INDEX(Equipamentos!$T$2:$T$61,N268),IF(INDEX(TrocasEquip!$H$2:$H$1000,M268)="",INDEX(Equipamentos!$T$2:$T$61,N268),INDEX(TrocasEquip!$H$2:$H$1000,M268))))</f>
        <v/>
      </c>
    </row>
    <row r="269">
      <c r="A269" s="54" t="n"/>
      <c r="B269" s="55" t="n"/>
      <c r="C269">
        <f>IF(B269="","",IF(N269="","posição não encontrada",IF(M269=0,INDEX(Equipamentos!$S$2:$S$61,N269),INDEX(TrocasEquip!$G$2:$G$1000,M269))))</f>
        <v/>
      </c>
      <c r="D269" s="56">
        <f>IF(OR(A269="",N269=""),"",P269+IF(E269="dias",MAX(0,A269-O269),IF(INDEX(Equipamentos!$D$2:$D$61,N269)=2,SUMIFS(Producao!$D:$D,Producao!$A:$A,"&gt;="&amp;O269,Producao!$A:$A,"&lt;"&amp;A269),IF(INDEX(Equipamentos!$D$2:$D$61,N269)=3,SUMIFS(Producao!$E:$E,Producao!$A:$A,"&gt;="&amp;O269,Producao!$A:$A,"&lt;"&amp;A269),SUMIFS(Producao!$B:$B,Producao!$A:$A,"&gt;="&amp;O269,Producao!$A:$A,"&lt;"&amp;A269)))))</f>
        <v/>
      </c>
      <c r="E269">
        <f>IF(N269="","",INDEX(Equipamentos!$C$2:$C$61,N269))</f>
        <v/>
      </c>
      <c r="F269" s="57">
        <f>IF(OR(D269="",N(Q269)&lt;=0),"",D269/Q269)</f>
        <v/>
      </c>
      <c r="G269" s="55" t="n"/>
      <c r="H269" s="58" t="n"/>
      <c r="I269" s="58" t="n"/>
      <c r="J269" s="55" t="n"/>
      <c r="K269" s="55" t="n"/>
      <c r="L269">
        <f>IF(OR(A269="",B269=""),"",_xlfn.MAXIFS(TrocasEquip!$A$2:$A$1000,TrocasEquip!$B$2:$B$1000,B269,TrocasEquip!$A$2:$A$1000,"&lt;"&amp;A269))</f>
        <v/>
      </c>
      <c r="M269">
        <f>IF(N(L269)=0,0,MATCH(1,INDEX((TrocasEquip!$B$2:$B$1000=B269)*(TrocasEquip!$A$2:$A$1000=L269),0),0))</f>
        <v/>
      </c>
      <c r="N269">
        <f>IF(B269="","",IFERROR(MATCH(B269,Equipamentos!$P$2:$P$61,0),""))</f>
        <v/>
      </c>
      <c r="O269">
        <f>IF(N269="","",IF(M269=0,INDEX(Equipamentos!$U$2:$U$61,N269),L269))</f>
        <v/>
      </c>
      <c r="P269">
        <f>IF(N269="","",IF(M269=0,N(INDEX(Equipamentos!$V$2:$V$61,N269)),N(INDEX(TrocasEquip!$I$2:$I$1000,M269))))</f>
        <v/>
      </c>
      <c r="Q269">
        <f>IF(N269="","",IF(M269=0,INDEX(Equipamentos!$T$2:$T$61,N269),IF(INDEX(TrocasEquip!$H$2:$H$1000,M269)="",INDEX(Equipamentos!$T$2:$T$61,N269),INDEX(TrocasEquip!$H$2:$H$1000,M269))))</f>
        <v/>
      </c>
    </row>
    <row r="270">
      <c r="A270" s="54" t="n"/>
      <c r="B270" s="55" t="n"/>
      <c r="C270">
        <f>IF(B270="","",IF(N270="","posição não encontrada",IF(M270=0,INDEX(Equipamentos!$S$2:$S$61,N270),INDEX(TrocasEquip!$G$2:$G$1000,M270))))</f>
        <v/>
      </c>
      <c r="D270" s="56">
        <f>IF(OR(A270="",N270=""),"",P270+IF(E270="dias",MAX(0,A270-O270),IF(INDEX(Equipamentos!$D$2:$D$61,N270)=2,SUMIFS(Producao!$D:$D,Producao!$A:$A,"&gt;="&amp;O270,Producao!$A:$A,"&lt;"&amp;A270),IF(INDEX(Equipamentos!$D$2:$D$61,N270)=3,SUMIFS(Producao!$E:$E,Producao!$A:$A,"&gt;="&amp;O270,Producao!$A:$A,"&lt;"&amp;A270),SUMIFS(Producao!$B:$B,Producao!$A:$A,"&gt;="&amp;O270,Producao!$A:$A,"&lt;"&amp;A270)))))</f>
        <v/>
      </c>
      <c r="E270">
        <f>IF(N270="","",INDEX(Equipamentos!$C$2:$C$61,N270))</f>
        <v/>
      </c>
      <c r="F270" s="57">
        <f>IF(OR(D270="",N(Q270)&lt;=0),"",D270/Q270)</f>
        <v/>
      </c>
      <c r="G270" s="55" t="n"/>
      <c r="H270" s="58" t="n"/>
      <c r="I270" s="58" t="n"/>
      <c r="J270" s="55" t="n"/>
      <c r="K270" s="55" t="n"/>
      <c r="L270">
        <f>IF(OR(A270="",B270=""),"",_xlfn.MAXIFS(TrocasEquip!$A$2:$A$1000,TrocasEquip!$B$2:$B$1000,B270,TrocasEquip!$A$2:$A$1000,"&lt;"&amp;A270))</f>
        <v/>
      </c>
      <c r="M270">
        <f>IF(N(L270)=0,0,MATCH(1,INDEX((TrocasEquip!$B$2:$B$1000=B270)*(TrocasEquip!$A$2:$A$1000=L270),0),0))</f>
        <v/>
      </c>
      <c r="N270">
        <f>IF(B270="","",IFERROR(MATCH(B270,Equipamentos!$P$2:$P$61,0),""))</f>
        <v/>
      </c>
      <c r="O270">
        <f>IF(N270="","",IF(M270=0,INDEX(Equipamentos!$U$2:$U$61,N270),L270))</f>
        <v/>
      </c>
      <c r="P270">
        <f>IF(N270="","",IF(M270=0,N(INDEX(Equipamentos!$V$2:$V$61,N270)),N(INDEX(TrocasEquip!$I$2:$I$1000,M270))))</f>
        <v/>
      </c>
      <c r="Q270">
        <f>IF(N270="","",IF(M270=0,INDEX(Equipamentos!$T$2:$T$61,N270),IF(INDEX(TrocasEquip!$H$2:$H$1000,M270)="",INDEX(Equipamentos!$T$2:$T$61,N270),INDEX(TrocasEquip!$H$2:$H$1000,M270))))</f>
        <v/>
      </c>
    </row>
    <row r="271">
      <c r="A271" s="54" t="n"/>
      <c r="B271" s="55" t="n"/>
      <c r="C271">
        <f>IF(B271="","",IF(N271="","posição não encontrada",IF(M271=0,INDEX(Equipamentos!$S$2:$S$61,N271),INDEX(TrocasEquip!$G$2:$G$1000,M271))))</f>
        <v/>
      </c>
      <c r="D271" s="56">
        <f>IF(OR(A271="",N271=""),"",P271+IF(E271="dias",MAX(0,A271-O271),IF(INDEX(Equipamentos!$D$2:$D$61,N271)=2,SUMIFS(Producao!$D:$D,Producao!$A:$A,"&gt;="&amp;O271,Producao!$A:$A,"&lt;"&amp;A271),IF(INDEX(Equipamentos!$D$2:$D$61,N271)=3,SUMIFS(Producao!$E:$E,Producao!$A:$A,"&gt;="&amp;O271,Producao!$A:$A,"&lt;"&amp;A271),SUMIFS(Producao!$B:$B,Producao!$A:$A,"&gt;="&amp;O271,Producao!$A:$A,"&lt;"&amp;A271)))))</f>
        <v/>
      </c>
      <c r="E271">
        <f>IF(N271="","",INDEX(Equipamentos!$C$2:$C$61,N271))</f>
        <v/>
      </c>
      <c r="F271" s="57">
        <f>IF(OR(D271="",N(Q271)&lt;=0),"",D271/Q271)</f>
        <v/>
      </c>
      <c r="G271" s="55" t="n"/>
      <c r="H271" s="58" t="n"/>
      <c r="I271" s="58" t="n"/>
      <c r="J271" s="55" t="n"/>
      <c r="K271" s="55" t="n"/>
      <c r="L271">
        <f>IF(OR(A271="",B271=""),"",_xlfn.MAXIFS(TrocasEquip!$A$2:$A$1000,TrocasEquip!$B$2:$B$1000,B271,TrocasEquip!$A$2:$A$1000,"&lt;"&amp;A271))</f>
        <v/>
      </c>
      <c r="M271">
        <f>IF(N(L271)=0,0,MATCH(1,INDEX((TrocasEquip!$B$2:$B$1000=B271)*(TrocasEquip!$A$2:$A$1000=L271),0),0))</f>
        <v/>
      </c>
      <c r="N271">
        <f>IF(B271="","",IFERROR(MATCH(B271,Equipamentos!$P$2:$P$61,0),""))</f>
        <v/>
      </c>
      <c r="O271">
        <f>IF(N271="","",IF(M271=0,INDEX(Equipamentos!$U$2:$U$61,N271),L271))</f>
        <v/>
      </c>
      <c r="P271">
        <f>IF(N271="","",IF(M271=0,N(INDEX(Equipamentos!$V$2:$V$61,N271)),N(INDEX(TrocasEquip!$I$2:$I$1000,M271))))</f>
        <v/>
      </c>
      <c r="Q271">
        <f>IF(N271="","",IF(M271=0,INDEX(Equipamentos!$T$2:$T$61,N271),IF(INDEX(TrocasEquip!$H$2:$H$1000,M271)="",INDEX(Equipamentos!$T$2:$T$61,N271),INDEX(TrocasEquip!$H$2:$H$1000,M271))))</f>
        <v/>
      </c>
    </row>
    <row r="272">
      <c r="A272" s="54" t="n"/>
      <c r="B272" s="55" t="n"/>
      <c r="C272">
        <f>IF(B272="","",IF(N272="","posição não encontrada",IF(M272=0,INDEX(Equipamentos!$S$2:$S$61,N272),INDEX(TrocasEquip!$G$2:$G$1000,M272))))</f>
        <v/>
      </c>
      <c r="D272" s="56">
        <f>IF(OR(A272="",N272=""),"",P272+IF(E272="dias",MAX(0,A272-O272),IF(INDEX(Equipamentos!$D$2:$D$61,N272)=2,SUMIFS(Producao!$D:$D,Producao!$A:$A,"&gt;="&amp;O272,Producao!$A:$A,"&lt;"&amp;A272),IF(INDEX(Equipamentos!$D$2:$D$61,N272)=3,SUMIFS(Producao!$E:$E,Producao!$A:$A,"&gt;="&amp;O272,Producao!$A:$A,"&lt;"&amp;A272),SUMIFS(Producao!$B:$B,Producao!$A:$A,"&gt;="&amp;O272,Producao!$A:$A,"&lt;"&amp;A272)))))</f>
        <v/>
      </c>
      <c r="E272">
        <f>IF(N272="","",INDEX(Equipamentos!$C$2:$C$61,N272))</f>
        <v/>
      </c>
      <c r="F272" s="57">
        <f>IF(OR(D272="",N(Q272)&lt;=0),"",D272/Q272)</f>
        <v/>
      </c>
      <c r="G272" s="55" t="n"/>
      <c r="H272" s="58" t="n"/>
      <c r="I272" s="58" t="n"/>
      <c r="J272" s="55" t="n"/>
      <c r="K272" s="55" t="n"/>
      <c r="L272">
        <f>IF(OR(A272="",B272=""),"",_xlfn.MAXIFS(TrocasEquip!$A$2:$A$1000,TrocasEquip!$B$2:$B$1000,B272,TrocasEquip!$A$2:$A$1000,"&lt;"&amp;A272))</f>
        <v/>
      </c>
      <c r="M272">
        <f>IF(N(L272)=0,0,MATCH(1,INDEX((TrocasEquip!$B$2:$B$1000=B272)*(TrocasEquip!$A$2:$A$1000=L272),0),0))</f>
        <v/>
      </c>
      <c r="N272">
        <f>IF(B272="","",IFERROR(MATCH(B272,Equipamentos!$P$2:$P$61,0),""))</f>
        <v/>
      </c>
      <c r="O272">
        <f>IF(N272="","",IF(M272=0,INDEX(Equipamentos!$U$2:$U$61,N272),L272))</f>
        <v/>
      </c>
      <c r="P272">
        <f>IF(N272="","",IF(M272=0,N(INDEX(Equipamentos!$V$2:$V$61,N272)),N(INDEX(TrocasEquip!$I$2:$I$1000,M272))))</f>
        <v/>
      </c>
      <c r="Q272">
        <f>IF(N272="","",IF(M272=0,INDEX(Equipamentos!$T$2:$T$61,N272),IF(INDEX(TrocasEquip!$H$2:$H$1000,M272)="",INDEX(Equipamentos!$T$2:$T$61,N272),INDEX(TrocasEquip!$H$2:$H$1000,M272))))</f>
        <v/>
      </c>
    </row>
    <row r="273">
      <c r="A273" s="54" t="n"/>
      <c r="B273" s="55" t="n"/>
      <c r="C273">
        <f>IF(B273="","",IF(N273="","posição não encontrada",IF(M273=0,INDEX(Equipamentos!$S$2:$S$61,N273),INDEX(TrocasEquip!$G$2:$G$1000,M273))))</f>
        <v/>
      </c>
      <c r="D273" s="56">
        <f>IF(OR(A273="",N273=""),"",P273+IF(E273="dias",MAX(0,A273-O273),IF(INDEX(Equipamentos!$D$2:$D$61,N273)=2,SUMIFS(Producao!$D:$D,Producao!$A:$A,"&gt;="&amp;O273,Producao!$A:$A,"&lt;"&amp;A273),IF(INDEX(Equipamentos!$D$2:$D$61,N273)=3,SUMIFS(Producao!$E:$E,Producao!$A:$A,"&gt;="&amp;O273,Producao!$A:$A,"&lt;"&amp;A273),SUMIFS(Producao!$B:$B,Producao!$A:$A,"&gt;="&amp;O273,Producao!$A:$A,"&lt;"&amp;A273)))))</f>
        <v/>
      </c>
      <c r="E273">
        <f>IF(N273="","",INDEX(Equipamentos!$C$2:$C$61,N273))</f>
        <v/>
      </c>
      <c r="F273" s="57">
        <f>IF(OR(D273="",N(Q273)&lt;=0),"",D273/Q273)</f>
        <v/>
      </c>
      <c r="G273" s="55" t="n"/>
      <c r="H273" s="58" t="n"/>
      <c r="I273" s="58" t="n"/>
      <c r="J273" s="55" t="n"/>
      <c r="K273" s="55" t="n"/>
      <c r="L273">
        <f>IF(OR(A273="",B273=""),"",_xlfn.MAXIFS(TrocasEquip!$A$2:$A$1000,TrocasEquip!$B$2:$B$1000,B273,TrocasEquip!$A$2:$A$1000,"&lt;"&amp;A273))</f>
        <v/>
      </c>
      <c r="M273">
        <f>IF(N(L273)=0,0,MATCH(1,INDEX((TrocasEquip!$B$2:$B$1000=B273)*(TrocasEquip!$A$2:$A$1000=L273),0),0))</f>
        <v/>
      </c>
      <c r="N273">
        <f>IF(B273="","",IFERROR(MATCH(B273,Equipamentos!$P$2:$P$61,0),""))</f>
        <v/>
      </c>
      <c r="O273">
        <f>IF(N273="","",IF(M273=0,INDEX(Equipamentos!$U$2:$U$61,N273),L273))</f>
        <v/>
      </c>
      <c r="P273">
        <f>IF(N273="","",IF(M273=0,N(INDEX(Equipamentos!$V$2:$V$61,N273)),N(INDEX(TrocasEquip!$I$2:$I$1000,M273))))</f>
        <v/>
      </c>
      <c r="Q273">
        <f>IF(N273="","",IF(M273=0,INDEX(Equipamentos!$T$2:$T$61,N273),IF(INDEX(TrocasEquip!$H$2:$H$1000,M273)="",INDEX(Equipamentos!$T$2:$T$61,N273),INDEX(TrocasEquip!$H$2:$H$1000,M273))))</f>
        <v/>
      </c>
    </row>
    <row r="274">
      <c r="A274" s="54" t="n"/>
      <c r="B274" s="55" t="n"/>
      <c r="C274">
        <f>IF(B274="","",IF(N274="","posição não encontrada",IF(M274=0,INDEX(Equipamentos!$S$2:$S$61,N274),INDEX(TrocasEquip!$G$2:$G$1000,M274))))</f>
        <v/>
      </c>
      <c r="D274" s="56">
        <f>IF(OR(A274="",N274=""),"",P274+IF(E274="dias",MAX(0,A274-O274),IF(INDEX(Equipamentos!$D$2:$D$61,N274)=2,SUMIFS(Producao!$D:$D,Producao!$A:$A,"&gt;="&amp;O274,Producao!$A:$A,"&lt;"&amp;A274),IF(INDEX(Equipamentos!$D$2:$D$61,N274)=3,SUMIFS(Producao!$E:$E,Producao!$A:$A,"&gt;="&amp;O274,Producao!$A:$A,"&lt;"&amp;A274),SUMIFS(Producao!$B:$B,Producao!$A:$A,"&gt;="&amp;O274,Producao!$A:$A,"&lt;"&amp;A274)))))</f>
        <v/>
      </c>
      <c r="E274">
        <f>IF(N274="","",INDEX(Equipamentos!$C$2:$C$61,N274))</f>
        <v/>
      </c>
      <c r="F274" s="57">
        <f>IF(OR(D274="",N(Q274)&lt;=0),"",D274/Q274)</f>
        <v/>
      </c>
      <c r="G274" s="55" t="n"/>
      <c r="H274" s="58" t="n"/>
      <c r="I274" s="58" t="n"/>
      <c r="J274" s="55" t="n"/>
      <c r="K274" s="55" t="n"/>
      <c r="L274">
        <f>IF(OR(A274="",B274=""),"",_xlfn.MAXIFS(TrocasEquip!$A$2:$A$1000,TrocasEquip!$B$2:$B$1000,B274,TrocasEquip!$A$2:$A$1000,"&lt;"&amp;A274))</f>
        <v/>
      </c>
      <c r="M274">
        <f>IF(N(L274)=0,0,MATCH(1,INDEX((TrocasEquip!$B$2:$B$1000=B274)*(TrocasEquip!$A$2:$A$1000=L274),0),0))</f>
        <v/>
      </c>
      <c r="N274">
        <f>IF(B274="","",IFERROR(MATCH(B274,Equipamentos!$P$2:$P$61,0),""))</f>
        <v/>
      </c>
      <c r="O274">
        <f>IF(N274="","",IF(M274=0,INDEX(Equipamentos!$U$2:$U$61,N274),L274))</f>
        <v/>
      </c>
      <c r="P274">
        <f>IF(N274="","",IF(M274=0,N(INDEX(Equipamentos!$V$2:$V$61,N274)),N(INDEX(TrocasEquip!$I$2:$I$1000,M274))))</f>
        <v/>
      </c>
      <c r="Q274">
        <f>IF(N274="","",IF(M274=0,INDEX(Equipamentos!$T$2:$T$61,N274),IF(INDEX(TrocasEquip!$H$2:$H$1000,M274)="",INDEX(Equipamentos!$T$2:$T$61,N274),INDEX(TrocasEquip!$H$2:$H$1000,M274))))</f>
        <v/>
      </c>
    </row>
    <row r="275">
      <c r="A275" s="54" t="n"/>
      <c r="B275" s="55" t="n"/>
      <c r="C275">
        <f>IF(B275="","",IF(N275="","posição não encontrada",IF(M275=0,INDEX(Equipamentos!$S$2:$S$61,N275),INDEX(TrocasEquip!$G$2:$G$1000,M275))))</f>
        <v/>
      </c>
      <c r="D275" s="56">
        <f>IF(OR(A275="",N275=""),"",P275+IF(E275="dias",MAX(0,A275-O275),IF(INDEX(Equipamentos!$D$2:$D$61,N275)=2,SUMIFS(Producao!$D:$D,Producao!$A:$A,"&gt;="&amp;O275,Producao!$A:$A,"&lt;"&amp;A275),IF(INDEX(Equipamentos!$D$2:$D$61,N275)=3,SUMIFS(Producao!$E:$E,Producao!$A:$A,"&gt;="&amp;O275,Producao!$A:$A,"&lt;"&amp;A275),SUMIFS(Producao!$B:$B,Producao!$A:$A,"&gt;="&amp;O275,Producao!$A:$A,"&lt;"&amp;A275)))))</f>
        <v/>
      </c>
      <c r="E275">
        <f>IF(N275="","",INDEX(Equipamentos!$C$2:$C$61,N275))</f>
        <v/>
      </c>
      <c r="F275" s="57">
        <f>IF(OR(D275="",N(Q275)&lt;=0),"",D275/Q275)</f>
        <v/>
      </c>
      <c r="G275" s="55" t="n"/>
      <c r="H275" s="58" t="n"/>
      <c r="I275" s="58" t="n"/>
      <c r="J275" s="55" t="n"/>
      <c r="K275" s="55" t="n"/>
      <c r="L275">
        <f>IF(OR(A275="",B275=""),"",_xlfn.MAXIFS(TrocasEquip!$A$2:$A$1000,TrocasEquip!$B$2:$B$1000,B275,TrocasEquip!$A$2:$A$1000,"&lt;"&amp;A275))</f>
        <v/>
      </c>
      <c r="M275">
        <f>IF(N(L275)=0,0,MATCH(1,INDEX((TrocasEquip!$B$2:$B$1000=B275)*(TrocasEquip!$A$2:$A$1000=L275),0),0))</f>
        <v/>
      </c>
      <c r="N275">
        <f>IF(B275="","",IFERROR(MATCH(B275,Equipamentos!$P$2:$P$61,0),""))</f>
        <v/>
      </c>
      <c r="O275">
        <f>IF(N275="","",IF(M275=0,INDEX(Equipamentos!$U$2:$U$61,N275),L275))</f>
        <v/>
      </c>
      <c r="P275">
        <f>IF(N275="","",IF(M275=0,N(INDEX(Equipamentos!$V$2:$V$61,N275)),N(INDEX(TrocasEquip!$I$2:$I$1000,M275))))</f>
        <v/>
      </c>
      <c r="Q275">
        <f>IF(N275="","",IF(M275=0,INDEX(Equipamentos!$T$2:$T$61,N275),IF(INDEX(TrocasEquip!$H$2:$H$1000,M275)="",INDEX(Equipamentos!$T$2:$T$61,N275),INDEX(TrocasEquip!$H$2:$H$1000,M275))))</f>
        <v/>
      </c>
    </row>
    <row r="276">
      <c r="A276" s="54" t="n"/>
      <c r="B276" s="55" t="n"/>
      <c r="C276">
        <f>IF(B276="","",IF(N276="","posição não encontrada",IF(M276=0,INDEX(Equipamentos!$S$2:$S$61,N276),INDEX(TrocasEquip!$G$2:$G$1000,M276))))</f>
        <v/>
      </c>
      <c r="D276" s="56">
        <f>IF(OR(A276="",N276=""),"",P276+IF(E276="dias",MAX(0,A276-O276),IF(INDEX(Equipamentos!$D$2:$D$61,N276)=2,SUMIFS(Producao!$D:$D,Producao!$A:$A,"&gt;="&amp;O276,Producao!$A:$A,"&lt;"&amp;A276),IF(INDEX(Equipamentos!$D$2:$D$61,N276)=3,SUMIFS(Producao!$E:$E,Producao!$A:$A,"&gt;="&amp;O276,Producao!$A:$A,"&lt;"&amp;A276),SUMIFS(Producao!$B:$B,Producao!$A:$A,"&gt;="&amp;O276,Producao!$A:$A,"&lt;"&amp;A276)))))</f>
        <v/>
      </c>
      <c r="E276">
        <f>IF(N276="","",INDEX(Equipamentos!$C$2:$C$61,N276))</f>
        <v/>
      </c>
      <c r="F276" s="57">
        <f>IF(OR(D276="",N(Q276)&lt;=0),"",D276/Q276)</f>
        <v/>
      </c>
      <c r="G276" s="55" t="n"/>
      <c r="H276" s="58" t="n"/>
      <c r="I276" s="58" t="n"/>
      <c r="J276" s="55" t="n"/>
      <c r="K276" s="55" t="n"/>
      <c r="L276">
        <f>IF(OR(A276="",B276=""),"",_xlfn.MAXIFS(TrocasEquip!$A$2:$A$1000,TrocasEquip!$B$2:$B$1000,B276,TrocasEquip!$A$2:$A$1000,"&lt;"&amp;A276))</f>
        <v/>
      </c>
      <c r="M276">
        <f>IF(N(L276)=0,0,MATCH(1,INDEX((TrocasEquip!$B$2:$B$1000=B276)*(TrocasEquip!$A$2:$A$1000=L276),0),0))</f>
        <v/>
      </c>
      <c r="N276">
        <f>IF(B276="","",IFERROR(MATCH(B276,Equipamentos!$P$2:$P$61,0),""))</f>
        <v/>
      </c>
      <c r="O276">
        <f>IF(N276="","",IF(M276=0,INDEX(Equipamentos!$U$2:$U$61,N276),L276))</f>
        <v/>
      </c>
      <c r="P276">
        <f>IF(N276="","",IF(M276=0,N(INDEX(Equipamentos!$V$2:$V$61,N276)),N(INDEX(TrocasEquip!$I$2:$I$1000,M276))))</f>
        <v/>
      </c>
      <c r="Q276">
        <f>IF(N276="","",IF(M276=0,INDEX(Equipamentos!$T$2:$T$61,N276),IF(INDEX(TrocasEquip!$H$2:$H$1000,M276)="",INDEX(Equipamentos!$T$2:$T$61,N276),INDEX(TrocasEquip!$H$2:$H$1000,M276))))</f>
        <v/>
      </c>
    </row>
    <row r="277">
      <c r="A277" s="54" t="n"/>
      <c r="B277" s="55" t="n"/>
      <c r="C277">
        <f>IF(B277="","",IF(N277="","posição não encontrada",IF(M277=0,INDEX(Equipamentos!$S$2:$S$61,N277),INDEX(TrocasEquip!$G$2:$G$1000,M277))))</f>
        <v/>
      </c>
      <c r="D277" s="56">
        <f>IF(OR(A277="",N277=""),"",P277+IF(E277="dias",MAX(0,A277-O277),IF(INDEX(Equipamentos!$D$2:$D$61,N277)=2,SUMIFS(Producao!$D:$D,Producao!$A:$A,"&gt;="&amp;O277,Producao!$A:$A,"&lt;"&amp;A277),IF(INDEX(Equipamentos!$D$2:$D$61,N277)=3,SUMIFS(Producao!$E:$E,Producao!$A:$A,"&gt;="&amp;O277,Producao!$A:$A,"&lt;"&amp;A277),SUMIFS(Producao!$B:$B,Producao!$A:$A,"&gt;="&amp;O277,Producao!$A:$A,"&lt;"&amp;A277)))))</f>
        <v/>
      </c>
      <c r="E277">
        <f>IF(N277="","",INDEX(Equipamentos!$C$2:$C$61,N277))</f>
        <v/>
      </c>
      <c r="F277" s="57">
        <f>IF(OR(D277="",N(Q277)&lt;=0),"",D277/Q277)</f>
        <v/>
      </c>
      <c r="G277" s="55" t="n"/>
      <c r="H277" s="58" t="n"/>
      <c r="I277" s="58" t="n"/>
      <c r="J277" s="55" t="n"/>
      <c r="K277" s="55" t="n"/>
      <c r="L277">
        <f>IF(OR(A277="",B277=""),"",_xlfn.MAXIFS(TrocasEquip!$A$2:$A$1000,TrocasEquip!$B$2:$B$1000,B277,TrocasEquip!$A$2:$A$1000,"&lt;"&amp;A277))</f>
        <v/>
      </c>
      <c r="M277">
        <f>IF(N(L277)=0,0,MATCH(1,INDEX((TrocasEquip!$B$2:$B$1000=B277)*(TrocasEquip!$A$2:$A$1000=L277),0),0))</f>
        <v/>
      </c>
      <c r="N277">
        <f>IF(B277="","",IFERROR(MATCH(B277,Equipamentos!$P$2:$P$61,0),""))</f>
        <v/>
      </c>
      <c r="O277">
        <f>IF(N277="","",IF(M277=0,INDEX(Equipamentos!$U$2:$U$61,N277),L277))</f>
        <v/>
      </c>
      <c r="P277">
        <f>IF(N277="","",IF(M277=0,N(INDEX(Equipamentos!$V$2:$V$61,N277)),N(INDEX(TrocasEquip!$I$2:$I$1000,M277))))</f>
        <v/>
      </c>
      <c r="Q277">
        <f>IF(N277="","",IF(M277=0,INDEX(Equipamentos!$T$2:$T$61,N277),IF(INDEX(TrocasEquip!$H$2:$H$1000,M277)="",INDEX(Equipamentos!$T$2:$T$61,N277),INDEX(TrocasEquip!$H$2:$H$1000,M277))))</f>
        <v/>
      </c>
    </row>
    <row r="278">
      <c r="A278" s="54" t="n"/>
      <c r="B278" s="55" t="n"/>
      <c r="C278">
        <f>IF(B278="","",IF(N278="","posição não encontrada",IF(M278=0,INDEX(Equipamentos!$S$2:$S$61,N278),INDEX(TrocasEquip!$G$2:$G$1000,M278))))</f>
        <v/>
      </c>
      <c r="D278" s="56">
        <f>IF(OR(A278="",N278=""),"",P278+IF(E278="dias",MAX(0,A278-O278),IF(INDEX(Equipamentos!$D$2:$D$61,N278)=2,SUMIFS(Producao!$D:$D,Producao!$A:$A,"&gt;="&amp;O278,Producao!$A:$A,"&lt;"&amp;A278),IF(INDEX(Equipamentos!$D$2:$D$61,N278)=3,SUMIFS(Producao!$E:$E,Producao!$A:$A,"&gt;="&amp;O278,Producao!$A:$A,"&lt;"&amp;A278),SUMIFS(Producao!$B:$B,Producao!$A:$A,"&gt;="&amp;O278,Producao!$A:$A,"&lt;"&amp;A278)))))</f>
        <v/>
      </c>
      <c r="E278">
        <f>IF(N278="","",INDEX(Equipamentos!$C$2:$C$61,N278))</f>
        <v/>
      </c>
      <c r="F278" s="57">
        <f>IF(OR(D278="",N(Q278)&lt;=0),"",D278/Q278)</f>
        <v/>
      </c>
      <c r="G278" s="55" t="n"/>
      <c r="H278" s="58" t="n"/>
      <c r="I278" s="58" t="n"/>
      <c r="J278" s="55" t="n"/>
      <c r="K278" s="55" t="n"/>
      <c r="L278">
        <f>IF(OR(A278="",B278=""),"",_xlfn.MAXIFS(TrocasEquip!$A$2:$A$1000,TrocasEquip!$B$2:$B$1000,B278,TrocasEquip!$A$2:$A$1000,"&lt;"&amp;A278))</f>
        <v/>
      </c>
      <c r="M278">
        <f>IF(N(L278)=0,0,MATCH(1,INDEX((TrocasEquip!$B$2:$B$1000=B278)*(TrocasEquip!$A$2:$A$1000=L278),0),0))</f>
        <v/>
      </c>
      <c r="N278">
        <f>IF(B278="","",IFERROR(MATCH(B278,Equipamentos!$P$2:$P$61,0),""))</f>
        <v/>
      </c>
      <c r="O278">
        <f>IF(N278="","",IF(M278=0,INDEX(Equipamentos!$U$2:$U$61,N278),L278))</f>
        <v/>
      </c>
      <c r="P278">
        <f>IF(N278="","",IF(M278=0,N(INDEX(Equipamentos!$V$2:$V$61,N278)),N(INDEX(TrocasEquip!$I$2:$I$1000,M278))))</f>
        <v/>
      </c>
      <c r="Q278">
        <f>IF(N278="","",IF(M278=0,INDEX(Equipamentos!$T$2:$T$61,N278),IF(INDEX(TrocasEquip!$H$2:$H$1000,M278)="",INDEX(Equipamentos!$T$2:$T$61,N278),INDEX(TrocasEquip!$H$2:$H$1000,M278))))</f>
        <v/>
      </c>
    </row>
    <row r="279">
      <c r="A279" s="54" t="n"/>
      <c r="B279" s="55" t="n"/>
      <c r="C279">
        <f>IF(B279="","",IF(N279="","posição não encontrada",IF(M279=0,INDEX(Equipamentos!$S$2:$S$61,N279),INDEX(TrocasEquip!$G$2:$G$1000,M279))))</f>
        <v/>
      </c>
      <c r="D279" s="56">
        <f>IF(OR(A279="",N279=""),"",P279+IF(E279="dias",MAX(0,A279-O279),IF(INDEX(Equipamentos!$D$2:$D$61,N279)=2,SUMIFS(Producao!$D:$D,Producao!$A:$A,"&gt;="&amp;O279,Producao!$A:$A,"&lt;"&amp;A279),IF(INDEX(Equipamentos!$D$2:$D$61,N279)=3,SUMIFS(Producao!$E:$E,Producao!$A:$A,"&gt;="&amp;O279,Producao!$A:$A,"&lt;"&amp;A279),SUMIFS(Producao!$B:$B,Producao!$A:$A,"&gt;="&amp;O279,Producao!$A:$A,"&lt;"&amp;A279)))))</f>
        <v/>
      </c>
      <c r="E279">
        <f>IF(N279="","",INDEX(Equipamentos!$C$2:$C$61,N279))</f>
        <v/>
      </c>
      <c r="F279" s="57">
        <f>IF(OR(D279="",N(Q279)&lt;=0),"",D279/Q279)</f>
        <v/>
      </c>
      <c r="G279" s="55" t="n"/>
      <c r="H279" s="58" t="n"/>
      <c r="I279" s="58" t="n"/>
      <c r="J279" s="55" t="n"/>
      <c r="K279" s="55" t="n"/>
      <c r="L279">
        <f>IF(OR(A279="",B279=""),"",_xlfn.MAXIFS(TrocasEquip!$A$2:$A$1000,TrocasEquip!$B$2:$B$1000,B279,TrocasEquip!$A$2:$A$1000,"&lt;"&amp;A279))</f>
        <v/>
      </c>
      <c r="M279">
        <f>IF(N(L279)=0,0,MATCH(1,INDEX((TrocasEquip!$B$2:$B$1000=B279)*(TrocasEquip!$A$2:$A$1000=L279),0),0))</f>
        <v/>
      </c>
      <c r="N279">
        <f>IF(B279="","",IFERROR(MATCH(B279,Equipamentos!$P$2:$P$61,0),""))</f>
        <v/>
      </c>
      <c r="O279">
        <f>IF(N279="","",IF(M279=0,INDEX(Equipamentos!$U$2:$U$61,N279),L279))</f>
        <v/>
      </c>
      <c r="P279">
        <f>IF(N279="","",IF(M279=0,N(INDEX(Equipamentos!$V$2:$V$61,N279)),N(INDEX(TrocasEquip!$I$2:$I$1000,M279))))</f>
        <v/>
      </c>
      <c r="Q279">
        <f>IF(N279="","",IF(M279=0,INDEX(Equipamentos!$T$2:$T$61,N279),IF(INDEX(TrocasEquip!$H$2:$H$1000,M279)="",INDEX(Equipamentos!$T$2:$T$61,N279),INDEX(TrocasEquip!$H$2:$H$1000,M279))))</f>
        <v/>
      </c>
    </row>
    <row r="280">
      <c r="A280" s="54" t="n"/>
      <c r="B280" s="55" t="n"/>
      <c r="C280">
        <f>IF(B280="","",IF(N280="","posição não encontrada",IF(M280=0,INDEX(Equipamentos!$S$2:$S$61,N280),INDEX(TrocasEquip!$G$2:$G$1000,M280))))</f>
        <v/>
      </c>
      <c r="D280" s="56">
        <f>IF(OR(A280="",N280=""),"",P280+IF(E280="dias",MAX(0,A280-O280),IF(INDEX(Equipamentos!$D$2:$D$61,N280)=2,SUMIFS(Producao!$D:$D,Producao!$A:$A,"&gt;="&amp;O280,Producao!$A:$A,"&lt;"&amp;A280),IF(INDEX(Equipamentos!$D$2:$D$61,N280)=3,SUMIFS(Producao!$E:$E,Producao!$A:$A,"&gt;="&amp;O280,Producao!$A:$A,"&lt;"&amp;A280),SUMIFS(Producao!$B:$B,Producao!$A:$A,"&gt;="&amp;O280,Producao!$A:$A,"&lt;"&amp;A280)))))</f>
        <v/>
      </c>
      <c r="E280">
        <f>IF(N280="","",INDEX(Equipamentos!$C$2:$C$61,N280))</f>
        <v/>
      </c>
      <c r="F280" s="57">
        <f>IF(OR(D280="",N(Q280)&lt;=0),"",D280/Q280)</f>
        <v/>
      </c>
      <c r="G280" s="55" t="n"/>
      <c r="H280" s="58" t="n"/>
      <c r="I280" s="58" t="n"/>
      <c r="J280" s="55" t="n"/>
      <c r="K280" s="55" t="n"/>
      <c r="L280">
        <f>IF(OR(A280="",B280=""),"",_xlfn.MAXIFS(TrocasEquip!$A$2:$A$1000,TrocasEquip!$B$2:$B$1000,B280,TrocasEquip!$A$2:$A$1000,"&lt;"&amp;A280))</f>
        <v/>
      </c>
      <c r="M280">
        <f>IF(N(L280)=0,0,MATCH(1,INDEX((TrocasEquip!$B$2:$B$1000=B280)*(TrocasEquip!$A$2:$A$1000=L280),0),0))</f>
        <v/>
      </c>
      <c r="N280">
        <f>IF(B280="","",IFERROR(MATCH(B280,Equipamentos!$P$2:$P$61,0),""))</f>
        <v/>
      </c>
      <c r="O280">
        <f>IF(N280="","",IF(M280=0,INDEX(Equipamentos!$U$2:$U$61,N280),L280))</f>
        <v/>
      </c>
      <c r="P280">
        <f>IF(N280="","",IF(M280=0,N(INDEX(Equipamentos!$V$2:$V$61,N280)),N(INDEX(TrocasEquip!$I$2:$I$1000,M280))))</f>
        <v/>
      </c>
      <c r="Q280">
        <f>IF(N280="","",IF(M280=0,INDEX(Equipamentos!$T$2:$T$61,N280),IF(INDEX(TrocasEquip!$H$2:$H$1000,M280)="",INDEX(Equipamentos!$T$2:$T$61,N280),INDEX(TrocasEquip!$H$2:$H$1000,M280))))</f>
        <v/>
      </c>
    </row>
    <row r="281">
      <c r="A281" s="54" t="n"/>
      <c r="B281" s="55" t="n"/>
      <c r="C281">
        <f>IF(B281="","",IF(N281="","posição não encontrada",IF(M281=0,INDEX(Equipamentos!$S$2:$S$61,N281),INDEX(TrocasEquip!$G$2:$G$1000,M281))))</f>
        <v/>
      </c>
      <c r="D281" s="56">
        <f>IF(OR(A281="",N281=""),"",P281+IF(E281="dias",MAX(0,A281-O281),IF(INDEX(Equipamentos!$D$2:$D$61,N281)=2,SUMIFS(Producao!$D:$D,Producao!$A:$A,"&gt;="&amp;O281,Producao!$A:$A,"&lt;"&amp;A281),IF(INDEX(Equipamentos!$D$2:$D$61,N281)=3,SUMIFS(Producao!$E:$E,Producao!$A:$A,"&gt;="&amp;O281,Producao!$A:$A,"&lt;"&amp;A281),SUMIFS(Producao!$B:$B,Producao!$A:$A,"&gt;="&amp;O281,Producao!$A:$A,"&lt;"&amp;A281)))))</f>
        <v/>
      </c>
      <c r="E281">
        <f>IF(N281="","",INDEX(Equipamentos!$C$2:$C$61,N281))</f>
        <v/>
      </c>
      <c r="F281" s="57">
        <f>IF(OR(D281="",N(Q281)&lt;=0),"",D281/Q281)</f>
        <v/>
      </c>
      <c r="G281" s="55" t="n"/>
      <c r="H281" s="58" t="n"/>
      <c r="I281" s="58" t="n"/>
      <c r="J281" s="55" t="n"/>
      <c r="K281" s="55" t="n"/>
      <c r="L281">
        <f>IF(OR(A281="",B281=""),"",_xlfn.MAXIFS(TrocasEquip!$A$2:$A$1000,TrocasEquip!$B$2:$B$1000,B281,TrocasEquip!$A$2:$A$1000,"&lt;"&amp;A281))</f>
        <v/>
      </c>
      <c r="M281">
        <f>IF(N(L281)=0,0,MATCH(1,INDEX((TrocasEquip!$B$2:$B$1000=B281)*(TrocasEquip!$A$2:$A$1000=L281),0),0))</f>
        <v/>
      </c>
      <c r="N281">
        <f>IF(B281="","",IFERROR(MATCH(B281,Equipamentos!$P$2:$P$61,0),""))</f>
        <v/>
      </c>
      <c r="O281">
        <f>IF(N281="","",IF(M281=0,INDEX(Equipamentos!$U$2:$U$61,N281),L281))</f>
        <v/>
      </c>
      <c r="P281">
        <f>IF(N281="","",IF(M281=0,N(INDEX(Equipamentos!$V$2:$V$61,N281)),N(INDEX(TrocasEquip!$I$2:$I$1000,M281))))</f>
        <v/>
      </c>
      <c r="Q281">
        <f>IF(N281="","",IF(M281=0,INDEX(Equipamentos!$T$2:$T$61,N281),IF(INDEX(TrocasEquip!$H$2:$H$1000,M281)="",INDEX(Equipamentos!$T$2:$T$61,N281),INDEX(TrocasEquip!$H$2:$H$1000,M281))))</f>
        <v/>
      </c>
    </row>
    <row r="282">
      <c r="A282" s="54" t="n"/>
      <c r="B282" s="55" t="n"/>
      <c r="C282">
        <f>IF(B282="","",IF(N282="","posição não encontrada",IF(M282=0,INDEX(Equipamentos!$S$2:$S$61,N282),INDEX(TrocasEquip!$G$2:$G$1000,M282))))</f>
        <v/>
      </c>
      <c r="D282" s="56">
        <f>IF(OR(A282="",N282=""),"",P282+IF(E282="dias",MAX(0,A282-O282),IF(INDEX(Equipamentos!$D$2:$D$61,N282)=2,SUMIFS(Producao!$D:$D,Producao!$A:$A,"&gt;="&amp;O282,Producao!$A:$A,"&lt;"&amp;A282),IF(INDEX(Equipamentos!$D$2:$D$61,N282)=3,SUMIFS(Producao!$E:$E,Producao!$A:$A,"&gt;="&amp;O282,Producao!$A:$A,"&lt;"&amp;A282),SUMIFS(Producao!$B:$B,Producao!$A:$A,"&gt;="&amp;O282,Producao!$A:$A,"&lt;"&amp;A282)))))</f>
        <v/>
      </c>
      <c r="E282">
        <f>IF(N282="","",INDEX(Equipamentos!$C$2:$C$61,N282))</f>
        <v/>
      </c>
      <c r="F282" s="57">
        <f>IF(OR(D282="",N(Q282)&lt;=0),"",D282/Q282)</f>
        <v/>
      </c>
      <c r="G282" s="55" t="n"/>
      <c r="H282" s="58" t="n"/>
      <c r="I282" s="58" t="n"/>
      <c r="J282" s="55" t="n"/>
      <c r="K282" s="55" t="n"/>
      <c r="L282">
        <f>IF(OR(A282="",B282=""),"",_xlfn.MAXIFS(TrocasEquip!$A$2:$A$1000,TrocasEquip!$B$2:$B$1000,B282,TrocasEquip!$A$2:$A$1000,"&lt;"&amp;A282))</f>
        <v/>
      </c>
      <c r="M282">
        <f>IF(N(L282)=0,0,MATCH(1,INDEX((TrocasEquip!$B$2:$B$1000=B282)*(TrocasEquip!$A$2:$A$1000=L282),0),0))</f>
        <v/>
      </c>
      <c r="N282">
        <f>IF(B282="","",IFERROR(MATCH(B282,Equipamentos!$P$2:$P$61,0),""))</f>
        <v/>
      </c>
      <c r="O282">
        <f>IF(N282="","",IF(M282=0,INDEX(Equipamentos!$U$2:$U$61,N282),L282))</f>
        <v/>
      </c>
      <c r="P282">
        <f>IF(N282="","",IF(M282=0,N(INDEX(Equipamentos!$V$2:$V$61,N282)),N(INDEX(TrocasEquip!$I$2:$I$1000,M282))))</f>
        <v/>
      </c>
      <c r="Q282">
        <f>IF(N282="","",IF(M282=0,INDEX(Equipamentos!$T$2:$T$61,N282),IF(INDEX(TrocasEquip!$H$2:$H$1000,M282)="",INDEX(Equipamentos!$T$2:$T$61,N282),INDEX(TrocasEquip!$H$2:$H$1000,M282))))</f>
        <v/>
      </c>
    </row>
    <row r="283">
      <c r="A283" s="54" t="n"/>
      <c r="B283" s="55" t="n"/>
      <c r="C283">
        <f>IF(B283="","",IF(N283="","posição não encontrada",IF(M283=0,INDEX(Equipamentos!$S$2:$S$61,N283),INDEX(TrocasEquip!$G$2:$G$1000,M283))))</f>
        <v/>
      </c>
      <c r="D283" s="56">
        <f>IF(OR(A283="",N283=""),"",P283+IF(E283="dias",MAX(0,A283-O283),IF(INDEX(Equipamentos!$D$2:$D$61,N283)=2,SUMIFS(Producao!$D:$D,Producao!$A:$A,"&gt;="&amp;O283,Producao!$A:$A,"&lt;"&amp;A283),IF(INDEX(Equipamentos!$D$2:$D$61,N283)=3,SUMIFS(Producao!$E:$E,Producao!$A:$A,"&gt;="&amp;O283,Producao!$A:$A,"&lt;"&amp;A283),SUMIFS(Producao!$B:$B,Producao!$A:$A,"&gt;="&amp;O283,Producao!$A:$A,"&lt;"&amp;A283)))))</f>
        <v/>
      </c>
      <c r="E283">
        <f>IF(N283="","",INDEX(Equipamentos!$C$2:$C$61,N283))</f>
        <v/>
      </c>
      <c r="F283" s="57">
        <f>IF(OR(D283="",N(Q283)&lt;=0),"",D283/Q283)</f>
        <v/>
      </c>
      <c r="G283" s="55" t="n"/>
      <c r="H283" s="58" t="n"/>
      <c r="I283" s="58" t="n"/>
      <c r="J283" s="55" t="n"/>
      <c r="K283" s="55" t="n"/>
      <c r="L283">
        <f>IF(OR(A283="",B283=""),"",_xlfn.MAXIFS(TrocasEquip!$A$2:$A$1000,TrocasEquip!$B$2:$B$1000,B283,TrocasEquip!$A$2:$A$1000,"&lt;"&amp;A283))</f>
        <v/>
      </c>
      <c r="M283">
        <f>IF(N(L283)=0,0,MATCH(1,INDEX((TrocasEquip!$B$2:$B$1000=B283)*(TrocasEquip!$A$2:$A$1000=L283),0),0))</f>
        <v/>
      </c>
      <c r="N283">
        <f>IF(B283="","",IFERROR(MATCH(B283,Equipamentos!$P$2:$P$61,0),""))</f>
        <v/>
      </c>
      <c r="O283">
        <f>IF(N283="","",IF(M283=0,INDEX(Equipamentos!$U$2:$U$61,N283),L283))</f>
        <v/>
      </c>
      <c r="P283">
        <f>IF(N283="","",IF(M283=0,N(INDEX(Equipamentos!$V$2:$V$61,N283)),N(INDEX(TrocasEquip!$I$2:$I$1000,M283))))</f>
        <v/>
      </c>
      <c r="Q283">
        <f>IF(N283="","",IF(M283=0,INDEX(Equipamentos!$T$2:$T$61,N283),IF(INDEX(TrocasEquip!$H$2:$H$1000,M283)="",INDEX(Equipamentos!$T$2:$T$61,N283),INDEX(TrocasEquip!$H$2:$H$1000,M283))))</f>
        <v/>
      </c>
    </row>
    <row r="284">
      <c r="A284" s="54" t="n"/>
      <c r="B284" s="55" t="n"/>
      <c r="C284">
        <f>IF(B284="","",IF(N284="","posição não encontrada",IF(M284=0,INDEX(Equipamentos!$S$2:$S$61,N284),INDEX(TrocasEquip!$G$2:$G$1000,M284))))</f>
        <v/>
      </c>
      <c r="D284" s="56">
        <f>IF(OR(A284="",N284=""),"",P284+IF(E284="dias",MAX(0,A284-O284),IF(INDEX(Equipamentos!$D$2:$D$61,N284)=2,SUMIFS(Producao!$D:$D,Producao!$A:$A,"&gt;="&amp;O284,Producao!$A:$A,"&lt;"&amp;A284),IF(INDEX(Equipamentos!$D$2:$D$61,N284)=3,SUMIFS(Producao!$E:$E,Producao!$A:$A,"&gt;="&amp;O284,Producao!$A:$A,"&lt;"&amp;A284),SUMIFS(Producao!$B:$B,Producao!$A:$A,"&gt;="&amp;O284,Producao!$A:$A,"&lt;"&amp;A284)))))</f>
        <v/>
      </c>
      <c r="E284">
        <f>IF(N284="","",INDEX(Equipamentos!$C$2:$C$61,N284))</f>
        <v/>
      </c>
      <c r="F284" s="57">
        <f>IF(OR(D284="",N(Q284)&lt;=0),"",D284/Q284)</f>
        <v/>
      </c>
      <c r="G284" s="55" t="n"/>
      <c r="H284" s="58" t="n"/>
      <c r="I284" s="58" t="n"/>
      <c r="J284" s="55" t="n"/>
      <c r="K284" s="55" t="n"/>
      <c r="L284">
        <f>IF(OR(A284="",B284=""),"",_xlfn.MAXIFS(TrocasEquip!$A$2:$A$1000,TrocasEquip!$B$2:$B$1000,B284,TrocasEquip!$A$2:$A$1000,"&lt;"&amp;A284))</f>
        <v/>
      </c>
      <c r="M284">
        <f>IF(N(L284)=0,0,MATCH(1,INDEX((TrocasEquip!$B$2:$B$1000=B284)*(TrocasEquip!$A$2:$A$1000=L284),0),0))</f>
        <v/>
      </c>
      <c r="N284">
        <f>IF(B284="","",IFERROR(MATCH(B284,Equipamentos!$P$2:$P$61,0),""))</f>
        <v/>
      </c>
      <c r="O284">
        <f>IF(N284="","",IF(M284=0,INDEX(Equipamentos!$U$2:$U$61,N284),L284))</f>
        <v/>
      </c>
      <c r="P284">
        <f>IF(N284="","",IF(M284=0,N(INDEX(Equipamentos!$V$2:$V$61,N284)),N(INDEX(TrocasEquip!$I$2:$I$1000,M284))))</f>
        <v/>
      </c>
      <c r="Q284">
        <f>IF(N284="","",IF(M284=0,INDEX(Equipamentos!$T$2:$T$61,N284),IF(INDEX(TrocasEquip!$H$2:$H$1000,M284)="",INDEX(Equipamentos!$T$2:$T$61,N284),INDEX(TrocasEquip!$H$2:$H$1000,M284))))</f>
        <v/>
      </c>
    </row>
    <row r="285">
      <c r="A285" s="54" t="n"/>
      <c r="B285" s="55" t="n"/>
      <c r="C285">
        <f>IF(B285="","",IF(N285="","posição não encontrada",IF(M285=0,INDEX(Equipamentos!$S$2:$S$61,N285),INDEX(TrocasEquip!$G$2:$G$1000,M285))))</f>
        <v/>
      </c>
      <c r="D285" s="56">
        <f>IF(OR(A285="",N285=""),"",P285+IF(E285="dias",MAX(0,A285-O285),IF(INDEX(Equipamentos!$D$2:$D$61,N285)=2,SUMIFS(Producao!$D:$D,Producao!$A:$A,"&gt;="&amp;O285,Producao!$A:$A,"&lt;"&amp;A285),IF(INDEX(Equipamentos!$D$2:$D$61,N285)=3,SUMIFS(Producao!$E:$E,Producao!$A:$A,"&gt;="&amp;O285,Producao!$A:$A,"&lt;"&amp;A285),SUMIFS(Producao!$B:$B,Producao!$A:$A,"&gt;="&amp;O285,Producao!$A:$A,"&lt;"&amp;A285)))))</f>
        <v/>
      </c>
      <c r="E285">
        <f>IF(N285="","",INDEX(Equipamentos!$C$2:$C$61,N285))</f>
        <v/>
      </c>
      <c r="F285" s="57">
        <f>IF(OR(D285="",N(Q285)&lt;=0),"",D285/Q285)</f>
        <v/>
      </c>
      <c r="G285" s="55" t="n"/>
      <c r="H285" s="58" t="n"/>
      <c r="I285" s="58" t="n"/>
      <c r="J285" s="55" t="n"/>
      <c r="K285" s="55" t="n"/>
      <c r="L285">
        <f>IF(OR(A285="",B285=""),"",_xlfn.MAXIFS(TrocasEquip!$A$2:$A$1000,TrocasEquip!$B$2:$B$1000,B285,TrocasEquip!$A$2:$A$1000,"&lt;"&amp;A285))</f>
        <v/>
      </c>
      <c r="M285">
        <f>IF(N(L285)=0,0,MATCH(1,INDEX((TrocasEquip!$B$2:$B$1000=B285)*(TrocasEquip!$A$2:$A$1000=L285),0),0))</f>
        <v/>
      </c>
      <c r="N285">
        <f>IF(B285="","",IFERROR(MATCH(B285,Equipamentos!$P$2:$P$61,0),""))</f>
        <v/>
      </c>
      <c r="O285">
        <f>IF(N285="","",IF(M285=0,INDEX(Equipamentos!$U$2:$U$61,N285),L285))</f>
        <v/>
      </c>
      <c r="P285">
        <f>IF(N285="","",IF(M285=0,N(INDEX(Equipamentos!$V$2:$V$61,N285)),N(INDEX(TrocasEquip!$I$2:$I$1000,M285))))</f>
        <v/>
      </c>
      <c r="Q285">
        <f>IF(N285="","",IF(M285=0,INDEX(Equipamentos!$T$2:$T$61,N285),IF(INDEX(TrocasEquip!$H$2:$H$1000,M285)="",INDEX(Equipamentos!$T$2:$T$61,N285),INDEX(TrocasEquip!$H$2:$H$1000,M285))))</f>
        <v/>
      </c>
    </row>
    <row r="286">
      <c r="A286" s="54" t="n"/>
      <c r="B286" s="55" t="n"/>
      <c r="C286">
        <f>IF(B286="","",IF(N286="","posição não encontrada",IF(M286=0,INDEX(Equipamentos!$S$2:$S$61,N286),INDEX(TrocasEquip!$G$2:$G$1000,M286))))</f>
        <v/>
      </c>
      <c r="D286" s="56">
        <f>IF(OR(A286="",N286=""),"",P286+IF(E286="dias",MAX(0,A286-O286),IF(INDEX(Equipamentos!$D$2:$D$61,N286)=2,SUMIFS(Producao!$D:$D,Producao!$A:$A,"&gt;="&amp;O286,Producao!$A:$A,"&lt;"&amp;A286),IF(INDEX(Equipamentos!$D$2:$D$61,N286)=3,SUMIFS(Producao!$E:$E,Producao!$A:$A,"&gt;="&amp;O286,Producao!$A:$A,"&lt;"&amp;A286),SUMIFS(Producao!$B:$B,Producao!$A:$A,"&gt;="&amp;O286,Producao!$A:$A,"&lt;"&amp;A286)))))</f>
        <v/>
      </c>
      <c r="E286">
        <f>IF(N286="","",INDEX(Equipamentos!$C$2:$C$61,N286))</f>
        <v/>
      </c>
      <c r="F286" s="57">
        <f>IF(OR(D286="",N(Q286)&lt;=0),"",D286/Q286)</f>
        <v/>
      </c>
      <c r="G286" s="55" t="n"/>
      <c r="H286" s="58" t="n"/>
      <c r="I286" s="58" t="n"/>
      <c r="J286" s="55" t="n"/>
      <c r="K286" s="55" t="n"/>
      <c r="L286">
        <f>IF(OR(A286="",B286=""),"",_xlfn.MAXIFS(TrocasEquip!$A$2:$A$1000,TrocasEquip!$B$2:$B$1000,B286,TrocasEquip!$A$2:$A$1000,"&lt;"&amp;A286))</f>
        <v/>
      </c>
      <c r="M286">
        <f>IF(N(L286)=0,0,MATCH(1,INDEX((TrocasEquip!$B$2:$B$1000=B286)*(TrocasEquip!$A$2:$A$1000=L286),0),0))</f>
        <v/>
      </c>
      <c r="N286">
        <f>IF(B286="","",IFERROR(MATCH(B286,Equipamentos!$P$2:$P$61,0),""))</f>
        <v/>
      </c>
      <c r="O286">
        <f>IF(N286="","",IF(M286=0,INDEX(Equipamentos!$U$2:$U$61,N286),L286))</f>
        <v/>
      </c>
      <c r="P286">
        <f>IF(N286="","",IF(M286=0,N(INDEX(Equipamentos!$V$2:$V$61,N286)),N(INDEX(TrocasEquip!$I$2:$I$1000,M286))))</f>
        <v/>
      </c>
      <c r="Q286">
        <f>IF(N286="","",IF(M286=0,INDEX(Equipamentos!$T$2:$T$61,N286),IF(INDEX(TrocasEquip!$H$2:$H$1000,M286)="",INDEX(Equipamentos!$T$2:$T$61,N286),INDEX(TrocasEquip!$H$2:$H$1000,M286))))</f>
        <v/>
      </c>
    </row>
    <row r="287">
      <c r="A287" s="54" t="n"/>
      <c r="B287" s="55" t="n"/>
      <c r="C287">
        <f>IF(B287="","",IF(N287="","posição não encontrada",IF(M287=0,INDEX(Equipamentos!$S$2:$S$61,N287),INDEX(TrocasEquip!$G$2:$G$1000,M287))))</f>
        <v/>
      </c>
      <c r="D287" s="56">
        <f>IF(OR(A287="",N287=""),"",P287+IF(E287="dias",MAX(0,A287-O287),IF(INDEX(Equipamentos!$D$2:$D$61,N287)=2,SUMIFS(Producao!$D:$D,Producao!$A:$A,"&gt;="&amp;O287,Producao!$A:$A,"&lt;"&amp;A287),IF(INDEX(Equipamentos!$D$2:$D$61,N287)=3,SUMIFS(Producao!$E:$E,Producao!$A:$A,"&gt;="&amp;O287,Producao!$A:$A,"&lt;"&amp;A287),SUMIFS(Producao!$B:$B,Producao!$A:$A,"&gt;="&amp;O287,Producao!$A:$A,"&lt;"&amp;A287)))))</f>
        <v/>
      </c>
      <c r="E287">
        <f>IF(N287="","",INDEX(Equipamentos!$C$2:$C$61,N287))</f>
        <v/>
      </c>
      <c r="F287" s="57">
        <f>IF(OR(D287="",N(Q287)&lt;=0),"",D287/Q287)</f>
        <v/>
      </c>
      <c r="G287" s="55" t="n"/>
      <c r="H287" s="58" t="n"/>
      <c r="I287" s="58" t="n"/>
      <c r="J287" s="55" t="n"/>
      <c r="K287" s="55" t="n"/>
      <c r="L287">
        <f>IF(OR(A287="",B287=""),"",_xlfn.MAXIFS(TrocasEquip!$A$2:$A$1000,TrocasEquip!$B$2:$B$1000,B287,TrocasEquip!$A$2:$A$1000,"&lt;"&amp;A287))</f>
        <v/>
      </c>
      <c r="M287">
        <f>IF(N(L287)=0,0,MATCH(1,INDEX((TrocasEquip!$B$2:$B$1000=B287)*(TrocasEquip!$A$2:$A$1000=L287),0),0))</f>
        <v/>
      </c>
      <c r="N287">
        <f>IF(B287="","",IFERROR(MATCH(B287,Equipamentos!$P$2:$P$61,0),""))</f>
        <v/>
      </c>
      <c r="O287">
        <f>IF(N287="","",IF(M287=0,INDEX(Equipamentos!$U$2:$U$61,N287),L287))</f>
        <v/>
      </c>
      <c r="P287">
        <f>IF(N287="","",IF(M287=0,N(INDEX(Equipamentos!$V$2:$V$61,N287)),N(INDEX(TrocasEquip!$I$2:$I$1000,M287))))</f>
        <v/>
      </c>
      <c r="Q287">
        <f>IF(N287="","",IF(M287=0,INDEX(Equipamentos!$T$2:$T$61,N287),IF(INDEX(TrocasEquip!$H$2:$H$1000,M287)="",INDEX(Equipamentos!$T$2:$T$61,N287),INDEX(TrocasEquip!$H$2:$H$1000,M287))))</f>
        <v/>
      </c>
    </row>
    <row r="288">
      <c r="A288" s="54" t="n"/>
      <c r="B288" s="55" t="n"/>
      <c r="C288">
        <f>IF(B288="","",IF(N288="","posição não encontrada",IF(M288=0,INDEX(Equipamentos!$S$2:$S$61,N288),INDEX(TrocasEquip!$G$2:$G$1000,M288))))</f>
        <v/>
      </c>
      <c r="D288" s="56">
        <f>IF(OR(A288="",N288=""),"",P288+IF(E288="dias",MAX(0,A288-O288),IF(INDEX(Equipamentos!$D$2:$D$61,N288)=2,SUMIFS(Producao!$D:$D,Producao!$A:$A,"&gt;="&amp;O288,Producao!$A:$A,"&lt;"&amp;A288),IF(INDEX(Equipamentos!$D$2:$D$61,N288)=3,SUMIFS(Producao!$E:$E,Producao!$A:$A,"&gt;="&amp;O288,Producao!$A:$A,"&lt;"&amp;A288),SUMIFS(Producao!$B:$B,Producao!$A:$A,"&gt;="&amp;O288,Producao!$A:$A,"&lt;"&amp;A288)))))</f>
        <v/>
      </c>
      <c r="E288">
        <f>IF(N288="","",INDEX(Equipamentos!$C$2:$C$61,N288))</f>
        <v/>
      </c>
      <c r="F288" s="57">
        <f>IF(OR(D288="",N(Q288)&lt;=0),"",D288/Q288)</f>
        <v/>
      </c>
      <c r="G288" s="55" t="n"/>
      <c r="H288" s="58" t="n"/>
      <c r="I288" s="58" t="n"/>
      <c r="J288" s="55" t="n"/>
      <c r="K288" s="55" t="n"/>
      <c r="L288">
        <f>IF(OR(A288="",B288=""),"",_xlfn.MAXIFS(TrocasEquip!$A$2:$A$1000,TrocasEquip!$B$2:$B$1000,B288,TrocasEquip!$A$2:$A$1000,"&lt;"&amp;A288))</f>
        <v/>
      </c>
      <c r="M288">
        <f>IF(N(L288)=0,0,MATCH(1,INDEX((TrocasEquip!$B$2:$B$1000=B288)*(TrocasEquip!$A$2:$A$1000=L288),0),0))</f>
        <v/>
      </c>
      <c r="N288">
        <f>IF(B288="","",IFERROR(MATCH(B288,Equipamentos!$P$2:$P$61,0),""))</f>
        <v/>
      </c>
      <c r="O288">
        <f>IF(N288="","",IF(M288=0,INDEX(Equipamentos!$U$2:$U$61,N288),L288))</f>
        <v/>
      </c>
      <c r="P288">
        <f>IF(N288="","",IF(M288=0,N(INDEX(Equipamentos!$V$2:$V$61,N288)),N(INDEX(TrocasEquip!$I$2:$I$1000,M288))))</f>
        <v/>
      </c>
      <c r="Q288">
        <f>IF(N288="","",IF(M288=0,INDEX(Equipamentos!$T$2:$T$61,N288),IF(INDEX(TrocasEquip!$H$2:$H$1000,M288)="",INDEX(Equipamentos!$T$2:$T$61,N288),INDEX(TrocasEquip!$H$2:$H$1000,M288))))</f>
        <v/>
      </c>
    </row>
    <row r="289">
      <c r="A289" s="54" t="n"/>
      <c r="B289" s="55" t="n"/>
      <c r="C289">
        <f>IF(B289="","",IF(N289="","posição não encontrada",IF(M289=0,INDEX(Equipamentos!$S$2:$S$61,N289),INDEX(TrocasEquip!$G$2:$G$1000,M289))))</f>
        <v/>
      </c>
      <c r="D289" s="56">
        <f>IF(OR(A289="",N289=""),"",P289+IF(E289="dias",MAX(0,A289-O289),IF(INDEX(Equipamentos!$D$2:$D$61,N289)=2,SUMIFS(Producao!$D:$D,Producao!$A:$A,"&gt;="&amp;O289,Producao!$A:$A,"&lt;"&amp;A289),IF(INDEX(Equipamentos!$D$2:$D$61,N289)=3,SUMIFS(Producao!$E:$E,Producao!$A:$A,"&gt;="&amp;O289,Producao!$A:$A,"&lt;"&amp;A289),SUMIFS(Producao!$B:$B,Producao!$A:$A,"&gt;="&amp;O289,Producao!$A:$A,"&lt;"&amp;A289)))))</f>
        <v/>
      </c>
      <c r="E289">
        <f>IF(N289="","",INDEX(Equipamentos!$C$2:$C$61,N289))</f>
        <v/>
      </c>
      <c r="F289" s="57">
        <f>IF(OR(D289="",N(Q289)&lt;=0),"",D289/Q289)</f>
        <v/>
      </c>
      <c r="G289" s="55" t="n"/>
      <c r="H289" s="58" t="n"/>
      <c r="I289" s="58" t="n"/>
      <c r="J289" s="55" t="n"/>
      <c r="K289" s="55" t="n"/>
      <c r="L289">
        <f>IF(OR(A289="",B289=""),"",_xlfn.MAXIFS(TrocasEquip!$A$2:$A$1000,TrocasEquip!$B$2:$B$1000,B289,TrocasEquip!$A$2:$A$1000,"&lt;"&amp;A289))</f>
        <v/>
      </c>
      <c r="M289">
        <f>IF(N(L289)=0,0,MATCH(1,INDEX((TrocasEquip!$B$2:$B$1000=B289)*(TrocasEquip!$A$2:$A$1000=L289),0),0))</f>
        <v/>
      </c>
      <c r="N289">
        <f>IF(B289="","",IFERROR(MATCH(B289,Equipamentos!$P$2:$P$61,0),""))</f>
        <v/>
      </c>
      <c r="O289">
        <f>IF(N289="","",IF(M289=0,INDEX(Equipamentos!$U$2:$U$61,N289),L289))</f>
        <v/>
      </c>
      <c r="P289">
        <f>IF(N289="","",IF(M289=0,N(INDEX(Equipamentos!$V$2:$V$61,N289)),N(INDEX(TrocasEquip!$I$2:$I$1000,M289))))</f>
        <v/>
      </c>
      <c r="Q289">
        <f>IF(N289="","",IF(M289=0,INDEX(Equipamentos!$T$2:$T$61,N289),IF(INDEX(TrocasEquip!$H$2:$H$1000,M289)="",INDEX(Equipamentos!$T$2:$T$61,N289),INDEX(TrocasEquip!$H$2:$H$1000,M289))))</f>
        <v/>
      </c>
    </row>
    <row r="290">
      <c r="A290" s="54" t="n"/>
      <c r="B290" s="55" t="n"/>
      <c r="C290">
        <f>IF(B290="","",IF(N290="","posição não encontrada",IF(M290=0,INDEX(Equipamentos!$S$2:$S$61,N290),INDEX(TrocasEquip!$G$2:$G$1000,M290))))</f>
        <v/>
      </c>
      <c r="D290" s="56">
        <f>IF(OR(A290="",N290=""),"",P290+IF(E290="dias",MAX(0,A290-O290),IF(INDEX(Equipamentos!$D$2:$D$61,N290)=2,SUMIFS(Producao!$D:$D,Producao!$A:$A,"&gt;="&amp;O290,Producao!$A:$A,"&lt;"&amp;A290),IF(INDEX(Equipamentos!$D$2:$D$61,N290)=3,SUMIFS(Producao!$E:$E,Producao!$A:$A,"&gt;="&amp;O290,Producao!$A:$A,"&lt;"&amp;A290),SUMIFS(Producao!$B:$B,Producao!$A:$A,"&gt;="&amp;O290,Producao!$A:$A,"&lt;"&amp;A290)))))</f>
        <v/>
      </c>
      <c r="E290">
        <f>IF(N290="","",INDEX(Equipamentos!$C$2:$C$61,N290))</f>
        <v/>
      </c>
      <c r="F290" s="57">
        <f>IF(OR(D290="",N(Q290)&lt;=0),"",D290/Q290)</f>
        <v/>
      </c>
      <c r="G290" s="55" t="n"/>
      <c r="H290" s="58" t="n"/>
      <c r="I290" s="58" t="n"/>
      <c r="J290" s="55" t="n"/>
      <c r="K290" s="55" t="n"/>
      <c r="L290">
        <f>IF(OR(A290="",B290=""),"",_xlfn.MAXIFS(TrocasEquip!$A$2:$A$1000,TrocasEquip!$B$2:$B$1000,B290,TrocasEquip!$A$2:$A$1000,"&lt;"&amp;A290))</f>
        <v/>
      </c>
      <c r="M290">
        <f>IF(N(L290)=0,0,MATCH(1,INDEX((TrocasEquip!$B$2:$B$1000=B290)*(TrocasEquip!$A$2:$A$1000=L290),0),0))</f>
        <v/>
      </c>
      <c r="N290">
        <f>IF(B290="","",IFERROR(MATCH(B290,Equipamentos!$P$2:$P$61,0),""))</f>
        <v/>
      </c>
      <c r="O290">
        <f>IF(N290="","",IF(M290=0,INDEX(Equipamentos!$U$2:$U$61,N290),L290))</f>
        <v/>
      </c>
      <c r="P290">
        <f>IF(N290="","",IF(M290=0,N(INDEX(Equipamentos!$V$2:$V$61,N290)),N(INDEX(TrocasEquip!$I$2:$I$1000,M290))))</f>
        <v/>
      </c>
      <c r="Q290">
        <f>IF(N290="","",IF(M290=0,INDEX(Equipamentos!$T$2:$T$61,N290),IF(INDEX(TrocasEquip!$H$2:$H$1000,M290)="",INDEX(Equipamentos!$T$2:$T$61,N290),INDEX(TrocasEquip!$H$2:$H$1000,M290))))</f>
        <v/>
      </c>
    </row>
    <row r="291">
      <c r="A291" s="54" t="n"/>
      <c r="B291" s="55" t="n"/>
      <c r="C291">
        <f>IF(B291="","",IF(N291="","posição não encontrada",IF(M291=0,INDEX(Equipamentos!$S$2:$S$61,N291),INDEX(TrocasEquip!$G$2:$G$1000,M291))))</f>
        <v/>
      </c>
      <c r="D291" s="56">
        <f>IF(OR(A291="",N291=""),"",P291+IF(E291="dias",MAX(0,A291-O291),IF(INDEX(Equipamentos!$D$2:$D$61,N291)=2,SUMIFS(Producao!$D:$D,Producao!$A:$A,"&gt;="&amp;O291,Producao!$A:$A,"&lt;"&amp;A291),IF(INDEX(Equipamentos!$D$2:$D$61,N291)=3,SUMIFS(Producao!$E:$E,Producao!$A:$A,"&gt;="&amp;O291,Producao!$A:$A,"&lt;"&amp;A291),SUMIFS(Producao!$B:$B,Producao!$A:$A,"&gt;="&amp;O291,Producao!$A:$A,"&lt;"&amp;A291)))))</f>
        <v/>
      </c>
      <c r="E291">
        <f>IF(N291="","",INDEX(Equipamentos!$C$2:$C$61,N291))</f>
        <v/>
      </c>
      <c r="F291" s="57">
        <f>IF(OR(D291="",N(Q291)&lt;=0),"",D291/Q291)</f>
        <v/>
      </c>
      <c r="G291" s="55" t="n"/>
      <c r="H291" s="58" t="n"/>
      <c r="I291" s="58" t="n"/>
      <c r="J291" s="55" t="n"/>
      <c r="K291" s="55" t="n"/>
      <c r="L291">
        <f>IF(OR(A291="",B291=""),"",_xlfn.MAXIFS(TrocasEquip!$A$2:$A$1000,TrocasEquip!$B$2:$B$1000,B291,TrocasEquip!$A$2:$A$1000,"&lt;"&amp;A291))</f>
        <v/>
      </c>
      <c r="M291">
        <f>IF(N(L291)=0,0,MATCH(1,INDEX((TrocasEquip!$B$2:$B$1000=B291)*(TrocasEquip!$A$2:$A$1000=L291),0),0))</f>
        <v/>
      </c>
      <c r="N291">
        <f>IF(B291="","",IFERROR(MATCH(B291,Equipamentos!$P$2:$P$61,0),""))</f>
        <v/>
      </c>
      <c r="O291">
        <f>IF(N291="","",IF(M291=0,INDEX(Equipamentos!$U$2:$U$61,N291),L291))</f>
        <v/>
      </c>
      <c r="P291">
        <f>IF(N291="","",IF(M291=0,N(INDEX(Equipamentos!$V$2:$V$61,N291)),N(INDEX(TrocasEquip!$I$2:$I$1000,M291))))</f>
        <v/>
      </c>
      <c r="Q291">
        <f>IF(N291="","",IF(M291=0,INDEX(Equipamentos!$T$2:$T$61,N291),IF(INDEX(TrocasEquip!$H$2:$H$1000,M291)="",INDEX(Equipamentos!$T$2:$T$61,N291),INDEX(TrocasEquip!$H$2:$H$1000,M291))))</f>
        <v/>
      </c>
    </row>
    <row r="292">
      <c r="A292" s="54" t="n"/>
      <c r="B292" s="55" t="n"/>
      <c r="C292">
        <f>IF(B292="","",IF(N292="","posição não encontrada",IF(M292=0,INDEX(Equipamentos!$S$2:$S$61,N292),INDEX(TrocasEquip!$G$2:$G$1000,M292))))</f>
        <v/>
      </c>
      <c r="D292" s="56">
        <f>IF(OR(A292="",N292=""),"",P292+IF(E292="dias",MAX(0,A292-O292),IF(INDEX(Equipamentos!$D$2:$D$61,N292)=2,SUMIFS(Producao!$D:$D,Producao!$A:$A,"&gt;="&amp;O292,Producao!$A:$A,"&lt;"&amp;A292),IF(INDEX(Equipamentos!$D$2:$D$61,N292)=3,SUMIFS(Producao!$E:$E,Producao!$A:$A,"&gt;="&amp;O292,Producao!$A:$A,"&lt;"&amp;A292),SUMIFS(Producao!$B:$B,Producao!$A:$A,"&gt;="&amp;O292,Producao!$A:$A,"&lt;"&amp;A292)))))</f>
        <v/>
      </c>
      <c r="E292">
        <f>IF(N292="","",INDEX(Equipamentos!$C$2:$C$61,N292))</f>
        <v/>
      </c>
      <c r="F292" s="57">
        <f>IF(OR(D292="",N(Q292)&lt;=0),"",D292/Q292)</f>
        <v/>
      </c>
      <c r="G292" s="55" t="n"/>
      <c r="H292" s="58" t="n"/>
      <c r="I292" s="58" t="n"/>
      <c r="J292" s="55" t="n"/>
      <c r="K292" s="55" t="n"/>
      <c r="L292">
        <f>IF(OR(A292="",B292=""),"",_xlfn.MAXIFS(TrocasEquip!$A$2:$A$1000,TrocasEquip!$B$2:$B$1000,B292,TrocasEquip!$A$2:$A$1000,"&lt;"&amp;A292))</f>
        <v/>
      </c>
      <c r="M292">
        <f>IF(N(L292)=0,0,MATCH(1,INDEX((TrocasEquip!$B$2:$B$1000=B292)*(TrocasEquip!$A$2:$A$1000=L292),0),0))</f>
        <v/>
      </c>
      <c r="N292">
        <f>IF(B292="","",IFERROR(MATCH(B292,Equipamentos!$P$2:$P$61,0),""))</f>
        <v/>
      </c>
      <c r="O292">
        <f>IF(N292="","",IF(M292=0,INDEX(Equipamentos!$U$2:$U$61,N292),L292))</f>
        <v/>
      </c>
      <c r="P292">
        <f>IF(N292="","",IF(M292=0,N(INDEX(Equipamentos!$V$2:$V$61,N292)),N(INDEX(TrocasEquip!$I$2:$I$1000,M292))))</f>
        <v/>
      </c>
      <c r="Q292">
        <f>IF(N292="","",IF(M292=0,INDEX(Equipamentos!$T$2:$T$61,N292),IF(INDEX(TrocasEquip!$H$2:$H$1000,M292)="",INDEX(Equipamentos!$T$2:$T$61,N292),INDEX(TrocasEquip!$H$2:$H$1000,M292))))</f>
        <v/>
      </c>
    </row>
    <row r="293">
      <c r="A293" s="54" t="n"/>
      <c r="B293" s="55" t="n"/>
      <c r="C293">
        <f>IF(B293="","",IF(N293="","posição não encontrada",IF(M293=0,INDEX(Equipamentos!$S$2:$S$61,N293),INDEX(TrocasEquip!$G$2:$G$1000,M293))))</f>
        <v/>
      </c>
      <c r="D293" s="56">
        <f>IF(OR(A293="",N293=""),"",P293+IF(E293="dias",MAX(0,A293-O293),IF(INDEX(Equipamentos!$D$2:$D$61,N293)=2,SUMIFS(Producao!$D:$D,Producao!$A:$A,"&gt;="&amp;O293,Producao!$A:$A,"&lt;"&amp;A293),IF(INDEX(Equipamentos!$D$2:$D$61,N293)=3,SUMIFS(Producao!$E:$E,Producao!$A:$A,"&gt;="&amp;O293,Producao!$A:$A,"&lt;"&amp;A293),SUMIFS(Producao!$B:$B,Producao!$A:$A,"&gt;="&amp;O293,Producao!$A:$A,"&lt;"&amp;A293)))))</f>
        <v/>
      </c>
      <c r="E293">
        <f>IF(N293="","",INDEX(Equipamentos!$C$2:$C$61,N293))</f>
        <v/>
      </c>
      <c r="F293" s="57">
        <f>IF(OR(D293="",N(Q293)&lt;=0),"",D293/Q293)</f>
        <v/>
      </c>
      <c r="G293" s="55" t="n"/>
      <c r="H293" s="58" t="n"/>
      <c r="I293" s="58" t="n"/>
      <c r="J293" s="55" t="n"/>
      <c r="K293" s="55" t="n"/>
      <c r="L293">
        <f>IF(OR(A293="",B293=""),"",_xlfn.MAXIFS(TrocasEquip!$A$2:$A$1000,TrocasEquip!$B$2:$B$1000,B293,TrocasEquip!$A$2:$A$1000,"&lt;"&amp;A293))</f>
        <v/>
      </c>
      <c r="M293">
        <f>IF(N(L293)=0,0,MATCH(1,INDEX((TrocasEquip!$B$2:$B$1000=B293)*(TrocasEquip!$A$2:$A$1000=L293),0),0))</f>
        <v/>
      </c>
      <c r="N293">
        <f>IF(B293="","",IFERROR(MATCH(B293,Equipamentos!$P$2:$P$61,0),""))</f>
        <v/>
      </c>
      <c r="O293">
        <f>IF(N293="","",IF(M293=0,INDEX(Equipamentos!$U$2:$U$61,N293),L293))</f>
        <v/>
      </c>
      <c r="P293">
        <f>IF(N293="","",IF(M293=0,N(INDEX(Equipamentos!$V$2:$V$61,N293)),N(INDEX(TrocasEquip!$I$2:$I$1000,M293))))</f>
        <v/>
      </c>
      <c r="Q293">
        <f>IF(N293="","",IF(M293=0,INDEX(Equipamentos!$T$2:$T$61,N293),IF(INDEX(TrocasEquip!$H$2:$H$1000,M293)="",INDEX(Equipamentos!$T$2:$T$61,N293),INDEX(TrocasEquip!$H$2:$H$1000,M293))))</f>
        <v/>
      </c>
    </row>
    <row r="294">
      <c r="A294" s="54" t="n"/>
      <c r="B294" s="55" t="n"/>
      <c r="C294">
        <f>IF(B294="","",IF(N294="","posição não encontrada",IF(M294=0,INDEX(Equipamentos!$S$2:$S$61,N294),INDEX(TrocasEquip!$G$2:$G$1000,M294))))</f>
        <v/>
      </c>
      <c r="D294" s="56">
        <f>IF(OR(A294="",N294=""),"",P294+IF(E294="dias",MAX(0,A294-O294),IF(INDEX(Equipamentos!$D$2:$D$61,N294)=2,SUMIFS(Producao!$D:$D,Producao!$A:$A,"&gt;="&amp;O294,Producao!$A:$A,"&lt;"&amp;A294),IF(INDEX(Equipamentos!$D$2:$D$61,N294)=3,SUMIFS(Producao!$E:$E,Producao!$A:$A,"&gt;="&amp;O294,Producao!$A:$A,"&lt;"&amp;A294),SUMIFS(Producao!$B:$B,Producao!$A:$A,"&gt;="&amp;O294,Producao!$A:$A,"&lt;"&amp;A294)))))</f>
        <v/>
      </c>
      <c r="E294">
        <f>IF(N294="","",INDEX(Equipamentos!$C$2:$C$61,N294))</f>
        <v/>
      </c>
      <c r="F294" s="57">
        <f>IF(OR(D294="",N(Q294)&lt;=0),"",D294/Q294)</f>
        <v/>
      </c>
      <c r="G294" s="55" t="n"/>
      <c r="H294" s="58" t="n"/>
      <c r="I294" s="58" t="n"/>
      <c r="J294" s="55" t="n"/>
      <c r="K294" s="55" t="n"/>
      <c r="L294">
        <f>IF(OR(A294="",B294=""),"",_xlfn.MAXIFS(TrocasEquip!$A$2:$A$1000,TrocasEquip!$B$2:$B$1000,B294,TrocasEquip!$A$2:$A$1000,"&lt;"&amp;A294))</f>
        <v/>
      </c>
      <c r="M294">
        <f>IF(N(L294)=0,0,MATCH(1,INDEX((TrocasEquip!$B$2:$B$1000=B294)*(TrocasEquip!$A$2:$A$1000=L294),0),0))</f>
        <v/>
      </c>
      <c r="N294">
        <f>IF(B294="","",IFERROR(MATCH(B294,Equipamentos!$P$2:$P$61,0),""))</f>
        <v/>
      </c>
      <c r="O294">
        <f>IF(N294="","",IF(M294=0,INDEX(Equipamentos!$U$2:$U$61,N294),L294))</f>
        <v/>
      </c>
      <c r="P294">
        <f>IF(N294="","",IF(M294=0,N(INDEX(Equipamentos!$V$2:$V$61,N294)),N(INDEX(TrocasEquip!$I$2:$I$1000,M294))))</f>
        <v/>
      </c>
      <c r="Q294">
        <f>IF(N294="","",IF(M294=0,INDEX(Equipamentos!$T$2:$T$61,N294),IF(INDEX(TrocasEquip!$H$2:$H$1000,M294)="",INDEX(Equipamentos!$T$2:$T$61,N294),INDEX(TrocasEquip!$H$2:$H$1000,M294))))</f>
        <v/>
      </c>
    </row>
    <row r="295">
      <c r="A295" s="54" t="n"/>
      <c r="B295" s="55" t="n"/>
      <c r="C295">
        <f>IF(B295="","",IF(N295="","posição não encontrada",IF(M295=0,INDEX(Equipamentos!$S$2:$S$61,N295),INDEX(TrocasEquip!$G$2:$G$1000,M295))))</f>
        <v/>
      </c>
      <c r="D295" s="56">
        <f>IF(OR(A295="",N295=""),"",P295+IF(E295="dias",MAX(0,A295-O295),IF(INDEX(Equipamentos!$D$2:$D$61,N295)=2,SUMIFS(Producao!$D:$D,Producao!$A:$A,"&gt;="&amp;O295,Producao!$A:$A,"&lt;"&amp;A295),IF(INDEX(Equipamentos!$D$2:$D$61,N295)=3,SUMIFS(Producao!$E:$E,Producao!$A:$A,"&gt;="&amp;O295,Producao!$A:$A,"&lt;"&amp;A295),SUMIFS(Producao!$B:$B,Producao!$A:$A,"&gt;="&amp;O295,Producao!$A:$A,"&lt;"&amp;A295)))))</f>
        <v/>
      </c>
      <c r="E295">
        <f>IF(N295="","",INDEX(Equipamentos!$C$2:$C$61,N295))</f>
        <v/>
      </c>
      <c r="F295" s="57">
        <f>IF(OR(D295="",N(Q295)&lt;=0),"",D295/Q295)</f>
        <v/>
      </c>
      <c r="G295" s="55" t="n"/>
      <c r="H295" s="58" t="n"/>
      <c r="I295" s="58" t="n"/>
      <c r="J295" s="55" t="n"/>
      <c r="K295" s="55" t="n"/>
      <c r="L295">
        <f>IF(OR(A295="",B295=""),"",_xlfn.MAXIFS(TrocasEquip!$A$2:$A$1000,TrocasEquip!$B$2:$B$1000,B295,TrocasEquip!$A$2:$A$1000,"&lt;"&amp;A295))</f>
        <v/>
      </c>
      <c r="M295">
        <f>IF(N(L295)=0,0,MATCH(1,INDEX((TrocasEquip!$B$2:$B$1000=B295)*(TrocasEquip!$A$2:$A$1000=L295),0),0))</f>
        <v/>
      </c>
      <c r="N295">
        <f>IF(B295="","",IFERROR(MATCH(B295,Equipamentos!$P$2:$P$61,0),""))</f>
        <v/>
      </c>
      <c r="O295">
        <f>IF(N295="","",IF(M295=0,INDEX(Equipamentos!$U$2:$U$61,N295),L295))</f>
        <v/>
      </c>
      <c r="P295">
        <f>IF(N295="","",IF(M295=0,N(INDEX(Equipamentos!$V$2:$V$61,N295)),N(INDEX(TrocasEquip!$I$2:$I$1000,M295))))</f>
        <v/>
      </c>
      <c r="Q295">
        <f>IF(N295="","",IF(M295=0,INDEX(Equipamentos!$T$2:$T$61,N295),IF(INDEX(TrocasEquip!$H$2:$H$1000,M295)="",INDEX(Equipamentos!$T$2:$T$61,N295),INDEX(TrocasEquip!$H$2:$H$1000,M295))))</f>
        <v/>
      </c>
    </row>
    <row r="296">
      <c r="A296" s="54" t="n"/>
      <c r="B296" s="55" t="n"/>
      <c r="C296">
        <f>IF(B296="","",IF(N296="","posição não encontrada",IF(M296=0,INDEX(Equipamentos!$S$2:$S$61,N296),INDEX(TrocasEquip!$G$2:$G$1000,M296))))</f>
        <v/>
      </c>
      <c r="D296" s="56">
        <f>IF(OR(A296="",N296=""),"",P296+IF(E296="dias",MAX(0,A296-O296),IF(INDEX(Equipamentos!$D$2:$D$61,N296)=2,SUMIFS(Producao!$D:$D,Producao!$A:$A,"&gt;="&amp;O296,Producao!$A:$A,"&lt;"&amp;A296),IF(INDEX(Equipamentos!$D$2:$D$61,N296)=3,SUMIFS(Producao!$E:$E,Producao!$A:$A,"&gt;="&amp;O296,Producao!$A:$A,"&lt;"&amp;A296),SUMIFS(Producao!$B:$B,Producao!$A:$A,"&gt;="&amp;O296,Producao!$A:$A,"&lt;"&amp;A296)))))</f>
        <v/>
      </c>
      <c r="E296">
        <f>IF(N296="","",INDEX(Equipamentos!$C$2:$C$61,N296))</f>
        <v/>
      </c>
      <c r="F296" s="57">
        <f>IF(OR(D296="",N(Q296)&lt;=0),"",D296/Q296)</f>
        <v/>
      </c>
      <c r="G296" s="55" t="n"/>
      <c r="H296" s="58" t="n"/>
      <c r="I296" s="58" t="n"/>
      <c r="J296" s="55" t="n"/>
      <c r="K296" s="55" t="n"/>
      <c r="L296">
        <f>IF(OR(A296="",B296=""),"",_xlfn.MAXIFS(TrocasEquip!$A$2:$A$1000,TrocasEquip!$B$2:$B$1000,B296,TrocasEquip!$A$2:$A$1000,"&lt;"&amp;A296))</f>
        <v/>
      </c>
      <c r="M296">
        <f>IF(N(L296)=0,0,MATCH(1,INDEX((TrocasEquip!$B$2:$B$1000=B296)*(TrocasEquip!$A$2:$A$1000=L296),0),0))</f>
        <v/>
      </c>
      <c r="N296">
        <f>IF(B296="","",IFERROR(MATCH(B296,Equipamentos!$P$2:$P$61,0),""))</f>
        <v/>
      </c>
      <c r="O296">
        <f>IF(N296="","",IF(M296=0,INDEX(Equipamentos!$U$2:$U$61,N296),L296))</f>
        <v/>
      </c>
      <c r="P296">
        <f>IF(N296="","",IF(M296=0,N(INDEX(Equipamentos!$V$2:$V$61,N296)),N(INDEX(TrocasEquip!$I$2:$I$1000,M296))))</f>
        <v/>
      </c>
      <c r="Q296">
        <f>IF(N296="","",IF(M296=0,INDEX(Equipamentos!$T$2:$T$61,N296),IF(INDEX(TrocasEquip!$H$2:$H$1000,M296)="",INDEX(Equipamentos!$T$2:$T$61,N296),INDEX(TrocasEquip!$H$2:$H$1000,M296))))</f>
        <v/>
      </c>
    </row>
    <row r="297">
      <c r="A297" s="54" t="n"/>
      <c r="B297" s="55" t="n"/>
      <c r="C297">
        <f>IF(B297="","",IF(N297="","posição não encontrada",IF(M297=0,INDEX(Equipamentos!$S$2:$S$61,N297),INDEX(TrocasEquip!$G$2:$G$1000,M297))))</f>
        <v/>
      </c>
      <c r="D297" s="56">
        <f>IF(OR(A297="",N297=""),"",P297+IF(E297="dias",MAX(0,A297-O297),IF(INDEX(Equipamentos!$D$2:$D$61,N297)=2,SUMIFS(Producao!$D:$D,Producao!$A:$A,"&gt;="&amp;O297,Producao!$A:$A,"&lt;"&amp;A297),IF(INDEX(Equipamentos!$D$2:$D$61,N297)=3,SUMIFS(Producao!$E:$E,Producao!$A:$A,"&gt;="&amp;O297,Producao!$A:$A,"&lt;"&amp;A297),SUMIFS(Producao!$B:$B,Producao!$A:$A,"&gt;="&amp;O297,Producao!$A:$A,"&lt;"&amp;A297)))))</f>
        <v/>
      </c>
      <c r="E297">
        <f>IF(N297="","",INDEX(Equipamentos!$C$2:$C$61,N297))</f>
        <v/>
      </c>
      <c r="F297" s="57">
        <f>IF(OR(D297="",N(Q297)&lt;=0),"",D297/Q297)</f>
        <v/>
      </c>
      <c r="G297" s="55" t="n"/>
      <c r="H297" s="58" t="n"/>
      <c r="I297" s="58" t="n"/>
      <c r="J297" s="55" t="n"/>
      <c r="K297" s="55" t="n"/>
      <c r="L297">
        <f>IF(OR(A297="",B297=""),"",_xlfn.MAXIFS(TrocasEquip!$A$2:$A$1000,TrocasEquip!$B$2:$B$1000,B297,TrocasEquip!$A$2:$A$1000,"&lt;"&amp;A297))</f>
        <v/>
      </c>
      <c r="M297">
        <f>IF(N(L297)=0,0,MATCH(1,INDEX((TrocasEquip!$B$2:$B$1000=B297)*(TrocasEquip!$A$2:$A$1000=L297),0),0))</f>
        <v/>
      </c>
      <c r="N297">
        <f>IF(B297="","",IFERROR(MATCH(B297,Equipamentos!$P$2:$P$61,0),""))</f>
        <v/>
      </c>
      <c r="O297">
        <f>IF(N297="","",IF(M297=0,INDEX(Equipamentos!$U$2:$U$61,N297),L297))</f>
        <v/>
      </c>
      <c r="P297">
        <f>IF(N297="","",IF(M297=0,N(INDEX(Equipamentos!$V$2:$V$61,N297)),N(INDEX(TrocasEquip!$I$2:$I$1000,M297))))</f>
        <v/>
      </c>
      <c r="Q297">
        <f>IF(N297="","",IF(M297=0,INDEX(Equipamentos!$T$2:$T$61,N297),IF(INDEX(TrocasEquip!$H$2:$H$1000,M297)="",INDEX(Equipamentos!$T$2:$T$61,N297),INDEX(TrocasEquip!$H$2:$H$1000,M297))))</f>
        <v/>
      </c>
    </row>
    <row r="298">
      <c r="A298" s="54" t="n"/>
      <c r="B298" s="55" t="n"/>
      <c r="C298">
        <f>IF(B298="","",IF(N298="","posição não encontrada",IF(M298=0,INDEX(Equipamentos!$S$2:$S$61,N298),INDEX(TrocasEquip!$G$2:$G$1000,M298))))</f>
        <v/>
      </c>
      <c r="D298" s="56">
        <f>IF(OR(A298="",N298=""),"",P298+IF(E298="dias",MAX(0,A298-O298),IF(INDEX(Equipamentos!$D$2:$D$61,N298)=2,SUMIFS(Producao!$D:$D,Producao!$A:$A,"&gt;="&amp;O298,Producao!$A:$A,"&lt;"&amp;A298),IF(INDEX(Equipamentos!$D$2:$D$61,N298)=3,SUMIFS(Producao!$E:$E,Producao!$A:$A,"&gt;="&amp;O298,Producao!$A:$A,"&lt;"&amp;A298),SUMIFS(Producao!$B:$B,Producao!$A:$A,"&gt;="&amp;O298,Producao!$A:$A,"&lt;"&amp;A298)))))</f>
        <v/>
      </c>
      <c r="E298">
        <f>IF(N298="","",INDEX(Equipamentos!$C$2:$C$61,N298))</f>
        <v/>
      </c>
      <c r="F298" s="57">
        <f>IF(OR(D298="",N(Q298)&lt;=0),"",D298/Q298)</f>
        <v/>
      </c>
      <c r="G298" s="55" t="n"/>
      <c r="H298" s="58" t="n"/>
      <c r="I298" s="58" t="n"/>
      <c r="J298" s="55" t="n"/>
      <c r="K298" s="55" t="n"/>
      <c r="L298">
        <f>IF(OR(A298="",B298=""),"",_xlfn.MAXIFS(TrocasEquip!$A$2:$A$1000,TrocasEquip!$B$2:$B$1000,B298,TrocasEquip!$A$2:$A$1000,"&lt;"&amp;A298))</f>
        <v/>
      </c>
      <c r="M298">
        <f>IF(N(L298)=0,0,MATCH(1,INDEX((TrocasEquip!$B$2:$B$1000=B298)*(TrocasEquip!$A$2:$A$1000=L298),0),0))</f>
        <v/>
      </c>
      <c r="N298">
        <f>IF(B298="","",IFERROR(MATCH(B298,Equipamentos!$P$2:$P$61,0),""))</f>
        <v/>
      </c>
      <c r="O298">
        <f>IF(N298="","",IF(M298=0,INDEX(Equipamentos!$U$2:$U$61,N298),L298))</f>
        <v/>
      </c>
      <c r="P298">
        <f>IF(N298="","",IF(M298=0,N(INDEX(Equipamentos!$V$2:$V$61,N298)),N(INDEX(TrocasEquip!$I$2:$I$1000,M298))))</f>
        <v/>
      </c>
      <c r="Q298">
        <f>IF(N298="","",IF(M298=0,INDEX(Equipamentos!$T$2:$T$61,N298),IF(INDEX(TrocasEquip!$H$2:$H$1000,M298)="",INDEX(Equipamentos!$T$2:$T$61,N298),INDEX(TrocasEquip!$H$2:$H$1000,M298))))</f>
        <v/>
      </c>
    </row>
    <row r="299">
      <c r="A299" s="54" t="n"/>
      <c r="B299" s="55" t="n"/>
      <c r="C299">
        <f>IF(B299="","",IF(N299="","posição não encontrada",IF(M299=0,INDEX(Equipamentos!$S$2:$S$61,N299),INDEX(TrocasEquip!$G$2:$G$1000,M299))))</f>
        <v/>
      </c>
      <c r="D299" s="56">
        <f>IF(OR(A299="",N299=""),"",P299+IF(E299="dias",MAX(0,A299-O299),IF(INDEX(Equipamentos!$D$2:$D$61,N299)=2,SUMIFS(Producao!$D:$D,Producao!$A:$A,"&gt;="&amp;O299,Producao!$A:$A,"&lt;"&amp;A299),IF(INDEX(Equipamentos!$D$2:$D$61,N299)=3,SUMIFS(Producao!$E:$E,Producao!$A:$A,"&gt;="&amp;O299,Producao!$A:$A,"&lt;"&amp;A299),SUMIFS(Producao!$B:$B,Producao!$A:$A,"&gt;="&amp;O299,Producao!$A:$A,"&lt;"&amp;A299)))))</f>
        <v/>
      </c>
      <c r="E299">
        <f>IF(N299="","",INDEX(Equipamentos!$C$2:$C$61,N299))</f>
        <v/>
      </c>
      <c r="F299" s="57">
        <f>IF(OR(D299="",N(Q299)&lt;=0),"",D299/Q299)</f>
        <v/>
      </c>
      <c r="G299" s="55" t="n"/>
      <c r="H299" s="58" t="n"/>
      <c r="I299" s="58" t="n"/>
      <c r="J299" s="55" t="n"/>
      <c r="K299" s="55" t="n"/>
      <c r="L299">
        <f>IF(OR(A299="",B299=""),"",_xlfn.MAXIFS(TrocasEquip!$A$2:$A$1000,TrocasEquip!$B$2:$B$1000,B299,TrocasEquip!$A$2:$A$1000,"&lt;"&amp;A299))</f>
        <v/>
      </c>
      <c r="M299">
        <f>IF(N(L299)=0,0,MATCH(1,INDEX((TrocasEquip!$B$2:$B$1000=B299)*(TrocasEquip!$A$2:$A$1000=L299),0),0))</f>
        <v/>
      </c>
      <c r="N299">
        <f>IF(B299="","",IFERROR(MATCH(B299,Equipamentos!$P$2:$P$61,0),""))</f>
        <v/>
      </c>
      <c r="O299">
        <f>IF(N299="","",IF(M299=0,INDEX(Equipamentos!$U$2:$U$61,N299),L299))</f>
        <v/>
      </c>
      <c r="P299">
        <f>IF(N299="","",IF(M299=0,N(INDEX(Equipamentos!$V$2:$V$61,N299)),N(INDEX(TrocasEquip!$I$2:$I$1000,M299))))</f>
        <v/>
      </c>
      <c r="Q299">
        <f>IF(N299="","",IF(M299=0,INDEX(Equipamentos!$T$2:$T$61,N299),IF(INDEX(TrocasEquip!$H$2:$H$1000,M299)="",INDEX(Equipamentos!$T$2:$T$61,N299),INDEX(TrocasEquip!$H$2:$H$1000,M299))))</f>
        <v/>
      </c>
    </row>
    <row r="300">
      <c r="A300" s="54" t="n"/>
      <c r="B300" s="55" t="n"/>
      <c r="C300">
        <f>IF(B300="","",IF(N300="","posição não encontrada",IF(M300=0,INDEX(Equipamentos!$S$2:$S$61,N300),INDEX(TrocasEquip!$G$2:$G$1000,M300))))</f>
        <v/>
      </c>
      <c r="D300" s="56">
        <f>IF(OR(A300="",N300=""),"",P300+IF(E300="dias",MAX(0,A300-O300),IF(INDEX(Equipamentos!$D$2:$D$61,N300)=2,SUMIFS(Producao!$D:$D,Producao!$A:$A,"&gt;="&amp;O300,Producao!$A:$A,"&lt;"&amp;A300),IF(INDEX(Equipamentos!$D$2:$D$61,N300)=3,SUMIFS(Producao!$E:$E,Producao!$A:$A,"&gt;="&amp;O300,Producao!$A:$A,"&lt;"&amp;A300),SUMIFS(Producao!$B:$B,Producao!$A:$A,"&gt;="&amp;O300,Producao!$A:$A,"&lt;"&amp;A300)))))</f>
        <v/>
      </c>
      <c r="E300">
        <f>IF(N300="","",INDEX(Equipamentos!$C$2:$C$61,N300))</f>
        <v/>
      </c>
      <c r="F300" s="57">
        <f>IF(OR(D300="",N(Q300)&lt;=0),"",D300/Q300)</f>
        <v/>
      </c>
      <c r="G300" s="55" t="n"/>
      <c r="H300" s="58" t="n"/>
      <c r="I300" s="58" t="n"/>
      <c r="J300" s="55" t="n"/>
      <c r="K300" s="55" t="n"/>
      <c r="L300">
        <f>IF(OR(A300="",B300=""),"",_xlfn.MAXIFS(TrocasEquip!$A$2:$A$1000,TrocasEquip!$B$2:$B$1000,B300,TrocasEquip!$A$2:$A$1000,"&lt;"&amp;A300))</f>
        <v/>
      </c>
      <c r="M300">
        <f>IF(N(L300)=0,0,MATCH(1,INDEX((TrocasEquip!$B$2:$B$1000=B300)*(TrocasEquip!$A$2:$A$1000=L300),0),0))</f>
        <v/>
      </c>
      <c r="N300">
        <f>IF(B300="","",IFERROR(MATCH(B300,Equipamentos!$P$2:$P$61,0),""))</f>
        <v/>
      </c>
      <c r="O300">
        <f>IF(N300="","",IF(M300=0,INDEX(Equipamentos!$U$2:$U$61,N300),L300))</f>
        <v/>
      </c>
      <c r="P300">
        <f>IF(N300="","",IF(M300=0,N(INDEX(Equipamentos!$V$2:$V$61,N300)),N(INDEX(TrocasEquip!$I$2:$I$1000,M300))))</f>
        <v/>
      </c>
      <c r="Q300">
        <f>IF(N300="","",IF(M300=0,INDEX(Equipamentos!$T$2:$T$61,N300),IF(INDEX(TrocasEquip!$H$2:$H$1000,M300)="",INDEX(Equipamentos!$T$2:$T$61,N300),INDEX(TrocasEquip!$H$2:$H$1000,M300))))</f>
        <v/>
      </c>
    </row>
    <row r="301">
      <c r="A301" s="54" t="n"/>
      <c r="B301" s="55" t="n"/>
      <c r="C301">
        <f>IF(B301="","",IF(N301="","posição não encontrada",IF(M301=0,INDEX(Equipamentos!$S$2:$S$61,N301),INDEX(TrocasEquip!$G$2:$G$1000,M301))))</f>
        <v/>
      </c>
      <c r="D301" s="56">
        <f>IF(OR(A301="",N301=""),"",P301+IF(E301="dias",MAX(0,A301-O301),IF(INDEX(Equipamentos!$D$2:$D$61,N301)=2,SUMIFS(Producao!$D:$D,Producao!$A:$A,"&gt;="&amp;O301,Producao!$A:$A,"&lt;"&amp;A301),IF(INDEX(Equipamentos!$D$2:$D$61,N301)=3,SUMIFS(Producao!$E:$E,Producao!$A:$A,"&gt;="&amp;O301,Producao!$A:$A,"&lt;"&amp;A301),SUMIFS(Producao!$B:$B,Producao!$A:$A,"&gt;="&amp;O301,Producao!$A:$A,"&lt;"&amp;A301)))))</f>
        <v/>
      </c>
      <c r="E301">
        <f>IF(N301="","",INDEX(Equipamentos!$C$2:$C$61,N301))</f>
        <v/>
      </c>
      <c r="F301" s="57">
        <f>IF(OR(D301="",N(Q301)&lt;=0),"",D301/Q301)</f>
        <v/>
      </c>
      <c r="G301" s="55" t="n"/>
      <c r="H301" s="58" t="n"/>
      <c r="I301" s="58" t="n"/>
      <c r="J301" s="55" t="n"/>
      <c r="K301" s="55" t="n"/>
      <c r="L301">
        <f>IF(OR(A301="",B301=""),"",_xlfn.MAXIFS(TrocasEquip!$A$2:$A$1000,TrocasEquip!$B$2:$B$1000,B301,TrocasEquip!$A$2:$A$1000,"&lt;"&amp;A301))</f>
        <v/>
      </c>
      <c r="M301">
        <f>IF(N(L301)=0,0,MATCH(1,INDEX((TrocasEquip!$B$2:$B$1000=B301)*(TrocasEquip!$A$2:$A$1000=L301),0),0))</f>
        <v/>
      </c>
      <c r="N301">
        <f>IF(B301="","",IFERROR(MATCH(B301,Equipamentos!$P$2:$P$61,0),""))</f>
        <v/>
      </c>
      <c r="O301">
        <f>IF(N301="","",IF(M301=0,INDEX(Equipamentos!$U$2:$U$61,N301),L301))</f>
        <v/>
      </c>
      <c r="P301">
        <f>IF(N301="","",IF(M301=0,N(INDEX(Equipamentos!$V$2:$V$61,N301)),N(INDEX(TrocasEquip!$I$2:$I$1000,M301))))</f>
        <v/>
      </c>
      <c r="Q301">
        <f>IF(N301="","",IF(M301=0,INDEX(Equipamentos!$T$2:$T$61,N301),IF(INDEX(TrocasEquip!$H$2:$H$1000,M301)="",INDEX(Equipamentos!$T$2:$T$61,N301),INDEX(TrocasEquip!$H$2:$H$1000,M301))))</f>
        <v/>
      </c>
    </row>
    <row r="302">
      <c r="A302" s="54" t="n"/>
      <c r="B302" s="55" t="n"/>
      <c r="C302">
        <f>IF(B302="","",IF(N302="","posição não encontrada",IF(M302=0,INDEX(Equipamentos!$S$2:$S$61,N302),INDEX(TrocasEquip!$G$2:$G$1000,M302))))</f>
        <v/>
      </c>
      <c r="D302" s="56">
        <f>IF(OR(A302="",N302=""),"",P302+IF(E302="dias",MAX(0,A302-O302),IF(INDEX(Equipamentos!$D$2:$D$61,N302)=2,SUMIFS(Producao!$D:$D,Producao!$A:$A,"&gt;="&amp;O302,Producao!$A:$A,"&lt;"&amp;A302),IF(INDEX(Equipamentos!$D$2:$D$61,N302)=3,SUMIFS(Producao!$E:$E,Producao!$A:$A,"&gt;="&amp;O302,Producao!$A:$A,"&lt;"&amp;A302),SUMIFS(Producao!$B:$B,Producao!$A:$A,"&gt;="&amp;O302,Producao!$A:$A,"&lt;"&amp;A302)))))</f>
        <v/>
      </c>
      <c r="E302">
        <f>IF(N302="","",INDEX(Equipamentos!$C$2:$C$61,N302))</f>
        <v/>
      </c>
      <c r="F302" s="57">
        <f>IF(OR(D302="",N(Q302)&lt;=0),"",D302/Q302)</f>
        <v/>
      </c>
      <c r="G302" s="55" t="n"/>
      <c r="H302" s="58" t="n"/>
      <c r="I302" s="58" t="n"/>
      <c r="J302" s="55" t="n"/>
      <c r="K302" s="55" t="n"/>
      <c r="L302">
        <f>IF(OR(A302="",B302=""),"",_xlfn.MAXIFS(TrocasEquip!$A$2:$A$1000,TrocasEquip!$B$2:$B$1000,B302,TrocasEquip!$A$2:$A$1000,"&lt;"&amp;A302))</f>
        <v/>
      </c>
      <c r="M302">
        <f>IF(N(L302)=0,0,MATCH(1,INDEX((TrocasEquip!$B$2:$B$1000=B302)*(TrocasEquip!$A$2:$A$1000=L302),0),0))</f>
        <v/>
      </c>
      <c r="N302">
        <f>IF(B302="","",IFERROR(MATCH(B302,Equipamentos!$P$2:$P$61,0),""))</f>
        <v/>
      </c>
      <c r="O302">
        <f>IF(N302="","",IF(M302=0,INDEX(Equipamentos!$U$2:$U$61,N302),L302))</f>
        <v/>
      </c>
      <c r="P302">
        <f>IF(N302="","",IF(M302=0,N(INDEX(Equipamentos!$V$2:$V$61,N302)),N(INDEX(TrocasEquip!$I$2:$I$1000,M302))))</f>
        <v/>
      </c>
      <c r="Q302">
        <f>IF(N302="","",IF(M302=0,INDEX(Equipamentos!$T$2:$T$61,N302),IF(INDEX(TrocasEquip!$H$2:$H$1000,M302)="",INDEX(Equipamentos!$T$2:$T$61,N302),INDEX(TrocasEquip!$H$2:$H$1000,M302))))</f>
        <v/>
      </c>
    </row>
    <row r="303">
      <c r="A303" s="54" t="n"/>
      <c r="B303" s="55" t="n"/>
      <c r="C303">
        <f>IF(B303="","",IF(N303="","posição não encontrada",IF(M303=0,INDEX(Equipamentos!$S$2:$S$61,N303),INDEX(TrocasEquip!$G$2:$G$1000,M303))))</f>
        <v/>
      </c>
      <c r="D303" s="56">
        <f>IF(OR(A303="",N303=""),"",P303+IF(E303="dias",MAX(0,A303-O303),IF(INDEX(Equipamentos!$D$2:$D$61,N303)=2,SUMIFS(Producao!$D:$D,Producao!$A:$A,"&gt;="&amp;O303,Producao!$A:$A,"&lt;"&amp;A303),IF(INDEX(Equipamentos!$D$2:$D$61,N303)=3,SUMIFS(Producao!$E:$E,Producao!$A:$A,"&gt;="&amp;O303,Producao!$A:$A,"&lt;"&amp;A303),SUMIFS(Producao!$B:$B,Producao!$A:$A,"&gt;="&amp;O303,Producao!$A:$A,"&lt;"&amp;A303)))))</f>
        <v/>
      </c>
      <c r="E303">
        <f>IF(N303="","",INDEX(Equipamentos!$C$2:$C$61,N303))</f>
        <v/>
      </c>
      <c r="F303" s="57">
        <f>IF(OR(D303="",N(Q303)&lt;=0),"",D303/Q303)</f>
        <v/>
      </c>
      <c r="G303" s="55" t="n"/>
      <c r="H303" s="58" t="n"/>
      <c r="I303" s="58" t="n"/>
      <c r="J303" s="55" t="n"/>
      <c r="K303" s="55" t="n"/>
      <c r="L303">
        <f>IF(OR(A303="",B303=""),"",_xlfn.MAXIFS(TrocasEquip!$A$2:$A$1000,TrocasEquip!$B$2:$B$1000,B303,TrocasEquip!$A$2:$A$1000,"&lt;"&amp;A303))</f>
        <v/>
      </c>
      <c r="M303">
        <f>IF(N(L303)=0,0,MATCH(1,INDEX((TrocasEquip!$B$2:$B$1000=B303)*(TrocasEquip!$A$2:$A$1000=L303),0),0))</f>
        <v/>
      </c>
      <c r="N303">
        <f>IF(B303="","",IFERROR(MATCH(B303,Equipamentos!$P$2:$P$61,0),""))</f>
        <v/>
      </c>
      <c r="O303">
        <f>IF(N303="","",IF(M303=0,INDEX(Equipamentos!$U$2:$U$61,N303),L303))</f>
        <v/>
      </c>
      <c r="P303">
        <f>IF(N303="","",IF(M303=0,N(INDEX(Equipamentos!$V$2:$V$61,N303)),N(INDEX(TrocasEquip!$I$2:$I$1000,M303))))</f>
        <v/>
      </c>
      <c r="Q303">
        <f>IF(N303="","",IF(M303=0,INDEX(Equipamentos!$T$2:$T$61,N303),IF(INDEX(TrocasEquip!$H$2:$H$1000,M303)="",INDEX(Equipamentos!$T$2:$T$61,N303),INDEX(TrocasEquip!$H$2:$H$1000,M303))))</f>
        <v/>
      </c>
    </row>
    <row r="304">
      <c r="A304" s="54" t="n"/>
      <c r="B304" s="55" t="n"/>
      <c r="C304">
        <f>IF(B304="","",IF(N304="","posição não encontrada",IF(M304=0,INDEX(Equipamentos!$S$2:$S$61,N304),INDEX(TrocasEquip!$G$2:$G$1000,M304))))</f>
        <v/>
      </c>
      <c r="D304" s="56">
        <f>IF(OR(A304="",N304=""),"",P304+IF(E304="dias",MAX(0,A304-O304),IF(INDEX(Equipamentos!$D$2:$D$61,N304)=2,SUMIFS(Producao!$D:$D,Producao!$A:$A,"&gt;="&amp;O304,Producao!$A:$A,"&lt;"&amp;A304),IF(INDEX(Equipamentos!$D$2:$D$61,N304)=3,SUMIFS(Producao!$E:$E,Producao!$A:$A,"&gt;="&amp;O304,Producao!$A:$A,"&lt;"&amp;A304),SUMIFS(Producao!$B:$B,Producao!$A:$A,"&gt;="&amp;O304,Producao!$A:$A,"&lt;"&amp;A304)))))</f>
        <v/>
      </c>
      <c r="E304">
        <f>IF(N304="","",INDEX(Equipamentos!$C$2:$C$61,N304))</f>
        <v/>
      </c>
      <c r="F304" s="57">
        <f>IF(OR(D304="",N(Q304)&lt;=0),"",D304/Q304)</f>
        <v/>
      </c>
      <c r="G304" s="55" t="n"/>
      <c r="H304" s="58" t="n"/>
      <c r="I304" s="58" t="n"/>
      <c r="J304" s="55" t="n"/>
      <c r="K304" s="55" t="n"/>
      <c r="L304">
        <f>IF(OR(A304="",B304=""),"",_xlfn.MAXIFS(TrocasEquip!$A$2:$A$1000,TrocasEquip!$B$2:$B$1000,B304,TrocasEquip!$A$2:$A$1000,"&lt;"&amp;A304))</f>
        <v/>
      </c>
      <c r="M304">
        <f>IF(N(L304)=0,0,MATCH(1,INDEX((TrocasEquip!$B$2:$B$1000=B304)*(TrocasEquip!$A$2:$A$1000=L304),0),0))</f>
        <v/>
      </c>
      <c r="N304">
        <f>IF(B304="","",IFERROR(MATCH(B304,Equipamentos!$P$2:$P$61,0),""))</f>
        <v/>
      </c>
      <c r="O304">
        <f>IF(N304="","",IF(M304=0,INDEX(Equipamentos!$U$2:$U$61,N304),L304))</f>
        <v/>
      </c>
      <c r="P304">
        <f>IF(N304="","",IF(M304=0,N(INDEX(Equipamentos!$V$2:$V$61,N304)),N(INDEX(TrocasEquip!$I$2:$I$1000,M304))))</f>
        <v/>
      </c>
      <c r="Q304">
        <f>IF(N304="","",IF(M304=0,INDEX(Equipamentos!$T$2:$T$61,N304),IF(INDEX(TrocasEquip!$H$2:$H$1000,M304)="",INDEX(Equipamentos!$T$2:$T$61,N304),INDEX(TrocasEquip!$H$2:$H$1000,M304))))</f>
        <v/>
      </c>
    </row>
    <row r="305">
      <c r="A305" s="54" t="n"/>
      <c r="B305" s="55" t="n"/>
      <c r="C305">
        <f>IF(B305="","",IF(N305="","posição não encontrada",IF(M305=0,INDEX(Equipamentos!$S$2:$S$61,N305),INDEX(TrocasEquip!$G$2:$G$1000,M305))))</f>
        <v/>
      </c>
      <c r="D305" s="56">
        <f>IF(OR(A305="",N305=""),"",P305+IF(E305="dias",MAX(0,A305-O305),IF(INDEX(Equipamentos!$D$2:$D$61,N305)=2,SUMIFS(Producao!$D:$D,Producao!$A:$A,"&gt;="&amp;O305,Producao!$A:$A,"&lt;"&amp;A305),IF(INDEX(Equipamentos!$D$2:$D$61,N305)=3,SUMIFS(Producao!$E:$E,Producao!$A:$A,"&gt;="&amp;O305,Producao!$A:$A,"&lt;"&amp;A305),SUMIFS(Producao!$B:$B,Producao!$A:$A,"&gt;="&amp;O305,Producao!$A:$A,"&lt;"&amp;A305)))))</f>
        <v/>
      </c>
      <c r="E305">
        <f>IF(N305="","",INDEX(Equipamentos!$C$2:$C$61,N305))</f>
        <v/>
      </c>
      <c r="F305" s="57">
        <f>IF(OR(D305="",N(Q305)&lt;=0),"",D305/Q305)</f>
        <v/>
      </c>
      <c r="G305" s="55" t="n"/>
      <c r="H305" s="58" t="n"/>
      <c r="I305" s="58" t="n"/>
      <c r="J305" s="55" t="n"/>
      <c r="K305" s="55" t="n"/>
      <c r="L305">
        <f>IF(OR(A305="",B305=""),"",_xlfn.MAXIFS(TrocasEquip!$A$2:$A$1000,TrocasEquip!$B$2:$B$1000,B305,TrocasEquip!$A$2:$A$1000,"&lt;"&amp;A305))</f>
        <v/>
      </c>
      <c r="M305">
        <f>IF(N(L305)=0,0,MATCH(1,INDEX((TrocasEquip!$B$2:$B$1000=B305)*(TrocasEquip!$A$2:$A$1000=L305),0),0))</f>
        <v/>
      </c>
      <c r="N305">
        <f>IF(B305="","",IFERROR(MATCH(B305,Equipamentos!$P$2:$P$61,0),""))</f>
        <v/>
      </c>
      <c r="O305">
        <f>IF(N305="","",IF(M305=0,INDEX(Equipamentos!$U$2:$U$61,N305),L305))</f>
        <v/>
      </c>
      <c r="P305">
        <f>IF(N305="","",IF(M305=0,N(INDEX(Equipamentos!$V$2:$V$61,N305)),N(INDEX(TrocasEquip!$I$2:$I$1000,M305))))</f>
        <v/>
      </c>
      <c r="Q305">
        <f>IF(N305="","",IF(M305=0,INDEX(Equipamentos!$T$2:$T$61,N305),IF(INDEX(TrocasEquip!$H$2:$H$1000,M305)="",INDEX(Equipamentos!$T$2:$T$61,N305),INDEX(TrocasEquip!$H$2:$H$1000,M305))))</f>
        <v/>
      </c>
    </row>
    <row r="306">
      <c r="A306" s="54" t="n"/>
      <c r="B306" s="55" t="n"/>
      <c r="C306">
        <f>IF(B306="","",IF(N306="","posição não encontrada",IF(M306=0,INDEX(Equipamentos!$S$2:$S$61,N306),INDEX(TrocasEquip!$G$2:$G$1000,M306))))</f>
        <v/>
      </c>
      <c r="D306" s="56">
        <f>IF(OR(A306="",N306=""),"",P306+IF(E306="dias",MAX(0,A306-O306),IF(INDEX(Equipamentos!$D$2:$D$61,N306)=2,SUMIFS(Producao!$D:$D,Producao!$A:$A,"&gt;="&amp;O306,Producao!$A:$A,"&lt;"&amp;A306),IF(INDEX(Equipamentos!$D$2:$D$61,N306)=3,SUMIFS(Producao!$E:$E,Producao!$A:$A,"&gt;="&amp;O306,Producao!$A:$A,"&lt;"&amp;A306),SUMIFS(Producao!$B:$B,Producao!$A:$A,"&gt;="&amp;O306,Producao!$A:$A,"&lt;"&amp;A306)))))</f>
        <v/>
      </c>
      <c r="E306">
        <f>IF(N306="","",INDEX(Equipamentos!$C$2:$C$61,N306))</f>
        <v/>
      </c>
      <c r="F306" s="57">
        <f>IF(OR(D306="",N(Q306)&lt;=0),"",D306/Q306)</f>
        <v/>
      </c>
      <c r="G306" s="55" t="n"/>
      <c r="H306" s="58" t="n"/>
      <c r="I306" s="58" t="n"/>
      <c r="J306" s="55" t="n"/>
      <c r="K306" s="55" t="n"/>
      <c r="L306">
        <f>IF(OR(A306="",B306=""),"",_xlfn.MAXIFS(TrocasEquip!$A$2:$A$1000,TrocasEquip!$B$2:$B$1000,B306,TrocasEquip!$A$2:$A$1000,"&lt;"&amp;A306))</f>
        <v/>
      </c>
      <c r="M306">
        <f>IF(N(L306)=0,0,MATCH(1,INDEX((TrocasEquip!$B$2:$B$1000=B306)*(TrocasEquip!$A$2:$A$1000=L306),0),0))</f>
        <v/>
      </c>
      <c r="N306">
        <f>IF(B306="","",IFERROR(MATCH(B306,Equipamentos!$P$2:$P$61,0),""))</f>
        <v/>
      </c>
      <c r="O306">
        <f>IF(N306="","",IF(M306=0,INDEX(Equipamentos!$U$2:$U$61,N306),L306))</f>
        <v/>
      </c>
      <c r="P306">
        <f>IF(N306="","",IF(M306=0,N(INDEX(Equipamentos!$V$2:$V$61,N306)),N(INDEX(TrocasEquip!$I$2:$I$1000,M306))))</f>
        <v/>
      </c>
      <c r="Q306">
        <f>IF(N306="","",IF(M306=0,INDEX(Equipamentos!$T$2:$T$61,N306),IF(INDEX(TrocasEquip!$H$2:$H$1000,M306)="",INDEX(Equipamentos!$T$2:$T$61,N306),INDEX(TrocasEquip!$H$2:$H$1000,M306))))</f>
        <v/>
      </c>
    </row>
    <row r="307">
      <c r="A307" s="54" t="n"/>
      <c r="B307" s="55" t="n"/>
      <c r="C307">
        <f>IF(B307="","",IF(N307="","posição não encontrada",IF(M307=0,INDEX(Equipamentos!$S$2:$S$61,N307),INDEX(TrocasEquip!$G$2:$G$1000,M307))))</f>
        <v/>
      </c>
      <c r="D307" s="56">
        <f>IF(OR(A307="",N307=""),"",P307+IF(E307="dias",MAX(0,A307-O307),IF(INDEX(Equipamentos!$D$2:$D$61,N307)=2,SUMIFS(Producao!$D:$D,Producao!$A:$A,"&gt;="&amp;O307,Producao!$A:$A,"&lt;"&amp;A307),IF(INDEX(Equipamentos!$D$2:$D$61,N307)=3,SUMIFS(Producao!$E:$E,Producao!$A:$A,"&gt;="&amp;O307,Producao!$A:$A,"&lt;"&amp;A307),SUMIFS(Producao!$B:$B,Producao!$A:$A,"&gt;="&amp;O307,Producao!$A:$A,"&lt;"&amp;A307)))))</f>
        <v/>
      </c>
      <c r="E307">
        <f>IF(N307="","",INDEX(Equipamentos!$C$2:$C$61,N307))</f>
        <v/>
      </c>
      <c r="F307" s="57">
        <f>IF(OR(D307="",N(Q307)&lt;=0),"",D307/Q307)</f>
        <v/>
      </c>
      <c r="G307" s="55" t="n"/>
      <c r="H307" s="58" t="n"/>
      <c r="I307" s="58" t="n"/>
      <c r="J307" s="55" t="n"/>
      <c r="K307" s="55" t="n"/>
      <c r="L307">
        <f>IF(OR(A307="",B307=""),"",_xlfn.MAXIFS(TrocasEquip!$A$2:$A$1000,TrocasEquip!$B$2:$B$1000,B307,TrocasEquip!$A$2:$A$1000,"&lt;"&amp;A307))</f>
        <v/>
      </c>
      <c r="M307">
        <f>IF(N(L307)=0,0,MATCH(1,INDEX((TrocasEquip!$B$2:$B$1000=B307)*(TrocasEquip!$A$2:$A$1000=L307),0),0))</f>
        <v/>
      </c>
      <c r="N307">
        <f>IF(B307="","",IFERROR(MATCH(B307,Equipamentos!$P$2:$P$61,0),""))</f>
        <v/>
      </c>
      <c r="O307">
        <f>IF(N307="","",IF(M307=0,INDEX(Equipamentos!$U$2:$U$61,N307),L307))</f>
        <v/>
      </c>
      <c r="P307">
        <f>IF(N307="","",IF(M307=0,N(INDEX(Equipamentos!$V$2:$V$61,N307)),N(INDEX(TrocasEquip!$I$2:$I$1000,M307))))</f>
        <v/>
      </c>
      <c r="Q307">
        <f>IF(N307="","",IF(M307=0,INDEX(Equipamentos!$T$2:$T$61,N307),IF(INDEX(TrocasEquip!$H$2:$H$1000,M307)="",INDEX(Equipamentos!$T$2:$T$61,N307),INDEX(TrocasEquip!$H$2:$H$1000,M307))))</f>
        <v/>
      </c>
    </row>
    <row r="308">
      <c r="A308" s="54" t="n"/>
      <c r="B308" s="55" t="n"/>
      <c r="C308">
        <f>IF(B308="","",IF(N308="","posição não encontrada",IF(M308=0,INDEX(Equipamentos!$S$2:$S$61,N308),INDEX(TrocasEquip!$G$2:$G$1000,M308))))</f>
        <v/>
      </c>
      <c r="D308" s="56">
        <f>IF(OR(A308="",N308=""),"",P308+IF(E308="dias",MAX(0,A308-O308),IF(INDEX(Equipamentos!$D$2:$D$61,N308)=2,SUMIFS(Producao!$D:$D,Producao!$A:$A,"&gt;="&amp;O308,Producao!$A:$A,"&lt;"&amp;A308),IF(INDEX(Equipamentos!$D$2:$D$61,N308)=3,SUMIFS(Producao!$E:$E,Producao!$A:$A,"&gt;="&amp;O308,Producao!$A:$A,"&lt;"&amp;A308),SUMIFS(Producao!$B:$B,Producao!$A:$A,"&gt;="&amp;O308,Producao!$A:$A,"&lt;"&amp;A308)))))</f>
        <v/>
      </c>
      <c r="E308">
        <f>IF(N308="","",INDEX(Equipamentos!$C$2:$C$61,N308))</f>
        <v/>
      </c>
      <c r="F308" s="57">
        <f>IF(OR(D308="",N(Q308)&lt;=0),"",D308/Q308)</f>
        <v/>
      </c>
      <c r="G308" s="55" t="n"/>
      <c r="H308" s="58" t="n"/>
      <c r="I308" s="58" t="n"/>
      <c r="J308" s="55" t="n"/>
      <c r="K308" s="55" t="n"/>
      <c r="L308">
        <f>IF(OR(A308="",B308=""),"",_xlfn.MAXIFS(TrocasEquip!$A$2:$A$1000,TrocasEquip!$B$2:$B$1000,B308,TrocasEquip!$A$2:$A$1000,"&lt;"&amp;A308))</f>
        <v/>
      </c>
      <c r="M308">
        <f>IF(N(L308)=0,0,MATCH(1,INDEX((TrocasEquip!$B$2:$B$1000=B308)*(TrocasEquip!$A$2:$A$1000=L308),0),0))</f>
        <v/>
      </c>
      <c r="N308">
        <f>IF(B308="","",IFERROR(MATCH(B308,Equipamentos!$P$2:$P$61,0),""))</f>
        <v/>
      </c>
      <c r="O308">
        <f>IF(N308="","",IF(M308=0,INDEX(Equipamentos!$U$2:$U$61,N308),L308))</f>
        <v/>
      </c>
      <c r="P308">
        <f>IF(N308="","",IF(M308=0,N(INDEX(Equipamentos!$V$2:$V$61,N308)),N(INDEX(TrocasEquip!$I$2:$I$1000,M308))))</f>
        <v/>
      </c>
      <c r="Q308">
        <f>IF(N308="","",IF(M308=0,INDEX(Equipamentos!$T$2:$T$61,N308),IF(INDEX(TrocasEquip!$H$2:$H$1000,M308)="",INDEX(Equipamentos!$T$2:$T$61,N308),INDEX(TrocasEquip!$H$2:$H$1000,M308))))</f>
        <v/>
      </c>
    </row>
    <row r="309">
      <c r="A309" s="54" t="n"/>
      <c r="B309" s="55" t="n"/>
      <c r="C309">
        <f>IF(B309="","",IF(N309="","posição não encontrada",IF(M309=0,INDEX(Equipamentos!$S$2:$S$61,N309),INDEX(TrocasEquip!$G$2:$G$1000,M309))))</f>
        <v/>
      </c>
      <c r="D309" s="56">
        <f>IF(OR(A309="",N309=""),"",P309+IF(E309="dias",MAX(0,A309-O309),IF(INDEX(Equipamentos!$D$2:$D$61,N309)=2,SUMIFS(Producao!$D:$D,Producao!$A:$A,"&gt;="&amp;O309,Producao!$A:$A,"&lt;"&amp;A309),IF(INDEX(Equipamentos!$D$2:$D$61,N309)=3,SUMIFS(Producao!$E:$E,Producao!$A:$A,"&gt;="&amp;O309,Producao!$A:$A,"&lt;"&amp;A309),SUMIFS(Producao!$B:$B,Producao!$A:$A,"&gt;="&amp;O309,Producao!$A:$A,"&lt;"&amp;A309)))))</f>
        <v/>
      </c>
      <c r="E309">
        <f>IF(N309="","",INDEX(Equipamentos!$C$2:$C$61,N309))</f>
        <v/>
      </c>
      <c r="F309" s="57">
        <f>IF(OR(D309="",N(Q309)&lt;=0),"",D309/Q309)</f>
        <v/>
      </c>
      <c r="G309" s="55" t="n"/>
      <c r="H309" s="58" t="n"/>
      <c r="I309" s="58" t="n"/>
      <c r="J309" s="55" t="n"/>
      <c r="K309" s="55" t="n"/>
      <c r="L309">
        <f>IF(OR(A309="",B309=""),"",_xlfn.MAXIFS(TrocasEquip!$A$2:$A$1000,TrocasEquip!$B$2:$B$1000,B309,TrocasEquip!$A$2:$A$1000,"&lt;"&amp;A309))</f>
        <v/>
      </c>
      <c r="M309">
        <f>IF(N(L309)=0,0,MATCH(1,INDEX((TrocasEquip!$B$2:$B$1000=B309)*(TrocasEquip!$A$2:$A$1000=L309),0),0))</f>
        <v/>
      </c>
      <c r="N309">
        <f>IF(B309="","",IFERROR(MATCH(B309,Equipamentos!$P$2:$P$61,0),""))</f>
        <v/>
      </c>
      <c r="O309">
        <f>IF(N309="","",IF(M309=0,INDEX(Equipamentos!$U$2:$U$61,N309),L309))</f>
        <v/>
      </c>
      <c r="P309">
        <f>IF(N309="","",IF(M309=0,N(INDEX(Equipamentos!$V$2:$V$61,N309)),N(INDEX(TrocasEquip!$I$2:$I$1000,M309))))</f>
        <v/>
      </c>
      <c r="Q309">
        <f>IF(N309="","",IF(M309=0,INDEX(Equipamentos!$T$2:$T$61,N309),IF(INDEX(TrocasEquip!$H$2:$H$1000,M309)="",INDEX(Equipamentos!$T$2:$T$61,N309),INDEX(TrocasEquip!$H$2:$H$1000,M309))))</f>
        <v/>
      </c>
    </row>
    <row r="310">
      <c r="A310" s="54" t="n"/>
      <c r="B310" s="55" t="n"/>
      <c r="C310">
        <f>IF(B310="","",IF(N310="","posição não encontrada",IF(M310=0,INDEX(Equipamentos!$S$2:$S$61,N310),INDEX(TrocasEquip!$G$2:$G$1000,M310))))</f>
        <v/>
      </c>
      <c r="D310" s="56">
        <f>IF(OR(A310="",N310=""),"",P310+IF(E310="dias",MAX(0,A310-O310),IF(INDEX(Equipamentos!$D$2:$D$61,N310)=2,SUMIFS(Producao!$D:$D,Producao!$A:$A,"&gt;="&amp;O310,Producao!$A:$A,"&lt;"&amp;A310),IF(INDEX(Equipamentos!$D$2:$D$61,N310)=3,SUMIFS(Producao!$E:$E,Producao!$A:$A,"&gt;="&amp;O310,Producao!$A:$A,"&lt;"&amp;A310),SUMIFS(Producao!$B:$B,Producao!$A:$A,"&gt;="&amp;O310,Producao!$A:$A,"&lt;"&amp;A310)))))</f>
        <v/>
      </c>
      <c r="E310">
        <f>IF(N310="","",INDEX(Equipamentos!$C$2:$C$61,N310))</f>
        <v/>
      </c>
      <c r="F310" s="57">
        <f>IF(OR(D310="",N(Q310)&lt;=0),"",D310/Q310)</f>
        <v/>
      </c>
      <c r="G310" s="55" t="n"/>
      <c r="H310" s="58" t="n"/>
      <c r="I310" s="58" t="n"/>
      <c r="J310" s="55" t="n"/>
      <c r="K310" s="55" t="n"/>
      <c r="L310">
        <f>IF(OR(A310="",B310=""),"",_xlfn.MAXIFS(TrocasEquip!$A$2:$A$1000,TrocasEquip!$B$2:$B$1000,B310,TrocasEquip!$A$2:$A$1000,"&lt;"&amp;A310))</f>
        <v/>
      </c>
      <c r="M310">
        <f>IF(N(L310)=0,0,MATCH(1,INDEX((TrocasEquip!$B$2:$B$1000=B310)*(TrocasEquip!$A$2:$A$1000=L310),0),0))</f>
        <v/>
      </c>
      <c r="N310">
        <f>IF(B310="","",IFERROR(MATCH(B310,Equipamentos!$P$2:$P$61,0),""))</f>
        <v/>
      </c>
      <c r="O310">
        <f>IF(N310="","",IF(M310=0,INDEX(Equipamentos!$U$2:$U$61,N310),L310))</f>
        <v/>
      </c>
      <c r="P310">
        <f>IF(N310="","",IF(M310=0,N(INDEX(Equipamentos!$V$2:$V$61,N310)),N(INDEX(TrocasEquip!$I$2:$I$1000,M310))))</f>
        <v/>
      </c>
      <c r="Q310">
        <f>IF(N310="","",IF(M310=0,INDEX(Equipamentos!$T$2:$T$61,N310),IF(INDEX(TrocasEquip!$H$2:$H$1000,M310)="",INDEX(Equipamentos!$T$2:$T$61,N310),INDEX(TrocasEquip!$H$2:$H$1000,M310))))</f>
        <v/>
      </c>
    </row>
    <row r="311">
      <c r="A311" s="54" t="n"/>
      <c r="B311" s="55" t="n"/>
      <c r="C311">
        <f>IF(B311="","",IF(N311="","posição não encontrada",IF(M311=0,INDEX(Equipamentos!$S$2:$S$61,N311),INDEX(TrocasEquip!$G$2:$G$1000,M311))))</f>
        <v/>
      </c>
      <c r="D311" s="56">
        <f>IF(OR(A311="",N311=""),"",P311+IF(E311="dias",MAX(0,A311-O311),IF(INDEX(Equipamentos!$D$2:$D$61,N311)=2,SUMIFS(Producao!$D:$D,Producao!$A:$A,"&gt;="&amp;O311,Producao!$A:$A,"&lt;"&amp;A311),IF(INDEX(Equipamentos!$D$2:$D$61,N311)=3,SUMIFS(Producao!$E:$E,Producao!$A:$A,"&gt;="&amp;O311,Producao!$A:$A,"&lt;"&amp;A311),SUMIFS(Producao!$B:$B,Producao!$A:$A,"&gt;="&amp;O311,Producao!$A:$A,"&lt;"&amp;A311)))))</f>
        <v/>
      </c>
      <c r="E311">
        <f>IF(N311="","",INDEX(Equipamentos!$C$2:$C$61,N311))</f>
        <v/>
      </c>
      <c r="F311" s="57">
        <f>IF(OR(D311="",N(Q311)&lt;=0),"",D311/Q311)</f>
        <v/>
      </c>
      <c r="G311" s="55" t="n"/>
      <c r="H311" s="58" t="n"/>
      <c r="I311" s="58" t="n"/>
      <c r="J311" s="55" t="n"/>
      <c r="K311" s="55" t="n"/>
      <c r="L311">
        <f>IF(OR(A311="",B311=""),"",_xlfn.MAXIFS(TrocasEquip!$A$2:$A$1000,TrocasEquip!$B$2:$B$1000,B311,TrocasEquip!$A$2:$A$1000,"&lt;"&amp;A311))</f>
        <v/>
      </c>
      <c r="M311">
        <f>IF(N(L311)=0,0,MATCH(1,INDEX((TrocasEquip!$B$2:$B$1000=B311)*(TrocasEquip!$A$2:$A$1000=L311),0),0))</f>
        <v/>
      </c>
      <c r="N311">
        <f>IF(B311="","",IFERROR(MATCH(B311,Equipamentos!$P$2:$P$61,0),""))</f>
        <v/>
      </c>
      <c r="O311">
        <f>IF(N311="","",IF(M311=0,INDEX(Equipamentos!$U$2:$U$61,N311),L311))</f>
        <v/>
      </c>
      <c r="P311">
        <f>IF(N311="","",IF(M311=0,N(INDEX(Equipamentos!$V$2:$V$61,N311)),N(INDEX(TrocasEquip!$I$2:$I$1000,M311))))</f>
        <v/>
      </c>
      <c r="Q311">
        <f>IF(N311="","",IF(M311=0,INDEX(Equipamentos!$T$2:$T$61,N311),IF(INDEX(TrocasEquip!$H$2:$H$1000,M311)="",INDEX(Equipamentos!$T$2:$T$61,N311),INDEX(TrocasEquip!$H$2:$H$1000,M311))))</f>
        <v/>
      </c>
    </row>
    <row r="312">
      <c r="A312" s="54" t="n"/>
      <c r="B312" s="55" t="n"/>
      <c r="C312">
        <f>IF(B312="","",IF(N312="","posição não encontrada",IF(M312=0,INDEX(Equipamentos!$S$2:$S$61,N312),INDEX(TrocasEquip!$G$2:$G$1000,M312))))</f>
        <v/>
      </c>
      <c r="D312" s="56">
        <f>IF(OR(A312="",N312=""),"",P312+IF(E312="dias",MAX(0,A312-O312),IF(INDEX(Equipamentos!$D$2:$D$61,N312)=2,SUMIFS(Producao!$D:$D,Producao!$A:$A,"&gt;="&amp;O312,Producao!$A:$A,"&lt;"&amp;A312),IF(INDEX(Equipamentos!$D$2:$D$61,N312)=3,SUMIFS(Producao!$E:$E,Producao!$A:$A,"&gt;="&amp;O312,Producao!$A:$A,"&lt;"&amp;A312),SUMIFS(Producao!$B:$B,Producao!$A:$A,"&gt;="&amp;O312,Producao!$A:$A,"&lt;"&amp;A312)))))</f>
        <v/>
      </c>
      <c r="E312">
        <f>IF(N312="","",INDEX(Equipamentos!$C$2:$C$61,N312))</f>
        <v/>
      </c>
      <c r="F312" s="57">
        <f>IF(OR(D312="",N(Q312)&lt;=0),"",D312/Q312)</f>
        <v/>
      </c>
      <c r="G312" s="55" t="n"/>
      <c r="H312" s="58" t="n"/>
      <c r="I312" s="58" t="n"/>
      <c r="J312" s="55" t="n"/>
      <c r="K312" s="55" t="n"/>
      <c r="L312">
        <f>IF(OR(A312="",B312=""),"",_xlfn.MAXIFS(TrocasEquip!$A$2:$A$1000,TrocasEquip!$B$2:$B$1000,B312,TrocasEquip!$A$2:$A$1000,"&lt;"&amp;A312))</f>
        <v/>
      </c>
      <c r="M312">
        <f>IF(N(L312)=0,0,MATCH(1,INDEX((TrocasEquip!$B$2:$B$1000=B312)*(TrocasEquip!$A$2:$A$1000=L312),0),0))</f>
        <v/>
      </c>
      <c r="N312">
        <f>IF(B312="","",IFERROR(MATCH(B312,Equipamentos!$P$2:$P$61,0),""))</f>
        <v/>
      </c>
      <c r="O312">
        <f>IF(N312="","",IF(M312=0,INDEX(Equipamentos!$U$2:$U$61,N312),L312))</f>
        <v/>
      </c>
      <c r="P312">
        <f>IF(N312="","",IF(M312=0,N(INDEX(Equipamentos!$V$2:$V$61,N312)),N(INDEX(TrocasEquip!$I$2:$I$1000,M312))))</f>
        <v/>
      </c>
      <c r="Q312">
        <f>IF(N312="","",IF(M312=0,INDEX(Equipamentos!$T$2:$T$61,N312),IF(INDEX(TrocasEquip!$H$2:$H$1000,M312)="",INDEX(Equipamentos!$T$2:$T$61,N312),INDEX(TrocasEquip!$H$2:$H$1000,M312))))</f>
        <v/>
      </c>
    </row>
    <row r="313">
      <c r="A313" s="54" t="n"/>
      <c r="B313" s="55" t="n"/>
      <c r="C313">
        <f>IF(B313="","",IF(N313="","posição não encontrada",IF(M313=0,INDEX(Equipamentos!$S$2:$S$61,N313),INDEX(TrocasEquip!$G$2:$G$1000,M313))))</f>
        <v/>
      </c>
      <c r="D313" s="56">
        <f>IF(OR(A313="",N313=""),"",P313+IF(E313="dias",MAX(0,A313-O313),IF(INDEX(Equipamentos!$D$2:$D$61,N313)=2,SUMIFS(Producao!$D:$D,Producao!$A:$A,"&gt;="&amp;O313,Producao!$A:$A,"&lt;"&amp;A313),IF(INDEX(Equipamentos!$D$2:$D$61,N313)=3,SUMIFS(Producao!$E:$E,Producao!$A:$A,"&gt;="&amp;O313,Producao!$A:$A,"&lt;"&amp;A313),SUMIFS(Producao!$B:$B,Producao!$A:$A,"&gt;="&amp;O313,Producao!$A:$A,"&lt;"&amp;A313)))))</f>
        <v/>
      </c>
      <c r="E313">
        <f>IF(N313="","",INDEX(Equipamentos!$C$2:$C$61,N313))</f>
        <v/>
      </c>
      <c r="F313" s="57">
        <f>IF(OR(D313="",N(Q313)&lt;=0),"",D313/Q313)</f>
        <v/>
      </c>
      <c r="G313" s="55" t="n"/>
      <c r="H313" s="58" t="n"/>
      <c r="I313" s="58" t="n"/>
      <c r="J313" s="55" t="n"/>
      <c r="K313" s="55" t="n"/>
      <c r="L313">
        <f>IF(OR(A313="",B313=""),"",_xlfn.MAXIFS(TrocasEquip!$A$2:$A$1000,TrocasEquip!$B$2:$B$1000,B313,TrocasEquip!$A$2:$A$1000,"&lt;"&amp;A313))</f>
        <v/>
      </c>
      <c r="M313">
        <f>IF(N(L313)=0,0,MATCH(1,INDEX((TrocasEquip!$B$2:$B$1000=B313)*(TrocasEquip!$A$2:$A$1000=L313),0),0))</f>
        <v/>
      </c>
      <c r="N313">
        <f>IF(B313="","",IFERROR(MATCH(B313,Equipamentos!$P$2:$P$61,0),""))</f>
        <v/>
      </c>
      <c r="O313">
        <f>IF(N313="","",IF(M313=0,INDEX(Equipamentos!$U$2:$U$61,N313),L313))</f>
        <v/>
      </c>
      <c r="P313">
        <f>IF(N313="","",IF(M313=0,N(INDEX(Equipamentos!$V$2:$V$61,N313)),N(INDEX(TrocasEquip!$I$2:$I$1000,M313))))</f>
        <v/>
      </c>
      <c r="Q313">
        <f>IF(N313="","",IF(M313=0,INDEX(Equipamentos!$T$2:$T$61,N313),IF(INDEX(TrocasEquip!$H$2:$H$1000,M313)="",INDEX(Equipamentos!$T$2:$T$61,N313),INDEX(TrocasEquip!$H$2:$H$1000,M313))))</f>
        <v/>
      </c>
    </row>
    <row r="314">
      <c r="A314" s="54" t="n"/>
      <c r="B314" s="55" t="n"/>
      <c r="C314">
        <f>IF(B314="","",IF(N314="","posição não encontrada",IF(M314=0,INDEX(Equipamentos!$S$2:$S$61,N314),INDEX(TrocasEquip!$G$2:$G$1000,M314))))</f>
        <v/>
      </c>
      <c r="D314" s="56">
        <f>IF(OR(A314="",N314=""),"",P314+IF(E314="dias",MAX(0,A314-O314),IF(INDEX(Equipamentos!$D$2:$D$61,N314)=2,SUMIFS(Producao!$D:$D,Producao!$A:$A,"&gt;="&amp;O314,Producao!$A:$A,"&lt;"&amp;A314),IF(INDEX(Equipamentos!$D$2:$D$61,N314)=3,SUMIFS(Producao!$E:$E,Producao!$A:$A,"&gt;="&amp;O314,Producao!$A:$A,"&lt;"&amp;A314),SUMIFS(Producao!$B:$B,Producao!$A:$A,"&gt;="&amp;O314,Producao!$A:$A,"&lt;"&amp;A314)))))</f>
        <v/>
      </c>
      <c r="E314">
        <f>IF(N314="","",INDEX(Equipamentos!$C$2:$C$61,N314))</f>
        <v/>
      </c>
      <c r="F314" s="57">
        <f>IF(OR(D314="",N(Q314)&lt;=0),"",D314/Q314)</f>
        <v/>
      </c>
      <c r="G314" s="55" t="n"/>
      <c r="H314" s="58" t="n"/>
      <c r="I314" s="58" t="n"/>
      <c r="J314" s="55" t="n"/>
      <c r="K314" s="55" t="n"/>
      <c r="L314">
        <f>IF(OR(A314="",B314=""),"",_xlfn.MAXIFS(TrocasEquip!$A$2:$A$1000,TrocasEquip!$B$2:$B$1000,B314,TrocasEquip!$A$2:$A$1000,"&lt;"&amp;A314))</f>
        <v/>
      </c>
      <c r="M314">
        <f>IF(N(L314)=0,0,MATCH(1,INDEX((TrocasEquip!$B$2:$B$1000=B314)*(TrocasEquip!$A$2:$A$1000=L314),0),0))</f>
        <v/>
      </c>
      <c r="N314">
        <f>IF(B314="","",IFERROR(MATCH(B314,Equipamentos!$P$2:$P$61,0),""))</f>
        <v/>
      </c>
      <c r="O314">
        <f>IF(N314="","",IF(M314=0,INDEX(Equipamentos!$U$2:$U$61,N314),L314))</f>
        <v/>
      </c>
      <c r="P314">
        <f>IF(N314="","",IF(M314=0,N(INDEX(Equipamentos!$V$2:$V$61,N314)),N(INDEX(TrocasEquip!$I$2:$I$1000,M314))))</f>
        <v/>
      </c>
      <c r="Q314">
        <f>IF(N314="","",IF(M314=0,INDEX(Equipamentos!$T$2:$T$61,N314),IF(INDEX(TrocasEquip!$H$2:$H$1000,M314)="",INDEX(Equipamentos!$T$2:$T$61,N314),INDEX(TrocasEquip!$H$2:$H$1000,M314))))</f>
        <v/>
      </c>
    </row>
    <row r="315">
      <c r="A315" s="54" t="n"/>
      <c r="B315" s="55" t="n"/>
      <c r="C315">
        <f>IF(B315="","",IF(N315="","posição não encontrada",IF(M315=0,INDEX(Equipamentos!$S$2:$S$61,N315),INDEX(TrocasEquip!$G$2:$G$1000,M315))))</f>
        <v/>
      </c>
      <c r="D315" s="56">
        <f>IF(OR(A315="",N315=""),"",P315+IF(E315="dias",MAX(0,A315-O315),IF(INDEX(Equipamentos!$D$2:$D$61,N315)=2,SUMIFS(Producao!$D:$D,Producao!$A:$A,"&gt;="&amp;O315,Producao!$A:$A,"&lt;"&amp;A315),IF(INDEX(Equipamentos!$D$2:$D$61,N315)=3,SUMIFS(Producao!$E:$E,Producao!$A:$A,"&gt;="&amp;O315,Producao!$A:$A,"&lt;"&amp;A315),SUMIFS(Producao!$B:$B,Producao!$A:$A,"&gt;="&amp;O315,Producao!$A:$A,"&lt;"&amp;A315)))))</f>
        <v/>
      </c>
      <c r="E315">
        <f>IF(N315="","",INDEX(Equipamentos!$C$2:$C$61,N315))</f>
        <v/>
      </c>
      <c r="F315" s="57">
        <f>IF(OR(D315="",N(Q315)&lt;=0),"",D315/Q315)</f>
        <v/>
      </c>
      <c r="G315" s="55" t="n"/>
      <c r="H315" s="58" t="n"/>
      <c r="I315" s="58" t="n"/>
      <c r="J315" s="55" t="n"/>
      <c r="K315" s="55" t="n"/>
      <c r="L315">
        <f>IF(OR(A315="",B315=""),"",_xlfn.MAXIFS(TrocasEquip!$A$2:$A$1000,TrocasEquip!$B$2:$B$1000,B315,TrocasEquip!$A$2:$A$1000,"&lt;"&amp;A315))</f>
        <v/>
      </c>
      <c r="M315">
        <f>IF(N(L315)=0,0,MATCH(1,INDEX((TrocasEquip!$B$2:$B$1000=B315)*(TrocasEquip!$A$2:$A$1000=L315),0),0))</f>
        <v/>
      </c>
      <c r="N315">
        <f>IF(B315="","",IFERROR(MATCH(B315,Equipamentos!$P$2:$P$61,0),""))</f>
        <v/>
      </c>
      <c r="O315">
        <f>IF(N315="","",IF(M315=0,INDEX(Equipamentos!$U$2:$U$61,N315),L315))</f>
        <v/>
      </c>
      <c r="P315">
        <f>IF(N315="","",IF(M315=0,N(INDEX(Equipamentos!$V$2:$V$61,N315)),N(INDEX(TrocasEquip!$I$2:$I$1000,M315))))</f>
        <v/>
      </c>
      <c r="Q315">
        <f>IF(N315="","",IF(M315=0,INDEX(Equipamentos!$T$2:$T$61,N315),IF(INDEX(TrocasEquip!$H$2:$H$1000,M315)="",INDEX(Equipamentos!$T$2:$T$61,N315),INDEX(TrocasEquip!$H$2:$H$1000,M315))))</f>
        <v/>
      </c>
    </row>
    <row r="316">
      <c r="A316" s="54" t="n"/>
      <c r="B316" s="55" t="n"/>
      <c r="C316">
        <f>IF(B316="","",IF(N316="","posição não encontrada",IF(M316=0,INDEX(Equipamentos!$S$2:$S$61,N316),INDEX(TrocasEquip!$G$2:$G$1000,M316))))</f>
        <v/>
      </c>
      <c r="D316" s="56">
        <f>IF(OR(A316="",N316=""),"",P316+IF(E316="dias",MAX(0,A316-O316),IF(INDEX(Equipamentos!$D$2:$D$61,N316)=2,SUMIFS(Producao!$D:$D,Producao!$A:$A,"&gt;="&amp;O316,Producao!$A:$A,"&lt;"&amp;A316),IF(INDEX(Equipamentos!$D$2:$D$61,N316)=3,SUMIFS(Producao!$E:$E,Producao!$A:$A,"&gt;="&amp;O316,Producao!$A:$A,"&lt;"&amp;A316),SUMIFS(Producao!$B:$B,Producao!$A:$A,"&gt;="&amp;O316,Producao!$A:$A,"&lt;"&amp;A316)))))</f>
        <v/>
      </c>
      <c r="E316">
        <f>IF(N316="","",INDEX(Equipamentos!$C$2:$C$61,N316))</f>
        <v/>
      </c>
      <c r="F316" s="57">
        <f>IF(OR(D316="",N(Q316)&lt;=0),"",D316/Q316)</f>
        <v/>
      </c>
      <c r="G316" s="55" t="n"/>
      <c r="H316" s="58" t="n"/>
      <c r="I316" s="58" t="n"/>
      <c r="J316" s="55" t="n"/>
      <c r="K316" s="55" t="n"/>
      <c r="L316">
        <f>IF(OR(A316="",B316=""),"",_xlfn.MAXIFS(TrocasEquip!$A$2:$A$1000,TrocasEquip!$B$2:$B$1000,B316,TrocasEquip!$A$2:$A$1000,"&lt;"&amp;A316))</f>
        <v/>
      </c>
      <c r="M316">
        <f>IF(N(L316)=0,0,MATCH(1,INDEX((TrocasEquip!$B$2:$B$1000=B316)*(TrocasEquip!$A$2:$A$1000=L316),0),0))</f>
        <v/>
      </c>
      <c r="N316">
        <f>IF(B316="","",IFERROR(MATCH(B316,Equipamentos!$P$2:$P$61,0),""))</f>
        <v/>
      </c>
      <c r="O316">
        <f>IF(N316="","",IF(M316=0,INDEX(Equipamentos!$U$2:$U$61,N316),L316))</f>
        <v/>
      </c>
      <c r="P316">
        <f>IF(N316="","",IF(M316=0,N(INDEX(Equipamentos!$V$2:$V$61,N316)),N(INDEX(TrocasEquip!$I$2:$I$1000,M316))))</f>
        <v/>
      </c>
      <c r="Q316">
        <f>IF(N316="","",IF(M316=0,INDEX(Equipamentos!$T$2:$T$61,N316),IF(INDEX(TrocasEquip!$H$2:$H$1000,M316)="",INDEX(Equipamentos!$T$2:$T$61,N316),INDEX(TrocasEquip!$H$2:$H$1000,M316))))</f>
        <v/>
      </c>
    </row>
    <row r="317">
      <c r="A317" s="54" t="n"/>
      <c r="B317" s="55" t="n"/>
      <c r="C317">
        <f>IF(B317="","",IF(N317="","posição não encontrada",IF(M317=0,INDEX(Equipamentos!$S$2:$S$61,N317),INDEX(TrocasEquip!$G$2:$G$1000,M317))))</f>
        <v/>
      </c>
      <c r="D317" s="56">
        <f>IF(OR(A317="",N317=""),"",P317+IF(E317="dias",MAX(0,A317-O317),IF(INDEX(Equipamentos!$D$2:$D$61,N317)=2,SUMIFS(Producao!$D:$D,Producao!$A:$A,"&gt;="&amp;O317,Producao!$A:$A,"&lt;"&amp;A317),IF(INDEX(Equipamentos!$D$2:$D$61,N317)=3,SUMIFS(Producao!$E:$E,Producao!$A:$A,"&gt;="&amp;O317,Producao!$A:$A,"&lt;"&amp;A317),SUMIFS(Producao!$B:$B,Producao!$A:$A,"&gt;="&amp;O317,Producao!$A:$A,"&lt;"&amp;A317)))))</f>
        <v/>
      </c>
      <c r="E317">
        <f>IF(N317="","",INDEX(Equipamentos!$C$2:$C$61,N317))</f>
        <v/>
      </c>
      <c r="F317" s="57">
        <f>IF(OR(D317="",N(Q317)&lt;=0),"",D317/Q317)</f>
        <v/>
      </c>
      <c r="G317" s="55" t="n"/>
      <c r="H317" s="58" t="n"/>
      <c r="I317" s="58" t="n"/>
      <c r="J317" s="55" t="n"/>
      <c r="K317" s="55" t="n"/>
      <c r="L317">
        <f>IF(OR(A317="",B317=""),"",_xlfn.MAXIFS(TrocasEquip!$A$2:$A$1000,TrocasEquip!$B$2:$B$1000,B317,TrocasEquip!$A$2:$A$1000,"&lt;"&amp;A317))</f>
        <v/>
      </c>
      <c r="M317">
        <f>IF(N(L317)=0,0,MATCH(1,INDEX((TrocasEquip!$B$2:$B$1000=B317)*(TrocasEquip!$A$2:$A$1000=L317),0),0))</f>
        <v/>
      </c>
      <c r="N317">
        <f>IF(B317="","",IFERROR(MATCH(B317,Equipamentos!$P$2:$P$61,0),""))</f>
        <v/>
      </c>
      <c r="O317">
        <f>IF(N317="","",IF(M317=0,INDEX(Equipamentos!$U$2:$U$61,N317),L317))</f>
        <v/>
      </c>
      <c r="P317">
        <f>IF(N317="","",IF(M317=0,N(INDEX(Equipamentos!$V$2:$V$61,N317)),N(INDEX(TrocasEquip!$I$2:$I$1000,M317))))</f>
        <v/>
      </c>
      <c r="Q317">
        <f>IF(N317="","",IF(M317=0,INDEX(Equipamentos!$T$2:$T$61,N317),IF(INDEX(TrocasEquip!$H$2:$H$1000,M317)="",INDEX(Equipamentos!$T$2:$T$61,N317),INDEX(TrocasEquip!$H$2:$H$1000,M317))))</f>
        <v/>
      </c>
    </row>
    <row r="318">
      <c r="A318" s="54" t="n"/>
      <c r="B318" s="55" t="n"/>
      <c r="C318">
        <f>IF(B318="","",IF(N318="","posição não encontrada",IF(M318=0,INDEX(Equipamentos!$S$2:$S$61,N318),INDEX(TrocasEquip!$G$2:$G$1000,M318))))</f>
        <v/>
      </c>
      <c r="D318" s="56">
        <f>IF(OR(A318="",N318=""),"",P318+IF(E318="dias",MAX(0,A318-O318),IF(INDEX(Equipamentos!$D$2:$D$61,N318)=2,SUMIFS(Producao!$D:$D,Producao!$A:$A,"&gt;="&amp;O318,Producao!$A:$A,"&lt;"&amp;A318),IF(INDEX(Equipamentos!$D$2:$D$61,N318)=3,SUMIFS(Producao!$E:$E,Producao!$A:$A,"&gt;="&amp;O318,Producao!$A:$A,"&lt;"&amp;A318),SUMIFS(Producao!$B:$B,Producao!$A:$A,"&gt;="&amp;O318,Producao!$A:$A,"&lt;"&amp;A318)))))</f>
        <v/>
      </c>
      <c r="E318">
        <f>IF(N318="","",INDEX(Equipamentos!$C$2:$C$61,N318))</f>
        <v/>
      </c>
      <c r="F318" s="57">
        <f>IF(OR(D318="",N(Q318)&lt;=0),"",D318/Q318)</f>
        <v/>
      </c>
      <c r="G318" s="55" t="n"/>
      <c r="H318" s="58" t="n"/>
      <c r="I318" s="58" t="n"/>
      <c r="J318" s="55" t="n"/>
      <c r="K318" s="55" t="n"/>
      <c r="L318">
        <f>IF(OR(A318="",B318=""),"",_xlfn.MAXIFS(TrocasEquip!$A$2:$A$1000,TrocasEquip!$B$2:$B$1000,B318,TrocasEquip!$A$2:$A$1000,"&lt;"&amp;A318))</f>
        <v/>
      </c>
      <c r="M318">
        <f>IF(N(L318)=0,0,MATCH(1,INDEX((TrocasEquip!$B$2:$B$1000=B318)*(TrocasEquip!$A$2:$A$1000=L318),0),0))</f>
        <v/>
      </c>
      <c r="N318">
        <f>IF(B318="","",IFERROR(MATCH(B318,Equipamentos!$P$2:$P$61,0),""))</f>
        <v/>
      </c>
      <c r="O318">
        <f>IF(N318="","",IF(M318=0,INDEX(Equipamentos!$U$2:$U$61,N318),L318))</f>
        <v/>
      </c>
      <c r="P318">
        <f>IF(N318="","",IF(M318=0,N(INDEX(Equipamentos!$V$2:$V$61,N318)),N(INDEX(TrocasEquip!$I$2:$I$1000,M318))))</f>
        <v/>
      </c>
      <c r="Q318">
        <f>IF(N318="","",IF(M318=0,INDEX(Equipamentos!$T$2:$T$61,N318),IF(INDEX(TrocasEquip!$H$2:$H$1000,M318)="",INDEX(Equipamentos!$T$2:$T$61,N318),INDEX(TrocasEquip!$H$2:$H$1000,M318))))</f>
        <v/>
      </c>
    </row>
    <row r="319">
      <c r="A319" s="54" t="n"/>
      <c r="B319" s="55" t="n"/>
      <c r="C319">
        <f>IF(B319="","",IF(N319="","posição não encontrada",IF(M319=0,INDEX(Equipamentos!$S$2:$S$61,N319),INDEX(TrocasEquip!$G$2:$G$1000,M319))))</f>
        <v/>
      </c>
      <c r="D319" s="56">
        <f>IF(OR(A319="",N319=""),"",P319+IF(E319="dias",MAX(0,A319-O319),IF(INDEX(Equipamentos!$D$2:$D$61,N319)=2,SUMIFS(Producao!$D:$D,Producao!$A:$A,"&gt;="&amp;O319,Producao!$A:$A,"&lt;"&amp;A319),IF(INDEX(Equipamentos!$D$2:$D$61,N319)=3,SUMIFS(Producao!$E:$E,Producao!$A:$A,"&gt;="&amp;O319,Producao!$A:$A,"&lt;"&amp;A319),SUMIFS(Producao!$B:$B,Producao!$A:$A,"&gt;="&amp;O319,Producao!$A:$A,"&lt;"&amp;A319)))))</f>
        <v/>
      </c>
      <c r="E319">
        <f>IF(N319="","",INDEX(Equipamentos!$C$2:$C$61,N319))</f>
        <v/>
      </c>
      <c r="F319" s="57">
        <f>IF(OR(D319="",N(Q319)&lt;=0),"",D319/Q319)</f>
        <v/>
      </c>
      <c r="G319" s="55" t="n"/>
      <c r="H319" s="58" t="n"/>
      <c r="I319" s="58" t="n"/>
      <c r="J319" s="55" t="n"/>
      <c r="K319" s="55" t="n"/>
      <c r="L319">
        <f>IF(OR(A319="",B319=""),"",_xlfn.MAXIFS(TrocasEquip!$A$2:$A$1000,TrocasEquip!$B$2:$B$1000,B319,TrocasEquip!$A$2:$A$1000,"&lt;"&amp;A319))</f>
        <v/>
      </c>
      <c r="M319">
        <f>IF(N(L319)=0,0,MATCH(1,INDEX((TrocasEquip!$B$2:$B$1000=B319)*(TrocasEquip!$A$2:$A$1000=L319),0),0))</f>
        <v/>
      </c>
      <c r="N319">
        <f>IF(B319="","",IFERROR(MATCH(B319,Equipamentos!$P$2:$P$61,0),""))</f>
        <v/>
      </c>
      <c r="O319">
        <f>IF(N319="","",IF(M319=0,INDEX(Equipamentos!$U$2:$U$61,N319),L319))</f>
        <v/>
      </c>
      <c r="P319">
        <f>IF(N319="","",IF(M319=0,N(INDEX(Equipamentos!$V$2:$V$61,N319)),N(INDEX(TrocasEquip!$I$2:$I$1000,M319))))</f>
        <v/>
      </c>
      <c r="Q319">
        <f>IF(N319="","",IF(M319=0,INDEX(Equipamentos!$T$2:$T$61,N319),IF(INDEX(TrocasEquip!$H$2:$H$1000,M319)="",INDEX(Equipamentos!$T$2:$T$61,N319),INDEX(TrocasEquip!$H$2:$H$1000,M319))))</f>
        <v/>
      </c>
    </row>
    <row r="320">
      <c r="A320" s="54" t="n"/>
      <c r="B320" s="55" t="n"/>
      <c r="C320">
        <f>IF(B320="","",IF(N320="","posição não encontrada",IF(M320=0,INDEX(Equipamentos!$S$2:$S$61,N320),INDEX(TrocasEquip!$G$2:$G$1000,M320))))</f>
        <v/>
      </c>
      <c r="D320" s="56">
        <f>IF(OR(A320="",N320=""),"",P320+IF(E320="dias",MAX(0,A320-O320),IF(INDEX(Equipamentos!$D$2:$D$61,N320)=2,SUMIFS(Producao!$D:$D,Producao!$A:$A,"&gt;="&amp;O320,Producao!$A:$A,"&lt;"&amp;A320),IF(INDEX(Equipamentos!$D$2:$D$61,N320)=3,SUMIFS(Producao!$E:$E,Producao!$A:$A,"&gt;="&amp;O320,Producao!$A:$A,"&lt;"&amp;A320),SUMIFS(Producao!$B:$B,Producao!$A:$A,"&gt;="&amp;O320,Producao!$A:$A,"&lt;"&amp;A320)))))</f>
        <v/>
      </c>
      <c r="E320">
        <f>IF(N320="","",INDEX(Equipamentos!$C$2:$C$61,N320))</f>
        <v/>
      </c>
      <c r="F320" s="57">
        <f>IF(OR(D320="",N(Q320)&lt;=0),"",D320/Q320)</f>
        <v/>
      </c>
      <c r="G320" s="55" t="n"/>
      <c r="H320" s="58" t="n"/>
      <c r="I320" s="58" t="n"/>
      <c r="J320" s="55" t="n"/>
      <c r="K320" s="55" t="n"/>
      <c r="L320">
        <f>IF(OR(A320="",B320=""),"",_xlfn.MAXIFS(TrocasEquip!$A$2:$A$1000,TrocasEquip!$B$2:$B$1000,B320,TrocasEquip!$A$2:$A$1000,"&lt;"&amp;A320))</f>
        <v/>
      </c>
      <c r="M320">
        <f>IF(N(L320)=0,0,MATCH(1,INDEX((TrocasEquip!$B$2:$B$1000=B320)*(TrocasEquip!$A$2:$A$1000=L320),0),0))</f>
        <v/>
      </c>
      <c r="N320">
        <f>IF(B320="","",IFERROR(MATCH(B320,Equipamentos!$P$2:$P$61,0),""))</f>
        <v/>
      </c>
      <c r="O320">
        <f>IF(N320="","",IF(M320=0,INDEX(Equipamentos!$U$2:$U$61,N320),L320))</f>
        <v/>
      </c>
      <c r="P320">
        <f>IF(N320="","",IF(M320=0,N(INDEX(Equipamentos!$V$2:$V$61,N320)),N(INDEX(TrocasEquip!$I$2:$I$1000,M320))))</f>
        <v/>
      </c>
      <c r="Q320">
        <f>IF(N320="","",IF(M320=0,INDEX(Equipamentos!$T$2:$T$61,N320),IF(INDEX(TrocasEquip!$H$2:$H$1000,M320)="",INDEX(Equipamentos!$T$2:$T$61,N320),INDEX(TrocasEquip!$H$2:$H$1000,M320))))</f>
        <v/>
      </c>
    </row>
    <row r="321">
      <c r="A321" s="54" t="n"/>
      <c r="B321" s="55" t="n"/>
      <c r="C321">
        <f>IF(B321="","",IF(N321="","posição não encontrada",IF(M321=0,INDEX(Equipamentos!$S$2:$S$61,N321),INDEX(TrocasEquip!$G$2:$G$1000,M321))))</f>
        <v/>
      </c>
      <c r="D321" s="56">
        <f>IF(OR(A321="",N321=""),"",P321+IF(E321="dias",MAX(0,A321-O321),IF(INDEX(Equipamentos!$D$2:$D$61,N321)=2,SUMIFS(Producao!$D:$D,Producao!$A:$A,"&gt;="&amp;O321,Producao!$A:$A,"&lt;"&amp;A321),IF(INDEX(Equipamentos!$D$2:$D$61,N321)=3,SUMIFS(Producao!$E:$E,Producao!$A:$A,"&gt;="&amp;O321,Producao!$A:$A,"&lt;"&amp;A321),SUMIFS(Producao!$B:$B,Producao!$A:$A,"&gt;="&amp;O321,Producao!$A:$A,"&lt;"&amp;A321)))))</f>
        <v/>
      </c>
      <c r="E321">
        <f>IF(N321="","",INDEX(Equipamentos!$C$2:$C$61,N321))</f>
        <v/>
      </c>
      <c r="F321" s="57">
        <f>IF(OR(D321="",N(Q321)&lt;=0),"",D321/Q321)</f>
        <v/>
      </c>
      <c r="G321" s="55" t="n"/>
      <c r="H321" s="58" t="n"/>
      <c r="I321" s="58" t="n"/>
      <c r="J321" s="55" t="n"/>
      <c r="K321" s="55" t="n"/>
      <c r="L321">
        <f>IF(OR(A321="",B321=""),"",_xlfn.MAXIFS(TrocasEquip!$A$2:$A$1000,TrocasEquip!$B$2:$B$1000,B321,TrocasEquip!$A$2:$A$1000,"&lt;"&amp;A321))</f>
        <v/>
      </c>
      <c r="M321">
        <f>IF(N(L321)=0,0,MATCH(1,INDEX((TrocasEquip!$B$2:$B$1000=B321)*(TrocasEquip!$A$2:$A$1000=L321),0),0))</f>
        <v/>
      </c>
      <c r="N321">
        <f>IF(B321="","",IFERROR(MATCH(B321,Equipamentos!$P$2:$P$61,0),""))</f>
        <v/>
      </c>
      <c r="O321">
        <f>IF(N321="","",IF(M321=0,INDEX(Equipamentos!$U$2:$U$61,N321),L321))</f>
        <v/>
      </c>
      <c r="P321">
        <f>IF(N321="","",IF(M321=0,N(INDEX(Equipamentos!$V$2:$V$61,N321)),N(INDEX(TrocasEquip!$I$2:$I$1000,M321))))</f>
        <v/>
      </c>
      <c r="Q321">
        <f>IF(N321="","",IF(M321=0,INDEX(Equipamentos!$T$2:$T$61,N321),IF(INDEX(TrocasEquip!$H$2:$H$1000,M321)="",INDEX(Equipamentos!$T$2:$T$61,N321),INDEX(TrocasEquip!$H$2:$H$1000,M321))))</f>
        <v/>
      </c>
    </row>
    <row r="322">
      <c r="A322" s="54" t="n"/>
      <c r="B322" s="55" t="n"/>
      <c r="C322">
        <f>IF(B322="","",IF(N322="","posição não encontrada",IF(M322=0,INDEX(Equipamentos!$S$2:$S$61,N322),INDEX(TrocasEquip!$G$2:$G$1000,M322))))</f>
        <v/>
      </c>
      <c r="D322" s="56">
        <f>IF(OR(A322="",N322=""),"",P322+IF(E322="dias",MAX(0,A322-O322),IF(INDEX(Equipamentos!$D$2:$D$61,N322)=2,SUMIFS(Producao!$D:$D,Producao!$A:$A,"&gt;="&amp;O322,Producao!$A:$A,"&lt;"&amp;A322),IF(INDEX(Equipamentos!$D$2:$D$61,N322)=3,SUMIFS(Producao!$E:$E,Producao!$A:$A,"&gt;="&amp;O322,Producao!$A:$A,"&lt;"&amp;A322),SUMIFS(Producao!$B:$B,Producao!$A:$A,"&gt;="&amp;O322,Producao!$A:$A,"&lt;"&amp;A322)))))</f>
        <v/>
      </c>
      <c r="E322">
        <f>IF(N322="","",INDEX(Equipamentos!$C$2:$C$61,N322))</f>
        <v/>
      </c>
      <c r="F322" s="57">
        <f>IF(OR(D322="",N(Q322)&lt;=0),"",D322/Q322)</f>
        <v/>
      </c>
      <c r="G322" s="55" t="n"/>
      <c r="H322" s="58" t="n"/>
      <c r="I322" s="58" t="n"/>
      <c r="J322" s="55" t="n"/>
      <c r="K322" s="55" t="n"/>
      <c r="L322">
        <f>IF(OR(A322="",B322=""),"",_xlfn.MAXIFS(TrocasEquip!$A$2:$A$1000,TrocasEquip!$B$2:$B$1000,B322,TrocasEquip!$A$2:$A$1000,"&lt;"&amp;A322))</f>
        <v/>
      </c>
      <c r="M322">
        <f>IF(N(L322)=0,0,MATCH(1,INDEX((TrocasEquip!$B$2:$B$1000=B322)*(TrocasEquip!$A$2:$A$1000=L322),0),0))</f>
        <v/>
      </c>
      <c r="N322">
        <f>IF(B322="","",IFERROR(MATCH(B322,Equipamentos!$P$2:$P$61,0),""))</f>
        <v/>
      </c>
      <c r="O322">
        <f>IF(N322="","",IF(M322=0,INDEX(Equipamentos!$U$2:$U$61,N322),L322))</f>
        <v/>
      </c>
      <c r="P322">
        <f>IF(N322="","",IF(M322=0,N(INDEX(Equipamentos!$V$2:$V$61,N322)),N(INDEX(TrocasEquip!$I$2:$I$1000,M322))))</f>
        <v/>
      </c>
      <c r="Q322">
        <f>IF(N322="","",IF(M322=0,INDEX(Equipamentos!$T$2:$T$61,N322),IF(INDEX(TrocasEquip!$H$2:$H$1000,M322)="",INDEX(Equipamentos!$T$2:$T$61,N322),INDEX(TrocasEquip!$H$2:$H$1000,M322))))</f>
        <v/>
      </c>
    </row>
    <row r="323">
      <c r="A323" s="54" t="n"/>
      <c r="B323" s="55" t="n"/>
      <c r="C323">
        <f>IF(B323="","",IF(N323="","posição não encontrada",IF(M323=0,INDEX(Equipamentos!$S$2:$S$61,N323),INDEX(TrocasEquip!$G$2:$G$1000,M323))))</f>
        <v/>
      </c>
      <c r="D323" s="56">
        <f>IF(OR(A323="",N323=""),"",P323+IF(E323="dias",MAX(0,A323-O323),IF(INDEX(Equipamentos!$D$2:$D$61,N323)=2,SUMIFS(Producao!$D:$D,Producao!$A:$A,"&gt;="&amp;O323,Producao!$A:$A,"&lt;"&amp;A323),IF(INDEX(Equipamentos!$D$2:$D$61,N323)=3,SUMIFS(Producao!$E:$E,Producao!$A:$A,"&gt;="&amp;O323,Producao!$A:$A,"&lt;"&amp;A323),SUMIFS(Producao!$B:$B,Producao!$A:$A,"&gt;="&amp;O323,Producao!$A:$A,"&lt;"&amp;A323)))))</f>
        <v/>
      </c>
      <c r="E323">
        <f>IF(N323="","",INDEX(Equipamentos!$C$2:$C$61,N323))</f>
        <v/>
      </c>
      <c r="F323" s="57">
        <f>IF(OR(D323="",N(Q323)&lt;=0),"",D323/Q323)</f>
        <v/>
      </c>
      <c r="G323" s="55" t="n"/>
      <c r="H323" s="58" t="n"/>
      <c r="I323" s="58" t="n"/>
      <c r="J323" s="55" t="n"/>
      <c r="K323" s="55" t="n"/>
      <c r="L323">
        <f>IF(OR(A323="",B323=""),"",_xlfn.MAXIFS(TrocasEquip!$A$2:$A$1000,TrocasEquip!$B$2:$B$1000,B323,TrocasEquip!$A$2:$A$1000,"&lt;"&amp;A323))</f>
        <v/>
      </c>
      <c r="M323">
        <f>IF(N(L323)=0,0,MATCH(1,INDEX((TrocasEquip!$B$2:$B$1000=B323)*(TrocasEquip!$A$2:$A$1000=L323),0),0))</f>
        <v/>
      </c>
      <c r="N323">
        <f>IF(B323="","",IFERROR(MATCH(B323,Equipamentos!$P$2:$P$61,0),""))</f>
        <v/>
      </c>
      <c r="O323">
        <f>IF(N323="","",IF(M323=0,INDEX(Equipamentos!$U$2:$U$61,N323),L323))</f>
        <v/>
      </c>
      <c r="P323">
        <f>IF(N323="","",IF(M323=0,N(INDEX(Equipamentos!$V$2:$V$61,N323)),N(INDEX(TrocasEquip!$I$2:$I$1000,M323))))</f>
        <v/>
      </c>
      <c r="Q323">
        <f>IF(N323="","",IF(M323=0,INDEX(Equipamentos!$T$2:$T$61,N323),IF(INDEX(TrocasEquip!$H$2:$H$1000,M323)="",INDEX(Equipamentos!$T$2:$T$61,N323),INDEX(TrocasEquip!$H$2:$H$1000,M323))))</f>
        <v/>
      </c>
    </row>
    <row r="324">
      <c r="A324" s="54" t="n"/>
      <c r="B324" s="55" t="n"/>
      <c r="C324">
        <f>IF(B324="","",IF(N324="","posição não encontrada",IF(M324=0,INDEX(Equipamentos!$S$2:$S$61,N324),INDEX(TrocasEquip!$G$2:$G$1000,M324))))</f>
        <v/>
      </c>
      <c r="D324" s="56">
        <f>IF(OR(A324="",N324=""),"",P324+IF(E324="dias",MAX(0,A324-O324),IF(INDEX(Equipamentos!$D$2:$D$61,N324)=2,SUMIFS(Producao!$D:$D,Producao!$A:$A,"&gt;="&amp;O324,Producao!$A:$A,"&lt;"&amp;A324),IF(INDEX(Equipamentos!$D$2:$D$61,N324)=3,SUMIFS(Producao!$E:$E,Producao!$A:$A,"&gt;="&amp;O324,Producao!$A:$A,"&lt;"&amp;A324),SUMIFS(Producao!$B:$B,Producao!$A:$A,"&gt;="&amp;O324,Producao!$A:$A,"&lt;"&amp;A324)))))</f>
        <v/>
      </c>
      <c r="E324">
        <f>IF(N324="","",INDEX(Equipamentos!$C$2:$C$61,N324))</f>
        <v/>
      </c>
      <c r="F324" s="57">
        <f>IF(OR(D324="",N(Q324)&lt;=0),"",D324/Q324)</f>
        <v/>
      </c>
      <c r="G324" s="55" t="n"/>
      <c r="H324" s="58" t="n"/>
      <c r="I324" s="58" t="n"/>
      <c r="J324" s="55" t="n"/>
      <c r="K324" s="55" t="n"/>
      <c r="L324">
        <f>IF(OR(A324="",B324=""),"",_xlfn.MAXIFS(TrocasEquip!$A$2:$A$1000,TrocasEquip!$B$2:$B$1000,B324,TrocasEquip!$A$2:$A$1000,"&lt;"&amp;A324))</f>
        <v/>
      </c>
      <c r="M324">
        <f>IF(N(L324)=0,0,MATCH(1,INDEX((TrocasEquip!$B$2:$B$1000=B324)*(TrocasEquip!$A$2:$A$1000=L324),0),0))</f>
        <v/>
      </c>
      <c r="N324">
        <f>IF(B324="","",IFERROR(MATCH(B324,Equipamentos!$P$2:$P$61,0),""))</f>
        <v/>
      </c>
      <c r="O324">
        <f>IF(N324="","",IF(M324=0,INDEX(Equipamentos!$U$2:$U$61,N324),L324))</f>
        <v/>
      </c>
      <c r="P324">
        <f>IF(N324="","",IF(M324=0,N(INDEX(Equipamentos!$V$2:$V$61,N324)),N(INDEX(TrocasEquip!$I$2:$I$1000,M324))))</f>
        <v/>
      </c>
      <c r="Q324">
        <f>IF(N324="","",IF(M324=0,INDEX(Equipamentos!$T$2:$T$61,N324),IF(INDEX(TrocasEquip!$H$2:$H$1000,M324)="",INDEX(Equipamentos!$T$2:$T$61,N324),INDEX(TrocasEquip!$H$2:$H$1000,M324))))</f>
        <v/>
      </c>
    </row>
    <row r="325">
      <c r="A325" s="54" t="n"/>
      <c r="B325" s="55" t="n"/>
      <c r="C325">
        <f>IF(B325="","",IF(N325="","posição não encontrada",IF(M325=0,INDEX(Equipamentos!$S$2:$S$61,N325),INDEX(TrocasEquip!$G$2:$G$1000,M325))))</f>
        <v/>
      </c>
      <c r="D325" s="56">
        <f>IF(OR(A325="",N325=""),"",P325+IF(E325="dias",MAX(0,A325-O325),IF(INDEX(Equipamentos!$D$2:$D$61,N325)=2,SUMIFS(Producao!$D:$D,Producao!$A:$A,"&gt;="&amp;O325,Producao!$A:$A,"&lt;"&amp;A325),IF(INDEX(Equipamentos!$D$2:$D$61,N325)=3,SUMIFS(Producao!$E:$E,Producao!$A:$A,"&gt;="&amp;O325,Producao!$A:$A,"&lt;"&amp;A325),SUMIFS(Producao!$B:$B,Producao!$A:$A,"&gt;="&amp;O325,Producao!$A:$A,"&lt;"&amp;A325)))))</f>
        <v/>
      </c>
      <c r="E325">
        <f>IF(N325="","",INDEX(Equipamentos!$C$2:$C$61,N325))</f>
        <v/>
      </c>
      <c r="F325" s="57">
        <f>IF(OR(D325="",N(Q325)&lt;=0),"",D325/Q325)</f>
        <v/>
      </c>
      <c r="G325" s="55" t="n"/>
      <c r="H325" s="58" t="n"/>
      <c r="I325" s="58" t="n"/>
      <c r="J325" s="55" t="n"/>
      <c r="K325" s="55" t="n"/>
      <c r="L325">
        <f>IF(OR(A325="",B325=""),"",_xlfn.MAXIFS(TrocasEquip!$A$2:$A$1000,TrocasEquip!$B$2:$B$1000,B325,TrocasEquip!$A$2:$A$1000,"&lt;"&amp;A325))</f>
        <v/>
      </c>
      <c r="M325">
        <f>IF(N(L325)=0,0,MATCH(1,INDEX((TrocasEquip!$B$2:$B$1000=B325)*(TrocasEquip!$A$2:$A$1000=L325),0),0))</f>
        <v/>
      </c>
      <c r="N325">
        <f>IF(B325="","",IFERROR(MATCH(B325,Equipamentos!$P$2:$P$61,0),""))</f>
        <v/>
      </c>
      <c r="O325">
        <f>IF(N325="","",IF(M325=0,INDEX(Equipamentos!$U$2:$U$61,N325),L325))</f>
        <v/>
      </c>
      <c r="P325">
        <f>IF(N325="","",IF(M325=0,N(INDEX(Equipamentos!$V$2:$V$61,N325)),N(INDEX(TrocasEquip!$I$2:$I$1000,M325))))</f>
        <v/>
      </c>
      <c r="Q325">
        <f>IF(N325="","",IF(M325=0,INDEX(Equipamentos!$T$2:$T$61,N325),IF(INDEX(TrocasEquip!$H$2:$H$1000,M325)="",INDEX(Equipamentos!$T$2:$T$61,N325),INDEX(TrocasEquip!$H$2:$H$1000,M325))))</f>
        <v/>
      </c>
    </row>
    <row r="326">
      <c r="A326" s="54" t="n"/>
      <c r="B326" s="55" t="n"/>
      <c r="C326">
        <f>IF(B326="","",IF(N326="","posição não encontrada",IF(M326=0,INDEX(Equipamentos!$S$2:$S$61,N326),INDEX(TrocasEquip!$G$2:$G$1000,M326))))</f>
        <v/>
      </c>
      <c r="D326" s="56">
        <f>IF(OR(A326="",N326=""),"",P326+IF(E326="dias",MAX(0,A326-O326),IF(INDEX(Equipamentos!$D$2:$D$61,N326)=2,SUMIFS(Producao!$D:$D,Producao!$A:$A,"&gt;="&amp;O326,Producao!$A:$A,"&lt;"&amp;A326),IF(INDEX(Equipamentos!$D$2:$D$61,N326)=3,SUMIFS(Producao!$E:$E,Producao!$A:$A,"&gt;="&amp;O326,Producao!$A:$A,"&lt;"&amp;A326),SUMIFS(Producao!$B:$B,Producao!$A:$A,"&gt;="&amp;O326,Producao!$A:$A,"&lt;"&amp;A326)))))</f>
        <v/>
      </c>
      <c r="E326">
        <f>IF(N326="","",INDEX(Equipamentos!$C$2:$C$61,N326))</f>
        <v/>
      </c>
      <c r="F326" s="57">
        <f>IF(OR(D326="",N(Q326)&lt;=0),"",D326/Q326)</f>
        <v/>
      </c>
      <c r="G326" s="55" t="n"/>
      <c r="H326" s="58" t="n"/>
      <c r="I326" s="58" t="n"/>
      <c r="J326" s="55" t="n"/>
      <c r="K326" s="55" t="n"/>
      <c r="L326">
        <f>IF(OR(A326="",B326=""),"",_xlfn.MAXIFS(TrocasEquip!$A$2:$A$1000,TrocasEquip!$B$2:$B$1000,B326,TrocasEquip!$A$2:$A$1000,"&lt;"&amp;A326))</f>
        <v/>
      </c>
      <c r="M326">
        <f>IF(N(L326)=0,0,MATCH(1,INDEX((TrocasEquip!$B$2:$B$1000=B326)*(TrocasEquip!$A$2:$A$1000=L326),0),0))</f>
        <v/>
      </c>
      <c r="N326">
        <f>IF(B326="","",IFERROR(MATCH(B326,Equipamentos!$P$2:$P$61,0),""))</f>
        <v/>
      </c>
      <c r="O326">
        <f>IF(N326="","",IF(M326=0,INDEX(Equipamentos!$U$2:$U$61,N326),L326))</f>
        <v/>
      </c>
      <c r="P326">
        <f>IF(N326="","",IF(M326=0,N(INDEX(Equipamentos!$V$2:$V$61,N326)),N(INDEX(TrocasEquip!$I$2:$I$1000,M326))))</f>
        <v/>
      </c>
      <c r="Q326">
        <f>IF(N326="","",IF(M326=0,INDEX(Equipamentos!$T$2:$T$61,N326),IF(INDEX(TrocasEquip!$H$2:$H$1000,M326)="",INDEX(Equipamentos!$T$2:$T$61,N326),INDEX(TrocasEquip!$H$2:$H$1000,M326))))</f>
        <v/>
      </c>
    </row>
    <row r="327">
      <c r="A327" s="54" t="n"/>
      <c r="B327" s="55" t="n"/>
      <c r="C327">
        <f>IF(B327="","",IF(N327="","posição não encontrada",IF(M327=0,INDEX(Equipamentos!$S$2:$S$61,N327),INDEX(TrocasEquip!$G$2:$G$1000,M327))))</f>
        <v/>
      </c>
      <c r="D327" s="56">
        <f>IF(OR(A327="",N327=""),"",P327+IF(E327="dias",MAX(0,A327-O327),IF(INDEX(Equipamentos!$D$2:$D$61,N327)=2,SUMIFS(Producao!$D:$D,Producao!$A:$A,"&gt;="&amp;O327,Producao!$A:$A,"&lt;"&amp;A327),IF(INDEX(Equipamentos!$D$2:$D$61,N327)=3,SUMIFS(Producao!$E:$E,Producao!$A:$A,"&gt;="&amp;O327,Producao!$A:$A,"&lt;"&amp;A327),SUMIFS(Producao!$B:$B,Producao!$A:$A,"&gt;="&amp;O327,Producao!$A:$A,"&lt;"&amp;A327)))))</f>
        <v/>
      </c>
      <c r="E327">
        <f>IF(N327="","",INDEX(Equipamentos!$C$2:$C$61,N327))</f>
        <v/>
      </c>
      <c r="F327" s="57">
        <f>IF(OR(D327="",N(Q327)&lt;=0),"",D327/Q327)</f>
        <v/>
      </c>
      <c r="G327" s="55" t="n"/>
      <c r="H327" s="58" t="n"/>
      <c r="I327" s="58" t="n"/>
      <c r="J327" s="55" t="n"/>
      <c r="K327" s="55" t="n"/>
      <c r="L327">
        <f>IF(OR(A327="",B327=""),"",_xlfn.MAXIFS(TrocasEquip!$A$2:$A$1000,TrocasEquip!$B$2:$B$1000,B327,TrocasEquip!$A$2:$A$1000,"&lt;"&amp;A327))</f>
        <v/>
      </c>
      <c r="M327">
        <f>IF(N(L327)=0,0,MATCH(1,INDEX((TrocasEquip!$B$2:$B$1000=B327)*(TrocasEquip!$A$2:$A$1000=L327),0),0))</f>
        <v/>
      </c>
      <c r="N327">
        <f>IF(B327="","",IFERROR(MATCH(B327,Equipamentos!$P$2:$P$61,0),""))</f>
        <v/>
      </c>
      <c r="O327">
        <f>IF(N327="","",IF(M327=0,INDEX(Equipamentos!$U$2:$U$61,N327),L327))</f>
        <v/>
      </c>
      <c r="P327">
        <f>IF(N327="","",IF(M327=0,N(INDEX(Equipamentos!$V$2:$V$61,N327)),N(INDEX(TrocasEquip!$I$2:$I$1000,M327))))</f>
        <v/>
      </c>
      <c r="Q327">
        <f>IF(N327="","",IF(M327=0,INDEX(Equipamentos!$T$2:$T$61,N327),IF(INDEX(TrocasEquip!$H$2:$H$1000,M327)="",INDEX(Equipamentos!$T$2:$T$61,N327),INDEX(TrocasEquip!$H$2:$H$1000,M327))))</f>
        <v/>
      </c>
    </row>
    <row r="328">
      <c r="A328" s="54" t="n"/>
      <c r="B328" s="55" t="n"/>
      <c r="C328">
        <f>IF(B328="","",IF(N328="","posição não encontrada",IF(M328=0,INDEX(Equipamentos!$S$2:$S$61,N328),INDEX(TrocasEquip!$G$2:$G$1000,M328))))</f>
        <v/>
      </c>
      <c r="D328" s="56">
        <f>IF(OR(A328="",N328=""),"",P328+IF(E328="dias",MAX(0,A328-O328),IF(INDEX(Equipamentos!$D$2:$D$61,N328)=2,SUMIFS(Producao!$D:$D,Producao!$A:$A,"&gt;="&amp;O328,Producao!$A:$A,"&lt;"&amp;A328),IF(INDEX(Equipamentos!$D$2:$D$61,N328)=3,SUMIFS(Producao!$E:$E,Producao!$A:$A,"&gt;="&amp;O328,Producao!$A:$A,"&lt;"&amp;A328),SUMIFS(Producao!$B:$B,Producao!$A:$A,"&gt;="&amp;O328,Producao!$A:$A,"&lt;"&amp;A328)))))</f>
        <v/>
      </c>
      <c r="E328">
        <f>IF(N328="","",INDEX(Equipamentos!$C$2:$C$61,N328))</f>
        <v/>
      </c>
      <c r="F328" s="57">
        <f>IF(OR(D328="",N(Q328)&lt;=0),"",D328/Q328)</f>
        <v/>
      </c>
      <c r="G328" s="55" t="n"/>
      <c r="H328" s="58" t="n"/>
      <c r="I328" s="58" t="n"/>
      <c r="J328" s="55" t="n"/>
      <c r="K328" s="55" t="n"/>
      <c r="L328">
        <f>IF(OR(A328="",B328=""),"",_xlfn.MAXIFS(TrocasEquip!$A$2:$A$1000,TrocasEquip!$B$2:$B$1000,B328,TrocasEquip!$A$2:$A$1000,"&lt;"&amp;A328))</f>
        <v/>
      </c>
      <c r="M328">
        <f>IF(N(L328)=0,0,MATCH(1,INDEX((TrocasEquip!$B$2:$B$1000=B328)*(TrocasEquip!$A$2:$A$1000=L328),0),0))</f>
        <v/>
      </c>
      <c r="N328">
        <f>IF(B328="","",IFERROR(MATCH(B328,Equipamentos!$P$2:$P$61,0),""))</f>
        <v/>
      </c>
      <c r="O328">
        <f>IF(N328="","",IF(M328=0,INDEX(Equipamentos!$U$2:$U$61,N328),L328))</f>
        <v/>
      </c>
      <c r="P328">
        <f>IF(N328="","",IF(M328=0,N(INDEX(Equipamentos!$V$2:$V$61,N328)),N(INDEX(TrocasEquip!$I$2:$I$1000,M328))))</f>
        <v/>
      </c>
      <c r="Q328">
        <f>IF(N328="","",IF(M328=0,INDEX(Equipamentos!$T$2:$T$61,N328),IF(INDEX(TrocasEquip!$H$2:$H$1000,M328)="",INDEX(Equipamentos!$T$2:$T$61,N328),INDEX(TrocasEquip!$H$2:$H$1000,M328))))</f>
        <v/>
      </c>
    </row>
    <row r="329">
      <c r="A329" s="54" t="n"/>
      <c r="B329" s="55" t="n"/>
      <c r="C329">
        <f>IF(B329="","",IF(N329="","posição não encontrada",IF(M329=0,INDEX(Equipamentos!$S$2:$S$61,N329),INDEX(TrocasEquip!$G$2:$G$1000,M329))))</f>
        <v/>
      </c>
      <c r="D329" s="56">
        <f>IF(OR(A329="",N329=""),"",P329+IF(E329="dias",MAX(0,A329-O329),IF(INDEX(Equipamentos!$D$2:$D$61,N329)=2,SUMIFS(Producao!$D:$D,Producao!$A:$A,"&gt;="&amp;O329,Producao!$A:$A,"&lt;"&amp;A329),IF(INDEX(Equipamentos!$D$2:$D$61,N329)=3,SUMIFS(Producao!$E:$E,Producao!$A:$A,"&gt;="&amp;O329,Producao!$A:$A,"&lt;"&amp;A329),SUMIFS(Producao!$B:$B,Producao!$A:$A,"&gt;="&amp;O329,Producao!$A:$A,"&lt;"&amp;A329)))))</f>
        <v/>
      </c>
      <c r="E329">
        <f>IF(N329="","",INDEX(Equipamentos!$C$2:$C$61,N329))</f>
        <v/>
      </c>
      <c r="F329" s="57">
        <f>IF(OR(D329="",N(Q329)&lt;=0),"",D329/Q329)</f>
        <v/>
      </c>
      <c r="G329" s="55" t="n"/>
      <c r="H329" s="58" t="n"/>
      <c r="I329" s="58" t="n"/>
      <c r="J329" s="55" t="n"/>
      <c r="K329" s="55" t="n"/>
      <c r="L329">
        <f>IF(OR(A329="",B329=""),"",_xlfn.MAXIFS(TrocasEquip!$A$2:$A$1000,TrocasEquip!$B$2:$B$1000,B329,TrocasEquip!$A$2:$A$1000,"&lt;"&amp;A329))</f>
        <v/>
      </c>
      <c r="M329">
        <f>IF(N(L329)=0,0,MATCH(1,INDEX((TrocasEquip!$B$2:$B$1000=B329)*(TrocasEquip!$A$2:$A$1000=L329),0),0))</f>
        <v/>
      </c>
      <c r="N329">
        <f>IF(B329="","",IFERROR(MATCH(B329,Equipamentos!$P$2:$P$61,0),""))</f>
        <v/>
      </c>
      <c r="O329">
        <f>IF(N329="","",IF(M329=0,INDEX(Equipamentos!$U$2:$U$61,N329),L329))</f>
        <v/>
      </c>
      <c r="P329">
        <f>IF(N329="","",IF(M329=0,N(INDEX(Equipamentos!$V$2:$V$61,N329)),N(INDEX(TrocasEquip!$I$2:$I$1000,M329))))</f>
        <v/>
      </c>
      <c r="Q329">
        <f>IF(N329="","",IF(M329=0,INDEX(Equipamentos!$T$2:$T$61,N329),IF(INDEX(TrocasEquip!$H$2:$H$1000,M329)="",INDEX(Equipamentos!$T$2:$T$61,N329),INDEX(TrocasEquip!$H$2:$H$1000,M329))))</f>
        <v/>
      </c>
    </row>
    <row r="330">
      <c r="A330" s="54" t="n"/>
      <c r="B330" s="55" t="n"/>
      <c r="C330">
        <f>IF(B330="","",IF(N330="","posição não encontrada",IF(M330=0,INDEX(Equipamentos!$S$2:$S$61,N330),INDEX(TrocasEquip!$G$2:$G$1000,M330))))</f>
        <v/>
      </c>
      <c r="D330" s="56">
        <f>IF(OR(A330="",N330=""),"",P330+IF(E330="dias",MAX(0,A330-O330),IF(INDEX(Equipamentos!$D$2:$D$61,N330)=2,SUMIFS(Producao!$D:$D,Producao!$A:$A,"&gt;="&amp;O330,Producao!$A:$A,"&lt;"&amp;A330),IF(INDEX(Equipamentos!$D$2:$D$61,N330)=3,SUMIFS(Producao!$E:$E,Producao!$A:$A,"&gt;="&amp;O330,Producao!$A:$A,"&lt;"&amp;A330),SUMIFS(Producao!$B:$B,Producao!$A:$A,"&gt;="&amp;O330,Producao!$A:$A,"&lt;"&amp;A330)))))</f>
        <v/>
      </c>
      <c r="E330">
        <f>IF(N330="","",INDEX(Equipamentos!$C$2:$C$61,N330))</f>
        <v/>
      </c>
      <c r="F330" s="57">
        <f>IF(OR(D330="",N(Q330)&lt;=0),"",D330/Q330)</f>
        <v/>
      </c>
      <c r="G330" s="55" t="n"/>
      <c r="H330" s="58" t="n"/>
      <c r="I330" s="58" t="n"/>
      <c r="J330" s="55" t="n"/>
      <c r="K330" s="55" t="n"/>
      <c r="L330">
        <f>IF(OR(A330="",B330=""),"",_xlfn.MAXIFS(TrocasEquip!$A$2:$A$1000,TrocasEquip!$B$2:$B$1000,B330,TrocasEquip!$A$2:$A$1000,"&lt;"&amp;A330))</f>
        <v/>
      </c>
      <c r="M330">
        <f>IF(N(L330)=0,0,MATCH(1,INDEX((TrocasEquip!$B$2:$B$1000=B330)*(TrocasEquip!$A$2:$A$1000=L330),0),0))</f>
        <v/>
      </c>
      <c r="N330">
        <f>IF(B330="","",IFERROR(MATCH(B330,Equipamentos!$P$2:$P$61,0),""))</f>
        <v/>
      </c>
      <c r="O330">
        <f>IF(N330="","",IF(M330=0,INDEX(Equipamentos!$U$2:$U$61,N330),L330))</f>
        <v/>
      </c>
      <c r="P330">
        <f>IF(N330="","",IF(M330=0,N(INDEX(Equipamentos!$V$2:$V$61,N330)),N(INDEX(TrocasEquip!$I$2:$I$1000,M330))))</f>
        <v/>
      </c>
      <c r="Q330">
        <f>IF(N330="","",IF(M330=0,INDEX(Equipamentos!$T$2:$T$61,N330),IF(INDEX(TrocasEquip!$H$2:$H$1000,M330)="",INDEX(Equipamentos!$T$2:$T$61,N330),INDEX(TrocasEquip!$H$2:$H$1000,M330))))</f>
        <v/>
      </c>
    </row>
    <row r="331">
      <c r="A331" s="54" t="n"/>
      <c r="B331" s="55" t="n"/>
      <c r="C331">
        <f>IF(B331="","",IF(N331="","posição não encontrada",IF(M331=0,INDEX(Equipamentos!$S$2:$S$61,N331),INDEX(TrocasEquip!$G$2:$G$1000,M331))))</f>
        <v/>
      </c>
      <c r="D331" s="56">
        <f>IF(OR(A331="",N331=""),"",P331+IF(E331="dias",MAX(0,A331-O331),IF(INDEX(Equipamentos!$D$2:$D$61,N331)=2,SUMIFS(Producao!$D:$D,Producao!$A:$A,"&gt;="&amp;O331,Producao!$A:$A,"&lt;"&amp;A331),IF(INDEX(Equipamentos!$D$2:$D$61,N331)=3,SUMIFS(Producao!$E:$E,Producao!$A:$A,"&gt;="&amp;O331,Producao!$A:$A,"&lt;"&amp;A331),SUMIFS(Producao!$B:$B,Producao!$A:$A,"&gt;="&amp;O331,Producao!$A:$A,"&lt;"&amp;A331)))))</f>
        <v/>
      </c>
      <c r="E331">
        <f>IF(N331="","",INDEX(Equipamentos!$C$2:$C$61,N331))</f>
        <v/>
      </c>
      <c r="F331" s="57">
        <f>IF(OR(D331="",N(Q331)&lt;=0),"",D331/Q331)</f>
        <v/>
      </c>
      <c r="G331" s="55" t="n"/>
      <c r="H331" s="58" t="n"/>
      <c r="I331" s="58" t="n"/>
      <c r="J331" s="55" t="n"/>
      <c r="K331" s="55" t="n"/>
      <c r="L331">
        <f>IF(OR(A331="",B331=""),"",_xlfn.MAXIFS(TrocasEquip!$A$2:$A$1000,TrocasEquip!$B$2:$B$1000,B331,TrocasEquip!$A$2:$A$1000,"&lt;"&amp;A331))</f>
        <v/>
      </c>
      <c r="M331">
        <f>IF(N(L331)=0,0,MATCH(1,INDEX((TrocasEquip!$B$2:$B$1000=B331)*(TrocasEquip!$A$2:$A$1000=L331),0),0))</f>
        <v/>
      </c>
      <c r="N331">
        <f>IF(B331="","",IFERROR(MATCH(B331,Equipamentos!$P$2:$P$61,0),""))</f>
        <v/>
      </c>
      <c r="O331">
        <f>IF(N331="","",IF(M331=0,INDEX(Equipamentos!$U$2:$U$61,N331),L331))</f>
        <v/>
      </c>
      <c r="P331">
        <f>IF(N331="","",IF(M331=0,N(INDEX(Equipamentos!$V$2:$V$61,N331)),N(INDEX(TrocasEquip!$I$2:$I$1000,M331))))</f>
        <v/>
      </c>
      <c r="Q331">
        <f>IF(N331="","",IF(M331=0,INDEX(Equipamentos!$T$2:$T$61,N331),IF(INDEX(TrocasEquip!$H$2:$H$1000,M331)="",INDEX(Equipamentos!$T$2:$T$61,N331),INDEX(TrocasEquip!$H$2:$H$1000,M331))))</f>
        <v/>
      </c>
    </row>
    <row r="332">
      <c r="A332" s="54" t="n"/>
      <c r="B332" s="55" t="n"/>
      <c r="C332">
        <f>IF(B332="","",IF(N332="","posição não encontrada",IF(M332=0,INDEX(Equipamentos!$S$2:$S$61,N332),INDEX(TrocasEquip!$G$2:$G$1000,M332))))</f>
        <v/>
      </c>
      <c r="D332" s="56">
        <f>IF(OR(A332="",N332=""),"",P332+IF(E332="dias",MAX(0,A332-O332),IF(INDEX(Equipamentos!$D$2:$D$61,N332)=2,SUMIFS(Producao!$D:$D,Producao!$A:$A,"&gt;="&amp;O332,Producao!$A:$A,"&lt;"&amp;A332),IF(INDEX(Equipamentos!$D$2:$D$61,N332)=3,SUMIFS(Producao!$E:$E,Producao!$A:$A,"&gt;="&amp;O332,Producao!$A:$A,"&lt;"&amp;A332),SUMIFS(Producao!$B:$B,Producao!$A:$A,"&gt;="&amp;O332,Producao!$A:$A,"&lt;"&amp;A332)))))</f>
        <v/>
      </c>
      <c r="E332">
        <f>IF(N332="","",INDEX(Equipamentos!$C$2:$C$61,N332))</f>
        <v/>
      </c>
      <c r="F332" s="57">
        <f>IF(OR(D332="",N(Q332)&lt;=0),"",D332/Q332)</f>
        <v/>
      </c>
      <c r="G332" s="55" t="n"/>
      <c r="H332" s="58" t="n"/>
      <c r="I332" s="58" t="n"/>
      <c r="J332" s="55" t="n"/>
      <c r="K332" s="55" t="n"/>
      <c r="L332">
        <f>IF(OR(A332="",B332=""),"",_xlfn.MAXIFS(TrocasEquip!$A$2:$A$1000,TrocasEquip!$B$2:$B$1000,B332,TrocasEquip!$A$2:$A$1000,"&lt;"&amp;A332))</f>
        <v/>
      </c>
      <c r="M332">
        <f>IF(N(L332)=0,0,MATCH(1,INDEX((TrocasEquip!$B$2:$B$1000=B332)*(TrocasEquip!$A$2:$A$1000=L332),0),0))</f>
        <v/>
      </c>
      <c r="N332">
        <f>IF(B332="","",IFERROR(MATCH(B332,Equipamentos!$P$2:$P$61,0),""))</f>
        <v/>
      </c>
      <c r="O332">
        <f>IF(N332="","",IF(M332=0,INDEX(Equipamentos!$U$2:$U$61,N332),L332))</f>
        <v/>
      </c>
      <c r="P332">
        <f>IF(N332="","",IF(M332=0,N(INDEX(Equipamentos!$V$2:$V$61,N332)),N(INDEX(TrocasEquip!$I$2:$I$1000,M332))))</f>
        <v/>
      </c>
      <c r="Q332">
        <f>IF(N332="","",IF(M332=0,INDEX(Equipamentos!$T$2:$T$61,N332),IF(INDEX(TrocasEquip!$H$2:$H$1000,M332)="",INDEX(Equipamentos!$T$2:$T$61,N332),INDEX(TrocasEquip!$H$2:$H$1000,M332))))</f>
        <v/>
      </c>
    </row>
    <row r="333">
      <c r="A333" s="54" t="n"/>
      <c r="B333" s="55" t="n"/>
      <c r="C333">
        <f>IF(B333="","",IF(N333="","posição não encontrada",IF(M333=0,INDEX(Equipamentos!$S$2:$S$61,N333),INDEX(TrocasEquip!$G$2:$G$1000,M333))))</f>
        <v/>
      </c>
      <c r="D333" s="56">
        <f>IF(OR(A333="",N333=""),"",P333+IF(E333="dias",MAX(0,A333-O333),IF(INDEX(Equipamentos!$D$2:$D$61,N333)=2,SUMIFS(Producao!$D:$D,Producao!$A:$A,"&gt;="&amp;O333,Producao!$A:$A,"&lt;"&amp;A333),IF(INDEX(Equipamentos!$D$2:$D$61,N333)=3,SUMIFS(Producao!$E:$E,Producao!$A:$A,"&gt;="&amp;O333,Producao!$A:$A,"&lt;"&amp;A333),SUMIFS(Producao!$B:$B,Producao!$A:$A,"&gt;="&amp;O333,Producao!$A:$A,"&lt;"&amp;A333)))))</f>
        <v/>
      </c>
      <c r="E333">
        <f>IF(N333="","",INDEX(Equipamentos!$C$2:$C$61,N333))</f>
        <v/>
      </c>
      <c r="F333" s="57">
        <f>IF(OR(D333="",N(Q333)&lt;=0),"",D333/Q333)</f>
        <v/>
      </c>
      <c r="G333" s="55" t="n"/>
      <c r="H333" s="58" t="n"/>
      <c r="I333" s="58" t="n"/>
      <c r="J333" s="55" t="n"/>
      <c r="K333" s="55" t="n"/>
      <c r="L333">
        <f>IF(OR(A333="",B333=""),"",_xlfn.MAXIFS(TrocasEquip!$A$2:$A$1000,TrocasEquip!$B$2:$B$1000,B333,TrocasEquip!$A$2:$A$1000,"&lt;"&amp;A333))</f>
        <v/>
      </c>
      <c r="M333">
        <f>IF(N(L333)=0,0,MATCH(1,INDEX((TrocasEquip!$B$2:$B$1000=B333)*(TrocasEquip!$A$2:$A$1000=L333),0),0))</f>
        <v/>
      </c>
      <c r="N333">
        <f>IF(B333="","",IFERROR(MATCH(B333,Equipamentos!$P$2:$P$61,0),""))</f>
        <v/>
      </c>
      <c r="O333">
        <f>IF(N333="","",IF(M333=0,INDEX(Equipamentos!$U$2:$U$61,N333),L333))</f>
        <v/>
      </c>
      <c r="P333">
        <f>IF(N333="","",IF(M333=0,N(INDEX(Equipamentos!$V$2:$V$61,N333)),N(INDEX(TrocasEquip!$I$2:$I$1000,M333))))</f>
        <v/>
      </c>
      <c r="Q333">
        <f>IF(N333="","",IF(M333=0,INDEX(Equipamentos!$T$2:$T$61,N333),IF(INDEX(TrocasEquip!$H$2:$H$1000,M333)="",INDEX(Equipamentos!$T$2:$T$61,N333),INDEX(TrocasEquip!$H$2:$H$1000,M333))))</f>
        <v/>
      </c>
    </row>
    <row r="334">
      <c r="A334" s="54" t="n"/>
      <c r="B334" s="55" t="n"/>
      <c r="C334">
        <f>IF(B334="","",IF(N334="","posição não encontrada",IF(M334=0,INDEX(Equipamentos!$S$2:$S$61,N334),INDEX(TrocasEquip!$G$2:$G$1000,M334))))</f>
        <v/>
      </c>
      <c r="D334" s="56">
        <f>IF(OR(A334="",N334=""),"",P334+IF(E334="dias",MAX(0,A334-O334),IF(INDEX(Equipamentos!$D$2:$D$61,N334)=2,SUMIFS(Producao!$D:$D,Producao!$A:$A,"&gt;="&amp;O334,Producao!$A:$A,"&lt;"&amp;A334),IF(INDEX(Equipamentos!$D$2:$D$61,N334)=3,SUMIFS(Producao!$E:$E,Producao!$A:$A,"&gt;="&amp;O334,Producao!$A:$A,"&lt;"&amp;A334),SUMIFS(Producao!$B:$B,Producao!$A:$A,"&gt;="&amp;O334,Producao!$A:$A,"&lt;"&amp;A334)))))</f>
        <v/>
      </c>
      <c r="E334">
        <f>IF(N334="","",INDEX(Equipamentos!$C$2:$C$61,N334))</f>
        <v/>
      </c>
      <c r="F334" s="57">
        <f>IF(OR(D334="",N(Q334)&lt;=0),"",D334/Q334)</f>
        <v/>
      </c>
      <c r="G334" s="55" t="n"/>
      <c r="H334" s="58" t="n"/>
      <c r="I334" s="58" t="n"/>
      <c r="J334" s="55" t="n"/>
      <c r="K334" s="55" t="n"/>
      <c r="L334">
        <f>IF(OR(A334="",B334=""),"",_xlfn.MAXIFS(TrocasEquip!$A$2:$A$1000,TrocasEquip!$B$2:$B$1000,B334,TrocasEquip!$A$2:$A$1000,"&lt;"&amp;A334))</f>
        <v/>
      </c>
      <c r="M334">
        <f>IF(N(L334)=0,0,MATCH(1,INDEX((TrocasEquip!$B$2:$B$1000=B334)*(TrocasEquip!$A$2:$A$1000=L334),0),0))</f>
        <v/>
      </c>
      <c r="N334">
        <f>IF(B334="","",IFERROR(MATCH(B334,Equipamentos!$P$2:$P$61,0),""))</f>
        <v/>
      </c>
      <c r="O334">
        <f>IF(N334="","",IF(M334=0,INDEX(Equipamentos!$U$2:$U$61,N334),L334))</f>
        <v/>
      </c>
      <c r="P334">
        <f>IF(N334="","",IF(M334=0,N(INDEX(Equipamentos!$V$2:$V$61,N334)),N(INDEX(TrocasEquip!$I$2:$I$1000,M334))))</f>
        <v/>
      </c>
      <c r="Q334">
        <f>IF(N334="","",IF(M334=0,INDEX(Equipamentos!$T$2:$T$61,N334),IF(INDEX(TrocasEquip!$H$2:$H$1000,M334)="",INDEX(Equipamentos!$T$2:$T$61,N334),INDEX(TrocasEquip!$H$2:$H$1000,M334))))</f>
        <v/>
      </c>
    </row>
    <row r="335">
      <c r="A335" s="54" t="n"/>
      <c r="B335" s="55" t="n"/>
      <c r="C335">
        <f>IF(B335="","",IF(N335="","posição não encontrada",IF(M335=0,INDEX(Equipamentos!$S$2:$S$61,N335),INDEX(TrocasEquip!$G$2:$G$1000,M335))))</f>
        <v/>
      </c>
      <c r="D335" s="56">
        <f>IF(OR(A335="",N335=""),"",P335+IF(E335="dias",MAX(0,A335-O335),IF(INDEX(Equipamentos!$D$2:$D$61,N335)=2,SUMIFS(Producao!$D:$D,Producao!$A:$A,"&gt;="&amp;O335,Producao!$A:$A,"&lt;"&amp;A335),IF(INDEX(Equipamentos!$D$2:$D$61,N335)=3,SUMIFS(Producao!$E:$E,Producao!$A:$A,"&gt;="&amp;O335,Producao!$A:$A,"&lt;"&amp;A335),SUMIFS(Producao!$B:$B,Producao!$A:$A,"&gt;="&amp;O335,Producao!$A:$A,"&lt;"&amp;A335)))))</f>
        <v/>
      </c>
      <c r="E335">
        <f>IF(N335="","",INDEX(Equipamentos!$C$2:$C$61,N335))</f>
        <v/>
      </c>
      <c r="F335" s="57">
        <f>IF(OR(D335="",N(Q335)&lt;=0),"",D335/Q335)</f>
        <v/>
      </c>
      <c r="G335" s="55" t="n"/>
      <c r="H335" s="58" t="n"/>
      <c r="I335" s="58" t="n"/>
      <c r="J335" s="55" t="n"/>
      <c r="K335" s="55" t="n"/>
      <c r="L335">
        <f>IF(OR(A335="",B335=""),"",_xlfn.MAXIFS(TrocasEquip!$A$2:$A$1000,TrocasEquip!$B$2:$B$1000,B335,TrocasEquip!$A$2:$A$1000,"&lt;"&amp;A335))</f>
        <v/>
      </c>
      <c r="M335">
        <f>IF(N(L335)=0,0,MATCH(1,INDEX((TrocasEquip!$B$2:$B$1000=B335)*(TrocasEquip!$A$2:$A$1000=L335),0),0))</f>
        <v/>
      </c>
      <c r="N335">
        <f>IF(B335="","",IFERROR(MATCH(B335,Equipamentos!$P$2:$P$61,0),""))</f>
        <v/>
      </c>
      <c r="O335">
        <f>IF(N335="","",IF(M335=0,INDEX(Equipamentos!$U$2:$U$61,N335),L335))</f>
        <v/>
      </c>
      <c r="P335">
        <f>IF(N335="","",IF(M335=0,N(INDEX(Equipamentos!$V$2:$V$61,N335)),N(INDEX(TrocasEquip!$I$2:$I$1000,M335))))</f>
        <v/>
      </c>
      <c r="Q335">
        <f>IF(N335="","",IF(M335=0,INDEX(Equipamentos!$T$2:$T$61,N335),IF(INDEX(TrocasEquip!$H$2:$H$1000,M335)="",INDEX(Equipamentos!$T$2:$T$61,N335),INDEX(TrocasEquip!$H$2:$H$1000,M335))))</f>
        <v/>
      </c>
    </row>
    <row r="336">
      <c r="A336" s="54" t="n"/>
      <c r="B336" s="55" t="n"/>
      <c r="C336">
        <f>IF(B336="","",IF(N336="","posição não encontrada",IF(M336=0,INDEX(Equipamentos!$S$2:$S$61,N336),INDEX(TrocasEquip!$G$2:$G$1000,M336))))</f>
        <v/>
      </c>
      <c r="D336" s="56">
        <f>IF(OR(A336="",N336=""),"",P336+IF(E336="dias",MAX(0,A336-O336),IF(INDEX(Equipamentos!$D$2:$D$61,N336)=2,SUMIFS(Producao!$D:$D,Producao!$A:$A,"&gt;="&amp;O336,Producao!$A:$A,"&lt;"&amp;A336),IF(INDEX(Equipamentos!$D$2:$D$61,N336)=3,SUMIFS(Producao!$E:$E,Producao!$A:$A,"&gt;="&amp;O336,Producao!$A:$A,"&lt;"&amp;A336),SUMIFS(Producao!$B:$B,Producao!$A:$A,"&gt;="&amp;O336,Producao!$A:$A,"&lt;"&amp;A336)))))</f>
        <v/>
      </c>
      <c r="E336">
        <f>IF(N336="","",INDEX(Equipamentos!$C$2:$C$61,N336))</f>
        <v/>
      </c>
      <c r="F336" s="57">
        <f>IF(OR(D336="",N(Q336)&lt;=0),"",D336/Q336)</f>
        <v/>
      </c>
      <c r="G336" s="55" t="n"/>
      <c r="H336" s="58" t="n"/>
      <c r="I336" s="58" t="n"/>
      <c r="J336" s="55" t="n"/>
      <c r="K336" s="55" t="n"/>
      <c r="L336">
        <f>IF(OR(A336="",B336=""),"",_xlfn.MAXIFS(TrocasEquip!$A$2:$A$1000,TrocasEquip!$B$2:$B$1000,B336,TrocasEquip!$A$2:$A$1000,"&lt;"&amp;A336))</f>
        <v/>
      </c>
      <c r="M336">
        <f>IF(N(L336)=0,0,MATCH(1,INDEX((TrocasEquip!$B$2:$B$1000=B336)*(TrocasEquip!$A$2:$A$1000=L336),0),0))</f>
        <v/>
      </c>
      <c r="N336">
        <f>IF(B336="","",IFERROR(MATCH(B336,Equipamentos!$P$2:$P$61,0),""))</f>
        <v/>
      </c>
      <c r="O336">
        <f>IF(N336="","",IF(M336=0,INDEX(Equipamentos!$U$2:$U$61,N336),L336))</f>
        <v/>
      </c>
      <c r="P336">
        <f>IF(N336="","",IF(M336=0,N(INDEX(Equipamentos!$V$2:$V$61,N336)),N(INDEX(TrocasEquip!$I$2:$I$1000,M336))))</f>
        <v/>
      </c>
      <c r="Q336">
        <f>IF(N336="","",IF(M336=0,INDEX(Equipamentos!$T$2:$T$61,N336),IF(INDEX(TrocasEquip!$H$2:$H$1000,M336)="",INDEX(Equipamentos!$T$2:$T$61,N336),INDEX(TrocasEquip!$H$2:$H$1000,M336))))</f>
        <v/>
      </c>
    </row>
    <row r="337">
      <c r="A337" s="54" t="n"/>
      <c r="B337" s="55" t="n"/>
      <c r="C337">
        <f>IF(B337="","",IF(N337="","posição não encontrada",IF(M337=0,INDEX(Equipamentos!$S$2:$S$61,N337),INDEX(TrocasEquip!$G$2:$G$1000,M337))))</f>
        <v/>
      </c>
      <c r="D337" s="56">
        <f>IF(OR(A337="",N337=""),"",P337+IF(E337="dias",MAX(0,A337-O337),IF(INDEX(Equipamentos!$D$2:$D$61,N337)=2,SUMIFS(Producao!$D:$D,Producao!$A:$A,"&gt;="&amp;O337,Producao!$A:$A,"&lt;"&amp;A337),IF(INDEX(Equipamentos!$D$2:$D$61,N337)=3,SUMIFS(Producao!$E:$E,Producao!$A:$A,"&gt;="&amp;O337,Producao!$A:$A,"&lt;"&amp;A337),SUMIFS(Producao!$B:$B,Producao!$A:$A,"&gt;="&amp;O337,Producao!$A:$A,"&lt;"&amp;A337)))))</f>
        <v/>
      </c>
      <c r="E337">
        <f>IF(N337="","",INDEX(Equipamentos!$C$2:$C$61,N337))</f>
        <v/>
      </c>
      <c r="F337" s="57">
        <f>IF(OR(D337="",N(Q337)&lt;=0),"",D337/Q337)</f>
        <v/>
      </c>
      <c r="G337" s="55" t="n"/>
      <c r="H337" s="58" t="n"/>
      <c r="I337" s="58" t="n"/>
      <c r="J337" s="55" t="n"/>
      <c r="K337" s="55" t="n"/>
      <c r="L337">
        <f>IF(OR(A337="",B337=""),"",_xlfn.MAXIFS(TrocasEquip!$A$2:$A$1000,TrocasEquip!$B$2:$B$1000,B337,TrocasEquip!$A$2:$A$1000,"&lt;"&amp;A337))</f>
        <v/>
      </c>
      <c r="M337">
        <f>IF(N(L337)=0,0,MATCH(1,INDEX((TrocasEquip!$B$2:$B$1000=B337)*(TrocasEquip!$A$2:$A$1000=L337),0),0))</f>
        <v/>
      </c>
      <c r="N337">
        <f>IF(B337="","",IFERROR(MATCH(B337,Equipamentos!$P$2:$P$61,0),""))</f>
        <v/>
      </c>
      <c r="O337">
        <f>IF(N337="","",IF(M337=0,INDEX(Equipamentos!$U$2:$U$61,N337),L337))</f>
        <v/>
      </c>
      <c r="P337">
        <f>IF(N337="","",IF(M337=0,N(INDEX(Equipamentos!$V$2:$V$61,N337)),N(INDEX(TrocasEquip!$I$2:$I$1000,M337))))</f>
        <v/>
      </c>
      <c r="Q337">
        <f>IF(N337="","",IF(M337=0,INDEX(Equipamentos!$T$2:$T$61,N337),IF(INDEX(TrocasEquip!$H$2:$H$1000,M337)="",INDEX(Equipamentos!$T$2:$T$61,N337),INDEX(TrocasEquip!$H$2:$H$1000,M337))))</f>
        <v/>
      </c>
    </row>
    <row r="338">
      <c r="A338" s="54" t="n"/>
      <c r="B338" s="55" t="n"/>
      <c r="C338">
        <f>IF(B338="","",IF(N338="","posição não encontrada",IF(M338=0,INDEX(Equipamentos!$S$2:$S$61,N338),INDEX(TrocasEquip!$G$2:$G$1000,M338))))</f>
        <v/>
      </c>
      <c r="D338" s="56">
        <f>IF(OR(A338="",N338=""),"",P338+IF(E338="dias",MAX(0,A338-O338),IF(INDEX(Equipamentos!$D$2:$D$61,N338)=2,SUMIFS(Producao!$D:$D,Producao!$A:$A,"&gt;="&amp;O338,Producao!$A:$A,"&lt;"&amp;A338),IF(INDEX(Equipamentos!$D$2:$D$61,N338)=3,SUMIFS(Producao!$E:$E,Producao!$A:$A,"&gt;="&amp;O338,Producao!$A:$A,"&lt;"&amp;A338),SUMIFS(Producao!$B:$B,Producao!$A:$A,"&gt;="&amp;O338,Producao!$A:$A,"&lt;"&amp;A338)))))</f>
        <v/>
      </c>
      <c r="E338">
        <f>IF(N338="","",INDEX(Equipamentos!$C$2:$C$61,N338))</f>
        <v/>
      </c>
      <c r="F338" s="57">
        <f>IF(OR(D338="",N(Q338)&lt;=0),"",D338/Q338)</f>
        <v/>
      </c>
      <c r="G338" s="55" t="n"/>
      <c r="H338" s="58" t="n"/>
      <c r="I338" s="58" t="n"/>
      <c r="J338" s="55" t="n"/>
      <c r="K338" s="55" t="n"/>
      <c r="L338">
        <f>IF(OR(A338="",B338=""),"",_xlfn.MAXIFS(TrocasEquip!$A$2:$A$1000,TrocasEquip!$B$2:$B$1000,B338,TrocasEquip!$A$2:$A$1000,"&lt;"&amp;A338))</f>
        <v/>
      </c>
      <c r="M338">
        <f>IF(N(L338)=0,0,MATCH(1,INDEX((TrocasEquip!$B$2:$B$1000=B338)*(TrocasEquip!$A$2:$A$1000=L338),0),0))</f>
        <v/>
      </c>
      <c r="N338">
        <f>IF(B338="","",IFERROR(MATCH(B338,Equipamentos!$P$2:$P$61,0),""))</f>
        <v/>
      </c>
      <c r="O338">
        <f>IF(N338="","",IF(M338=0,INDEX(Equipamentos!$U$2:$U$61,N338),L338))</f>
        <v/>
      </c>
      <c r="P338">
        <f>IF(N338="","",IF(M338=0,N(INDEX(Equipamentos!$V$2:$V$61,N338)),N(INDEX(TrocasEquip!$I$2:$I$1000,M338))))</f>
        <v/>
      </c>
      <c r="Q338">
        <f>IF(N338="","",IF(M338=0,INDEX(Equipamentos!$T$2:$T$61,N338),IF(INDEX(TrocasEquip!$H$2:$H$1000,M338)="",INDEX(Equipamentos!$T$2:$T$61,N338),INDEX(TrocasEquip!$H$2:$H$1000,M338))))</f>
        <v/>
      </c>
    </row>
    <row r="339">
      <c r="A339" s="54" t="n"/>
      <c r="B339" s="55" t="n"/>
      <c r="C339">
        <f>IF(B339="","",IF(N339="","posição não encontrada",IF(M339=0,INDEX(Equipamentos!$S$2:$S$61,N339),INDEX(TrocasEquip!$G$2:$G$1000,M339))))</f>
        <v/>
      </c>
      <c r="D339" s="56">
        <f>IF(OR(A339="",N339=""),"",P339+IF(E339="dias",MAX(0,A339-O339),IF(INDEX(Equipamentos!$D$2:$D$61,N339)=2,SUMIFS(Producao!$D:$D,Producao!$A:$A,"&gt;="&amp;O339,Producao!$A:$A,"&lt;"&amp;A339),IF(INDEX(Equipamentos!$D$2:$D$61,N339)=3,SUMIFS(Producao!$E:$E,Producao!$A:$A,"&gt;="&amp;O339,Producao!$A:$A,"&lt;"&amp;A339),SUMIFS(Producao!$B:$B,Producao!$A:$A,"&gt;="&amp;O339,Producao!$A:$A,"&lt;"&amp;A339)))))</f>
        <v/>
      </c>
      <c r="E339">
        <f>IF(N339="","",INDEX(Equipamentos!$C$2:$C$61,N339))</f>
        <v/>
      </c>
      <c r="F339" s="57">
        <f>IF(OR(D339="",N(Q339)&lt;=0),"",D339/Q339)</f>
        <v/>
      </c>
      <c r="G339" s="55" t="n"/>
      <c r="H339" s="58" t="n"/>
      <c r="I339" s="58" t="n"/>
      <c r="J339" s="55" t="n"/>
      <c r="K339" s="55" t="n"/>
      <c r="L339">
        <f>IF(OR(A339="",B339=""),"",_xlfn.MAXIFS(TrocasEquip!$A$2:$A$1000,TrocasEquip!$B$2:$B$1000,B339,TrocasEquip!$A$2:$A$1000,"&lt;"&amp;A339))</f>
        <v/>
      </c>
      <c r="M339">
        <f>IF(N(L339)=0,0,MATCH(1,INDEX((TrocasEquip!$B$2:$B$1000=B339)*(TrocasEquip!$A$2:$A$1000=L339),0),0))</f>
        <v/>
      </c>
      <c r="N339">
        <f>IF(B339="","",IFERROR(MATCH(B339,Equipamentos!$P$2:$P$61,0),""))</f>
        <v/>
      </c>
      <c r="O339">
        <f>IF(N339="","",IF(M339=0,INDEX(Equipamentos!$U$2:$U$61,N339),L339))</f>
        <v/>
      </c>
      <c r="P339">
        <f>IF(N339="","",IF(M339=0,N(INDEX(Equipamentos!$V$2:$V$61,N339)),N(INDEX(TrocasEquip!$I$2:$I$1000,M339))))</f>
        <v/>
      </c>
      <c r="Q339">
        <f>IF(N339="","",IF(M339=0,INDEX(Equipamentos!$T$2:$T$61,N339),IF(INDEX(TrocasEquip!$H$2:$H$1000,M339)="",INDEX(Equipamentos!$T$2:$T$61,N339),INDEX(TrocasEquip!$H$2:$H$1000,M339))))</f>
        <v/>
      </c>
    </row>
    <row r="340">
      <c r="A340" s="54" t="n"/>
      <c r="B340" s="55" t="n"/>
      <c r="C340">
        <f>IF(B340="","",IF(N340="","posição não encontrada",IF(M340=0,INDEX(Equipamentos!$S$2:$S$61,N340),INDEX(TrocasEquip!$G$2:$G$1000,M340))))</f>
        <v/>
      </c>
      <c r="D340" s="56">
        <f>IF(OR(A340="",N340=""),"",P340+IF(E340="dias",MAX(0,A340-O340),IF(INDEX(Equipamentos!$D$2:$D$61,N340)=2,SUMIFS(Producao!$D:$D,Producao!$A:$A,"&gt;="&amp;O340,Producao!$A:$A,"&lt;"&amp;A340),IF(INDEX(Equipamentos!$D$2:$D$61,N340)=3,SUMIFS(Producao!$E:$E,Producao!$A:$A,"&gt;="&amp;O340,Producao!$A:$A,"&lt;"&amp;A340),SUMIFS(Producao!$B:$B,Producao!$A:$A,"&gt;="&amp;O340,Producao!$A:$A,"&lt;"&amp;A340)))))</f>
        <v/>
      </c>
      <c r="E340">
        <f>IF(N340="","",INDEX(Equipamentos!$C$2:$C$61,N340))</f>
        <v/>
      </c>
      <c r="F340" s="57">
        <f>IF(OR(D340="",N(Q340)&lt;=0),"",D340/Q340)</f>
        <v/>
      </c>
      <c r="G340" s="55" t="n"/>
      <c r="H340" s="58" t="n"/>
      <c r="I340" s="58" t="n"/>
      <c r="J340" s="55" t="n"/>
      <c r="K340" s="55" t="n"/>
      <c r="L340">
        <f>IF(OR(A340="",B340=""),"",_xlfn.MAXIFS(TrocasEquip!$A$2:$A$1000,TrocasEquip!$B$2:$B$1000,B340,TrocasEquip!$A$2:$A$1000,"&lt;"&amp;A340))</f>
        <v/>
      </c>
      <c r="M340">
        <f>IF(N(L340)=0,0,MATCH(1,INDEX((TrocasEquip!$B$2:$B$1000=B340)*(TrocasEquip!$A$2:$A$1000=L340),0),0))</f>
        <v/>
      </c>
      <c r="N340">
        <f>IF(B340="","",IFERROR(MATCH(B340,Equipamentos!$P$2:$P$61,0),""))</f>
        <v/>
      </c>
      <c r="O340">
        <f>IF(N340="","",IF(M340=0,INDEX(Equipamentos!$U$2:$U$61,N340),L340))</f>
        <v/>
      </c>
      <c r="P340">
        <f>IF(N340="","",IF(M340=0,N(INDEX(Equipamentos!$V$2:$V$61,N340)),N(INDEX(TrocasEquip!$I$2:$I$1000,M340))))</f>
        <v/>
      </c>
      <c r="Q340">
        <f>IF(N340="","",IF(M340=0,INDEX(Equipamentos!$T$2:$T$61,N340),IF(INDEX(TrocasEquip!$H$2:$H$1000,M340)="",INDEX(Equipamentos!$T$2:$T$61,N340),INDEX(TrocasEquip!$H$2:$H$1000,M340))))</f>
        <v/>
      </c>
    </row>
    <row r="341">
      <c r="A341" s="54" t="n"/>
      <c r="B341" s="55" t="n"/>
      <c r="C341">
        <f>IF(B341="","",IF(N341="","posição não encontrada",IF(M341=0,INDEX(Equipamentos!$S$2:$S$61,N341),INDEX(TrocasEquip!$G$2:$G$1000,M341))))</f>
        <v/>
      </c>
      <c r="D341" s="56">
        <f>IF(OR(A341="",N341=""),"",P341+IF(E341="dias",MAX(0,A341-O341),IF(INDEX(Equipamentos!$D$2:$D$61,N341)=2,SUMIFS(Producao!$D:$D,Producao!$A:$A,"&gt;="&amp;O341,Producao!$A:$A,"&lt;"&amp;A341),IF(INDEX(Equipamentos!$D$2:$D$61,N341)=3,SUMIFS(Producao!$E:$E,Producao!$A:$A,"&gt;="&amp;O341,Producao!$A:$A,"&lt;"&amp;A341),SUMIFS(Producao!$B:$B,Producao!$A:$A,"&gt;="&amp;O341,Producao!$A:$A,"&lt;"&amp;A341)))))</f>
        <v/>
      </c>
      <c r="E341">
        <f>IF(N341="","",INDEX(Equipamentos!$C$2:$C$61,N341))</f>
        <v/>
      </c>
      <c r="F341" s="57">
        <f>IF(OR(D341="",N(Q341)&lt;=0),"",D341/Q341)</f>
        <v/>
      </c>
      <c r="G341" s="55" t="n"/>
      <c r="H341" s="58" t="n"/>
      <c r="I341" s="58" t="n"/>
      <c r="J341" s="55" t="n"/>
      <c r="K341" s="55" t="n"/>
      <c r="L341">
        <f>IF(OR(A341="",B341=""),"",_xlfn.MAXIFS(TrocasEquip!$A$2:$A$1000,TrocasEquip!$B$2:$B$1000,B341,TrocasEquip!$A$2:$A$1000,"&lt;"&amp;A341))</f>
        <v/>
      </c>
      <c r="M341">
        <f>IF(N(L341)=0,0,MATCH(1,INDEX((TrocasEquip!$B$2:$B$1000=B341)*(TrocasEquip!$A$2:$A$1000=L341),0),0))</f>
        <v/>
      </c>
      <c r="N341">
        <f>IF(B341="","",IFERROR(MATCH(B341,Equipamentos!$P$2:$P$61,0),""))</f>
        <v/>
      </c>
      <c r="O341">
        <f>IF(N341="","",IF(M341=0,INDEX(Equipamentos!$U$2:$U$61,N341),L341))</f>
        <v/>
      </c>
      <c r="P341">
        <f>IF(N341="","",IF(M341=0,N(INDEX(Equipamentos!$V$2:$V$61,N341)),N(INDEX(TrocasEquip!$I$2:$I$1000,M341))))</f>
        <v/>
      </c>
      <c r="Q341">
        <f>IF(N341="","",IF(M341=0,INDEX(Equipamentos!$T$2:$T$61,N341),IF(INDEX(TrocasEquip!$H$2:$H$1000,M341)="",INDEX(Equipamentos!$T$2:$T$61,N341),INDEX(TrocasEquip!$H$2:$H$1000,M341))))</f>
        <v/>
      </c>
    </row>
    <row r="342">
      <c r="A342" s="54" t="n"/>
      <c r="B342" s="55" t="n"/>
      <c r="C342">
        <f>IF(B342="","",IF(N342="","posição não encontrada",IF(M342=0,INDEX(Equipamentos!$S$2:$S$61,N342),INDEX(TrocasEquip!$G$2:$G$1000,M342))))</f>
        <v/>
      </c>
      <c r="D342" s="56">
        <f>IF(OR(A342="",N342=""),"",P342+IF(E342="dias",MAX(0,A342-O342),IF(INDEX(Equipamentos!$D$2:$D$61,N342)=2,SUMIFS(Producao!$D:$D,Producao!$A:$A,"&gt;="&amp;O342,Producao!$A:$A,"&lt;"&amp;A342),IF(INDEX(Equipamentos!$D$2:$D$61,N342)=3,SUMIFS(Producao!$E:$E,Producao!$A:$A,"&gt;="&amp;O342,Producao!$A:$A,"&lt;"&amp;A342),SUMIFS(Producao!$B:$B,Producao!$A:$A,"&gt;="&amp;O342,Producao!$A:$A,"&lt;"&amp;A342)))))</f>
        <v/>
      </c>
      <c r="E342">
        <f>IF(N342="","",INDEX(Equipamentos!$C$2:$C$61,N342))</f>
        <v/>
      </c>
      <c r="F342" s="57">
        <f>IF(OR(D342="",N(Q342)&lt;=0),"",D342/Q342)</f>
        <v/>
      </c>
      <c r="G342" s="55" t="n"/>
      <c r="H342" s="58" t="n"/>
      <c r="I342" s="58" t="n"/>
      <c r="J342" s="55" t="n"/>
      <c r="K342" s="55" t="n"/>
      <c r="L342">
        <f>IF(OR(A342="",B342=""),"",_xlfn.MAXIFS(TrocasEquip!$A$2:$A$1000,TrocasEquip!$B$2:$B$1000,B342,TrocasEquip!$A$2:$A$1000,"&lt;"&amp;A342))</f>
        <v/>
      </c>
      <c r="M342">
        <f>IF(N(L342)=0,0,MATCH(1,INDEX((TrocasEquip!$B$2:$B$1000=B342)*(TrocasEquip!$A$2:$A$1000=L342),0),0))</f>
        <v/>
      </c>
      <c r="N342">
        <f>IF(B342="","",IFERROR(MATCH(B342,Equipamentos!$P$2:$P$61,0),""))</f>
        <v/>
      </c>
      <c r="O342">
        <f>IF(N342="","",IF(M342=0,INDEX(Equipamentos!$U$2:$U$61,N342),L342))</f>
        <v/>
      </c>
      <c r="P342">
        <f>IF(N342="","",IF(M342=0,N(INDEX(Equipamentos!$V$2:$V$61,N342)),N(INDEX(TrocasEquip!$I$2:$I$1000,M342))))</f>
        <v/>
      </c>
      <c r="Q342">
        <f>IF(N342="","",IF(M342=0,INDEX(Equipamentos!$T$2:$T$61,N342),IF(INDEX(TrocasEquip!$H$2:$H$1000,M342)="",INDEX(Equipamentos!$T$2:$T$61,N342),INDEX(TrocasEquip!$H$2:$H$1000,M342))))</f>
        <v/>
      </c>
    </row>
    <row r="343">
      <c r="A343" s="54" t="n"/>
      <c r="B343" s="55" t="n"/>
      <c r="C343">
        <f>IF(B343="","",IF(N343="","posição não encontrada",IF(M343=0,INDEX(Equipamentos!$S$2:$S$61,N343),INDEX(TrocasEquip!$G$2:$G$1000,M343))))</f>
        <v/>
      </c>
      <c r="D343" s="56">
        <f>IF(OR(A343="",N343=""),"",P343+IF(E343="dias",MAX(0,A343-O343),IF(INDEX(Equipamentos!$D$2:$D$61,N343)=2,SUMIFS(Producao!$D:$D,Producao!$A:$A,"&gt;="&amp;O343,Producao!$A:$A,"&lt;"&amp;A343),IF(INDEX(Equipamentos!$D$2:$D$61,N343)=3,SUMIFS(Producao!$E:$E,Producao!$A:$A,"&gt;="&amp;O343,Producao!$A:$A,"&lt;"&amp;A343),SUMIFS(Producao!$B:$B,Producao!$A:$A,"&gt;="&amp;O343,Producao!$A:$A,"&lt;"&amp;A343)))))</f>
        <v/>
      </c>
      <c r="E343">
        <f>IF(N343="","",INDEX(Equipamentos!$C$2:$C$61,N343))</f>
        <v/>
      </c>
      <c r="F343" s="57">
        <f>IF(OR(D343="",N(Q343)&lt;=0),"",D343/Q343)</f>
        <v/>
      </c>
      <c r="G343" s="55" t="n"/>
      <c r="H343" s="58" t="n"/>
      <c r="I343" s="58" t="n"/>
      <c r="J343" s="55" t="n"/>
      <c r="K343" s="55" t="n"/>
      <c r="L343">
        <f>IF(OR(A343="",B343=""),"",_xlfn.MAXIFS(TrocasEquip!$A$2:$A$1000,TrocasEquip!$B$2:$B$1000,B343,TrocasEquip!$A$2:$A$1000,"&lt;"&amp;A343))</f>
        <v/>
      </c>
      <c r="M343">
        <f>IF(N(L343)=0,0,MATCH(1,INDEX((TrocasEquip!$B$2:$B$1000=B343)*(TrocasEquip!$A$2:$A$1000=L343),0),0))</f>
        <v/>
      </c>
      <c r="N343">
        <f>IF(B343="","",IFERROR(MATCH(B343,Equipamentos!$P$2:$P$61,0),""))</f>
        <v/>
      </c>
      <c r="O343">
        <f>IF(N343="","",IF(M343=0,INDEX(Equipamentos!$U$2:$U$61,N343),L343))</f>
        <v/>
      </c>
      <c r="P343">
        <f>IF(N343="","",IF(M343=0,N(INDEX(Equipamentos!$V$2:$V$61,N343)),N(INDEX(TrocasEquip!$I$2:$I$1000,M343))))</f>
        <v/>
      </c>
      <c r="Q343">
        <f>IF(N343="","",IF(M343=0,INDEX(Equipamentos!$T$2:$T$61,N343),IF(INDEX(TrocasEquip!$H$2:$H$1000,M343)="",INDEX(Equipamentos!$T$2:$T$61,N343),INDEX(TrocasEquip!$H$2:$H$1000,M343))))</f>
        <v/>
      </c>
    </row>
    <row r="344">
      <c r="A344" s="54" t="n"/>
      <c r="B344" s="55" t="n"/>
      <c r="C344">
        <f>IF(B344="","",IF(N344="","posição não encontrada",IF(M344=0,INDEX(Equipamentos!$S$2:$S$61,N344),INDEX(TrocasEquip!$G$2:$G$1000,M344))))</f>
        <v/>
      </c>
      <c r="D344" s="56">
        <f>IF(OR(A344="",N344=""),"",P344+IF(E344="dias",MAX(0,A344-O344),IF(INDEX(Equipamentos!$D$2:$D$61,N344)=2,SUMIFS(Producao!$D:$D,Producao!$A:$A,"&gt;="&amp;O344,Producao!$A:$A,"&lt;"&amp;A344),IF(INDEX(Equipamentos!$D$2:$D$61,N344)=3,SUMIFS(Producao!$E:$E,Producao!$A:$A,"&gt;="&amp;O344,Producao!$A:$A,"&lt;"&amp;A344),SUMIFS(Producao!$B:$B,Producao!$A:$A,"&gt;="&amp;O344,Producao!$A:$A,"&lt;"&amp;A344)))))</f>
        <v/>
      </c>
      <c r="E344">
        <f>IF(N344="","",INDEX(Equipamentos!$C$2:$C$61,N344))</f>
        <v/>
      </c>
      <c r="F344" s="57">
        <f>IF(OR(D344="",N(Q344)&lt;=0),"",D344/Q344)</f>
        <v/>
      </c>
      <c r="G344" s="55" t="n"/>
      <c r="H344" s="58" t="n"/>
      <c r="I344" s="58" t="n"/>
      <c r="J344" s="55" t="n"/>
      <c r="K344" s="55" t="n"/>
      <c r="L344">
        <f>IF(OR(A344="",B344=""),"",_xlfn.MAXIFS(TrocasEquip!$A$2:$A$1000,TrocasEquip!$B$2:$B$1000,B344,TrocasEquip!$A$2:$A$1000,"&lt;"&amp;A344))</f>
        <v/>
      </c>
      <c r="M344">
        <f>IF(N(L344)=0,0,MATCH(1,INDEX((TrocasEquip!$B$2:$B$1000=B344)*(TrocasEquip!$A$2:$A$1000=L344),0),0))</f>
        <v/>
      </c>
      <c r="N344">
        <f>IF(B344="","",IFERROR(MATCH(B344,Equipamentos!$P$2:$P$61,0),""))</f>
        <v/>
      </c>
      <c r="O344">
        <f>IF(N344="","",IF(M344=0,INDEX(Equipamentos!$U$2:$U$61,N344),L344))</f>
        <v/>
      </c>
      <c r="P344">
        <f>IF(N344="","",IF(M344=0,N(INDEX(Equipamentos!$V$2:$V$61,N344)),N(INDEX(TrocasEquip!$I$2:$I$1000,M344))))</f>
        <v/>
      </c>
      <c r="Q344">
        <f>IF(N344="","",IF(M344=0,INDEX(Equipamentos!$T$2:$T$61,N344),IF(INDEX(TrocasEquip!$H$2:$H$1000,M344)="",INDEX(Equipamentos!$T$2:$T$61,N344),INDEX(TrocasEquip!$H$2:$H$1000,M344))))</f>
        <v/>
      </c>
    </row>
    <row r="345">
      <c r="A345" s="54" t="n"/>
      <c r="B345" s="55" t="n"/>
      <c r="C345">
        <f>IF(B345="","",IF(N345="","posição não encontrada",IF(M345=0,INDEX(Equipamentos!$S$2:$S$61,N345),INDEX(TrocasEquip!$G$2:$G$1000,M345))))</f>
        <v/>
      </c>
      <c r="D345" s="56">
        <f>IF(OR(A345="",N345=""),"",P345+IF(E345="dias",MAX(0,A345-O345),IF(INDEX(Equipamentos!$D$2:$D$61,N345)=2,SUMIFS(Producao!$D:$D,Producao!$A:$A,"&gt;="&amp;O345,Producao!$A:$A,"&lt;"&amp;A345),IF(INDEX(Equipamentos!$D$2:$D$61,N345)=3,SUMIFS(Producao!$E:$E,Producao!$A:$A,"&gt;="&amp;O345,Producao!$A:$A,"&lt;"&amp;A345),SUMIFS(Producao!$B:$B,Producao!$A:$A,"&gt;="&amp;O345,Producao!$A:$A,"&lt;"&amp;A345)))))</f>
        <v/>
      </c>
      <c r="E345">
        <f>IF(N345="","",INDEX(Equipamentos!$C$2:$C$61,N345))</f>
        <v/>
      </c>
      <c r="F345" s="57">
        <f>IF(OR(D345="",N(Q345)&lt;=0),"",D345/Q345)</f>
        <v/>
      </c>
      <c r="G345" s="55" t="n"/>
      <c r="H345" s="58" t="n"/>
      <c r="I345" s="58" t="n"/>
      <c r="J345" s="55" t="n"/>
      <c r="K345" s="55" t="n"/>
      <c r="L345">
        <f>IF(OR(A345="",B345=""),"",_xlfn.MAXIFS(TrocasEquip!$A$2:$A$1000,TrocasEquip!$B$2:$B$1000,B345,TrocasEquip!$A$2:$A$1000,"&lt;"&amp;A345))</f>
        <v/>
      </c>
      <c r="M345">
        <f>IF(N(L345)=0,0,MATCH(1,INDEX((TrocasEquip!$B$2:$B$1000=B345)*(TrocasEquip!$A$2:$A$1000=L345),0),0))</f>
        <v/>
      </c>
      <c r="N345">
        <f>IF(B345="","",IFERROR(MATCH(B345,Equipamentos!$P$2:$P$61,0),""))</f>
        <v/>
      </c>
      <c r="O345">
        <f>IF(N345="","",IF(M345=0,INDEX(Equipamentos!$U$2:$U$61,N345),L345))</f>
        <v/>
      </c>
      <c r="P345">
        <f>IF(N345="","",IF(M345=0,N(INDEX(Equipamentos!$V$2:$V$61,N345)),N(INDEX(TrocasEquip!$I$2:$I$1000,M345))))</f>
        <v/>
      </c>
      <c r="Q345">
        <f>IF(N345="","",IF(M345=0,INDEX(Equipamentos!$T$2:$T$61,N345),IF(INDEX(TrocasEquip!$H$2:$H$1000,M345)="",INDEX(Equipamentos!$T$2:$T$61,N345),INDEX(TrocasEquip!$H$2:$H$1000,M345))))</f>
        <v/>
      </c>
    </row>
    <row r="346">
      <c r="A346" s="54" t="n"/>
      <c r="B346" s="55" t="n"/>
      <c r="C346">
        <f>IF(B346="","",IF(N346="","posição não encontrada",IF(M346=0,INDEX(Equipamentos!$S$2:$S$61,N346),INDEX(TrocasEquip!$G$2:$G$1000,M346))))</f>
        <v/>
      </c>
      <c r="D346" s="56">
        <f>IF(OR(A346="",N346=""),"",P346+IF(E346="dias",MAX(0,A346-O346),IF(INDEX(Equipamentos!$D$2:$D$61,N346)=2,SUMIFS(Producao!$D:$D,Producao!$A:$A,"&gt;="&amp;O346,Producao!$A:$A,"&lt;"&amp;A346),IF(INDEX(Equipamentos!$D$2:$D$61,N346)=3,SUMIFS(Producao!$E:$E,Producao!$A:$A,"&gt;="&amp;O346,Producao!$A:$A,"&lt;"&amp;A346),SUMIFS(Producao!$B:$B,Producao!$A:$A,"&gt;="&amp;O346,Producao!$A:$A,"&lt;"&amp;A346)))))</f>
        <v/>
      </c>
      <c r="E346">
        <f>IF(N346="","",INDEX(Equipamentos!$C$2:$C$61,N346))</f>
        <v/>
      </c>
      <c r="F346" s="57">
        <f>IF(OR(D346="",N(Q346)&lt;=0),"",D346/Q346)</f>
        <v/>
      </c>
      <c r="G346" s="55" t="n"/>
      <c r="H346" s="58" t="n"/>
      <c r="I346" s="58" t="n"/>
      <c r="J346" s="55" t="n"/>
      <c r="K346" s="55" t="n"/>
      <c r="L346">
        <f>IF(OR(A346="",B346=""),"",_xlfn.MAXIFS(TrocasEquip!$A$2:$A$1000,TrocasEquip!$B$2:$B$1000,B346,TrocasEquip!$A$2:$A$1000,"&lt;"&amp;A346))</f>
        <v/>
      </c>
      <c r="M346">
        <f>IF(N(L346)=0,0,MATCH(1,INDEX((TrocasEquip!$B$2:$B$1000=B346)*(TrocasEquip!$A$2:$A$1000=L346),0),0))</f>
        <v/>
      </c>
      <c r="N346">
        <f>IF(B346="","",IFERROR(MATCH(B346,Equipamentos!$P$2:$P$61,0),""))</f>
        <v/>
      </c>
      <c r="O346">
        <f>IF(N346="","",IF(M346=0,INDEX(Equipamentos!$U$2:$U$61,N346),L346))</f>
        <v/>
      </c>
      <c r="P346">
        <f>IF(N346="","",IF(M346=0,N(INDEX(Equipamentos!$V$2:$V$61,N346)),N(INDEX(TrocasEquip!$I$2:$I$1000,M346))))</f>
        <v/>
      </c>
      <c r="Q346">
        <f>IF(N346="","",IF(M346=0,INDEX(Equipamentos!$T$2:$T$61,N346),IF(INDEX(TrocasEquip!$H$2:$H$1000,M346)="",INDEX(Equipamentos!$T$2:$T$61,N346),INDEX(TrocasEquip!$H$2:$H$1000,M346))))</f>
        <v/>
      </c>
    </row>
    <row r="347">
      <c r="A347" s="54" t="n"/>
      <c r="B347" s="55" t="n"/>
      <c r="C347">
        <f>IF(B347="","",IF(N347="","posição não encontrada",IF(M347=0,INDEX(Equipamentos!$S$2:$S$61,N347),INDEX(TrocasEquip!$G$2:$G$1000,M347))))</f>
        <v/>
      </c>
      <c r="D347" s="56">
        <f>IF(OR(A347="",N347=""),"",P347+IF(E347="dias",MAX(0,A347-O347),IF(INDEX(Equipamentos!$D$2:$D$61,N347)=2,SUMIFS(Producao!$D:$D,Producao!$A:$A,"&gt;="&amp;O347,Producao!$A:$A,"&lt;"&amp;A347),IF(INDEX(Equipamentos!$D$2:$D$61,N347)=3,SUMIFS(Producao!$E:$E,Producao!$A:$A,"&gt;="&amp;O347,Producao!$A:$A,"&lt;"&amp;A347),SUMIFS(Producao!$B:$B,Producao!$A:$A,"&gt;="&amp;O347,Producao!$A:$A,"&lt;"&amp;A347)))))</f>
        <v/>
      </c>
      <c r="E347">
        <f>IF(N347="","",INDEX(Equipamentos!$C$2:$C$61,N347))</f>
        <v/>
      </c>
      <c r="F347" s="57">
        <f>IF(OR(D347="",N(Q347)&lt;=0),"",D347/Q347)</f>
        <v/>
      </c>
      <c r="G347" s="55" t="n"/>
      <c r="H347" s="58" t="n"/>
      <c r="I347" s="58" t="n"/>
      <c r="J347" s="55" t="n"/>
      <c r="K347" s="55" t="n"/>
      <c r="L347">
        <f>IF(OR(A347="",B347=""),"",_xlfn.MAXIFS(TrocasEquip!$A$2:$A$1000,TrocasEquip!$B$2:$B$1000,B347,TrocasEquip!$A$2:$A$1000,"&lt;"&amp;A347))</f>
        <v/>
      </c>
      <c r="M347">
        <f>IF(N(L347)=0,0,MATCH(1,INDEX((TrocasEquip!$B$2:$B$1000=B347)*(TrocasEquip!$A$2:$A$1000=L347),0),0))</f>
        <v/>
      </c>
      <c r="N347">
        <f>IF(B347="","",IFERROR(MATCH(B347,Equipamentos!$P$2:$P$61,0),""))</f>
        <v/>
      </c>
      <c r="O347">
        <f>IF(N347="","",IF(M347=0,INDEX(Equipamentos!$U$2:$U$61,N347),L347))</f>
        <v/>
      </c>
      <c r="P347">
        <f>IF(N347="","",IF(M347=0,N(INDEX(Equipamentos!$V$2:$V$61,N347)),N(INDEX(TrocasEquip!$I$2:$I$1000,M347))))</f>
        <v/>
      </c>
      <c r="Q347">
        <f>IF(N347="","",IF(M347=0,INDEX(Equipamentos!$T$2:$T$61,N347),IF(INDEX(TrocasEquip!$H$2:$H$1000,M347)="",INDEX(Equipamentos!$T$2:$T$61,N347),INDEX(TrocasEquip!$H$2:$H$1000,M347))))</f>
        <v/>
      </c>
    </row>
    <row r="348">
      <c r="A348" s="54" t="n"/>
      <c r="B348" s="55" t="n"/>
      <c r="C348">
        <f>IF(B348="","",IF(N348="","posição não encontrada",IF(M348=0,INDEX(Equipamentos!$S$2:$S$61,N348),INDEX(TrocasEquip!$G$2:$G$1000,M348))))</f>
        <v/>
      </c>
      <c r="D348" s="56">
        <f>IF(OR(A348="",N348=""),"",P348+IF(E348="dias",MAX(0,A348-O348),IF(INDEX(Equipamentos!$D$2:$D$61,N348)=2,SUMIFS(Producao!$D:$D,Producao!$A:$A,"&gt;="&amp;O348,Producao!$A:$A,"&lt;"&amp;A348),IF(INDEX(Equipamentos!$D$2:$D$61,N348)=3,SUMIFS(Producao!$E:$E,Producao!$A:$A,"&gt;="&amp;O348,Producao!$A:$A,"&lt;"&amp;A348),SUMIFS(Producao!$B:$B,Producao!$A:$A,"&gt;="&amp;O348,Producao!$A:$A,"&lt;"&amp;A348)))))</f>
        <v/>
      </c>
      <c r="E348">
        <f>IF(N348="","",INDEX(Equipamentos!$C$2:$C$61,N348))</f>
        <v/>
      </c>
      <c r="F348" s="57">
        <f>IF(OR(D348="",N(Q348)&lt;=0),"",D348/Q348)</f>
        <v/>
      </c>
      <c r="G348" s="55" t="n"/>
      <c r="H348" s="58" t="n"/>
      <c r="I348" s="58" t="n"/>
      <c r="J348" s="55" t="n"/>
      <c r="K348" s="55" t="n"/>
      <c r="L348">
        <f>IF(OR(A348="",B348=""),"",_xlfn.MAXIFS(TrocasEquip!$A$2:$A$1000,TrocasEquip!$B$2:$B$1000,B348,TrocasEquip!$A$2:$A$1000,"&lt;"&amp;A348))</f>
        <v/>
      </c>
      <c r="M348">
        <f>IF(N(L348)=0,0,MATCH(1,INDEX((TrocasEquip!$B$2:$B$1000=B348)*(TrocasEquip!$A$2:$A$1000=L348),0),0))</f>
        <v/>
      </c>
      <c r="N348">
        <f>IF(B348="","",IFERROR(MATCH(B348,Equipamentos!$P$2:$P$61,0),""))</f>
        <v/>
      </c>
      <c r="O348">
        <f>IF(N348="","",IF(M348=0,INDEX(Equipamentos!$U$2:$U$61,N348),L348))</f>
        <v/>
      </c>
      <c r="P348">
        <f>IF(N348="","",IF(M348=0,N(INDEX(Equipamentos!$V$2:$V$61,N348)),N(INDEX(TrocasEquip!$I$2:$I$1000,M348))))</f>
        <v/>
      </c>
      <c r="Q348">
        <f>IF(N348="","",IF(M348=0,INDEX(Equipamentos!$T$2:$T$61,N348),IF(INDEX(TrocasEquip!$H$2:$H$1000,M348)="",INDEX(Equipamentos!$T$2:$T$61,N348),INDEX(TrocasEquip!$H$2:$H$1000,M348))))</f>
        <v/>
      </c>
    </row>
    <row r="349">
      <c r="A349" s="54" t="n"/>
      <c r="B349" s="55" t="n"/>
      <c r="C349">
        <f>IF(B349="","",IF(N349="","posição não encontrada",IF(M349=0,INDEX(Equipamentos!$S$2:$S$61,N349),INDEX(TrocasEquip!$G$2:$G$1000,M349))))</f>
        <v/>
      </c>
      <c r="D349" s="56">
        <f>IF(OR(A349="",N349=""),"",P349+IF(E349="dias",MAX(0,A349-O349),IF(INDEX(Equipamentos!$D$2:$D$61,N349)=2,SUMIFS(Producao!$D:$D,Producao!$A:$A,"&gt;="&amp;O349,Producao!$A:$A,"&lt;"&amp;A349),IF(INDEX(Equipamentos!$D$2:$D$61,N349)=3,SUMIFS(Producao!$E:$E,Producao!$A:$A,"&gt;="&amp;O349,Producao!$A:$A,"&lt;"&amp;A349),SUMIFS(Producao!$B:$B,Producao!$A:$A,"&gt;="&amp;O349,Producao!$A:$A,"&lt;"&amp;A349)))))</f>
        <v/>
      </c>
      <c r="E349">
        <f>IF(N349="","",INDEX(Equipamentos!$C$2:$C$61,N349))</f>
        <v/>
      </c>
      <c r="F349" s="57">
        <f>IF(OR(D349="",N(Q349)&lt;=0),"",D349/Q349)</f>
        <v/>
      </c>
      <c r="G349" s="55" t="n"/>
      <c r="H349" s="58" t="n"/>
      <c r="I349" s="58" t="n"/>
      <c r="J349" s="55" t="n"/>
      <c r="K349" s="55" t="n"/>
      <c r="L349">
        <f>IF(OR(A349="",B349=""),"",_xlfn.MAXIFS(TrocasEquip!$A$2:$A$1000,TrocasEquip!$B$2:$B$1000,B349,TrocasEquip!$A$2:$A$1000,"&lt;"&amp;A349))</f>
        <v/>
      </c>
      <c r="M349">
        <f>IF(N(L349)=0,0,MATCH(1,INDEX((TrocasEquip!$B$2:$B$1000=B349)*(TrocasEquip!$A$2:$A$1000=L349),0),0))</f>
        <v/>
      </c>
      <c r="N349">
        <f>IF(B349="","",IFERROR(MATCH(B349,Equipamentos!$P$2:$P$61,0),""))</f>
        <v/>
      </c>
      <c r="O349">
        <f>IF(N349="","",IF(M349=0,INDEX(Equipamentos!$U$2:$U$61,N349),L349))</f>
        <v/>
      </c>
      <c r="P349">
        <f>IF(N349="","",IF(M349=0,N(INDEX(Equipamentos!$V$2:$V$61,N349)),N(INDEX(TrocasEquip!$I$2:$I$1000,M349))))</f>
        <v/>
      </c>
      <c r="Q349">
        <f>IF(N349="","",IF(M349=0,INDEX(Equipamentos!$T$2:$T$61,N349),IF(INDEX(TrocasEquip!$H$2:$H$1000,M349)="",INDEX(Equipamentos!$T$2:$T$61,N349),INDEX(TrocasEquip!$H$2:$H$1000,M349))))</f>
        <v/>
      </c>
    </row>
    <row r="350">
      <c r="A350" s="54" t="n"/>
      <c r="B350" s="55" t="n"/>
      <c r="C350">
        <f>IF(B350="","",IF(N350="","posição não encontrada",IF(M350=0,INDEX(Equipamentos!$S$2:$S$61,N350),INDEX(TrocasEquip!$G$2:$G$1000,M350))))</f>
        <v/>
      </c>
      <c r="D350" s="56">
        <f>IF(OR(A350="",N350=""),"",P350+IF(E350="dias",MAX(0,A350-O350),IF(INDEX(Equipamentos!$D$2:$D$61,N350)=2,SUMIFS(Producao!$D:$D,Producao!$A:$A,"&gt;="&amp;O350,Producao!$A:$A,"&lt;"&amp;A350),IF(INDEX(Equipamentos!$D$2:$D$61,N350)=3,SUMIFS(Producao!$E:$E,Producao!$A:$A,"&gt;="&amp;O350,Producao!$A:$A,"&lt;"&amp;A350),SUMIFS(Producao!$B:$B,Producao!$A:$A,"&gt;="&amp;O350,Producao!$A:$A,"&lt;"&amp;A350)))))</f>
        <v/>
      </c>
      <c r="E350">
        <f>IF(N350="","",INDEX(Equipamentos!$C$2:$C$61,N350))</f>
        <v/>
      </c>
      <c r="F350" s="57">
        <f>IF(OR(D350="",N(Q350)&lt;=0),"",D350/Q350)</f>
        <v/>
      </c>
      <c r="G350" s="55" t="n"/>
      <c r="H350" s="58" t="n"/>
      <c r="I350" s="58" t="n"/>
      <c r="J350" s="55" t="n"/>
      <c r="K350" s="55" t="n"/>
      <c r="L350">
        <f>IF(OR(A350="",B350=""),"",_xlfn.MAXIFS(TrocasEquip!$A$2:$A$1000,TrocasEquip!$B$2:$B$1000,B350,TrocasEquip!$A$2:$A$1000,"&lt;"&amp;A350))</f>
        <v/>
      </c>
      <c r="M350">
        <f>IF(N(L350)=0,0,MATCH(1,INDEX((TrocasEquip!$B$2:$B$1000=B350)*(TrocasEquip!$A$2:$A$1000=L350),0),0))</f>
        <v/>
      </c>
      <c r="N350">
        <f>IF(B350="","",IFERROR(MATCH(B350,Equipamentos!$P$2:$P$61,0),""))</f>
        <v/>
      </c>
      <c r="O350">
        <f>IF(N350="","",IF(M350=0,INDEX(Equipamentos!$U$2:$U$61,N350),L350))</f>
        <v/>
      </c>
      <c r="P350">
        <f>IF(N350="","",IF(M350=0,N(INDEX(Equipamentos!$V$2:$V$61,N350)),N(INDEX(TrocasEquip!$I$2:$I$1000,M350))))</f>
        <v/>
      </c>
      <c r="Q350">
        <f>IF(N350="","",IF(M350=0,INDEX(Equipamentos!$T$2:$T$61,N350),IF(INDEX(TrocasEquip!$H$2:$H$1000,M350)="",INDEX(Equipamentos!$T$2:$T$61,N350),INDEX(TrocasEquip!$H$2:$H$1000,M350))))</f>
        <v/>
      </c>
    </row>
    <row r="351">
      <c r="A351" s="54" t="n"/>
      <c r="B351" s="55" t="n"/>
      <c r="C351">
        <f>IF(B351="","",IF(N351="","posição não encontrada",IF(M351=0,INDEX(Equipamentos!$S$2:$S$61,N351),INDEX(TrocasEquip!$G$2:$G$1000,M351))))</f>
        <v/>
      </c>
      <c r="D351" s="56">
        <f>IF(OR(A351="",N351=""),"",P351+IF(E351="dias",MAX(0,A351-O351),IF(INDEX(Equipamentos!$D$2:$D$61,N351)=2,SUMIFS(Producao!$D:$D,Producao!$A:$A,"&gt;="&amp;O351,Producao!$A:$A,"&lt;"&amp;A351),IF(INDEX(Equipamentos!$D$2:$D$61,N351)=3,SUMIFS(Producao!$E:$E,Producao!$A:$A,"&gt;="&amp;O351,Producao!$A:$A,"&lt;"&amp;A351),SUMIFS(Producao!$B:$B,Producao!$A:$A,"&gt;="&amp;O351,Producao!$A:$A,"&lt;"&amp;A351)))))</f>
        <v/>
      </c>
      <c r="E351">
        <f>IF(N351="","",INDEX(Equipamentos!$C$2:$C$61,N351))</f>
        <v/>
      </c>
      <c r="F351" s="57">
        <f>IF(OR(D351="",N(Q351)&lt;=0),"",D351/Q351)</f>
        <v/>
      </c>
      <c r="G351" s="55" t="n"/>
      <c r="H351" s="58" t="n"/>
      <c r="I351" s="58" t="n"/>
      <c r="J351" s="55" t="n"/>
      <c r="K351" s="55" t="n"/>
      <c r="L351">
        <f>IF(OR(A351="",B351=""),"",_xlfn.MAXIFS(TrocasEquip!$A$2:$A$1000,TrocasEquip!$B$2:$B$1000,B351,TrocasEquip!$A$2:$A$1000,"&lt;"&amp;A351))</f>
        <v/>
      </c>
      <c r="M351">
        <f>IF(N(L351)=0,0,MATCH(1,INDEX((TrocasEquip!$B$2:$B$1000=B351)*(TrocasEquip!$A$2:$A$1000=L351),0),0))</f>
        <v/>
      </c>
      <c r="N351">
        <f>IF(B351="","",IFERROR(MATCH(B351,Equipamentos!$P$2:$P$61,0),""))</f>
        <v/>
      </c>
      <c r="O351">
        <f>IF(N351="","",IF(M351=0,INDEX(Equipamentos!$U$2:$U$61,N351),L351))</f>
        <v/>
      </c>
      <c r="P351">
        <f>IF(N351="","",IF(M351=0,N(INDEX(Equipamentos!$V$2:$V$61,N351)),N(INDEX(TrocasEquip!$I$2:$I$1000,M351))))</f>
        <v/>
      </c>
      <c r="Q351">
        <f>IF(N351="","",IF(M351=0,INDEX(Equipamentos!$T$2:$T$61,N351),IF(INDEX(TrocasEquip!$H$2:$H$1000,M351)="",INDEX(Equipamentos!$T$2:$T$61,N351),INDEX(TrocasEquip!$H$2:$H$1000,M351))))</f>
        <v/>
      </c>
    </row>
    <row r="352">
      <c r="A352" s="54" t="n"/>
      <c r="B352" s="55" t="n"/>
      <c r="C352">
        <f>IF(B352="","",IF(N352="","posição não encontrada",IF(M352=0,INDEX(Equipamentos!$S$2:$S$61,N352),INDEX(TrocasEquip!$G$2:$G$1000,M352))))</f>
        <v/>
      </c>
      <c r="D352" s="56">
        <f>IF(OR(A352="",N352=""),"",P352+IF(E352="dias",MAX(0,A352-O352),IF(INDEX(Equipamentos!$D$2:$D$61,N352)=2,SUMIFS(Producao!$D:$D,Producao!$A:$A,"&gt;="&amp;O352,Producao!$A:$A,"&lt;"&amp;A352),IF(INDEX(Equipamentos!$D$2:$D$61,N352)=3,SUMIFS(Producao!$E:$E,Producao!$A:$A,"&gt;="&amp;O352,Producao!$A:$A,"&lt;"&amp;A352),SUMIFS(Producao!$B:$B,Producao!$A:$A,"&gt;="&amp;O352,Producao!$A:$A,"&lt;"&amp;A352)))))</f>
        <v/>
      </c>
      <c r="E352">
        <f>IF(N352="","",INDEX(Equipamentos!$C$2:$C$61,N352))</f>
        <v/>
      </c>
      <c r="F352" s="57">
        <f>IF(OR(D352="",N(Q352)&lt;=0),"",D352/Q352)</f>
        <v/>
      </c>
      <c r="G352" s="55" t="n"/>
      <c r="H352" s="58" t="n"/>
      <c r="I352" s="58" t="n"/>
      <c r="J352" s="55" t="n"/>
      <c r="K352" s="55" t="n"/>
      <c r="L352">
        <f>IF(OR(A352="",B352=""),"",_xlfn.MAXIFS(TrocasEquip!$A$2:$A$1000,TrocasEquip!$B$2:$B$1000,B352,TrocasEquip!$A$2:$A$1000,"&lt;"&amp;A352))</f>
        <v/>
      </c>
      <c r="M352">
        <f>IF(N(L352)=0,0,MATCH(1,INDEX((TrocasEquip!$B$2:$B$1000=B352)*(TrocasEquip!$A$2:$A$1000=L352),0),0))</f>
        <v/>
      </c>
      <c r="N352">
        <f>IF(B352="","",IFERROR(MATCH(B352,Equipamentos!$P$2:$P$61,0),""))</f>
        <v/>
      </c>
      <c r="O352">
        <f>IF(N352="","",IF(M352=0,INDEX(Equipamentos!$U$2:$U$61,N352),L352))</f>
        <v/>
      </c>
      <c r="P352">
        <f>IF(N352="","",IF(M352=0,N(INDEX(Equipamentos!$V$2:$V$61,N352)),N(INDEX(TrocasEquip!$I$2:$I$1000,M352))))</f>
        <v/>
      </c>
      <c r="Q352">
        <f>IF(N352="","",IF(M352=0,INDEX(Equipamentos!$T$2:$T$61,N352),IF(INDEX(TrocasEquip!$H$2:$H$1000,M352)="",INDEX(Equipamentos!$T$2:$T$61,N352),INDEX(TrocasEquip!$H$2:$H$1000,M352))))</f>
        <v/>
      </c>
    </row>
    <row r="353">
      <c r="A353" s="54" t="n"/>
      <c r="B353" s="55" t="n"/>
      <c r="C353">
        <f>IF(B353="","",IF(N353="","posição não encontrada",IF(M353=0,INDEX(Equipamentos!$S$2:$S$61,N353),INDEX(TrocasEquip!$G$2:$G$1000,M353))))</f>
        <v/>
      </c>
      <c r="D353" s="56">
        <f>IF(OR(A353="",N353=""),"",P353+IF(E353="dias",MAX(0,A353-O353),IF(INDEX(Equipamentos!$D$2:$D$61,N353)=2,SUMIFS(Producao!$D:$D,Producao!$A:$A,"&gt;="&amp;O353,Producao!$A:$A,"&lt;"&amp;A353),IF(INDEX(Equipamentos!$D$2:$D$61,N353)=3,SUMIFS(Producao!$E:$E,Producao!$A:$A,"&gt;="&amp;O353,Producao!$A:$A,"&lt;"&amp;A353),SUMIFS(Producao!$B:$B,Producao!$A:$A,"&gt;="&amp;O353,Producao!$A:$A,"&lt;"&amp;A353)))))</f>
        <v/>
      </c>
      <c r="E353">
        <f>IF(N353="","",INDEX(Equipamentos!$C$2:$C$61,N353))</f>
        <v/>
      </c>
      <c r="F353" s="57">
        <f>IF(OR(D353="",N(Q353)&lt;=0),"",D353/Q353)</f>
        <v/>
      </c>
      <c r="G353" s="55" t="n"/>
      <c r="H353" s="58" t="n"/>
      <c r="I353" s="58" t="n"/>
      <c r="J353" s="55" t="n"/>
      <c r="K353" s="55" t="n"/>
      <c r="L353">
        <f>IF(OR(A353="",B353=""),"",_xlfn.MAXIFS(TrocasEquip!$A$2:$A$1000,TrocasEquip!$B$2:$B$1000,B353,TrocasEquip!$A$2:$A$1000,"&lt;"&amp;A353))</f>
        <v/>
      </c>
      <c r="M353">
        <f>IF(N(L353)=0,0,MATCH(1,INDEX((TrocasEquip!$B$2:$B$1000=B353)*(TrocasEquip!$A$2:$A$1000=L353),0),0))</f>
        <v/>
      </c>
      <c r="N353">
        <f>IF(B353="","",IFERROR(MATCH(B353,Equipamentos!$P$2:$P$61,0),""))</f>
        <v/>
      </c>
      <c r="O353">
        <f>IF(N353="","",IF(M353=0,INDEX(Equipamentos!$U$2:$U$61,N353),L353))</f>
        <v/>
      </c>
      <c r="P353">
        <f>IF(N353="","",IF(M353=0,N(INDEX(Equipamentos!$V$2:$V$61,N353)),N(INDEX(TrocasEquip!$I$2:$I$1000,M353))))</f>
        <v/>
      </c>
      <c r="Q353">
        <f>IF(N353="","",IF(M353=0,INDEX(Equipamentos!$T$2:$T$61,N353),IF(INDEX(TrocasEquip!$H$2:$H$1000,M353)="",INDEX(Equipamentos!$T$2:$T$61,N353),INDEX(TrocasEquip!$H$2:$H$1000,M353))))</f>
        <v/>
      </c>
    </row>
    <row r="354">
      <c r="A354" s="54" t="n"/>
      <c r="B354" s="55" t="n"/>
      <c r="C354">
        <f>IF(B354="","",IF(N354="","posição não encontrada",IF(M354=0,INDEX(Equipamentos!$S$2:$S$61,N354),INDEX(TrocasEquip!$G$2:$G$1000,M354))))</f>
        <v/>
      </c>
      <c r="D354" s="56">
        <f>IF(OR(A354="",N354=""),"",P354+IF(E354="dias",MAX(0,A354-O354),IF(INDEX(Equipamentos!$D$2:$D$61,N354)=2,SUMIFS(Producao!$D:$D,Producao!$A:$A,"&gt;="&amp;O354,Producao!$A:$A,"&lt;"&amp;A354),IF(INDEX(Equipamentos!$D$2:$D$61,N354)=3,SUMIFS(Producao!$E:$E,Producao!$A:$A,"&gt;="&amp;O354,Producao!$A:$A,"&lt;"&amp;A354),SUMIFS(Producao!$B:$B,Producao!$A:$A,"&gt;="&amp;O354,Producao!$A:$A,"&lt;"&amp;A354)))))</f>
        <v/>
      </c>
      <c r="E354">
        <f>IF(N354="","",INDEX(Equipamentos!$C$2:$C$61,N354))</f>
        <v/>
      </c>
      <c r="F354" s="57">
        <f>IF(OR(D354="",N(Q354)&lt;=0),"",D354/Q354)</f>
        <v/>
      </c>
      <c r="G354" s="55" t="n"/>
      <c r="H354" s="58" t="n"/>
      <c r="I354" s="58" t="n"/>
      <c r="J354" s="55" t="n"/>
      <c r="K354" s="55" t="n"/>
      <c r="L354">
        <f>IF(OR(A354="",B354=""),"",_xlfn.MAXIFS(TrocasEquip!$A$2:$A$1000,TrocasEquip!$B$2:$B$1000,B354,TrocasEquip!$A$2:$A$1000,"&lt;"&amp;A354))</f>
        <v/>
      </c>
      <c r="M354">
        <f>IF(N(L354)=0,0,MATCH(1,INDEX((TrocasEquip!$B$2:$B$1000=B354)*(TrocasEquip!$A$2:$A$1000=L354),0),0))</f>
        <v/>
      </c>
      <c r="N354">
        <f>IF(B354="","",IFERROR(MATCH(B354,Equipamentos!$P$2:$P$61,0),""))</f>
        <v/>
      </c>
      <c r="O354">
        <f>IF(N354="","",IF(M354=0,INDEX(Equipamentos!$U$2:$U$61,N354),L354))</f>
        <v/>
      </c>
      <c r="P354">
        <f>IF(N354="","",IF(M354=0,N(INDEX(Equipamentos!$V$2:$V$61,N354)),N(INDEX(TrocasEquip!$I$2:$I$1000,M354))))</f>
        <v/>
      </c>
      <c r="Q354">
        <f>IF(N354="","",IF(M354=0,INDEX(Equipamentos!$T$2:$T$61,N354),IF(INDEX(TrocasEquip!$H$2:$H$1000,M354)="",INDEX(Equipamentos!$T$2:$T$61,N354),INDEX(TrocasEquip!$H$2:$H$1000,M354))))</f>
        <v/>
      </c>
    </row>
    <row r="355">
      <c r="A355" s="54" t="n"/>
      <c r="B355" s="55" t="n"/>
      <c r="C355">
        <f>IF(B355="","",IF(N355="","posição não encontrada",IF(M355=0,INDEX(Equipamentos!$S$2:$S$61,N355),INDEX(TrocasEquip!$G$2:$G$1000,M355))))</f>
        <v/>
      </c>
      <c r="D355" s="56">
        <f>IF(OR(A355="",N355=""),"",P355+IF(E355="dias",MAX(0,A355-O355),IF(INDEX(Equipamentos!$D$2:$D$61,N355)=2,SUMIFS(Producao!$D:$D,Producao!$A:$A,"&gt;="&amp;O355,Producao!$A:$A,"&lt;"&amp;A355),IF(INDEX(Equipamentos!$D$2:$D$61,N355)=3,SUMIFS(Producao!$E:$E,Producao!$A:$A,"&gt;="&amp;O355,Producao!$A:$A,"&lt;"&amp;A355),SUMIFS(Producao!$B:$B,Producao!$A:$A,"&gt;="&amp;O355,Producao!$A:$A,"&lt;"&amp;A355)))))</f>
        <v/>
      </c>
      <c r="E355">
        <f>IF(N355="","",INDEX(Equipamentos!$C$2:$C$61,N355))</f>
        <v/>
      </c>
      <c r="F355" s="57">
        <f>IF(OR(D355="",N(Q355)&lt;=0),"",D355/Q355)</f>
        <v/>
      </c>
      <c r="G355" s="55" t="n"/>
      <c r="H355" s="58" t="n"/>
      <c r="I355" s="58" t="n"/>
      <c r="J355" s="55" t="n"/>
      <c r="K355" s="55" t="n"/>
      <c r="L355">
        <f>IF(OR(A355="",B355=""),"",_xlfn.MAXIFS(TrocasEquip!$A$2:$A$1000,TrocasEquip!$B$2:$B$1000,B355,TrocasEquip!$A$2:$A$1000,"&lt;"&amp;A355))</f>
        <v/>
      </c>
      <c r="M355">
        <f>IF(N(L355)=0,0,MATCH(1,INDEX((TrocasEquip!$B$2:$B$1000=B355)*(TrocasEquip!$A$2:$A$1000=L355),0),0))</f>
        <v/>
      </c>
      <c r="N355">
        <f>IF(B355="","",IFERROR(MATCH(B355,Equipamentos!$P$2:$P$61,0),""))</f>
        <v/>
      </c>
      <c r="O355">
        <f>IF(N355="","",IF(M355=0,INDEX(Equipamentos!$U$2:$U$61,N355),L355))</f>
        <v/>
      </c>
      <c r="P355">
        <f>IF(N355="","",IF(M355=0,N(INDEX(Equipamentos!$V$2:$V$61,N355)),N(INDEX(TrocasEquip!$I$2:$I$1000,M355))))</f>
        <v/>
      </c>
      <c r="Q355">
        <f>IF(N355="","",IF(M355=0,INDEX(Equipamentos!$T$2:$T$61,N355),IF(INDEX(TrocasEquip!$H$2:$H$1000,M355)="",INDEX(Equipamentos!$T$2:$T$61,N355),INDEX(TrocasEquip!$H$2:$H$1000,M355))))</f>
        <v/>
      </c>
    </row>
    <row r="356">
      <c r="A356" s="54" t="n"/>
      <c r="B356" s="55" t="n"/>
      <c r="C356">
        <f>IF(B356="","",IF(N356="","posição não encontrada",IF(M356=0,INDEX(Equipamentos!$S$2:$S$61,N356),INDEX(TrocasEquip!$G$2:$G$1000,M356))))</f>
        <v/>
      </c>
      <c r="D356" s="56">
        <f>IF(OR(A356="",N356=""),"",P356+IF(E356="dias",MAX(0,A356-O356),IF(INDEX(Equipamentos!$D$2:$D$61,N356)=2,SUMIFS(Producao!$D:$D,Producao!$A:$A,"&gt;="&amp;O356,Producao!$A:$A,"&lt;"&amp;A356),IF(INDEX(Equipamentos!$D$2:$D$61,N356)=3,SUMIFS(Producao!$E:$E,Producao!$A:$A,"&gt;="&amp;O356,Producao!$A:$A,"&lt;"&amp;A356),SUMIFS(Producao!$B:$B,Producao!$A:$A,"&gt;="&amp;O356,Producao!$A:$A,"&lt;"&amp;A356)))))</f>
        <v/>
      </c>
      <c r="E356">
        <f>IF(N356="","",INDEX(Equipamentos!$C$2:$C$61,N356))</f>
        <v/>
      </c>
      <c r="F356" s="57">
        <f>IF(OR(D356="",N(Q356)&lt;=0),"",D356/Q356)</f>
        <v/>
      </c>
      <c r="G356" s="55" t="n"/>
      <c r="H356" s="58" t="n"/>
      <c r="I356" s="58" t="n"/>
      <c r="J356" s="55" t="n"/>
      <c r="K356" s="55" t="n"/>
      <c r="L356">
        <f>IF(OR(A356="",B356=""),"",_xlfn.MAXIFS(TrocasEquip!$A$2:$A$1000,TrocasEquip!$B$2:$B$1000,B356,TrocasEquip!$A$2:$A$1000,"&lt;"&amp;A356))</f>
        <v/>
      </c>
      <c r="M356">
        <f>IF(N(L356)=0,0,MATCH(1,INDEX((TrocasEquip!$B$2:$B$1000=B356)*(TrocasEquip!$A$2:$A$1000=L356),0),0))</f>
        <v/>
      </c>
      <c r="N356">
        <f>IF(B356="","",IFERROR(MATCH(B356,Equipamentos!$P$2:$P$61,0),""))</f>
        <v/>
      </c>
      <c r="O356">
        <f>IF(N356="","",IF(M356=0,INDEX(Equipamentos!$U$2:$U$61,N356),L356))</f>
        <v/>
      </c>
      <c r="P356">
        <f>IF(N356="","",IF(M356=0,N(INDEX(Equipamentos!$V$2:$V$61,N356)),N(INDEX(TrocasEquip!$I$2:$I$1000,M356))))</f>
        <v/>
      </c>
      <c r="Q356">
        <f>IF(N356="","",IF(M356=0,INDEX(Equipamentos!$T$2:$T$61,N356),IF(INDEX(TrocasEquip!$H$2:$H$1000,M356)="",INDEX(Equipamentos!$T$2:$T$61,N356),INDEX(TrocasEquip!$H$2:$H$1000,M356))))</f>
        <v/>
      </c>
    </row>
    <row r="357">
      <c r="A357" s="54" t="n"/>
      <c r="B357" s="55" t="n"/>
      <c r="C357">
        <f>IF(B357="","",IF(N357="","posição não encontrada",IF(M357=0,INDEX(Equipamentos!$S$2:$S$61,N357),INDEX(TrocasEquip!$G$2:$G$1000,M357))))</f>
        <v/>
      </c>
      <c r="D357" s="56">
        <f>IF(OR(A357="",N357=""),"",P357+IF(E357="dias",MAX(0,A357-O357),IF(INDEX(Equipamentos!$D$2:$D$61,N357)=2,SUMIFS(Producao!$D:$D,Producao!$A:$A,"&gt;="&amp;O357,Producao!$A:$A,"&lt;"&amp;A357),IF(INDEX(Equipamentos!$D$2:$D$61,N357)=3,SUMIFS(Producao!$E:$E,Producao!$A:$A,"&gt;="&amp;O357,Producao!$A:$A,"&lt;"&amp;A357),SUMIFS(Producao!$B:$B,Producao!$A:$A,"&gt;="&amp;O357,Producao!$A:$A,"&lt;"&amp;A357)))))</f>
        <v/>
      </c>
      <c r="E357">
        <f>IF(N357="","",INDEX(Equipamentos!$C$2:$C$61,N357))</f>
        <v/>
      </c>
      <c r="F357" s="57">
        <f>IF(OR(D357="",N(Q357)&lt;=0),"",D357/Q357)</f>
        <v/>
      </c>
      <c r="G357" s="55" t="n"/>
      <c r="H357" s="58" t="n"/>
      <c r="I357" s="58" t="n"/>
      <c r="J357" s="55" t="n"/>
      <c r="K357" s="55" t="n"/>
      <c r="L357">
        <f>IF(OR(A357="",B357=""),"",_xlfn.MAXIFS(TrocasEquip!$A$2:$A$1000,TrocasEquip!$B$2:$B$1000,B357,TrocasEquip!$A$2:$A$1000,"&lt;"&amp;A357))</f>
        <v/>
      </c>
      <c r="M357">
        <f>IF(N(L357)=0,0,MATCH(1,INDEX((TrocasEquip!$B$2:$B$1000=B357)*(TrocasEquip!$A$2:$A$1000=L357),0),0))</f>
        <v/>
      </c>
      <c r="N357">
        <f>IF(B357="","",IFERROR(MATCH(B357,Equipamentos!$P$2:$P$61,0),""))</f>
        <v/>
      </c>
      <c r="O357">
        <f>IF(N357="","",IF(M357=0,INDEX(Equipamentos!$U$2:$U$61,N357),L357))</f>
        <v/>
      </c>
      <c r="P357">
        <f>IF(N357="","",IF(M357=0,N(INDEX(Equipamentos!$V$2:$V$61,N357)),N(INDEX(TrocasEquip!$I$2:$I$1000,M357))))</f>
        <v/>
      </c>
      <c r="Q357">
        <f>IF(N357="","",IF(M357=0,INDEX(Equipamentos!$T$2:$T$61,N357),IF(INDEX(TrocasEquip!$H$2:$H$1000,M357)="",INDEX(Equipamentos!$T$2:$T$61,N357),INDEX(TrocasEquip!$H$2:$H$1000,M357))))</f>
        <v/>
      </c>
    </row>
    <row r="358">
      <c r="A358" s="54" t="n"/>
      <c r="B358" s="55" t="n"/>
      <c r="C358">
        <f>IF(B358="","",IF(N358="","posição não encontrada",IF(M358=0,INDEX(Equipamentos!$S$2:$S$61,N358),INDEX(TrocasEquip!$G$2:$G$1000,M358))))</f>
        <v/>
      </c>
      <c r="D358" s="56">
        <f>IF(OR(A358="",N358=""),"",P358+IF(E358="dias",MAX(0,A358-O358),IF(INDEX(Equipamentos!$D$2:$D$61,N358)=2,SUMIFS(Producao!$D:$D,Producao!$A:$A,"&gt;="&amp;O358,Producao!$A:$A,"&lt;"&amp;A358),IF(INDEX(Equipamentos!$D$2:$D$61,N358)=3,SUMIFS(Producao!$E:$E,Producao!$A:$A,"&gt;="&amp;O358,Producao!$A:$A,"&lt;"&amp;A358),SUMIFS(Producao!$B:$B,Producao!$A:$A,"&gt;="&amp;O358,Producao!$A:$A,"&lt;"&amp;A358)))))</f>
        <v/>
      </c>
      <c r="E358">
        <f>IF(N358="","",INDEX(Equipamentos!$C$2:$C$61,N358))</f>
        <v/>
      </c>
      <c r="F358" s="57">
        <f>IF(OR(D358="",N(Q358)&lt;=0),"",D358/Q358)</f>
        <v/>
      </c>
      <c r="G358" s="55" t="n"/>
      <c r="H358" s="58" t="n"/>
      <c r="I358" s="58" t="n"/>
      <c r="J358" s="55" t="n"/>
      <c r="K358" s="55" t="n"/>
      <c r="L358">
        <f>IF(OR(A358="",B358=""),"",_xlfn.MAXIFS(TrocasEquip!$A$2:$A$1000,TrocasEquip!$B$2:$B$1000,B358,TrocasEquip!$A$2:$A$1000,"&lt;"&amp;A358))</f>
        <v/>
      </c>
      <c r="M358">
        <f>IF(N(L358)=0,0,MATCH(1,INDEX((TrocasEquip!$B$2:$B$1000=B358)*(TrocasEquip!$A$2:$A$1000=L358),0),0))</f>
        <v/>
      </c>
      <c r="N358">
        <f>IF(B358="","",IFERROR(MATCH(B358,Equipamentos!$P$2:$P$61,0),""))</f>
        <v/>
      </c>
      <c r="O358">
        <f>IF(N358="","",IF(M358=0,INDEX(Equipamentos!$U$2:$U$61,N358),L358))</f>
        <v/>
      </c>
      <c r="P358">
        <f>IF(N358="","",IF(M358=0,N(INDEX(Equipamentos!$V$2:$V$61,N358)),N(INDEX(TrocasEquip!$I$2:$I$1000,M358))))</f>
        <v/>
      </c>
      <c r="Q358">
        <f>IF(N358="","",IF(M358=0,INDEX(Equipamentos!$T$2:$T$61,N358),IF(INDEX(TrocasEquip!$H$2:$H$1000,M358)="",INDEX(Equipamentos!$T$2:$T$61,N358),INDEX(TrocasEquip!$H$2:$H$1000,M358))))</f>
        <v/>
      </c>
    </row>
    <row r="359">
      <c r="A359" s="54" t="n"/>
      <c r="B359" s="55" t="n"/>
      <c r="C359">
        <f>IF(B359="","",IF(N359="","posição não encontrada",IF(M359=0,INDEX(Equipamentos!$S$2:$S$61,N359),INDEX(TrocasEquip!$G$2:$G$1000,M359))))</f>
        <v/>
      </c>
      <c r="D359" s="56">
        <f>IF(OR(A359="",N359=""),"",P359+IF(E359="dias",MAX(0,A359-O359),IF(INDEX(Equipamentos!$D$2:$D$61,N359)=2,SUMIFS(Producao!$D:$D,Producao!$A:$A,"&gt;="&amp;O359,Producao!$A:$A,"&lt;"&amp;A359),IF(INDEX(Equipamentos!$D$2:$D$61,N359)=3,SUMIFS(Producao!$E:$E,Producao!$A:$A,"&gt;="&amp;O359,Producao!$A:$A,"&lt;"&amp;A359),SUMIFS(Producao!$B:$B,Producao!$A:$A,"&gt;="&amp;O359,Producao!$A:$A,"&lt;"&amp;A359)))))</f>
        <v/>
      </c>
      <c r="E359">
        <f>IF(N359="","",INDEX(Equipamentos!$C$2:$C$61,N359))</f>
        <v/>
      </c>
      <c r="F359" s="57">
        <f>IF(OR(D359="",N(Q359)&lt;=0),"",D359/Q359)</f>
        <v/>
      </c>
      <c r="G359" s="55" t="n"/>
      <c r="H359" s="58" t="n"/>
      <c r="I359" s="58" t="n"/>
      <c r="J359" s="55" t="n"/>
      <c r="K359" s="55" t="n"/>
      <c r="L359">
        <f>IF(OR(A359="",B359=""),"",_xlfn.MAXIFS(TrocasEquip!$A$2:$A$1000,TrocasEquip!$B$2:$B$1000,B359,TrocasEquip!$A$2:$A$1000,"&lt;"&amp;A359))</f>
        <v/>
      </c>
      <c r="M359">
        <f>IF(N(L359)=0,0,MATCH(1,INDEX((TrocasEquip!$B$2:$B$1000=B359)*(TrocasEquip!$A$2:$A$1000=L359),0),0))</f>
        <v/>
      </c>
      <c r="N359">
        <f>IF(B359="","",IFERROR(MATCH(B359,Equipamentos!$P$2:$P$61,0),""))</f>
        <v/>
      </c>
      <c r="O359">
        <f>IF(N359="","",IF(M359=0,INDEX(Equipamentos!$U$2:$U$61,N359),L359))</f>
        <v/>
      </c>
      <c r="P359">
        <f>IF(N359="","",IF(M359=0,N(INDEX(Equipamentos!$V$2:$V$61,N359)),N(INDEX(TrocasEquip!$I$2:$I$1000,M359))))</f>
        <v/>
      </c>
      <c r="Q359">
        <f>IF(N359="","",IF(M359=0,INDEX(Equipamentos!$T$2:$T$61,N359),IF(INDEX(TrocasEquip!$H$2:$H$1000,M359)="",INDEX(Equipamentos!$T$2:$T$61,N359),INDEX(TrocasEquip!$H$2:$H$1000,M359))))</f>
        <v/>
      </c>
    </row>
    <row r="360">
      <c r="A360" s="54" t="n"/>
      <c r="B360" s="55" t="n"/>
      <c r="C360">
        <f>IF(B360="","",IF(N360="","posição não encontrada",IF(M360=0,INDEX(Equipamentos!$S$2:$S$61,N360),INDEX(TrocasEquip!$G$2:$G$1000,M360))))</f>
        <v/>
      </c>
      <c r="D360" s="56">
        <f>IF(OR(A360="",N360=""),"",P360+IF(E360="dias",MAX(0,A360-O360),IF(INDEX(Equipamentos!$D$2:$D$61,N360)=2,SUMIFS(Producao!$D:$D,Producao!$A:$A,"&gt;="&amp;O360,Producao!$A:$A,"&lt;"&amp;A360),IF(INDEX(Equipamentos!$D$2:$D$61,N360)=3,SUMIFS(Producao!$E:$E,Producao!$A:$A,"&gt;="&amp;O360,Producao!$A:$A,"&lt;"&amp;A360),SUMIFS(Producao!$B:$B,Producao!$A:$A,"&gt;="&amp;O360,Producao!$A:$A,"&lt;"&amp;A360)))))</f>
        <v/>
      </c>
      <c r="E360">
        <f>IF(N360="","",INDEX(Equipamentos!$C$2:$C$61,N360))</f>
        <v/>
      </c>
      <c r="F360" s="57">
        <f>IF(OR(D360="",N(Q360)&lt;=0),"",D360/Q360)</f>
        <v/>
      </c>
      <c r="G360" s="55" t="n"/>
      <c r="H360" s="58" t="n"/>
      <c r="I360" s="58" t="n"/>
      <c r="J360" s="55" t="n"/>
      <c r="K360" s="55" t="n"/>
      <c r="L360">
        <f>IF(OR(A360="",B360=""),"",_xlfn.MAXIFS(TrocasEquip!$A$2:$A$1000,TrocasEquip!$B$2:$B$1000,B360,TrocasEquip!$A$2:$A$1000,"&lt;"&amp;A360))</f>
        <v/>
      </c>
      <c r="M360">
        <f>IF(N(L360)=0,0,MATCH(1,INDEX((TrocasEquip!$B$2:$B$1000=B360)*(TrocasEquip!$A$2:$A$1000=L360),0),0))</f>
        <v/>
      </c>
      <c r="N360">
        <f>IF(B360="","",IFERROR(MATCH(B360,Equipamentos!$P$2:$P$61,0),""))</f>
        <v/>
      </c>
      <c r="O360">
        <f>IF(N360="","",IF(M360=0,INDEX(Equipamentos!$U$2:$U$61,N360),L360))</f>
        <v/>
      </c>
      <c r="P360">
        <f>IF(N360="","",IF(M360=0,N(INDEX(Equipamentos!$V$2:$V$61,N360)),N(INDEX(TrocasEquip!$I$2:$I$1000,M360))))</f>
        <v/>
      </c>
      <c r="Q360">
        <f>IF(N360="","",IF(M360=0,INDEX(Equipamentos!$T$2:$T$61,N360),IF(INDEX(TrocasEquip!$H$2:$H$1000,M360)="",INDEX(Equipamentos!$T$2:$T$61,N360),INDEX(TrocasEquip!$H$2:$H$1000,M360))))</f>
        <v/>
      </c>
    </row>
    <row r="361">
      <c r="A361" s="54" t="n"/>
      <c r="B361" s="55" t="n"/>
      <c r="C361">
        <f>IF(B361="","",IF(N361="","posição não encontrada",IF(M361=0,INDEX(Equipamentos!$S$2:$S$61,N361),INDEX(TrocasEquip!$G$2:$G$1000,M361))))</f>
        <v/>
      </c>
      <c r="D361" s="56">
        <f>IF(OR(A361="",N361=""),"",P361+IF(E361="dias",MAX(0,A361-O361),IF(INDEX(Equipamentos!$D$2:$D$61,N361)=2,SUMIFS(Producao!$D:$D,Producao!$A:$A,"&gt;="&amp;O361,Producao!$A:$A,"&lt;"&amp;A361),IF(INDEX(Equipamentos!$D$2:$D$61,N361)=3,SUMIFS(Producao!$E:$E,Producao!$A:$A,"&gt;="&amp;O361,Producao!$A:$A,"&lt;"&amp;A361),SUMIFS(Producao!$B:$B,Producao!$A:$A,"&gt;="&amp;O361,Producao!$A:$A,"&lt;"&amp;A361)))))</f>
        <v/>
      </c>
      <c r="E361">
        <f>IF(N361="","",INDEX(Equipamentos!$C$2:$C$61,N361))</f>
        <v/>
      </c>
      <c r="F361" s="57">
        <f>IF(OR(D361="",N(Q361)&lt;=0),"",D361/Q361)</f>
        <v/>
      </c>
      <c r="G361" s="55" t="n"/>
      <c r="H361" s="58" t="n"/>
      <c r="I361" s="58" t="n"/>
      <c r="J361" s="55" t="n"/>
      <c r="K361" s="55" t="n"/>
      <c r="L361">
        <f>IF(OR(A361="",B361=""),"",_xlfn.MAXIFS(TrocasEquip!$A$2:$A$1000,TrocasEquip!$B$2:$B$1000,B361,TrocasEquip!$A$2:$A$1000,"&lt;"&amp;A361))</f>
        <v/>
      </c>
      <c r="M361">
        <f>IF(N(L361)=0,0,MATCH(1,INDEX((TrocasEquip!$B$2:$B$1000=B361)*(TrocasEquip!$A$2:$A$1000=L361),0),0))</f>
        <v/>
      </c>
      <c r="N361">
        <f>IF(B361="","",IFERROR(MATCH(B361,Equipamentos!$P$2:$P$61,0),""))</f>
        <v/>
      </c>
      <c r="O361">
        <f>IF(N361="","",IF(M361=0,INDEX(Equipamentos!$U$2:$U$61,N361),L361))</f>
        <v/>
      </c>
      <c r="P361">
        <f>IF(N361="","",IF(M361=0,N(INDEX(Equipamentos!$V$2:$V$61,N361)),N(INDEX(TrocasEquip!$I$2:$I$1000,M361))))</f>
        <v/>
      </c>
      <c r="Q361">
        <f>IF(N361="","",IF(M361=0,INDEX(Equipamentos!$T$2:$T$61,N361),IF(INDEX(TrocasEquip!$H$2:$H$1000,M361)="",INDEX(Equipamentos!$T$2:$T$61,N361),INDEX(TrocasEquip!$H$2:$H$1000,M361))))</f>
        <v/>
      </c>
    </row>
    <row r="362">
      <c r="A362" s="54" t="n"/>
      <c r="B362" s="55" t="n"/>
      <c r="C362">
        <f>IF(B362="","",IF(N362="","posição não encontrada",IF(M362=0,INDEX(Equipamentos!$S$2:$S$61,N362),INDEX(TrocasEquip!$G$2:$G$1000,M362))))</f>
        <v/>
      </c>
      <c r="D362" s="56">
        <f>IF(OR(A362="",N362=""),"",P362+IF(E362="dias",MAX(0,A362-O362),IF(INDEX(Equipamentos!$D$2:$D$61,N362)=2,SUMIFS(Producao!$D:$D,Producao!$A:$A,"&gt;="&amp;O362,Producao!$A:$A,"&lt;"&amp;A362),IF(INDEX(Equipamentos!$D$2:$D$61,N362)=3,SUMIFS(Producao!$E:$E,Producao!$A:$A,"&gt;="&amp;O362,Producao!$A:$A,"&lt;"&amp;A362),SUMIFS(Producao!$B:$B,Producao!$A:$A,"&gt;="&amp;O362,Producao!$A:$A,"&lt;"&amp;A362)))))</f>
        <v/>
      </c>
      <c r="E362">
        <f>IF(N362="","",INDEX(Equipamentos!$C$2:$C$61,N362))</f>
        <v/>
      </c>
      <c r="F362" s="57">
        <f>IF(OR(D362="",N(Q362)&lt;=0),"",D362/Q362)</f>
        <v/>
      </c>
      <c r="G362" s="55" t="n"/>
      <c r="H362" s="58" t="n"/>
      <c r="I362" s="58" t="n"/>
      <c r="J362" s="55" t="n"/>
      <c r="K362" s="55" t="n"/>
      <c r="L362">
        <f>IF(OR(A362="",B362=""),"",_xlfn.MAXIFS(TrocasEquip!$A$2:$A$1000,TrocasEquip!$B$2:$B$1000,B362,TrocasEquip!$A$2:$A$1000,"&lt;"&amp;A362))</f>
        <v/>
      </c>
      <c r="M362">
        <f>IF(N(L362)=0,0,MATCH(1,INDEX((TrocasEquip!$B$2:$B$1000=B362)*(TrocasEquip!$A$2:$A$1000=L362),0),0))</f>
        <v/>
      </c>
      <c r="N362">
        <f>IF(B362="","",IFERROR(MATCH(B362,Equipamentos!$P$2:$P$61,0),""))</f>
        <v/>
      </c>
      <c r="O362">
        <f>IF(N362="","",IF(M362=0,INDEX(Equipamentos!$U$2:$U$61,N362),L362))</f>
        <v/>
      </c>
      <c r="P362">
        <f>IF(N362="","",IF(M362=0,N(INDEX(Equipamentos!$V$2:$V$61,N362)),N(INDEX(TrocasEquip!$I$2:$I$1000,M362))))</f>
        <v/>
      </c>
      <c r="Q362">
        <f>IF(N362="","",IF(M362=0,INDEX(Equipamentos!$T$2:$T$61,N362),IF(INDEX(TrocasEquip!$H$2:$H$1000,M362)="",INDEX(Equipamentos!$T$2:$T$61,N362),INDEX(TrocasEquip!$H$2:$H$1000,M362))))</f>
        <v/>
      </c>
    </row>
    <row r="363">
      <c r="A363" s="54" t="n"/>
      <c r="B363" s="55" t="n"/>
      <c r="C363">
        <f>IF(B363="","",IF(N363="","posição não encontrada",IF(M363=0,INDEX(Equipamentos!$S$2:$S$61,N363),INDEX(TrocasEquip!$G$2:$G$1000,M363))))</f>
        <v/>
      </c>
      <c r="D363" s="56">
        <f>IF(OR(A363="",N363=""),"",P363+IF(E363="dias",MAX(0,A363-O363),IF(INDEX(Equipamentos!$D$2:$D$61,N363)=2,SUMIFS(Producao!$D:$D,Producao!$A:$A,"&gt;="&amp;O363,Producao!$A:$A,"&lt;"&amp;A363),IF(INDEX(Equipamentos!$D$2:$D$61,N363)=3,SUMIFS(Producao!$E:$E,Producao!$A:$A,"&gt;="&amp;O363,Producao!$A:$A,"&lt;"&amp;A363),SUMIFS(Producao!$B:$B,Producao!$A:$A,"&gt;="&amp;O363,Producao!$A:$A,"&lt;"&amp;A363)))))</f>
        <v/>
      </c>
      <c r="E363">
        <f>IF(N363="","",INDEX(Equipamentos!$C$2:$C$61,N363))</f>
        <v/>
      </c>
      <c r="F363" s="57">
        <f>IF(OR(D363="",N(Q363)&lt;=0),"",D363/Q363)</f>
        <v/>
      </c>
      <c r="G363" s="55" t="n"/>
      <c r="H363" s="58" t="n"/>
      <c r="I363" s="58" t="n"/>
      <c r="J363" s="55" t="n"/>
      <c r="K363" s="55" t="n"/>
      <c r="L363">
        <f>IF(OR(A363="",B363=""),"",_xlfn.MAXIFS(TrocasEquip!$A$2:$A$1000,TrocasEquip!$B$2:$B$1000,B363,TrocasEquip!$A$2:$A$1000,"&lt;"&amp;A363))</f>
        <v/>
      </c>
      <c r="M363">
        <f>IF(N(L363)=0,0,MATCH(1,INDEX((TrocasEquip!$B$2:$B$1000=B363)*(TrocasEquip!$A$2:$A$1000=L363),0),0))</f>
        <v/>
      </c>
      <c r="N363">
        <f>IF(B363="","",IFERROR(MATCH(B363,Equipamentos!$P$2:$P$61,0),""))</f>
        <v/>
      </c>
      <c r="O363">
        <f>IF(N363="","",IF(M363=0,INDEX(Equipamentos!$U$2:$U$61,N363),L363))</f>
        <v/>
      </c>
      <c r="P363">
        <f>IF(N363="","",IF(M363=0,N(INDEX(Equipamentos!$V$2:$V$61,N363)),N(INDEX(TrocasEquip!$I$2:$I$1000,M363))))</f>
        <v/>
      </c>
      <c r="Q363">
        <f>IF(N363="","",IF(M363=0,INDEX(Equipamentos!$T$2:$T$61,N363),IF(INDEX(TrocasEquip!$H$2:$H$1000,M363)="",INDEX(Equipamentos!$T$2:$T$61,N363),INDEX(TrocasEquip!$H$2:$H$1000,M363))))</f>
        <v/>
      </c>
    </row>
    <row r="364">
      <c r="A364" s="54" t="n"/>
      <c r="B364" s="55" t="n"/>
      <c r="C364">
        <f>IF(B364="","",IF(N364="","posição não encontrada",IF(M364=0,INDEX(Equipamentos!$S$2:$S$61,N364),INDEX(TrocasEquip!$G$2:$G$1000,M364))))</f>
        <v/>
      </c>
      <c r="D364" s="56">
        <f>IF(OR(A364="",N364=""),"",P364+IF(E364="dias",MAX(0,A364-O364),IF(INDEX(Equipamentos!$D$2:$D$61,N364)=2,SUMIFS(Producao!$D:$D,Producao!$A:$A,"&gt;="&amp;O364,Producao!$A:$A,"&lt;"&amp;A364),IF(INDEX(Equipamentos!$D$2:$D$61,N364)=3,SUMIFS(Producao!$E:$E,Producao!$A:$A,"&gt;="&amp;O364,Producao!$A:$A,"&lt;"&amp;A364),SUMIFS(Producao!$B:$B,Producao!$A:$A,"&gt;="&amp;O364,Producao!$A:$A,"&lt;"&amp;A364)))))</f>
        <v/>
      </c>
      <c r="E364">
        <f>IF(N364="","",INDEX(Equipamentos!$C$2:$C$61,N364))</f>
        <v/>
      </c>
      <c r="F364" s="57">
        <f>IF(OR(D364="",N(Q364)&lt;=0),"",D364/Q364)</f>
        <v/>
      </c>
      <c r="G364" s="55" t="n"/>
      <c r="H364" s="58" t="n"/>
      <c r="I364" s="58" t="n"/>
      <c r="J364" s="55" t="n"/>
      <c r="K364" s="55" t="n"/>
      <c r="L364">
        <f>IF(OR(A364="",B364=""),"",_xlfn.MAXIFS(TrocasEquip!$A$2:$A$1000,TrocasEquip!$B$2:$B$1000,B364,TrocasEquip!$A$2:$A$1000,"&lt;"&amp;A364))</f>
        <v/>
      </c>
      <c r="M364">
        <f>IF(N(L364)=0,0,MATCH(1,INDEX((TrocasEquip!$B$2:$B$1000=B364)*(TrocasEquip!$A$2:$A$1000=L364),0),0))</f>
        <v/>
      </c>
      <c r="N364">
        <f>IF(B364="","",IFERROR(MATCH(B364,Equipamentos!$P$2:$P$61,0),""))</f>
        <v/>
      </c>
      <c r="O364">
        <f>IF(N364="","",IF(M364=0,INDEX(Equipamentos!$U$2:$U$61,N364),L364))</f>
        <v/>
      </c>
      <c r="P364">
        <f>IF(N364="","",IF(M364=0,N(INDEX(Equipamentos!$V$2:$V$61,N364)),N(INDEX(TrocasEquip!$I$2:$I$1000,M364))))</f>
        <v/>
      </c>
      <c r="Q364">
        <f>IF(N364="","",IF(M364=0,INDEX(Equipamentos!$T$2:$T$61,N364),IF(INDEX(TrocasEquip!$H$2:$H$1000,M364)="",INDEX(Equipamentos!$T$2:$T$61,N364),INDEX(TrocasEquip!$H$2:$H$1000,M364))))</f>
        <v/>
      </c>
    </row>
    <row r="365">
      <c r="A365" s="54" t="n"/>
      <c r="B365" s="55" t="n"/>
      <c r="C365">
        <f>IF(B365="","",IF(N365="","posição não encontrada",IF(M365=0,INDEX(Equipamentos!$S$2:$S$61,N365),INDEX(TrocasEquip!$G$2:$G$1000,M365))))</f>
        <v/>
      </c>
      <c r="D365" s="56">
        <f>IF(OR(A365="",N365=""),"",P365+IF(E365="dias",MAX(0,A365-O365),IF(INDEX(Equipamentos!$D$2:$D$61,N365)=2,SUMIFS(Producao!$D:$D,Producao!$A:$A,"&gt;="&amp;O365,Producao!$A:$A,"&lt;"&amp;A365),IF(INDEX(Equipamentos!$D$2:$D$61,N365)=3,SUMIFS(Producao!$E:$E,Producao!$A:$A,"&gt;="&amp;O365,Producao!$A:$A,"&lt;"&amp;A365),SUMIFS(Producao!$B:$B,Producao!$A:$A,"&gt;="&amp;O365,Producao!$A:$A,"&lt;"&amp;A365)))))</f>
        <v/>
      </c>
      <c r="E365">
        <f>IF(N365="","",INDEX(Equipamentos!$C$2:$C$61,N365))</f>
        <v/>
      </c>
      <c r="F365" s="57">
        <f>IF(OR(D365="",N(Q365)&lt;=0),"",D365/Q365)</f>
        <v/>
      </c>
      <c r="G365" s="55" t="n"/>
      <c r="H365" s="58" t="n"/>
      <c r="I365" s="58" t="n"/>
      <c r="J365" s="55" t="n"/>
      <c r="K365" s="55" t="n"/>
      <c r="L365">
        <f>IF(OR(A365="",B365=""),"",_xlfn.MAXIFS(TrocasEquip!$A$2:$A$1000,TrocasEquip!$B$2:$B$1000,B365,TrocasEquip!$A$2:$A$1000,"&lt;"&amp;A365))</f>
        <v/>
      </c>
      <c r="M365">
        <f>IF(N(L365)=0,0,MATCH(1,INDEX((TrocasEquip!$B$2:$B$1000=B365)*(TrocasEquip!$A$2:$A$1000=L365),0),0))</f>
        <v/>
      </c>
      <c r="N365">
        <f>IF(B365="","",IFERROR(MATCH(B365,Equipamentos!$P$2:$P$61,0),""))</f>
        <v/>
      </c>
      <c r="O365">
        <f>IF(N365="","",IF(M365=0,INDEX(Equipamentos!$U$2:$U$61,N365),L365))</f>
        <v/>
      </c>
      <c r="P365">
        <f>IF(N365="","",IF(M365=0,N(INDEX(Equipamentos!$V$2:$V$61,N365)),N(INDEX(TrocasEquip!$I$2:$I$1000,M365))))</f>
        <v/>
      </c>
      <c r="Q365">
        <f>IF(N365="","",IF(M365=0,INDEX(Equipamentos!$T$2:$T$61,N365),IF(INDEX(TrocasEquip!$H$2:$H$1000,M365)="",INDEX(Equipamentos!$T$2:$T$61,N365),INDEX(TrocasEquip!$H$2:$H$1000,M365))))</f>
        <v/>
      </c>
    </row>
    <row r="366">
      <c r="A366" s="54" t="n"/>
      <c r="B366" s="55" t="n"/>
      <c r="C366">
        <f>IF(B366="","",IF(N366="","posição não encontrada",IF(M366=0,INDEX(Equipamentos!$S$2:$S$61,N366),INDEX(TrocasEquip!$G$2:$G$1000,M366))))</f>
        <v/>
      </c>
      <c r="D366" s="56">
        <f>IF(OR(A366="",N366=""),"",P366+IF(E366="dias",MAX(0,A366-O366),IF(INDEX(Equipamentos!$D$2:$D$61,N366)=2,SUMIFS(Producao!$D:$D,Producao!$A:$A,"&gt;="&amp;O366,Producao!$A:$A,"&lt;"&amp;A366),IF(INDEX(Equipamentos!$D$2:$D$61,N366)=3,SUMIFS(Producao!$E:$E,Producao!$A:$A,"&gt;="&amp;O366,Producao!$A:$A,"&lt;"&amp;A366),SUMIFS(Producao!$B:$B,Producao!$A:$A,"&gt;="&amp;O366,Producao!$A:$A,"&lt;"&amp;A366)))))</f>
        <v/>
      </c>
      <c r="E366">
        <f>IF(N366="","",INDEX(Equipamentos!$C$2:$C$61,N366))</f>
        <v/>
      </c>
      <c r="F366" s="57">
        <f>IF(OR(D366="",N(Q366)&lt;=0),"",D366/Q366)</f>
        <v/>
      </c>
      <c r="G366" s="55" t="n"/>
      <c r="H366" s="58" t="n"/>
      <c r="I366" s="58" t="n"/>
      <c r="J366" s="55" t="n"/>
      <c r="K366" s="55" t="n"/>
      <c r="L366">
        <f>IF(OR(A366="",B366=""),"",_xlfn.MAXIFS(TrocasEquip!$A$2:$A$1000,TrocasEquip!$B$2:$B$1000,B366,TrocasEquip!$A$2:$A$1000,"&lt;"&amp;A366))</f>
        <v/>
      </c>
      <c r="M366">
        <f>IF(N(L366)=0,0,MATCH(1,INDEX((TrocasEquip!$B$2:$B$1000=B366)*(TrocasEquip!$A$2:$A$1000=L366),0),0))</f>
        <v/>
      </c>
      <c r="N366">
        <f>IF(B366="","",IFERROR(MATCH(B366,Equipamentos!$P$2:$P$61,0),""))</f>
        <v/>
      </c>
      <c r="O366">
        <f>IF(N366="","",IF(M366=0,INDEX(Equipamentos!$U$2:$U$61,N366),L366))</f>
        <v/>
      </c>
      <c r="P366">
        <f>IF(N366="","",IF(M366=0,N(INDEX(Equipamentos!$V$2:$V$61,N366)),N(INDEX(TrocasEquip!$I$2:$I$1000,M366))))</f>
        <v/>
      </c>
      <c r="Q366">
        <f>IF(N366="","",IF(M366=0,INDEX(Equipamentos!$T$2:$T$61,N366),IF(INDEX(TrocasEquip!$H$2:$H$1000,M366)="",INDEX(Equipamentos!$T$2:$T$61,N366),INDEX(TrocasEquip!$H$2:$H$1000,M366))))</f>
        <v/>
      </c>
    </row>
    <row r="367">
      <c r="A367" s="54" t="n"/>
      <c r="B367" s="55" t="n"/>
      <c r="C367">
        <f>IF(B367="","",IF(N367="","posição não encontrada",IF(M367=0,INDEX(Equipamentos!$S$2:$S$61,N367),INDEX(TrocasEquip!$G$2:$G$1000,M367))))</f>
        <v/>
      </c>
      <c r="D367" s="56">
        <f>IF(OR(A367="",N367=""),"",P367+IF(E367="dias",MAX(0,A367-O367),IF(INDEX(Equipamentos!$D$2:$D$61,N367)=2,SUMIFS(Producao!$D:$D,Producao!$A:$A,"&gt;="&amp;O367,Producao!$A:$A,"&lt;"&amp;A367),IF(INDEX(Equipamentos!$D$2:$D$61,N367)=3,SUMIFS(Producao!$E:$E,Producao!$A:$A,"&gt;="&amp;O367,Producao!$A:$A,"&lt;"&amp;A367),SUMIFS(Producao!$B:$B,Producao!$A:$A,"&gt;="&amp;O367,Producao!$A:$A,"&lt;"&amp;A367)))))</f>
        <v/>
      </c>
      <c r="E367">
        <f>IF(N367="","",INDEX(Equipamentos!$C$2:$C$61,N367))</f>
        <v/>
      </c>
      <c r="F367" s="57">
        <f>IF(OR(D367="",N(Q367)&lt;=0),"",D367/Q367)</f>
        <v/>
      </c>
      <c r="G367" s="55" t="n"/>
      <c r="H367" s="58" t="n"/>
      <c r="I367" s="58" t="n"/>
      <c r="J367" s="55" t="n"/>
      <c r="K367" s="55" t="n"/>
      <c r="L367">
        <f>IF(OR(A367="",B367=""),"",_xlfn.MAXIFS(TrocasEquip!$A$2:$A$1000,TrocasEquip!$B$2:$B$1000,B367,TrocasEquip!$A$2:$A$1000,"&lt;"&amp;A367))</f>
        <v/>
      </c>
      <c r="M367">
        <f>IF(N(L367)=0,0,MATCH(1,INDEX((TrocasEquip!$B$2:$B$1000=B367)*(TrocasEquip!$A$2:$A$1000=L367),0),0))</f>
        <v/>
      </c>
      <c r="N367">
        <f>IF(B367="","",IFERROR(MATCH(B367,Equipamentos!$P$2:$P$61,0),""))</f>
        <v/>
      </c>
      <c r="O367">
        <f>IF(N367="","",IF(M367=0,INDEX(Equipamentos!$U$2:$U$61,N367),L367))</f>
        <v/>
      </c>
      <c r="P367">
        <f>IF(N367="","",IF(M367=0,N(INDEX(Equipamentos!$V$2:$V$61,N367)),N(INDEX(TrocasEquip!$I$2:$I$1000,M367))))</f>
        <v/>
      </c>
      <c r="Q367">
        <f>IF(N367="","",IF(M367=0,INDEX(Equipamentos!$T$2:$T$61,N367),IF(INDEX(TrocasEquip!$H$2:$H$1000,M367)="",INDEX(Equipamentos!$T$2:$T$61,N367),INDEX(TrocasEquip!$H$2:$H$1000,M367))))</f>
        <v/>
      </c>
    </row>
    <row r="368">
      <c r="A368" s="54" t="n"/>
      <c r="B368" s="55" t="n"/>
      <c r="C368">
        <f>IF(B368="","",IF(N368="","posição não encontrada",IF(M368=0,INDEX(Equipamentos!$S$2:$S$61,N368),INDEX(TrocasEquip!$G$2:$G$1000,M368))))</f>
        <v/>
      </c>
      <c r="D368" s="56">
        <f>IF(OR(A368="",N368=""),"",P368+IF(E368="dias",MAX(0,A368-O368),IF(INDEX(Equipamentos!$D$2:$D$61,N368)=2,SUMIFS(Producao!$D:$D,Producao!$A:$A,"&gt;="&amp;O368,Producao!$A:$A,"&lt;"&amp;A368),IF(INDEX(Equipamentos!$D$2:$D$61,N368)=3,SUMIFS(Producao!$E:$E,Producao!$A:$A,"&gt;="&amp;O368,Producao!$A:$A,"&lt;"&amp;A368),SUMIFS(Producao!$B:$B,Producao!$A:$A,"&gt;="&amp;O368,Producao!$A:$A,"&lt;"&amp;A368)))))</f>
        <v/>
      </c>
      <c r="E368">
        <f>IF(N368="","",INDEX(Equipamentos!$C$2:$C$61,N368))</f>
        <v/>
      </c>
      <c r="F368" s="57">
        <f>IF(OR(D368="",N(Q368)&lt;=0),"",D368/Q368)</f>
        <v/>
      </c>
      <c r="G368" s="55" t="n"/>
      <c r="H368" s="58" t="n"/>
      <c r="I368" s="58" t="n"/>
      <c r="J368" s="55" t="n"/>
      <c r="K368" s="55" t="n"/>
      <c r="L368">
        <f>IF(OR(A368="",B368=""),"",_xlfn.MAXIFS(TrocasEquip!$A$2:$A$1000,TrocasEquip!$B$2:$B$1000,B368,TrocasEquip!$A$2:$A$1000,"&lt;"&amp;A368))</f>
        <v/>
      </c>
      <c r="M368">
        <f>IF(N(L368)=0,0,MATCH(1,INDEX((TrocasEquip!$B$2:$B$1000=B368)*(TrocasEquip!$A$2:$A$1000=L368),0),0))</f>
        <v/>
      </c>
      <c r="N368">
        <f>IF(B368="","",IFERROR(MATCH(B368,Equipamentos!$P$2:$P$61,0),""))</f>
        <v/>
      </c>
      <c r="O368">
        <f>IF(N368="","",IF(M368=0,INDEX(Equipamentos!$U$2:$U$61,N368),L368))</f>
        <v/>
      </c>
      <c r="P368">
        <f>IF(N368="","",IF(M368=0,N(INDEX(Equipamentos!$V$2:$V$61,N368)),N(INDEX(TrocasEquip!$I$2:$I$1000,M368))))</f>
        <v/>
      </c>
      <c r="Q368">
        <f>IF(N368="","",IF(M368=0,INDEX(Equipamentos!$T$2:$T$61,N368),IF(INDEX(TrocasEquip!$H$2:$H$1000,M368)="",INDEX(Equipamentos!$T$2:$T$61,N368),INDEX(TrocasEquip!$H$2:$H$1000,M368))))</f>
        <v/>
      </c>
    </row>
    <row r="369">
      <c r="A369" s="54" t="n"/>
      <c r="B369" s="55" t="n"/>
      <c r="C369">
        <f>IF(B369="","",IF(N369="","posição não encontrada",IF(M369=0,INDEX(Equipamentos!$S$2:$S$61,N369),INDEX(TrocasEquip!$G$2:$G$1000,M369))))</f>
        <v/>
      </c>
      <c r="D369" s="56">
        <f>IF(OR(A369="",N369=""),"",P369+IF(E369="dias",MAX(0,A369-O369),IF(INDEX(Equipamentos!$D$2:$D$61,N369)=2,SUMIFS(Producao!$D:$D,Producao!$A:$A,"&gt;="&amp;O369,Producao!$A:$A,"&lt;"&amp;A369),IF(INDEX(Equipamentos!$D$2:$D$61,N369)=3,SUMIFS(Producao!$E:$E,Producao!$A:$A,"&gt;="&amp;O369,Producao!$A:$A,"&lt;"&amp;A369),SUMIFS(Producao!$B:$B,Producao!$A:$A,"&gt;="&amp;O369,Producao!$A:$A,"&lt;"&amp;A369)))))</f>
        <v/>
      </c>
      <c r="E369">
        <f>IF(N369="","",INDEX(Equipamentos!$C$2:$C$61,N369))</f>
        <v/>
      </c>
      <c r="F369" s="57">
        <f>IF(OR(D369="",N(Q369)&lt;=0),"",D369/Q369)</f>
        <v/>
      </c>
      <c r="G369" s="55" t="n"/>
      <c r="H369" s="58" t="n"/>
      <c r="I369" s="58" t="n"/>
      <c r="J369" s="55" t="n"/>
      <c r="K369" s="55" t="n"/>
      <c r="L369">
        <f>IF(OR(A369="",B369=""),"",_xlfn.MAXIFS(TrocasEquip!$A$2:$A$1000,TrocasEquip!$B$2:$B$1000,B369,TrocasEquip!$A$2:$A$1000,"&lt;"&amp;A369))</f>
        <v/>
      </c>
      <c r="M369">
        <f>IF(N(L369)=0,0,MATCH(1,INDEX((TrocasEquip!$B$2:$B$1000=B369)*(TrocasEquip!$A$2:$A$1000=L369),0),0))</f>
        <v/>
      </c>
      <c r="N369">
        <f>IF(B369="","",IFERROR(MATCH(B369,Equipamentos!$P$2:$P$61,0),""))</f>
        <v/>
      </c>
      <c r="O369">
        <f>IF(N369="","",IF(M369=0,INDEX(Equipamentos!$U$2:$U$61,N369),L369))</f>
        <v/>
      </c>
      <c r="P369">
        <f>IF(N369="","",IF(M369=0,N(INDEX(Equipamentos!$V$2:$V$61,N369)),N(INDEX(TrocasEquip!$I$2:$I$1000,M369))))</f>
        <v/>
      </c>
      <c r="Q369">
        <f>IF(N369="","",IF(M369=0,INDEX(Equipamentos!$T$2:$T$61,N369),IF(INDEX(TrocasEquip!$H$2:$H$1000,M369)="",INDEX(Equipamentos!$T$2:$T$61,N369),INDEX(TrocasEquip!$H$2:$H$1000,M369))))</f>
        <v/>
      </c>
    </row>
    <row r="370">
      <c r="A370" s="54" t="n"/>
      <c r="B370" s="55" t="n"/>
      <c r="C370">
        <f>IF(B370="","",IF(N370="","posição não encontrada",IF(M370=0,INDEX(Equipamentos!$S$2:$S$61,N370),INDEX(TrocasEquip!$G$2:$G$1000,M370))))</f>
        <v/>
      </c>
      <c r="D370" s="56">
        <f>IF(OR(A370="",N370=""),"",P370+IF(E370="dias",MAX(0,A370-O370),IF(INDEX(Equipamentos!$D$2:$D$61,N370)=2,SUMIFS(Producao!$D:$D,Producao!$A:$A,"&gt;="&amp;O370,Producao!$A:$A,"&lt;"&amp;A370),IF(INDEX(Equipamentos!$D$2:$D$61,N370)=3,SUMIFS(Producao!$E:$E,Producao!$A:$A,"&gt;="&amp;O370,Producao!$A:$A,"&lt;"&amp;A370),SUMIFS(Producao!$B:$B,Producao!$A:$A,"&gt;="&amp;O370,Producao!$A:$A,"&lt;"&amp;A370)))))</f>
        <v/>
      </c>
      <c r="E370">
        <f>IF(N370="","",INDEX(Equipamentos!$C$2:$C$61,N370))</f>
        <v/>
      </c>
      <c r="F370" s="57">
        <f>IF(OR(D370="",N(Q370)&lt;=0),"",D370/Q370)</f>
        <v/>
      </c>
      <c r="G370" s="55" t="n"/>
      <c r="H370" s="58" t="n"/>
      <c r="I370" s="58" t="n"/>
      <c r="J370" s="55" t="n"/>
      <c r="K370" s="55" t="n"/>
      <c r="L370">
        <f>IF(OR(A370="",B370=""),"",_xlfn.MAXIFS(TrocasEquip!$A$2:$A$1000,TrocasEquip!$B$2:$B$1000,B370,TrocasEquip!$A$2:$A$1000,"&lt;"&amp;A370))</f>
        <v/>
      </c>
      <c r="M370">
        <f>IF(N(L370)=0,0,MATCH(1,INDEX((TrocasEquip!$B$2:$B$1000=B370)*(TrocasEquip!$A$2:$A$1000=L370),0),0))</f>
        <v/>
      </c>
      <c r="N370">
        <f>IF(B370="","",IFERROR(MATCH(B370,Equipamentos!$P$2:$P$61,0),""))</f>
        <v/>
      </c>
      <c r="O370">
        <f>IF(N370="","",IF(M370=0,INDEX(Equipamentos!$U$2:$U$61,N370),L370))</f>
        <v/>
      </c>
      <c r="P370">
        <f>IF(N370="","",IF(M370=0,N(INDEX(Equipamentos!$V$2:$V$61,N370)),N(INDEX(TrocasEquip!$I$2:$I$1000,M370))))</f>
        <v/>
      </c>
      <c r="Q370">
        <f>IF(N370="","",IF(M370=0,INDEX(Equipamentos!$T$2:$T$61,N370),IF(INDEX(TrocasEquip!$H$2:$H$1000,M370)="",INDEX(Equipamentos!$T$2:$T$61,N370),INDEX(TrocasEquip!$H$2:$H$1000,M370))))</f>
        <v/>
      </c>
    </row>
    <row r="371">
      <c r="A371" s="54" t="n"/>
      <c r="B371" s="55" t="n"/>
      <c r="C371">
        <f>IF(B371="","",IF(N371="","posição não encontrada",IF(M371=0,INDEX(Equipamentos!$S$2:$S$61,N371),INDEX(TrocasEquip!$G$2:$G$1000,M371))))</f>
        <v/>
      </c>
      <c r="D371" s="56">
        <f>IF(OR(A371="",N371=""),"",P371+IF(E371="dias",MAX(0,A371-O371),IF(INDEX(Equipamentos!$D$2:$D$61,N371)=2,SUMIFS(Producao!$D:$D,Producao!$A:$A,"&gt;="&amp;O371,Producao!$A:$A,"&lt;"&amp;A371),IF(INDEX(Equipamentos!$D$2:$D$61,N371)=3,SUMIFS(Producao!$E:$E,Producao!$A:$A,"&gt;="&amp;O371,Producao!$A:$A,"&lt;"&amp;A371),SUMIFS(Producao!$B:$B,Producao!$A:$A,"&gt;="&amp;O371,Producao!$A:$A,"&lt;"&amp;A371)))))</f>
        <v/>
      </c>
      <c r="E371">
        <f>IF(N371="","",INDEX(Equipamentos!$C$2:$C$61,N371))</f>
        <v/>
      </c>
      <c r="F371" s="57">
        <f>IF(OR(D371="",N(Q371)&lt;=0),"",D371/Q371)</f>
        <v/>
      </c>
      <c r="G371" s="55" t="n"/>
      <c r="H371" s="58" t="n"/>
      <c r="I371" s="58" t="n"/>
      <c r="J371" s="55" t="n"/>
      <c r="K371" s="55" t="n"/>
      <c r="L371">
        <f>IF(OR(A371="",B371=""),"",_xlfn.MAXIFS(TrocasEquip!$A$2:$A$1000,TrocasEquip!$B$2:$B$1000,B371,TrocasEquip!$A$2:$A$1000,"&lt;"&amp;A371))</f>
        <v/>
      </c>
      <c r="M371">
        <f>IF(N(L371)=0,0,MATCH(1,INDEX((TrocasEquip!$B$2:$B$1000=B371)*(TrocasEquip!$A$2:$A$1000=L371),0),0))</f>
        <v/>
      </c>
      <c r="N371">
        <f>IF(B371="","",IFERROR(MATCH(B371,Equipamentos!$P$2:$P$61,0),""))</f>
        <v/>
      </c>
      <c r="O371">
        <f>IF(N371="","",IF(M371=0,INDEX(Equipamentos!$U$2:$U$61,N371),L371))</f>
        <v/>
      </c>
      <c r="P371">
        <f>IF(N371="","",IF(M371=0,N(INDEX(Equipamentos!$V$2:$V$61,N371)),N(INDEX(TrocasEquip!$I$2:$I$1000,M371))))</f>
        <v/>
      </c>
      <c r="Q371">
        <f>IF(N371="","",IF(M371=0,INDEX(Equipamentos!$T$2:$T$61,N371),IF(INDEX(TrocasEquip!$H$2:$H$1000,M371)="",INDEX(Equipamentos!$T$2:$T$61,N371),INDEX(TrocasEquip!$H$2:$H$1000,M371))))</f>
        <v/>
      </c>
    </row>
    <row r="372">
      <c r="A372" s="54" t="n"/>
      <c r="B372" s="55" t="n"/>
      <c r="C372">
        <f>IF(B372="","",IF(N372="","posição não encontrada",IF(M372=0,INDEX(Equipamentos!$S$2:$S$61,N372),INDEX(TrocasEquip!$G$2:$G$1000,M372))))</f>
        <v/>
      </c>
      <c r="D372" s="56">
        <f>IF(OR(A372="",N372=""),"",P372+IF(E372="dias",MAX(0,A372-O372),IF(INDEX(Equipamentos!$D$2:$D$61,N372)=2,SUMIFS(Producao!$D:$D,Producao!$A:$A,"&gt;="&amp;O372,Producao!$A:$A,"&lt;"&amp;A372),IF(INDEX(Equipamentos!$D$2:$D$61,N372)=3,SUMIFS(Producao!$E:$E,Producao!$A:$A,"&gt;="&amp;O372,Producao!$A:$A,"&lt;"&amp;A372),SUMIFS(Producao!$B:$B,Producao!$A:$A,"&gt;="&amp;O372,Producao!$A:$A,"&lt;"&amp;A372)))))</f>
        <v/>
      </c>
      <c r="E372">
        <f>IF(N372="","",INDEX(Equipamentos!$C$2:$C$61,N372))</f>
        <v/>
      </c>
      <c r="F372" s="57">
        <f>IF(OR(D372="",N(Q372)&lt;=0),"",D372/Q372)</f>
        <v/>
      </c>
      <c r="G372" s="55" t="n"/>
      <c r="H372" s="58" t="n"/>
      <c r="I372" s="58" t="n"/>
      <c r="J372" s="55" t="n"/>
      <c r="K372" s="55" t="n"/>
      <c r="L372">
        <f>IF(OR(A372="",B372=""),"",_xlfn.MAXIFS(TrocasEquip!$A$2:$A$1000,TrocasEquip!$B$2:$B$1000,B372,TrocasEquip!$A$2:$A$1000,"&lt;"&amp;A372))</f>
        <v/>
      </c>
      <c r="M372">
        <f>IF(N(L372)=0,0,MATCH(1,INDEX((TrocasEquip!$B$2:$B$1000=B372)*(TrocasEquip!$A$2:$A$1000=L372),0),0))</f>
        <v/>
      </c>
      <c r="N372">
        <f>IF(B372="","",IFERROR(MATCH(B372,Equipamentos!$P$2:$P$61,0),""))</f>
        <v/>
      </c>
      <c r="O372">
        <f>IF(N372="","",IF(M372=0,INDEX(Equipamentos!$U$2:$U$61,N372),L372))</f>
        <v/>
      </c>
      <c r="P372">
        <f>IF(N372="","",IF(M372=0,N(INDEX(Equipamentos!$V$2:$V$61,N372)),N(INDEX(TrocasEquip!$I$2:$I$1000,M372))))</f>
        <v/>
      </c>
      <c r="Q372">
        <f>IF(N372="","",IF(M372=0,INDEX(Equipamentos!$T$2:$T$61,N372),IF(INDEX(TrocasEquip!$H$2:$H$1000,M372)="",INDEX(Equipamentos!$T$2:$T$61,N372),INDEX(TrocasEquip!$H$2:$H$1000,M372))))</f>
        <v/>
      </c>
    </row>
    <row r="373">
      <c r="A373" s="54" t="n"/>
      <c r="B373" s="55" t="n"/>
      <c r="C373">
        <f>IF(B373="","",IF(N373="","posição não encontrada",IF(M373=0,INDEX(Equipamentos!$S$2:$S$61,N373),INDEX(TrocasEquip!$G$2:$G$1000,M373))))</f>
        <v/>
      </c>
      <c r="D373" s="56">
        <f>IF(OR(A373="",N373=""),"",P373+IF(E373="dias",MAX(0,A373-O373),IF(INDEX(Equipamentos!$D$2:$D$61,N373)=2,SUMIFS(Producao!$D:$D,Producao!$A:$A,"&gt;="&amp;O373,Producao!$A:$A,"&lt;"&amp;A373),IF(INDEX(Equipamentos!$D$2:$D$61,N373)=3,SUMIFS(Producao!$E:$E,Producao!$A:$A,"&gt;="&amp;O373,Producao!$A:$A,"&lt;"&amp;A373),SUMIFS(Producao!$B:$B,Producao!$A:$A,"&gt;="&amp;O373,Producao!$A:$A,"&lt;"&amp;A373)))))</f>
        <v/>
      </c>
      <c r="E373">
        <f>IF(N373="","",INDEX(Equipamentos!$C$2:$C$61,N373))</f>
        <v/>
      </c>
      <c r="F373" s="57">
        <f>IF(OR(D373="",N(Q373)&lt;=0),"",D373/Q373)</f>
        <v/>
      </c>
      <c r="G373" s="55" t="n"/>
      <c r="H373" s="58" t="n"/>
      <c r="I373" s="58" t="n"/>
      <c r="J373" s="55" t="n"/>
      <c r="K373" s="55" t="n"/>
      <c r="L373">
        <f>IF(OR(A373="",B373=""),"",_xlfn.MAXIFS(TrocasEquip!$A$2:$A$1000,TrocasEquip!$B$2:$B$1000,B373,TrocasEquip!$A$2:$A$1000,"&lt;"&amp;A373))</f>
        <v/>
      </c>
      <c r="M373">
        <f>IF(N(L373)=0,0,MATCH(1,INDEX((TrocasEquip!$B$2:$B$1000=B373)*(TrocasEquip!$A$2:$A$1000=L373),0),0))</f>
        <v/>
      </c>
      <c r="N373">
        <f>IF(B373="","",IFERROR(MATCH(B373,Equipamentos!$P$2:$P$61,0),""))</f>
        <v/>
      </c>
      <c r="O373">
        <f>IF(N373="","",IF(M373=0,INDEX(Equipamentos!$U$2:$U$61,N373),L373))</f>
        <v/>
      </c>
      <c r="P373">
        <f>IF(N373="","",IF(M373=0,N(INDEX(Equipamentos!$V$2:$V$61,N373)),N(INDEX(TrocasEquip!$I$2:$I$1000,M373))))</f>
        <v/>
      </c>
      <c r="Q373">
        <f>IF(N373="","",IF(M373=0,INDEX(Equipamentos!$T$2:$T$61,N373),IF(INDEX(TrocasEquip!$H$2:$H$1000,M373)="",INDEX(Equipamentos!$T$2:$T$61,N373),INDEX(TrocasEquip!$H$2:$H$1000,M373))))</f>
        <v/>
      </c>
    </row>
    <row r="374">
      <c r="A374" s="54" t="n"/>
      <c r="B374" s="55" t="n"/>
      <c r="C374">
        <f>IF(B374="","",IF(N374="","posição não encontrada",IF(M374=0,INDEX(Equipamentos!$S$2:$S$61,N374),INDEX(TrocasEquip!$G$2:$G$1000,M374))))</f>
        <v/>
      </c>
      <c r="D374" s="56">
        <f>IF(OR(A374="",N374=""),"",P374+IF(E374="dias",MAX(0,A374-O374),IF(INDEX(Equipamentos!$D$2:$D$61,N374)=2,SUMIFS(Producao!$D:$D,Producao!$A:$A,"&gt;="&amp;O374,Producao!$A:$A,"&lt;"&amp;A374),IF(INDEX(Equipamentos!$D$2:$D$61,N374)=3,SUMIFS(Producao!$E:$E,Producao!$A:$A,"&gt;="&amp;O374,Producao!$A:$A,"&lt;"&amp;A374),SUMIFS(Producao!$B:$B,Producao!$A:$A,"&gt;="&amp;O374,Producao!$A:$A,"&lt;"&amp;A374)))))</f>
        <v/>
      </c>
      <c r="E374">
        <f>IF(N374="","",INDEX(Equipamentos!$C$2:$C$61,N374))</f>
        <v/>
      </c>
      <c r="F374" s="57">
        <f>IF(OR(D374="",N(Q374)&lt;=0),"",D374/Q374)</f>
        <v/>
      </c>
      <c r="G374" s="55" t="n"/>
      <c r="H374" s="58" t="n"/>
      <c r="I374" s="58" t="n"/>
      <c r="J374" s="55" t="n"/>
      <c r="K374" s="55" t="n"/>
      <c r="L374">
        <f>IF(OR(A374="",B374=""),"",_xlfn.MAXIFS(TrocasEquip!$A$2:$A$1000,TrocasEquip!$B$2:$B$1000,B374,TrocasEquip!$A$2:$A$1000,"&lt;"&amp;A374))</f>
        <v/>
      </c>
      <c r="M374">
        <f>IF(N(L374)=0,0,MATCH(1,INDEX((TrocasEquip!$B$2:$B$1000=B374)*(TrocasEquip!$A$2:$A$1000=L374),0),0))</f>
        <v/>
      </c>
      <c r="N374">
        <f>IF(B374="","",IFERROR(MATCH(B374,Equipamentos!$P$2:$P$61,0),""))</f>
        <v/>
      </c>
      <c r="O374">
        <f>IF(N374="","",IF(M374=0,INDEX(Equipamentos!$U$2:$U$61,N374),L374))</f>
        <v/>
      </c>
      <c r="P374">
        <f>IF(N374="","",IF(M374=0,N(INDEX(Equipamentos!$V$2:$V$61,N374)),N(INDEX(TrocasEquip!$I$2:$I$1000,M374))))</f>
        <v/>
      </c>
      <c r="Q374">
        <f>IF(N374="","",IF(M374=0,INDEX(Equipamentos!$T$2:$T$61,N374),IF(INDEX(TrocasEquip!$H$2:$H$1000,M374)="",INDEX(Equipamentos!$T$2:$T$61,N374),INDEX(TrocasEquip!$H$2:$H$1000,M374))))</f>
        <v/>
      </c>
    </row>
    <row r="375">
      <c r="A375" s="54" t="n"/>
      <c r="B375" s="55" t="n"/>
      <c r="C375">
        <f>IF(B375="","",IF(N375="","posição não encontrada",IF(M375=0,INDEX(Equipamentos!$S$2:$S$61,N375),INDEX(TrocasEquip!$G$2:$G$1000,M375))))</f>
        <v/>
      </c>
      <c r="D375" s="56">
        <f>IF(OR(A375="",N375=""),"",P375+IF(E375="dias",MAX(0,A375-O375),IF(INDEX(Equipamentos!$D$2:$D$61,N375)=2,SUMIFS(Producao!$D:$D,Producao!$A:$A,"&gt;="&amp;O375,Producao!$A:$A,"&lt;"&amp;A375),IF(INDEX(Equipamentos!$D$2:$D$61,N375)=3,SUMIFS(Producao!$E:$E,Producao!$A:$A,"&gt;="&amp;O375,Producao!$A:$A,"&lt;"&amp;A375),SUMIFS(Producao!$B:$B,Producao!$A:$A,"&gt;="&amp;O375,Producao!$A:$A,"&lt;"&amp;A375)))))</f>
        <v/>
      </c>
      <c r="E375">
        <f>IF(N375="","",INDEX(Equipamentos!$C$2:$C$61,N375))</f>
        <v/>
      </c>
      <c r="F375" s="57">
        <f>IF(OR(D375="",N(Q375)&lt;=0),"",D375/Q375)</f>
        <v/>
      </c>
      <c r="G375" s="55" t="n"/>
      <c r="H375" s="58" t="n"/>
      <c r="I375" s="58" t="n"/>
      <c r="J375" s="55" t="n"/>
      <c r="K375" s="55" t="n"/>
      <c r="L375">
        <f>IF(OR(A375="",B375=""),"",_xlfn.MAXIFS(TrocasEquip!$A$2:$A$1000,TrocasEquip!$B$2:$B$1000,B375,TrocasEquip!$A$2:$A$1000,"&lt;"&amp;A375))</f>
        <v/>
      </c>
      <c r="M375">
        <f>IF(N(L375)=0,0,MATCH(1,INDEX((TrocasEquip!$B$2:$B$1000=B375)*(TrocasEquip!$A$2:$A$1000=L375),0),0))</f>
        <v/>
      </c>
      <c r="N375">
        <f>IF(B375="","",IFERROR(MATCH(B375,Equipamentos!$P$2:$P$61,0),""))</f>
        <v/>
      </c>
      <c r="O375">
        <f>IF(N375="","",IF(M375=0,INDEX(Equipamentos!$U$2:$U$61,N375),L375))</f>
        <v/>
      </c>
      <c r="P375">
        <f>IF(N375="","",IF(M375=0,N(INDEX(Equipamentos!$V$2:$V$61,N375)),N(INDEX(TrocasEquip!$I$2:$I$1000,M375))))</f>
        <v/>
      </c>
      <c r="Q375">
        <f>IF(N375="","",IF(M375=0,INDEX(Equipamentos!$T$2:$T$61,N375),IF(INDEX(TrocasEquip!$H$2:$H$1000,M375)="",INDEX(Equipamentos!$T$2:$T$61,N375),INDEX(TrocasEquip!$H$2:$H$1000,M375))))</f>
        <v/>
      </c>
    </row>
    <row r="376">
      <c r="A376" s="54" t="n"/>
      <c r="B376" s="55" t="n"/>
      <c r="C376">
        <f>IF(B376="","",IF(N376="","posição não encontrada",IF(M376=0,INDEX(Equipamentos!$S$2:$S$61,N376),INDEX(TrocasEquip!$G$2:$G$1000,M376))))</f>
        <v/>
      </c>
      <c r="D376" s="56">
        <f>IF(OR(A376="",N376=""),"",P376+IF(E376="dias",MAX(0,A376-O376),IF(INDEX(Equipamentos!$D$2:$D$61,N376)=2,SUMIFS(Producao!$D:$D,Producao!$A:$A,"&gt;="&amp;O376,Producao!$A:$A,"&lt;"&amp;A376),IF(INDEX(Equipamentos!$D$2:$D$61,N376)=3,SUMIFS(Producao!$E:$E,Producao!$A:$A,"&gt;="&amp;O376,Producao!$A:$A,"&lt;"&amp;A376),SUMIFS(Producao!$B:$B,Producao!$A:$A,"&gt;="&amp;O376,Producao!$A:$A,"&lt;"&amp;A376)))))</f>
        <v/>
      </c>
      <c r="E376">
        <f>IF(N376="","",INDEX(Equipamentos!$C$2:$C$61,N376))</f>
        <v/>
      </c>
      <c r="F376" s="57">
        <f>IF(OR(D376="",N(Q376)&lt;=0),"",D376/Q376)</f>
        <v/>
      </c>
      <c r="G376" s="55" t="n"/>
      <c r="H376" s="58" t="n"/>
      <c r="I376" s="58" t="n"/>
      <c r="J376" s="55" t="n"/>
      <c r="K376" s="55" t="n"/>
      <c r="L376">
        <f>IF(OR(A376="",B376=""),"",_xlfn.MAXIFS(TrocasEquip!$A$2:$A$1000,TrocasEquip!$B$2:$B$1000,B376,TrocasEquip!$A$2:$A$1000,"&lt;"&amp;A376))</f>
        <v/>
      </c>
      <c r="M376">
        <f>IF(N(L376)=0,0,MATCH(1,INDEX((TrocasEquip!$B$2:$B$1000=B376)*(TrocasEquip!$A$2:$A$1000=L376),0),0))</f>
        <v/>
      </c>
      <c r="N376">
        <f>IF(B376="","",IFERROR(MATCH(B376,Equipamentos!$P$2:$P$61,0),""))</f>
        <v/>
      </c>
      <c r="O376">
        <f>IF(N376="","",IF(M376=0,INDEX(Equipamentos!$U$2:$U$61,N376),L376))</f>
        <v/>
      </c>
      <c r="P376">
        <f>IF(N376="","",IF(M376=0,N(INDEX(Equipamentos!$V$2:$V$61,N376)),N(INDEX(TrocasEquip!$I$2:$I$1000,M376))))</f>
        <v/>
      </c>
      <c r="Q376">
        <f>IF(N376="","",IF(M376=0,INDEX(Equipamentos!$T$2:$T$61,N376),IF(INDEX(TrocasEquip!$H$2:$H$1000,M376)="",INDEX(Equipamentos!$T$2:$T$61,N376),INDEX(TrocasEquip!$H$2:$H$1000,M376))))</f>
        <v/>
      </c>
    </row>
    <row r="377">
      <c r="A377" s="54" t="n"/>
      <c r="B377" s="55" t="n"/>
      <c r="C377">
        <f>IF(B377="","",IF(N377="","posição não encontrada",IF(M377=0,INDEX(Equipamentos!$S$2:$S$61,N377),INDEX(TrocasEquip!$G$2:$G$1000,M377))))</f>
        <v/>
      </c>
      <c r="D377" s="56">
        <f>IF(OR(A377="",N377=""),"",P377+IF(E377="dias",MAX(0,A377-O377),IF(INDEX(Equipamentos!$D$2:$D$61,N377)=2,SUMIFS(Producao!$D:$D,Producao!$A:$A,"&gt;="&amp;O377,Producao!$A:$A,"&lt;"&amp;A377),IF(INDEX(Equipamentos!$D$2:$D$61,N377)=3,SUMIFS(Producao!$E:$E,Producao!$A:$A,"&gt;="&amp;O377,Producao!$A:$A,"&lt;"&amp;A377),SUMIFS(Producao!$B:$B,Producao!$A:$A,"&gt;="&amp;O377,Producao!$A:$A,"&lt;"&amp;A377)))))</f>
        <v/>
      </c>
      <c r="E377">
        <f>IF(N377="","",INDEX(Equipamentos!$C$2:$C$61,N377))</f>
        <v/>
      </c>
      <c r="F377" s="57">
        <f>IF(OR(D377="",N(Q377)&lt;=0),"",D377/Q377)</f>
        <v/>
      </c>
      <c r="G377" s="55" t="n"/>
      <c r="H377" s="58" t="n"/>
      <c r="I377" s="58" t="n"/>
      <c r="J377" s="55" t="n"/>
      <c r="K377" s="55" t="n"/>
      <c r="L377">
        <f>IF(OR(A377="",B377=""),"",_xlfn.MAXIFS(TrocasEquip!$A$2:$A$1000,TrocasEquip!$B$2:$B$1000,B377,TrocasEquip!$A$2:$A$1000,"&lt;"&amp;A377))</f>
        <v/>
      </c>
      <c r="M377">
        <f>IF(N(L377)=0,0,MATCH(1,INDEX((TrocasEquip!$B$2:$B$1000=B377)*(TrocasEquip!$A$2:$A$1000=L377),0),0))</f>
        <v/>
      </c>
      <c r="N377">
        <f>IF(B377="","",IFERROR(MATCH(B377,Equipamentos!$P$2:$P$61,0),""))</f>
        <v/>
      </c>
      <c r="O377">
        <f>IF(N377="","",IF(M377=0,INDEX(Equipamentos!$U$2:$U$61,N377),L377))</f>
        <v/>
      </c>
      <c r="P377">
        <f>IF(N377="","",IF(M377=0,N(INDEX(Equipamentos!$V$2:$V$61,N377)),N(INDEX(TrocasEquip!$I$2:$I$1000,M377))))</f>
        <v/>
      </c>
      <c r="Q377">
        <f>IF(N377="","",IF(M377=0,INDEX(Equipamentos!$T$2:$T$61,N377),IF(INDEX(TrocasEquip!$H$2:$H$1000,M377)="",INDEX(Equipamentos!$T$2:$T$61,N377),INDEX(TrocasEquip!$H$2:$H$1000,M377))))</f>
        <v/>
      </c>
    </row>
    <row r="378">
      <c r="A378" s="54" t="n"/>
      <c r="B378" s="55" t="n"/>
      <c r="C378">
        <f>IF(B378="","",IF(N378="","posição não encontrada",IF(M378=0,INDEX(Equipamentos!$S$2:$S$61,N378),INDEX(TrocasEquip!$G$2:$G$1000,M378))))</f>
        <v/>
      </c>
      <c r="D378" s="56">
        <f>IF(OR(A378="",N378=""),"",P378+IF(E378="dias",MAX(0,A378-O378),IF(INDEX(Equipamentos!$D$2:$D$61,N378)=2,SUMIFS(Producao!$D:$D,Producao!$A:$A,"&gt;="&amp;O378,Producao!$A:$A,"&lt;"&amp;A378),IF(INDEX(Equipamentos!$D$2:$D$61,N378)=3,SUMIFS(Producao!$E:$E,Producao!$A:$A,"&gt;="&amp;O378,Producao!$A:$A,"&lt;"&amp;A378),SUMIFS(Producao!$B:$B,Producao!$A:$A,"&gt;="&amp;O378,Producao!$A:$A,"&lt;"&amp;A378)))))</f>
        <v/>
      </c>
      <c r="E378">
        <f>IF(N378="","",INDEX(Equipamentos!$C$2:$C$61,N378))</f>
        <v/>
      </c>
      <c r="F378" s="57">
        <f>IF(OR(D378="",N(Q378)&lt;=0),"",D378/Q378)</f>
        <v/>
      </c>
      <c r="G378" s="55" t="n"/>
      <c r="H378" s="58" t="n"/>
      <c r="I378" s="58" t="n"/>
      <c r="J378" s="55" t="n"/>
      <c r="K378" s="55" t="n"/>
      <c r="L378">
        <f>IF(OR(A378="",B378=""),"",_xlfn.MAXIFS(TrocasEquip!$A$2:$A$1000,TrocasEquip!$B$2:$B$1000,B378,TrocasEquip!$A$2:$A$1000,"&lt;"&amp;A378))</f>
        <v/>
      </c>
      <c r="M378">
        <f>IF(N(L378)=0,0,MATCH(1,INDEX((TrocasEquip!$B$2:$B$1000=B378)*(TrocasEquip!$A$2:$A$1000=L378),0),0))</f>
        <v/>
      </c>
      <c r="N378">
        <f>IF(B378="","",IFERROR(MATCH(B378,Equipamentos!$P$2:$P$61,0),""))</f>
        <v/>
      </c>
      <c r="O378">
        <f>IF(N378="","",IF(M378=0,INDEX(Equipamentos!$U$2:$U$61,N378),L378))</f>
        <v/>
      </c>
      <c r="P378">
        <f>IF(N378="","",IF(M378=0,N(INDEX(Equipamentos!$V$2:$V$61,N378)),N(INDEX(TrocasEquip!$I$2:$I$1000,M378))))</f>
        <v/>
      </c>
      <c r="Q378">
        <f>IF(N378="","",IF(M378=0,INDEX(Equipamentos!$T$2:$T$61,N378),IF(INDEX(TrocasEquip!$H$2:$H$1000,M378)="",INDEX(Equipamentos!$T$2:$T$61,N378),INDEX(TrocasEquip!$H$2:$H$1000,M378))))</f>
        <v/>
      </c>
    </row>
    <row r="379">
      <c r="A379" s="54" t="n"/>
      <c r="B379" s="55" t="n"/>
      <c r="C379">
        <f>IF(B379="","",IF(N379="","posição não encontrada",IF(M379=0,INDEX(Equipamentos!$S$2:$S$61,N379),INDEX(TrocasEquip!$G$2:$G$1000,M379))))</f>
        <v/>
      </c>
      <c r="D379" s="56">
        <f>IF(OR(A379="",N379=""),"",P379+IF(E379="dias",MAX(0,A379-O379),IF(INDEX(Equipamentos!$D$2:$D$61,N379)=2,SUMIFS(Producao!$D:$D,Producao!$A:$A,"&gt;="&amp;O379,Producao!$A:$A,"&lt;"&amp;A379),IF(INDEX(Equipamentos!$D$2:$D$61,N379)=3,SUMIFS(Producao!$E:$E,Producao!$A:$A,"&gt;="&amp;O379,Producao!$A:$A,"&lt;"&amp;A379),SUMIFS(Producao!$B:$B,Producao!$A:$A,"&gt;="&amp;O379,Producao!$A:$A,"&lt;"&amp;A379)))))</f>
        <v/>
      </c>
      <c r="E379">
        <f>IF(N379="","",INDEX(Equipamentos!$C$2:$C$61,N379))</f>
        <v/>
      </c>
      <c r="F379" s="57">
        <f>IF(OR(D379="",N(Q379)&lt;=0),"",D379/Q379)</f>
        <v/>
      </c>
      <c r="G379" s="55" t="n"/>
      <c r="H379" s="58" t="n"/>
      <c r="I379" s="58" t="n"/>
      <c r="J379" s="55" t="n"/>
      <c r="K379" s="55" t="n"/>
      <c r="L379">
        <f>IF(OR(A379="",B379=""),"",_xlfn.MAXIFS(TrocasEquip!$A$2:$A$1000,TrocasEquip!$B$2:$B$1000,B379,TrocasEquip!$A$2:$A$1000,"&lt;"&amp;A379))</f>
        <v/>
      </c>
      <c r="M379">
        <f>IF(N(L379)=0,0,MATCH(1,INDEX((TrocasEquip!$B$2:$B$1000=B379)*(TrocasEquip!$A$2:$A$1000=L379),0),0))</f>
        <v/>
      </c>
      <c r="N379">
        <f>IF(B379="","",IFERROR(MATCH(B379,Equipamentos!$P$2:$P$61,0),""))</f>
        <v/>
      </c>
      <c r="O379">
        <f>IF(N379="","",IF(M379=0,INDEX(Equipamentos!$U$2:$U$61,N379),L379))</f>
        <v/>
      </c>
      <c r="P379">
        <f>IF(N379="","",IF(M379=0,N(INDEX(Equipamentos!$V$2:$V$61,N379)),N(INDEX(TrocasEquip!$I$2:$I$1000,M379))))</f>
        <v/>
      </c>
      <c r="Q379">
        <f>IF(N379="","",IF(M379=0,INDEX(Equipamentos!$T$2:$T$61,N379),IF(INDEX(TrocasEquip!$H$2:$H$1000,M379)="",INDEX(Equipamentos!$T$2:$T$61,N379),INDEX(TrocasEquip!$H$2:$H$1000,M379))))</f>
        <v/>
      </c>
    </row>
    <row r="380">
      <c r="A380" s="54" t="n"/>
      <c r="B380" s="55" t="n"/>
      <c r="C380">
        <f>IF(B380="","",IF(N380="","posição não encontrada",IF(M380=0,INDEX(Equipamentos!$S$2:$S$61,N380),INDEX(TrocasEquip!$G$2:$G$1000,M380))))</f>
        <v/>
      </c>
      <c r="D380" s="56">
        <f>IF(OR(A380="",N380=""),"",P380+IF(E380="dias",MAX(0,A380-O380),IF(INDEX(Equipamentos!$D$2:$D$61,N380)=2,SUMIFS(Producao!$D:$D,Producao!$A:$A,"&gt;="&amp;O380,Producao!$A:$A,"&lt;"&amp;A380),IF(INDEX(Equipamentos!$D$2:$D$61,N380)=3,SUMIFS(Producao!$E:$E,Producao!$A:$A,"&gt;="&amp;O380,Producao!$A:$A,"&lt;"&amp;A380),SUMIFS(Producao!$B:$B,Producao!$A:$A,"&gt;="&amp;O380,Producao!$A:$A,"&lt;"&amp;A380)))))</f>
        <v/>
      </c>
      <c r="E380">
        <f>IF(N380="","",INDEX(Equipamentos!$C$2:$C$61,N380))</f>
        <v/>
      </c>
      <c r="F380" s="57">
        <f>IF(OR(D380="",N(Q380)&lt;=0),"",D380/Q380)</f>
        <v/>
      </c>
      <c r="G380" s="55" t="n"/>
      <c r="H380" s="58" t="n"/>
      <c r="I380" s="58" t="n"/>
      <c r="J380" s="55" t="n"/>
      <c r="K380" s="55" t="n"/>
      <c r="L380">
        <f>IF(OR(A380="",B380=""),"",_xlfn.MAXIFS(TrocasEquip!$A$2:$A$1000,TrocasEquip!$B$2:$B$1000,B380,TrocasEquip!$A$2:$A$1000,"&lt;"&amp;A380))</f>
        <v/>
      </c>
      <c r="M380">
        <f>IF(N(L380)=0,0,MATCH(1,INDEX((TrocasEquip!$B$2:$B$1000=B380)*(TrocasEquip!$A$2:$A$1000=L380),0),0))</f>
        <v/>
      </c>
      <c r="N380">
        <f>IF(B380="","",IFERROR(MATCH(B380,Equipamentos!$P$2:$P$61,0),""))</f>
        <v/>
      </c>
      <c r="O380">
        <f>IF(N380="","",IF(M380=0,INDEX(Equipamentos!$U$2:$U$61,N380),L380))</f>
        <v/>
      </c>
      <c r="P380">
        <f>IF(N380="","",IF(M380=0,N(INDEX(Equipamentos!$V$2:$V$61,N380)),N(INDEX(TrocasEquip!$I$2:$I$1000,M380))))</f>
        <v/>
      </c>
      <c r="Q380">
        <f>IF(N380="","",IF(M380=0,INDEX(Equipamentos!$T$2:$T$61,N380),IF(INDEX(TrocasEquip!$H$2:$H$1000,M380)="",INDEX(Equipamentos!$T$2:$T$61,N380),INDEX(TrocasEquip!$H$2:$H$1000,M380))))</f>
        <v/>
      </c>
    </row>
    <row r="381">
      <c r="A381" s="54" t="n"/>
      <c r="B381" s="55" t="n"/>
      <c r="C381">
        <f>IF(B381="","",IF(N381="","posição não encontrada",IF(M381=0,INDEX(Equipamentos!$S$2:$S$61,N381),INDEX(TrocasEquip!$G$2:$G$1000,M381))))</f>
        <v/>
      </c>
      <c r="D381" s="56">
        <f>IF(OR(A381="",N381=""),"",P381+IF(E381="dias",MAX(0,A381-O381),IF(INDEX(Equipamentos!$D$2:$D$61,N381)=2,SUMIFS(Producao!$D:$D,Producao!$A:$A,"&gt;="&amp;O381,Producao!$A:$A,"&lt;"&amp;A381),IF(INDEX(Equipamentos!$D$2:$D$61,N381)=3,SUMIFS(Producao!$E:$E,Producao!$A:$A,"&gt;="&amp;O381,Producao!$A:$A,"&lt;"&amp;A381),SUMIFS(Producao!$B:$B,Producao!$A:$A,"&gt;="&amp;O381,Producao!$A:$A,"&lt;"&amp;A381)))))</f>
        <v/>
      </c>
      <c r="E381">
        <f>IF(N381="","",INDEX(Equipamentos!$C$2:$C$61,N381))</f>
        <v/>
      </c>
      <c r="F381" s="57">
        <f>IF(OR(D381="",N(Q381)&lt;=0),"",D381/Q381)</f>
        <v/>
      </c>
      <c r="G381" s="55" t="n"/>
      <c r="H381" s="58" t="n"/>
      <c r="I381" s="58" t="n"/>
      <c r="J381" s="55" t="n"/>
      <c r="K381" s="55" t="n"/>
      <c r="L381">
        <f>IF(OR(A381="",B381=""),"",_xlfn.MAXIFS(TrocasEquip!$A$2:$A$1000,TrocasEquip!$B$2:$B$1000,B381,TrocasEquip!$A$2:$A$1000,"&lt;"&amp;A381))</f>
        <v/>
      </c>
      <c r="M381">
        <f>IF(N(L381)=0,0,MATCH(1,INDEX((TrocasEquip!$B$2:$B$1000=B381)*(TrocasEquip!$A$2:$A$1000=L381),0),0))</f>
        <v/>
      </c>
      <c r="N381">
        <f>IF(B381="","",IFERROR(MATCH(B381,Equipamentos!$P$2:$P$61,0),""))</f>
        <v/>
      </c>
      <c r="O381">
        <f>IF(N381="","",IF(M381=0,INDEX(Equipamentos!$U$2:$U$61,N381),L381))</f>
        <v/>
      </c>
      <c r="P381">
        <f>IF(N381="","",IF(M381=0,N(INDEX(Equipamentos!$V$2:$V$61,N381)),N(INDEX(TrocasEquip!$I$2:$I$1000,M381))))</f>
        <v/>
      </c>
      <c r="Q381">
        <f>IF(N381="","",IF(M381=0,INDEX(Equipamentos!$T$2:$T$61,N381),IF(INDEX(TrocasEquip!$H$2:$H$1000,M381)="",INDEX(Equipamentos!$T$2:$T$61,N381),INDEX(TrocasEquip!$H$2:$H$1000,M381))))</f>
        <v/>
      </c>
    </row>
    <row r="382">
      <c r="A382" s="54" t="n"/>
      <c r="B382" s="55" t="n"/>
      <c r="C382">
        <f>IF(B382="","",IF(N382="","posição não encontrada",IF(M382=0,INDEX(Equipamentos!$S$2:$S$61,N382),INDEX(TrocasEquip!$G$2:$G$1000,M382))))</f>
        <v/>
      </c>
      <c r="D382" s="56">
        <f>IF(OR(A382="",N382=""),"",P382+IF(E382="dias",MAX(0,A382-O382),IF(INDEX(Equipamentos!$D$2:$D$61,N382)=2,SUMIFS(Producao!$D:$D,Producao!$A:$A,"&gt;="&amp;O382,Producao!$A:$A,"&lt;"&amp;A382),IF(INDEX(Equipamentos!$D$2:$D$61,N382)=3,SUMIFS(Producao!$E:$E,Producao!$A:$A,"&gt;="&amp;O382,Producao!$A:$A,"&lt;"&amp;A382),SUMIFS(Producao!$B:$B,Producao!$A:$A,"&gt;="&amp;O382,Producao!$A:$A,"&lt;"&amp;A382)))))</f>
        <v/>
      </c>
      <c r="E382">
        <f>IF(N382="","",INDEX(Equipamentos!$C$2:$C$61,N382))</f>
        <v/>
      </c>
      <c r="F382" s="57">
        <f>IF(OR(D382="",N(Q382)&lt;=0),"",D382/Q382)</f>
        <v/>
      </c>
      <c r="G382" s="55" t="n"/>
      <c r="H382" s="58" t="n"/>
      <c r="I382" s="58" t="n"/>
      <c r="J382" s="55" t="n"/>
      <c r="K382" s="55" t="n"/>
      <c r="L382">
        <f>IF(OR(A382="",B382=""),"",_xlfn.MAXIFS(TrocasEquip!$A$2:$A$1000,TrocasEquip!$B$2:$B$1000,B382,TrocasEquip!$A$2:$A$1000,"&lt;"&amp;A382))</f>
        <v/>
      </c>
      <c r="M382">
        <f>IF(N(L382)=0,0,MATCH(1,INDEX((TrocasEquip!$B$2:$B$1000=B382)*(TrocasEquip!$A$2:$A$1000=L382),0),0))</f>
        <v/>
      </c>
      <c r="N382">
        <f>IF(B382="","",IFERROR(MATCH(B382,Equipamentos!$P$2:$P$61,0),""))</f>
        <v/>
      </c>
      <c r="O382">
        <f>IF(N382="","",IF(M382=0,INDEX(Equipamentos!$U$2:$U$61,N382),L382))</f>
        <v/>
      </c>
      <c r="P382">
        <f>IF(N382="","",IF(M382=0,N(INDEX(Equipamentos!$V$2:$V$61,N382)),N(INDEX(TrocasEquip!$I$2:$I$1000,M382))))</f>
        <v/>
      </c>
      <c r="Q382">
        <f>IF(N382="","",IF(M382=0,INDEX(Equipamentos!$T$2:$T$61,N382),IF(INDEX(TrocasEquip!$H$2:$H$1000,M382)="",INDEX(Equipamentos!$T$2:$T$61,N382),INDEX(TrocasEquip!$H$2:$H$1000,M382))))</f>
        <v/>
      </c>
    </row>
    <row r="383">
      <c r="A383" s="54" t="n"/>
      <c r="B383" s="55" t="n"/>
      <c r="C383">
        <f>IF(B383="","",IF(N383="","posição não encontrada",IF(M383=0,INDEX(Equipamentos!$S$2:$S$61,N383),INDEX(TrocasEquip!$G$2:$G$1000,M383))))</f>
        <v/>
      </c>
      <c r="D383" s="56">
        <f>IF(OR(A383="",N383=""),"",P383+IF(E383="dias",MAX(0,A383-O383),IF(INDEX(Equipamentos!$D$2:$D$61,N383)=2,SUMIFS(Producao!$D:$D,Producao!$A:$A,"&gt;="&amp;O383,Producao!$A:$A,"&lt;"&amp;A383),IF(INDEX(Equipamentos!$D$2:$D$61,N383)=3,SUMIFS(Producao!$E:$E,Producao!$A:$A,"&gt;="&amp;O383,Producao!$A:$A,"&lt;"&amp;A383),SUMIFS(Producao!$B:$B,Producao!$A:$A,"&gt;="&amp;O383,Producao!$A:$A,"&lt;"&amp;A383)))))</f>
        <v/>
      </c>
      <c r="E383">
        <f>IF(N383="","",INDEX(Equipamentos!$C$2:$C$61,N383))</f>
        <v/>
      </c>
      <c r="F383" s="57">
        <f>IF(OR(D383="",N(Q383)&lt;=0),"",D383/Q383)</f>
        <v/>
      </c>
      <c r="G383" s="55" t="n"/>
      <c r="H383" s="58" t="n"/>
      <c r="I383" s="58" t="n"/>
      <c r="J383" s="55" t="n"/>
      <c r="K383" s="55" t="n"/>
      <c r="L383">
        <f>IF(OR(A383="",B383=""),"",_xlfn.MAXIFS(TrocasEquip!$A$2:$A$1000,TrocasEquip!$B$2:$B$1000,B383,TrocasEquip!$A$2:$A$1000,"&lt;"&amp;A383))</f>
        <v/>
      </c>
      <c r="M383">
        <f>IF(N(L383)=0,0,MATCH(1,INDEX((TrocasEquip!$B$2:$B$1000=B383)*(TrocasEquip!$A$2:$A$1000=L383),0),0))</f>
        <v/>
      </c>
      <c r="N383">
        <f>IF(B383="","",IFERROR(MATCH(B383,Equipamentos!$P$2:$P$61,0),""))</f>
        <v/>
      </c>
      <c r="O383">
        <f>IF(N383="","",IF(M383=0,INDEX(Equipamentos!$U$2:$U$61,N383),L383))</f>
        <v/>
      </c>
      <c r="P383">
        <f>IF(N383="","",IF(M383=0,N(INDEX(Equipamentos!$V$2:$V$61,N383)),N(INDEX(TrocasEquip!$I$2:$I$1000,M383))))</f>
        <v/>
      </c>
      <c r="Q383">
        <f>IF(N383="","",IF(M383=0,INDEX(Equipamentos!$T$2:$T$61,N383),IF(INDEX(TrocasEquip!$H$2:$H$1000,M383)="",INDEX(Equipamentos!$T$2:$T$61,N383),INDEX(TrocasEquip!$H$2:$H$1000,M383))))</f>
        <v/>
      </c>
    </row>
    <row r="384">
      <c r="A384" s="54" t="n"/>
      <c r="B384" s="55" t="n"/>
      <c r="C384">
        <f>IF(B384="","",IF(N384="","posição não encontrada",IF(M384=0,INDEX(Equipamentos!$S$2:$S$61,N384),INDEX(TrocasEquip!$G$2:$G$1000,M384))))</f>
        <v/>
      </c>
      <c r="D384" s="56">
        <f>IF(OR(A384="",N384=""),"",P384+IF(E384="dias",MAX(0,A384-O384),IF(INDEX(Equipamentos!$D$2:$D$61,N384)=2,SUMIFS(Producao!$D:$D,Producao!$A:$A,"&gt;="&amp;O384,Producao!$A:$A,"&lt;"&amp;A384),IF(INDEX(Equipamentos!$D$2:$D$61,N384)=3,SUMIFS(Producao!$E:$E,Producao!$A:$A,"&gt;="&amp;O384,Producao!$A:$A,"&lt;"&amp;A384),SUMIFS(Producao!$B:$B,Producao!$A:$A,"&gt;="&amp;O384,Producao!$A:$A,"&lt;"&amp;A384)))))</f>
        <v/>
      </c>
      <c r="E384">
        <f>IF(N384="","",INDEX(Equipamentos!$C$2:$C$61,N384))</f>
        <v/>
      </c>
      <c r="F384" s="57">
        <f>IF(OR(D384="",N(Q384)&lt;=0),"",D384/Q384)</f>
        <v/>
      </c>
      <c r="G384" s="55" t="n"/>
      <c r="H384" s="58" t="n"/>
      <c r="I384" s="58" t="n"/>
      <c r="J384" s="55" t="n"/>
      <c r="K384" s="55" t="n"/>
      <c r="L384">
        <f>IF(OR(A384="",B384=""),"",_xlfn.MAXIFS(TrocasEquip!$A$2:$A$1000,TrocasEquip!$B$2:$B$1000,B384,TrocasEquip!$A$2:$A$1000,"&lt;"&amp;A384))</f>
        <v/>
      </c>
      <c r="M384">
        <f>IF(N(L384)=0,0,MATCH(1,INDEX((TrocasEquip!$B$2:$B$1000=B384)*(TrocasEquip!$A$2:$A$1000=L384),0),0))</f>
        <v/>
      </c>
      <c r="N384">
        <f>IF(B384="","",IFERROR(MATCH(B384,Equipamentos!$P$2:$P$61,0),""))</f>
        <v/>
      </c>
      <c r="O384">
        <f>IF(N384="","",IF(M384=0,INDEX(Equipamentos!$U$2:$U$61,N384),L384))</f>
        <v/>
      </c>
      <c r="P384">
        <f>IF(N384="","",IF(M384=0,N(INDEX(Equipamentos!$V$2:$V$61,N384)),N(INDEX(TrocasEquip!$I$2:$I$1000,M384))))</f>
        <v/>
      </c>
      <c r="Q384">
        <f>IF(N384="","",IF(M384=0,INDEX(Equipamentos!$T$2:$T$61,N384),IF(INDEX(TrocasEquip!$H$2:$H$1000,M384)="",INDEX(Equipamentos!$T$2:$T$61,N384),INDEX(TrocasEquip!$H$2:$H$1000,M384))))</f>
        <v/>
      </c>
    </row>
    <row r="385">
      <c r="A385" s="54" t="n"/>
      <c r="B385" s="55" t="n"/>
      <c r="C385">
        <f>IF(B385="","",IF(N385="","posição não encontrada",IF(M385=0,INDEX(Equipamentos!$S$2:$S$61,N385),INDEX(TrocasEquip!$G$2:$G$1000,M385))))</f>
        <v/>
      </c>
      <c r="D385" s="56">
        <f>IF(OR(A385="",N385=""),"",P385+IF(E385="dias",MAX(0,A385-O385),IF(INDEX(Equipamentos!$D$2:$D$61,N385)=2,SUMIFS(Producao!$D:$D,Producao!$A:$A,"&gt;="&amp;O385,Producao!$A:$A,"&lt;"&amp;A385),IF(INDEX(Equipamentos!$D$2:$D$61,N385)=3,SUMIFS(Producao!$E:$E,Producao!$A:$A,"&gt;="&amp;O385,Producao!$A:$A,"&lt;"&amp;A385),SUMIFS(Producao!$B:$B,Producao!$A:$A,"&gt;="&amp;O385,Producao!$A:$A,"&lt;"&amp;A385)))))</f>
        <v/>
      </c>
      <c r="E385">
        <f>IF(N385="","",INDEX(Equipamentos!$C$2:$C$61,N385))</f>
        <v/>
      </c>
      <c r="F385" s="57">
        <f>IF(OR(D385="",N(Q385)&lt;=0),"",D385/Q385)</f>
        <v/>
      </c>
      <c r="G385" s="55" t="n"/>
      <c r="H385" s="58" t="n"/>
      <c r="I385" s="58" t="n"/>
      <c r="J385" s="55" t="n"/>
      <c r="K385" s="55" t="n"/>
      <c r="L385">
        <f>IF(OR(A385="",B385=""),"",_xlfn.MAXIFS(TrocasEquip!$A$2:$A$1000,TrocasEquip!$B$2:$B$1000,B385,TrocasEquip!$A$2:$A$1000,"&lt;"&amp;A385))</f>
        <v/>
      </c>
      <c r="M385">
        <f>IF(N(L385)=0,0,MATCH(1,INDEX((TrocasEquip!$B$2:$B$1000=B385)*(TrocasEquip!$A$2:$A$1000=L385),0),0))</f>
        <v/>
      </c>
      <c r="N385">
        <f>IF(B385="","",IFERROR(MATCH(B385,Equipamentos!$P$2:$P$61,0),""))</f>
        <v/>
      </c>
      <c r="O385">
        <f>IF(N385="","",IF(M385=0,INDEX(Equipamentos!$U$2:$U$61,N385),L385))</f>
        <v/>
      </c>
      <c r="P385">
        <f>IF(N385="","",IF(M385=0,N(INDEX(Equipamentos!$V$2:$V$61,N385)),N(INDEX(TrocasEquip!$I$2:$I$1000,M385))))</f>
        <v/>
      </c>
      <c r="Q385">
        <f>IF(N385="","",IF(M385=0,INDEX(Equipamentos!$T$2:$T$61,N385),IF(INDEX(TrocasEquip!$H$2:$H$1000,M385)="",INDEX(Equipamentos!$T$2:$T$61,N385),INDEX(TrocasEquip!$H$2:$H$1000,M385))))</f>
        <v/>
      </c>
    </row>
    <row r="386">
      <c r="A386" s="54" t="n"/>
      <c r="B386" s="55" t="n"/>
      <c r="C386">
        <f>IF(B386="","",IF(N386="","posição não encontrada",IF(M386=0,INDEX(Equipamentos!$S$2:$S$61,N386),INDEX(TrocasEquip!$G$2:$G$1000,M386))))</f>
        <v/>
      </c>
      <c r="D386" s="56">
        <f>IF(OR(A386="",N386=""),"",P386+IF(E386="dias",MAX(0,A386-O386),IF(INDEX(Equipamentos!$D$2:$D$61,N386)=2,SUMIFS(Producao!$D:$D,Producao!$A:$A,"&gt;="&amp;O386,Producao!$A:$A,"&lt;"&amp;A386),IF(INDEX(Equipamentos!$D$2:$D$61,N386)=3,SUMIFS(Producao!$E:$E,Producao!$A:$A,"&gt;="&amp;O386,Producao!$A:$A,"&lt;"&amp;A386),SUMIFS(Producao!$B:$B,Producao!$A:$A,"&gt;="&amp;O386,Producao!$A:$A,"&lt;"&amp;A386)))))</f>
        <v/>
      </c>
      <c r="E386">
        <f>IF(N386="","",INDEX(Equipamentos!$C$2:$C$61,N386))</f>
        <v/>
      </c>
      <c r="F386" s="57">
        <f>IF(OR(D386="",N(Q386)&lt;=0),"",D386/Q386)</f>
        <v/>
      </c>
      <c r="G386" s="55" t="n"/>
      <c r="H386" s="58" t="n"/>
      <c r="I386" s="58" t="n"/>
      <c r="J386" s="55" t="n"/>
      <c r="K386" s="55" t="n"/>
      <c r="L386">
        <f>IF(OR(A386="",B386=""),"",_xlfn.MAXIFS(TrocasEquip!$A$2:$A$1000,TrocasEquip!$B$2:$B$1000,B386,TrocasEquip!$A$2:$A$1000,"&lt;"&amp;A386))</f>
        <v/>
      </c>
      <c r="M386">
        <f>IF(N(L386)=0,0,MATCH(1,INDEX((TrocasEquip!$B$2:$B$1000=B386)*(TrocasEquip!$A$2:$A$1000=L386),0),0))</f>
        <v/>
      </c>
      <c r="N386">
        <f>IF(B386="","",IFERROR(MATCH(B386,Equipamentos!$P$2:$P$61,0),""))</f>
        <v/>
      </c>
      <c r="O386">
        <f>IF(N386="","",IF(M386=0,INDEX(Equipamentos!$U$2:$U$61,N386),L386))</f>
        <v/>
      </c>
      <c r="P386">
        <f>IF(N386="","",IF(M386=0,N(INDEX(Equipamentos!$V$2:$V$61,N386)),N(INDEX(TrocasEquip!$I$2:$I$1000,M386))))</f>
        <v/>
      </c>
      <c r="Q386">
        <f>IF(N386="","",IF(M386=0,INDEX(Equipamentos!$T$2:$T$61,N386),IF(INDEX(TrocasEquip!$H$2:$H$1000,M386)="",INDEX(Equipamentos!$T$2:$T$61,N386),INDEX(TrocasEquip!$H$2:$H$1000,M386))))</f>
        <v/>
      </c>
    </row>
    <row r="387">
      <c r="A387" s="54" t="n"/>
      <c r="B387" s="55" t="n"/>
      <c r="C387">
        <f>IF(B387="","",IF(N387="","posição não encontrada",IF(M387=0,INDEX(Equipamentos!$S$2:$S$61,N387),INDEX(TrocasEquip!$G$2:$G$1000,M387))))</f>
        <v/>
      </c>
      <c r="D387" s="56">
        <f>IF(OR(A387="",N387=""),"",P387+IF(E387="dias",MAX(0,A387-O387),IF(INDEX(Equipamentos!$D$2:$D$61,N387)=2,SUMIFS(Producao!$D:$D,Producao!$A:$A,"&gt;="&amp;O387,Producao!$A:$A,"&lt;"&amp;A387),IF(INDEX(Equipamentos!$D$2:$D$61,N387)=3,SUMIFS(Producao!$E:$E,Producao!$A:$A,"&gt;="&amp;O387,Producao!$A:$A,"&lt;"&amp;A387),SUMIFS(Producao!$B:$B,Producao!$A:$A,"&gt;="&amp;O387,Producao!$A:$A,"&lt;"&amp;A387)))))</f>
        <v/>
      </c>
      <c r="E387">
        <f>IF(N387="","",INDEX(Equipamentos!$C$2:$C$61,N387))</f>
        <v/>
      </c>
      <c r="F387" s="57">
        <f>IF(OR(D387="",N(Q387)&lt;=0),"",D387/Q387)</f>
        <v/>
      </c>
      <c r="G387" s="55" t="n"/>
      <c r="H387" s="58" t="n"/>
      <c r="I387" s="58" t="n"/>
      <c r="J387" s="55" t="n"/>
      <c r="K387" s="55" t="n"/>
      <c r="L387">
        <f>IF(OR(A387="",B387=""),"",_xlfn.MAXIFS(TrocasEquip!$A$2:$A$1000,TrocasEquip!$B$2:$B$1000,B387,TrocasEquip!$A$2:$A$1000,"&lt;"&amp;A387))</f>
        <v/>
      </c>
      <c r="M387">
        <f>IF(N(L387)=0,0,MATCH(1,INDEX((TrocasEquip!$B$2:$B$1000=B387)*(TrocasEquip!$A$2:$A$1000=L387),0),0))</f>
        <v/>
      </c>
      <c r="N387">
        <f>IF(B387="","",IFERROR(MATCH(B387,Equipamentos!$P$2:$P$61,0),""))</f>
        <v/>
      </c>
      <c r="O387">
        <f>IF(N387="","",IF(M387=0,INDEX(Equipamentos!$U$2:$U$61,N387),L387))</f>
        <v/>
      </c>
      <c r="P387">
        <f>IF(N387="","",IF(M387=0,N(INDEX(Equipamentos!$V$2:$V$61,N387)),N(INDEX(TrocasEquip!$I$2:$I$1000,M387))))</f>
        <v/>
      </c>
      <c r="Q387">
        <f>IF(N387="","",IF(M387=0,INDEX(Equipamentos!$T$2:$T$61,N387),IF(INDEX(TrocasEquip!$H$2:$H$1000,M387)="",INDEX(Equipamentos!$T$2:$T$61,N387),INDEX(TrocasEquip!$H$2:$H$1000,M387))))</f>
        <v/>
      </c>
    </row>
    <row r="388">
      <c r="A388" s="54" t="n"/>
      <c r="B388" s="55" t="n"/>
      <c r="C388">
        <f>IF(B388="","",IF(N388="","posição não encontrada",IF(M388=0,INDEX(Equipamentos!$S$2:$S$61,N388),INDEX(TrocasEquip!$G$2:$G$1000,M388))))</f>
        <v/>
      </c>
      <c r="D388" s="56">
        <f>IF(OR(A388="",N388=""),"",P388+IF(E388="dias",MAX(0,A388-O388),IF(INDEX(Equipamentos!$D$2:$D$61,N388)=2,SUMIFS(Producao!$D:$D,Producao!$A:$A,"&gt;="&amp;O388,Producao!$A:$A,"&lt;"&amp;A388),IF(INDEX(Equipamentos!$D$2:$D$61,N388)=3,SUMIFS(Producao!$E:$E,Producao!$A:$A,"&gt;="&amp;O388,Producao!$A:$A,"&lt;"&amp;A388),SUMIFS(Producao!$B:$B,Producao!$A:$A,"&gt;="&amp;O388,Producao!$A:$A,"&lt;"&amp;A388)))))</f>
        <v/>
      </c>
      <c r="E388">
        <f>IF(N388="","",INDEX(Equipamentos!$C$2:$C$61,N388))</f>
        <v/>
      </c>
      <c r="F388" s="57">
        <f>IF(OR(D388="",N(Q388)&lt;=0),"",D388/Q388)</f>
        <v/>
      </c>
      <c r="G388" s="55" t="n"/>
      <c r="H388" s="58" t="n"/>
      <c r="I388" s="58" t="n"/>
      <c r="J388" s="55" t="n"/>
      <c r="K388" s="55" t="n"/>
      <c r="L388">
        <f>IF(OR(A388="",B388=""),"",_xlfn.MAXIFS(TrocasEquip!$A$2:$A$1000,TrocasEquip!$B$2:$B$1000,B388,TrocasEquip!$A$2:$A$1000,"&lt;"&amp;A388))</f>
        <v/>
      </c>
      <c r="M388">
        <f>IF(N(L388)=0,0,MATCH(1,INDEX((TrocasEquip!$B$2:$B$1000=B388)*(TrocasEquip!$A$2:$A$1000=L388),0),0))</f>
        <v/>
      </c>
      <c r="N388">
        <f>IF(B388="","",IFERROR(MATCH(B388,Equipamentos!$P$2:$P$61,0),""))</f>
        <v/>
      </c>
      <c r="O388">
        <f>IF(N388="","",IF(M388=0,INDEX(Equipamentos!$U$2:$U$61,N388),L388))</f>
        <v/>
      </c>
      <c r="P388">
        <f>IF(N388="","",IF(M388=0,N(INDEX(Equipamentos!$V$2:$V$61,N388)),N(INDEX(TrocasEquip!$I$2:$I$1000,M388))))</f>
        <v/>
      </c>
      <c r="Q388">
        <f>IF(N388="","",IF(M388=0,INDEX(Equipamentos!$T$2:$T$61,N388),IF(INDEX(TrocasEquip!$H$2:$H$1000,M388)="",INDEX(Equipamentos!$T$2:$T$61,N388),INDEX(TrocasEquip!$H$2:$H$1000,M388))))</f>
        <v/>
      </c>
    </row>
    <row r="389">
      <c r="A389" s="54" t="n"/>
      <c r="B389" s="55" t="n"/>
      <c r="C389">
        <f>IF(B389="","",IF(N389="","posição não encontrada",IF(M389=0,INDEX(Equipamentos!$S$2:$S$61,N389),INDEX(TrocasEquip!$G$2:$G$1000,M389))))</f>
        <v/>
      </c>
      <c r="D389" s="56">
        <f>IF(OR(A389="",N389=""),"",P389+IF(E389="dias",MAX(0,A389-O389),IF(INDEX(Equipamentos!$D$2:$D$61,N389)=2,SUMIFS(Producao!$D:$D,Producao!$A:$A,"&gt;="&amp;O389,Producao!$A:$A,"&lt;"&amp;A389),IF(INDEX(Equipamentos!$D$2:$D$61,N389)=3,SUMIFS(Producao!$E:$E,Producao!$A:$A,"&gt;="&amp;O389,Producao!$A:$A,"&lt;"&amp;A389),SUMIFS(Producao!$B:$B,Producao!$A:$A,"&gt;="&amp;O389,Producao!$A:$A,"&lt;"&amp;A389)))))</f>
        <v/>
      </c>
      <c r="E389">
        <f>IF(N389="","",INDEX(Equipamentos!$C$2:$C$61,N389))</f>
        <v/>
      </c>
      <c r="F389" s="57">
        <f>IF(OR(D389="",N(Q389)&lt;=0),"",D389/Q389)</f>
        <v/>
      </c>
      <c r="G389" s="55" t="n"/>
      <c r="H389" s="58" t="n"/>
      <c r="I389" s="58" t="n"/>
      <c r="J389" s="55" t="n"/>
      <c r="K389" s="55" t="n"/>
      <c r="L389">
        <f>IF(OR(A389="",B389=""),"",_xlfn.MAXIFS(TrocasEquip!$A$2:$A$1000,TrocasEquip!$B$2:$B$1000,B389,TrocasEquip!$A$2:$A$1000,"&lt;"&amp;A389))</f>
        <v/>
      </c>
      <c r="M389">
        <f>IF(N(L389)=0,0,MATCH(1,INDEX((TrocasEquip!$B$2:$B$1000=B389)*(TrocasEquip!$A$2:$A$1000=L389),0),0))</f>
        <v/>
      </c>
      <c r="N389">
        <f>IF(B389="","",IFERROR(MATCH(B389,Equipamentos!$P$2:$P$61,0),""))</f>
        <v/>
      </c>
      <c r="O389">
        <f>IF(N389="","",IF(M389=0,INDEX(Equipamentos!$U$2:$U$61,N389),L389))</f>
        <v/>
      </c>
      <c r="P389">
        <f>IF(N389="","",IF(M389=0,N(INDEX(Equipamentos!$V$2:$V$61,N389)),N(INDEX(TrocasEquip!$I$2:$I$1000,M389))))</f>
        <v/>
      </c>
      <c r="Q389">
        <f>IF(N389="","",IF(M389=0,INDEX(Equipamentos!$T$2:$T$61,N389),IF(INDEX(TrocasEquip!$H$2:$H$1000,M389)="",INDEX(Equipamentos!$T$2:$T$61,N389),INDEX(TrocasEquip!$H$2:$H$1000,M389))))</f>
        <v/>
      </c>
    </row>
    <row r="390">
      <c r="A390" s="54" t="n"/>
      <c r="B390" s="55" t="n"/>
      <c r="C390">
        <f>IF(B390="","",IF(N390="","posição não encontrada",IF(M390=0,INDEX(Equipamentos!$S$2:$S$61,N390),INDEX(TrocasEquip!$G$2:$G$1000,M390))))</f>
        <v/>
      </c>
      <c r="D390" s="56">
        <f>IF(OR(A390="",N390=""),"",P390+IF(E390="dias",MAX(0,A390-O390),IF(INDEX(Equipamentos!$D$2:$D$61,N390)=2,SUMIFS(Producao!$D:$D,Producao!$A:$A,"&gt;="&amp;O390,Producao!$A:$A,"&lt;"&amp;A390),IF(INDEX(Equipamentos!$D$2:$D$61,N390)=3,SUMIFS(Producao!$E:$E,Producao!$A:$A,"&gt;="&amp;O390,Producao!$A:$A,"&lt;"&amp;A390),SUMIFS(Producao!$B:$B,Producao!$A:$A,"&gt;="&amp;O390,Producao!$A:$A,"&lt;"&amp;A390)))))</f>
        <v/>
      </c>
      <c r="E390">
        <f>IF(N390="","",INDEX(Equipamentos!$C$2:$C$61,N390))</f>
        <v/>
      </c>
      <c r="F390" s="57">
        <f>IF(OR(D390="",N(Q390)&lt;=0),"",D390/Q390)</f>
        <v/>
      </c>
      <c r="G390" s="55" t="n"/>
      <c r="H390" s="58" t="n"/>
      <c r="I390" s="58" t="n"/>
      <c r="J390" s="55" t="n"/>
      <c r="K390" s="55" t="n"/>
      <c r="L390">
        <f>IF(OR(A390="",B390=""),"",_xlfn.MAXIFS(TrocasEquip!$A$2:$A$1000,TrocasEquip!$B$2:$B$1000,B390,TrocasEquip!$A$2:$A$1000,"&lt;"&amp;A390))</f>
        <v/>
      </c>
      <c r="M390">
        <f>IF(N(L390)=0,0,MATCH(1,INDEX((TrocasEquip!$B$2:$B$1000=B390)*(TrocasEquip!$A$2:$A$1000=L390),0),0))</f>
        <v/>
      </c>
      <c r="N390">
        <f>IF(B390="","",IFERROR(MATCH(B390,Equipamentos!$P$2:$P$61,0),""))</f>
        <v/>
      </c>
      <c r="O390">
        <f>IF(N390="","",IF(M390=0,INDEX(Equipamentos!$U$2:$U$61,N390),L390))</f>
        <v/>
      </c>
      <c r="P390">
        <f>IF(N390="","",IF(M390=0,N(INDEX(Equipamentos!$V$2:$V$61,N390)),N(INDEX(TrocasEquip!$I$2:$I$1000,M390))))</f>
        <v/>
      </c>
      <c r="Q390">
        <f>IF(N390="","",IF(M390=0,INDEX(Equipamentos!$T$2:$T$61,N390),IF(INDEX(TrocasEquip!$H$2:$H$1000,M390)="",INDEX(Equipamentos!$T$2:$T$61,N390),INDEX(TrocasEquip!$H$2:$H$1000,M390))))</f>
        <v/>
      </c>
    </row>
    <row r="391">
      <c r="A391" s="54" t="n"/>
      <c r="B391" s="55" t="n"/>
      <c r="C391">
        <f>IF(B391="","",IF(N391="","posição não encontrada",IF(M391=0,INDEX(Equipamentos!$S$2:$S$61,N391),INDEX(TrocasEquip!$G$2:$G$1000,M391))))</f>
        <v/>
      </c>
      <c r="D391" s="56">
        <f>IF(OR(A391="",N391=""),"",P391+IF(E391="dias",MAX(0,A391-O391),IF(INDEX(Equipamentos!$D$2:$D$61,N391)=2,SUMIFS(Producao!$D:$D,Producao!$A:$A,"&gt;="&amp;O391,Producao!$A:$A,"&lt;"&amp;A391),IF(INDEX(Equipamentos!$D$2:$D$61,N391)=3,SUMIFS(Producao!$E:$E,Producao!$A:$A,"&gt;="&amp;O391,Producao!$A:$A,"&lt;"&amp;A391),SUMIFS(Producao!$B:$B,Producao!$A:$A,"&gt;="&amp;O391,Producao!$A:$A,"&lt;"&amp;A391)))))</f>
        <v/>
      </c>
      <c r="E391">
        <f>IF(N391="","",INDEX(Equipamentos!$C$2:$C$61,N391))</f>
        <v/>
      </c>
      <c r="F391" s="57">
        <f>IF(OR(D391="",N(Q391)&lt;=0),"",D391/Q391)</f>
        <v/>
      </c>
      <c r="G391" s="55" t="n"/>
      <c r="H391" s="58" t="n"/>
      <c r="I391" s="58" t="n"/>
      <c r="J391" s="55" t="n"/>
      <c r="K391" s="55" t="n"/>
      <c r="L391">
        <f>IF(OR(A391="",B391=""),"",_xlfn.MAXIFS(TrocasEquip!$A$2:$A$1000,TrocasEquip!$B$2:$B$1000,B391,TrocasEquip!$A$2:$A$1000,"&lt;"&amp;A391))</f>
        <v/>
      </c>
      <c r="M391">
        <f>IF(N(L391)=0,0,MATCH(1,INDEX((TrocasEquip!$B$2:$B$1000=B391)*(TrocasEquip!$A$2:$A$1000=L391),0),0))</f>
        <v/>
      </c>
      <c r="N391">
        <f>IF(B391="","",IFERROR(MATCH(B391,Equipamentos!$P$2:$P$61,0),""))</f>
        <v/>
      </c>
      <c r="O391">
        <f>IF(N391="","",IF(M391=0,INDEX(Equipamentos!$U$2:$U$61,N391),L391))</f>
        <v/>
      </c>
      <c r="P391">
        <f>IF(N391="","",IF(M391=0,N(INDEX(Equipamentos!$V$2:$V$61,N391)),N(INDEX(TrocasEquip!$I$2:$I$1000,M391))))</f>
        <v/>
      </c>
      <c r="Q391">
        <f>IF(N391="","",IF(M391=0,INDEX(Equipamentos!$T$2:$T$61,N391),IF(INDEX(TrocasEquip!$H$2:$H$1000,M391)="",INDEX(Equipamentos!$T$2:$T$61,N391),INDEX(TrocasEquip!$H$2:$H$1000,M391))))</f>
        <v/>
      </c>
    </row>
    <row r="392">
      <c r="A392" s="54" t="n"/>
      <c r="B392" s="55" t="n"/>
      <c r="C392">
        <f>IF(B392="","",IF(N392="","posição não encontrada",IF(M392=0,INDEX(Equipamentos!$S$2:$S$61,N392),INDEX(TrocasEquip!$G$2:$G$1000,M392))))</f>
        <v/>
      </c>
      <c r="D392" s="56">
        <f>IF(OR(A392="",N392=""),"",P392+IF(E392="dias",MAX(0,A392-O392),IF(INDEX(Equipamentos!$D$2:$D$61,N392)=2,SUMIFS(Producao!$D:$D,Producao!$A:$A,"&gt;="&amp;O392,Producao!$A:$A,"&lt;"&amp;A392),IF(INDEX(Equipamentos!$D$2:$D$61,N392)=3,SUMIFS(Producao!$E:$E,Producao!$A:$A,"&gt;="&amp;O392,Producao!$A:$A,"&lt;"&amp;A392),SUMIFS(Producao!$B:$B,Producao!$A:$A,"&gt;="&amp;O392,Producao!$A:$A,"&lt;"&amp;A392)))))</f>
        <v/>
      </c>
      <c r="E392">
        <f>IF(N392="","",INDEX(Equipamentos!$C$2:$C$61,N392))</f>
        <v/>
      </c>
      <c r="F392" s="57">
        <f>IF(OR(D392="",N(Q392)&lt;=0),"",D392/Q392)</f>
        <v/>
      </c>
      <c r="G392" s="55" t="n"/>
      <c r="H392" s="58" t="n"/>
      <c r="I392" s="58" t="n"/>
      <c r="J392" s="55" t="n"/>
      <c r="K392" s="55" t="n"/>
      <c r="L392">
        <f>IF(OR(A392="",B392=""),"",_xlfn.MAXIFS(TrocasEquip!$A$2:$A$1000,TrocasEquip!$B$2:$B$1000,B392,TrocasEquip!$A$2:$A$1000,"&lt;"&amp;A392))</f>
        <v/>
      </c>
      <c r="M392">
        <f>IF(N(L392)=0,0,MATCH(1,INDEX((TrocasEquip!$B$2:$B$1000=B392)*(TrocasEquip!$A$2:$A$1000=L392),0),0))</f>
        <v/>
      </c>
      <c r="N392">
        <f>IF(B392="","",IFERROR(MATCH(B392,Equipamentos!$P$2:$P$61,0),""))</f>
        <v/>
      </c>
      <c r="O392">
        <f>IF(N392="","",IF(M392=0,INDEX(Equipamentos!$U$2:$U$61,N392),L392))</f>
        <v/>
      </c>
      <c r="P392">
        <f>IF(N392="","",IF(M392=0,N(INDEX(Equipamentos!$V$2:$V$61,N392)),N(INDEX(TrocasEquip!$I$2:$I$1000,M392))))</f>
        <v/>
      </c>
      <c r="Q392">
        <f>IF(N392="","",IF(M392=0,INDEX(Equipamentos!$T$2:$T$61,N392),IF(INDEX(TrocasEquip!$H$2:$H$1000,M392)="",INDEX(Equipamentos!$T$2:$T$61,N392),INDEX(TrocasEquip!$H$2:$H$1000,M392))))</f>
        <v/>
      </c>
    </row>
    <row r="393">
      <c r="A393" s="54" t="n"/>
      <c r="B393" s="55" t="n"/>
      <c r="C393">
        <f>IF(B393="","",IF(N393="","posição não encontrada",IF(M393=0,INDEX(Equipamentos!$S$2:$S$61,N393),INDEX(TrocasEquip!$G$2:$G$1000,M393))))</f>
        <v/>
      </c>
      <c r="D393" s="56">
        <f>IF(OR(A393="",N393=""),"",P393+IF(E393="dias",MAX(0,A393-O393),IF(INDEX(Equipamentos!$D$2:$D$61,N393)=2,SUMIFS(Producao!$D:$D,Producao!$A:$A,"&gt;="&amp;O393,Producao!$A:$A,"&lt;"&amp;A393),IF(INDEX(Equipamentos!$D$2:$D$61,N393)=3,SUMIFS(Producao!$E:$E,Producao!$A:$A,"&gt;="&amp;O393,Producao!$A:$A,"&lt;"&amp;A393),SUMIFS(Producao!$B:$B,Producao!$A:$A,"&gt;="&amp;O393,Producao!$A:$A,"&lt;"&amp;A393)))))</f>
        <v/>
      </c>
      <c r="E393">
        <f>IF(N393="","",INDEX(Equipamentos!$C$2:$C$61,N393))</f>
        <v/>
      </c>
      <c r="F393" s="57">
        <f>IF(OR(D393="",N(Q393)&lt;=0),"",D393/Q393)</f>
        <v/>
      </c>
      <c r="G393" s="55" t="n"/>
      <c r="H393" s="58" t="n"/>
      <c r="I393" s="58" t="n"/>
      <c r="J393" s="55" t="n"/>
      <c r="K393" s="55" t="n"/>
      <c r="L393">
        <f>IF(OR(A393="",B393=""),"",_xlfn.MAXIFS(TrocasEquip!$A$2:$A$1000,TrocasEquip!$B$2:$B$1000,B393,TrocasEquip!$A$2:$A$1000,"&lt;"&amp;A393))</f>
        <v/>
      </c>
      <c r="M393">
        <f>IF(N(L393)=0,0,MATCH(1,INDEX((TrocasEquip!$B$2:$B$1000=B393)*(TrocasEquip!$A$2:$A$1000=L393),0),0))</f>
        <v/>
      </c>
      <c r="N393">
        <f>IF(B393="","",IFERROR(MATCH(B393,Equipamentos!$P$2:$P$61,0),""))</f>
        <v/>
      </c>
      <c r="O393">
        <f>IF(N393="","",IF(M393=0,INDEX(Equipamentos!$U$2:$U$61,N393),L393))</f>
        <v/>
      </c>
      <c r="P393">
        <f>IF(N393="","",IF(M393=0,N(INDEX(Equipamentos!$V$2:$V$61,N393)),N(INDEX(TrocasEquip!$I$2:$I$1000,M393))))</f>
        <v/>
      </c>
      <c r="Q393">
        <f>IF(N393="","",IF(M393=0,INDEX(Equipamentos!$T$2:$T$61,N393),IF(INDEX(TrocasEquip!$H$2:$H$1000,M393)="",INDEX(Equipamentos!$T$2:$T$61,N393),INDEX(TrocasEquip!$H$2:$H$1000,M393))))</f>
        <v/>
      </c>
    </row>
    <row r="394">
      <c r="A394" s="54" t="n"/>
      <c r="B394" s="55" t="n"/>
      <c r="C394">
        <f>IF(B394="","",IF(N394="","posição não encontrada",IF(M394=0,INDEX(Equipamentos!$S$2:$S$61,N394),INDEX(TrocasEquip!$G$2:$G$1000,M394))))</f>
        <v/>
      </c>
      <c r="D394" s="56">
        <f>IF(OR(A394="",N394=""),"",P394+IF(E394="dias",MAX(0,A394-O394),IF(INDEX(Equipamentos!$D$2:$D$61,N394)=2,SUMIFS(Producao!$D:$D,Producao!$A:$A,"&gt;="&amp;O394,Producao!$A:$A,"&lt;"&amp;A394),IF(INDEX(Equipamentos!$D$2:$D$61,N394)=3,SUMIFS(Producao!$E:$E,Producao!$A:$A,"&gt;="&amp;O394,Producao!$A:$A,"&lt;"&amp;A394),SUMIFS(Producao!$B:$B,Producao!$A:$A,"&gt;="&amp;O394,Producao!$A:$A,"&lt;"&amp;A394)))))</f>
        <v/>
      </c>
      <c r="E394">
        <f>IF(N394="","",INDEX(Equipamentos!$C$2:$C$61,N394))</f>
        <v/>
      </c>
      <c r="F394" s="57">
        <f>IF(OR(D394="",N(Q394)&lt;=0),"",D394/Q394)</f>
        <v/>
      </c>
      <c r="G394" s="55" t="n"/>
      <c r="H394" s="58" t="n"/>
      <c r="I394" s="58" t="n"/>
      <c r="J394" s="55" t="n"/>
      <c r="K394" s="55" t="n"/>
      <c r="L394">
        <f>IF(OR(A394="",B394=""),"",_xlfn.MAXIFS(TrocasEquip!$A$2:$A$1000,TrocasEquip!$B$2:$B$1000,B394,TrocasEquip!$A$2:$A$1000,"&lt;"&amp;A394))</f>
        <v/>
      </c>
      <c r="M394">
        <f>IF(N(L394)=0,0,MATCH(1,INDEX((TrocasEquip!$B$2:$B$1000=B394)*(TrocasEquip!$A$2:$A$1000=L394),0),0))</f>
        <v/>
      </c>
      <c r="N394">
        <f>IF(B394="","",IFERROR(MATCH(B394,Equipamentos!$P$2:$P$61,0),""))</f>
        <v/>
      </c>
      <c r="O394">
        <f>IF(N394="","",IF(M394=0,INDEX(Equipamentos!$U$2:$U$61,N394),L394))</f>
        <v/>
      </c>
      <c r="P394">
        <f>IF(N394="","",IF(M394=0,N(INDEX(Equipamentos!$V$2:$V$61,N394)),N(INDEX(TrocasEquip!$I$2:$I$1000,M394))))</f>
        <v/>
      </c>
      <c r="Q394">
        <f>IF(N394="","",IF(M394=0,INDEX(Equipamentos!$T$2:$T$61,N394),IF(INDEX(TrocasEquip!$H$2:$H$1000,M394)="",INDEX(Equipamentos!$T$2:$T$61,N394),INDEX(TrocasEquip!$H$2:$H$1000,M394))))</f>
        <v/>
      </c>
    </row>
    <row r="395">
      <c r="A395" s="54" t="n"/>
      <c r="B395" s="55" t="n"/>
      <c r="C395">
        <f>IF(B395="","",IF(N395="","posição não encontrada",IF(M395=0,INDEX(Equipamentos!$S$2:$S$61,N395),INDEX(TrocasEquip!$G$2:$G$1000,M395))))</f>
        <v/>
      </c>
      <c r="D395" s="56">
        <f>IF(OR(A395="",N395=""),"",P395+IF(E395="dias",MAX(0,A395-O395),IF(INDEX(Equipamentos!$D$2:$D$61,N395)=2,SUMIFS(Producao!$D:$D,Producao!$A:$A,"&gt;="&amp;O395,Producao!$A:$A,"&lt;"&amp;A395),IF(INDEX(Equipamentos!$D$2:$D$61,N395)=3,SUMIFS(Producao!$E:$E,Producao!$A:$A,"&gt;="&amp;O395,Producao!$A:$A,"&lt;"&amp;A395),SUMIFS(Producao!$B:$B,Producao!$A:$A,"&gt;="&amp;O395,Producao!$A:$A,"&lt;"&amp;A395)))))</f>
        <v/>
      </c>
      <c r="E395">
        <f>IF(N395="","",INDEX(Equipamentos!$C$2:$C$61,N395))</f>
        <v/>
      </c>
      <c r="F395" s="57">
        <f>IF(OR(D395="",N(Q395)&lt;=0),"",D395/Q395)</f>
        <v/>
      </c>
      <c r="G395" s="55" t="n"/>
      <c r="H395" s="58" t="n"/>
      <c r="I395" s="58" t="n"/>
      <c r="J395" s="55" t="n"/>
      <c r="K395" s="55" t="n"/>
      <c r="L395">
        <f>IF(OR(A395="",B395=""),"",_xlfn.MAXIFS(TrocasEquip!$A$2:$A$1000,TrocasEquip!$B$2:$B$1000,B395,TrocasEquip!$A$2:$A$1000,"&lt;"&amp;A395))</f>
        <v/>
      </c>
      <c r="M395">
        <f>IF(N(L395)=0,0,MATCH(1,INDEX((TrocasEquip!$B$2:$B$1000=B395)*(TrocasEquip!$A$2:$A$1000=L395),0),0))</f>
        <v/>
      </c>
      <c r="N395">
        <f>IF(B395="","",IFERROR(MATCH(B395,Equipamentos!$P$2:$P$61,0),""))</f>
        <v/>
      </c>
      <c r="O395">
        <f>IF(N395="","",IF(M395=0,INDEX(Equipamentos!$U$2:$U$61,N395),L395))</f>
        <v/>
      </c>
      <c r="P395">
        <f>IF(N395="","",IF(M395=0,N(INDEX(Equipamentos!$V$2:$V$61,N395)),N(INDEX(TrocasEquip!$I$2:$I$1000,M395))))</f>
        <v/>
      </c>
      <c r="Q395">
        <f>IF(N395="","",IF(M395=0,INDEX(Equipamentos!$T$2:$T$61,N395),IF(INDEX(TrocasEquip!$H$2:$H$1000,M395)="",INDEX(Equipamentos!$T$2:$T$61,N395),INDEX(TrocasEquip!$H$2:$H$1000,M395))))</f>
        <v/>
      </c>
    </row>
    <row r="396">
      <c r="A396" s="54" t="n"/>
      <c r="B396" s="55" t="n"/>
      <c r="C396">
        <f>IF(B396="","",IF(N396="","posição não encontrada",IF(M396=0,INDEX(Equipamentos!$S$2:$S$61,N396),INDEX(TrocasEquip!$G$2:$G$1000,M396))))</f>
        <v/>
      </c>
      <c r="D396" s="56">
        <f>IF(OR(A396="",N396=""),"",P396+IF(E396="dias",MAX(0,A396-O396),IF(INDEX(Equipamentos!$D$2:$D$61,N396)=2,SUMIFS(Producao!$D:$D,Producao!$A:$A,"&gt;="&amp;O396,Producao!$A:$A,"&lt;"&amp;A396),IF(INDEX(Equipamentos!$D$2:$D$61,N396)=3,SUMIFS(Producao!$E:$E,Producao!$A:$A,"&gt;="&amp;O396,Producao!$A:$A,"&lt;"&amp;A396),SUMIFS(Producao!$B:$B,Producao!$A:$A,"&gt;="&amp;O396,Producao!$A:$A,"&lt;"&amp;A396)))))</f>
        <v/>
      </c>
      <c r="E396">
        <f>IF(N396="","",INDEX(Equipamentos!$C$2:$C$61,N396))</f>
        <v/>
      </c>
      <c r="F396" s="57">
        <f>IF(OR(D396="",N(Q396)&lt;=0),"",D396/Q396)</f>
        <v/>
      </c>
      <c r="G396" s="55" t="n"/>
      <c r="H396" s="58" t="n"/>
      <c r="I396" s="58" t="n"/>
      <c r="J396" s="55" t="n"/>
      <c r="K396" s="55" t="n"/>
      <c r="L396">
        <f>IF(OR(A396="",B396=""),"",_xlfn.MAXIFS(TrocasEquip!$A$2:$A$1000,TrocasEquip!$B$2:$B$1000,B396,TrocasEquip!$A$2:$A$1000,"&lt;"&amp;A396))</f>
        <v/>
      </c>
      <c r="M396">
        <f>IF(N(L396)=0,0,MATCH(1,INDEX((TrocasEquip!$B$2:$B$1000=B396)*(TrocasEquip!$A$2:$A$1000=L396),0),0))</f>
        <v/>
      </c>
      <c r="N396">
        <f>IF(B396="","",IFERROR(MATCH(B396,Equipamentos!$P$2:$P$61,0),""))</f>
        <v/>
      </c>
      <c r="O396">
        <f>IF(N396="","",IF(M396=0,INDEX(Equipamentos!$U$2:$U$61,N396),L396))</f>
        <v/>
      </c>
      <c r="P396">
        <f>IF(N396="","",IF(M396=0,N(INDEX(Equipamentos!$V$2:$V$61,N396)),N(INDEX(TrocasEquip!$I$2:$I$1000,M396))))</f>
        <v/>
      </c>
      <c r="Q396">
        <f>IF(N396="","",IF(M396=0,INDEX(Equipamentos!$T$2:$T$61,N396),IF(INDEX(TrocasEquip!$H$2:$H$1000,M396)="",INDEX(Equipamentos!$T$2:$T$61,N396),INDEX(TrocasEquip!$H$2:$H$1000,M396))))</f>
        <v/>
      </c>
    </row>
    <row r="397">
      <c r="A397" s="54" t="n"/>
      <c r="B397" s="55" t="n"/>
      <c r="C397">
        <f>IF(B397="","",IF(N397="","posição não encontrada",IF(M397=0,INDEX(Equipamentos!$S$2:$S$61,N397),INDEX(TrocasEquip!$G$2:$G$1000,M397))))</f>
        <v/>
      </c>
      <c r="D397" s="56">
        <f>IF(OR(A397="",N397=""),"",P397+IF(E397="dias",MAX(0,A397-O397),IF(INDEX(Equipamentos!$D$2:$D$61,N397)=2,SUMIFS(Producao!$D:$D,Producao!$A:$A,"&gt;="&amp;O397,Producao!$A:$A,"&lt;"&amp;A397),IF(INDEX(Equipamentos!$D$2:$D$61,N397)=3,SUMIFS(Producao!$E:$E,Producao!$A:$A,"&gt;="&amp;O397,Producao!$A:$A,"&lt;"&amp;A397),SUMIFS(Producao!$B:$B,Producao!$A:$A,"&gt;="&amp;O397,Producao!$A:$A,"&lt;"&amp;A397)))))</f>
        <v/>
      </c>
      <c r="E397">
        <f>IF(N397="","",INDEX(Equipamentos!$C$2:$C$61,N397))</f>
        <v/>
      </c>
      <c r="F397" s="57">
        <f>IF(OR(D397="",N(Q397)&lt;=0),"",D397/Q397)</f>
        <v/>
      </c>
      <c r="G397" s="55" t="n"/>
      <c r="H397" s="58" t="n"/>
      <c r="I397" s="58" t="n"/>
      <c r="J397" s="55" t="n"/>
      <c r="K397" s="55" t="n"/>
      <c r="L397">
        <f>IF(OR(A397="",B397=""),"",_xlfn.MAXIFS(TrocasEquip!$A$2:$A$1000,TrocasEquip!$B$2:$B$1000,B397,TrocasEquip!$A$2:$A$1000,"&lt;"&amp;A397))</f>
        <v/>
      </c>
      <c r="M397">
        <f>IF(N(L397)=0,0,MATCH(1,INDEX((TrocasEquip!$B$2:$B$1000=B397)*(TrocasEquip!$A$2:$A$1000=L397),0),0))</f>
        <v/>
      </c>
      <c r="N397">
        <f>IF(B397="","",IFERROR(MATCH(B397,Equipamentos!$P$2:$P$61,0),""))</f>
        <v/>
      </c>
      <c r="O397">
        <f>IF(N397="","",IF(M397=0,INDEX(Equipamentos!$U$2:$U$61,N397),L397))</f>
        <v/>
      </c>
      <c r="P397">
        <f>IF(N397="","",IF(M397=0,N(INDEX(Equipamentos!$V$2:$V$61,N397)),N(INDEX(TrocasEquip!$I$2:$I$1000,M397))))</f>
        <v/>
      </c>
      <c r="Q397">
        <f>IF(N397="","",IF(M397=0,INDEX(Equipamentos!$T$2:$T$61,N397),IF(INDEX(TrocasEquip!$H$2:$H$1000,M397)="",INDEX(Equipamentos!$T$2:$T$61,N397),INDEX(TrocasEquip!$H$2:$H$1000,M397))))</f>
        <v/>
      </c>
    </row>
    <row r="398">
      <c r="A398" s="54" t="n"/>
      <c r="B398" s="55" t="n"/>
      <c r="C398">
        <f>IF(B398="","",IF(N398="","posição não encontrada",IF(M398=0,INDEX(Equipamentos!$S$2:$S$61,N398),INDEX(TrocasEquip!$G$2:$G$1000,M398))))</f>
        <v/>
      </c>
      <c r="D398" s="56">
        <f>IF(OR(A398="",N398=""),"",P398+IF(E398="dias",MAX(0,A398-O398),IF(INDEX(Equipamentos!$D$2:$D$61,N398)=2,SUMIFS(Producao!$D:$D,Producao!$A:$A,"&gt;="&amp;O398,Producao!$A:$A,"&lt;"&amp;A398),IF(INDEX(Equipamentos!$D$2:$D$61,N398)=3,SUMIFS(Producao!$E:$E,Producao!$A:$A,"&gt;="&amp;O398,Producao!$A:$A,"&lt;"&amp;A398),SUMIFS(Producao!$B:$B,Producao!$A:$A,"&gt;="&amp;O398,Producao!$A:$A,"&lt;"&amp;A398)))))</f>
        <v/>
      </c>
      <c r="E398">
        <f>IF(N398="","",INDEX(Equipamentos!$C$2:$C$61,N398))</f>
        <v/>
      </c>
      <c r="F398" s="57">
        <f>IF(OR(D398="",N(Q398)&lt;=0),"",D398/Q398)</f>
        <v/>
      </c>
      <c r="G398" s="55" t="n"/>
      <c r="H398" s="58" t="n"/>
      <c r="I398" s="58" t="n"/>
      <c r="J398" s="55" t="n"/>
      <c r="K398" s="55" t="n"/>
      <c r="L398">
        <f>IF(OR(A398="",B398=""),"",_xlfn.MAXIFS(TrocasEquip!$A$2:$A$1000,TrocasEquip!$B$2:$B$1000,B398,TrocasEquip!$A$2:$A$1000,"&lt;"&amp;A398))</f>
        <v/>
      </c>
      <c r="M398">
        <f>IF(N(L398)=0,0,MATCH(1,INDEX((TrocasEquip!$B$2:$B$1000=B398)*(TrocasEquip!$A$2:$A$1000=L398),0),0))</f>
        <v/>
      </c>
      <c r="N398">
        <f>IF(B398="","",IFERROR(MATCH(B398,Equipamentos!$P$2:$P$61,0),""))</f>
        <v/>
      </c>
      <c r="O398">
        <f>IF(N398="","",IF(M398=0,INDEX(Equipamentos!$U$2:$U$61,N398),L398))</f>
        <v/>
      </c>
      <c r="P398">
        <f>IF(N398="","",IF(M398=0,N(INDEX(Equipamentos!$V$2:$V$61,N398)),N(INDEX(TrocasEquip!$I$2:$I$1000,M398))))</f>
        <v/>
      </c>
      <c r="Q398">
        <f>IF(N398="","",IF(M398=0,INDEX(Equipamentos!$T$2:$T$61,N398),IF(INDEX(TrocasEquip!$H$2:$H$1000,M398)="",INDEX(Equipamentos!$T$2:$T$61,N398),INDEX(TrocasEquip!$H$2:$H$1000,M398))))</f>
        <v/>
      </c>
    </row>
    <row r="399">
      <c r="A399" s="54" t="n"/>
      <c r="B399" s="55" t="n"/>
      <c r="C399">
        <f>IF(B399="","",IF(N399="","posição não encontrada",IF(M399=0,INDEX(Equipamentos!$S$2:$S$61,N399),INDEX(TrocasEquip!$G$2:$G$1000,M399))))</f>
        <v/>
      </c>
      <c r="D399" s="56">
        <f>IF(OR(A399="",N399=""),"",P399+IF(E399="dias",MAX(0,A399-O399),IF(INDEX(Equipamentos!$D$2:$D$61,N399)=2,SUMIFS(Producao!$D:$D,Producao!$A:$A,"&gt;="&amp;O399,Producao!$A:$A,"&lt;"&amp;A399),IF(INDEX(Equipamentos!$D$2:$D$61,N399)=3,SUMIFS(Producao!$E:$E,Producao!$A:$A,"&gt;="&amp;O399,Producao!$A:$A,"&lt;"&amp;A399),SUMIFS(Producao!$B:$B,Producao!$A:$A,"&gt;="&amp;O399,Producao!$A:$A,"&lt;"&amp;A399)))))</f>
        <v/>
      </c>
      <c r="E399">
        <f>IF(N399="","",INDEX(Equipamentos!$C$2:$C$61,N399))</f>
        <v/>
      </c>
      <c r="F399" s="57">
        <f>IF(OR(D399="",N(Q399)&lt;=0),"",D399/Q399)</f>
        <v/>
      </c>
      <c r="G399" s="55" t="n"/>
      <c r="H399" s="58" t="n"/>
      <c r="I399" s="58" t="n"/>
      <c r="J399" s="55" t="n"/>
      <c r="K399" s="55" t="n"/>
      <c r="L399">
        <f>IF(OR(A399="",B399=""),"",_xlfn.MAXIFS(TrocasEquip!$A$2:$A$1000,TrocasEquip!$B$2:$B$1000,B399,TrocasEquip!$A$2:$A$1000,"&lt;"&amp;A399))</f>
        <v/>
      </c>
      <c r="M399">
        <f>IF(N(L399)=0,0,MATCH(1,INDEX((TrocasEquip!$B$2:$B$1000=B399)*(TrocasEquip!$A$2:$A$1000=L399),0),0))</f>
        <v/>
      </c>
      <c r="N399">
        <f>IF(B399="","",IFERROR(MATCH(B399,Equipamentos!$P$2:$P$61,0),""))</f>
        <v/>
      </c>
      <c r="O399">
        <f>IF(N399="","",IF(M399=0,INDEX(Equipamentos!$U$2:$U$61,N399),L399))</f>
        <v/>
      </c>
      <c r="P399">
        <f>IF(N399="","",IF(M399=0,N(INDEX(Equipamentos!$V$2:$V$61,N399)),N(INDEX(TrocasEquip!$I$2:$I$1000,M399))))</f>
        <v/>
      </c>
      <c r="Q399">
        <f>IF(N399="","",IF(M399=0,INDEX(Equipamentos!$T$2:$T$61,N399),IF(INDEX(TrocasEquip!$H$2:$H$1000,M399)="",INDEX(Equipamentos!$T$2:$T$61,N399),INDEX(TrocasEquip!$H$2:$H$1000,M399))))</f>
        <v/>
      </c>
    </row>
    <row r="400">
      <c r="A400" s="54" t="n"/>
      <c r="B400" s="55" t="n"/>
      <c r="C400">
        <f>IF(B400="","",IF(N400="","posição não encontrada",IF(M400=0,INDEX(Equipamentos!$S$2:$S$61,N400),INDEX(TrocasEquip!$G$2:$G$1000,M400))))</f>
        <v/>
      </c>
      <c r="D400" s="56">
        <f>IF(OR(A400="",N400=""),"",P400+IF(E400="dias",MAX(0,A400-O400),IF(INDEX(Equipamentos!$D$2:$D$61,N400)=2,SUMIFS(Producao!$D:$D,Producao!$A:$A,"&gt;="&amp;O400,Producao!$A:$A,"&lt;"&amp;A400),IF(INDEX(Equipamentos!$D$2:$D$61,N400)=3,SUMIFS(Producao!$E:$E,Producao!$A:$A,"&gt;="&amp;O400,Producao!$A:$A,"&lt;"&amp;A400),SUMIFS(Producao!$B:$B,Producao!$A:$A,"&gt;="&amp;O400,Producao!$A:$A,"&lt;"&amp;A400)))))</f>
        <v/>
      </c>
      <c r="E400">
        <f>IF(N400="","",INDEX(Equipamentos!$C$2:$C$61,N400))</f>
        <v/>
      </c>
      <c r="F400" s="57">
        <f>IF(OR(D400="",N(Q400)&lt;=0),"",D400/Q400)</f>
        <v/>
      </c>
      <c r="G400" s="55" t="n"/>
      <c r="H400" s="58" t="n"/>
      <c r="I400" s="58" t="n"/>
      <c r="J400" s="55" t="n"/>
      <c r="K400" s="55" t="n"/>
      <c r="L400">
        <f>IF(OR(A400="",B400=""),"",_xlfn.MAXIFS(TrocasEquip!$A$2:$A$1000,TrocasEquip!$B$2:$B$1000,B400,TrocasEquip!$A$2:$A$1000,"&lt;"&amp;A400))</f>
        <v/>
      </c>
      <c r="M400">
        <f>IF(N(L400)=0,0,MATCH(1,INDEX((TrocasEquip!$B$2:$B$1000=B400)*(TrocasEquip!$A$2:$A$1000=L400),0),0))</f>
        <v/>
      </c>
      <c r="N400">
        <f>IF(B400="","",IFERROR(MATCH(B400,Equipamentos!$P$2:$P$61,0),""))</f>
        <v/>
      </c>
      <c r="O400">
        <f>IF(N400="","",IF(M400=0,INDEX(Equipamentos!$U$2:$U$61,N400),L400))</f>
        <v/>
      </c>
      <c r="P400">
        <f>IF(N400="","",IF(M400=0,N(INDEX(Equipamentos!$V$2:$V$61,N400)),N(INDEX(TrocasEquip!$I$2:$I$1000,M400))))</f>
        <v/>
      </c>
      <c r="Q400">
        <f>IF(N400="","",IF(M400=0,INDEX(Equipamentos!$T$2:$T$61,N400),IF(INDEX(TrocasEquip!$H$2:$H$1000,M400)="",INDEX(Equipamentos!$T$2:$T$61,N400),INDEX(TrocasEquip!$H$2:$H$1000,M400))))</f>
        <v/>
      </c>
    </row>
    <row r="401">
      <c r="A401" s="54" t="n"/>
      <c r="B401" s="55" t="n"/>
      <c r="C401">
        <f>IF(B401="","",IF(N401="","posição não encontrada",IF(M401=0,INDEX(Equipamentos!$S$2:$S$61,N401),INDEX(TrocasEquip!$G$2:$G$1000,M401))))</f>
        <v/>
      </c>
      <c r="D401" s="56">
        <f>IF(OR(A401="",N401=""),"",P401+IF(E401="dias",MAX(0,A401-O401),IF(INDEX(Equipamentos!$D$2:$D$61,N401)=2,SUMIFS(Producao!$D:$D,Producao!$A:$A,"&gt;="&amp;O401,Producao!$A:$A,"&lt;"&amp;A401),IF(INDEX(Equipamentos!$D$2:$D$61,N401)=3,SUMIFS(Producao!$E:$E,Producao!$A:$A,"&gt;="&amp;O401,Producao!$A:$A,"&lt;"&amp;A401),SUMIFS(Producao!$B:$B,Producao!$A:$A,"&gt;="&amp;O401,Producao!$A:$A,"&lt;"&amp;A401)))))</f>
        <v/>
      </c>
      <c r="E401">
        <f>IF(N401="","",INDEX(Equipamentos!$C$2:$C$61,N401))</f>
        <v/>
      </c>
      <c r="F401" s="57">
        <f>IF(OR(D401="",N(Q401)&lt;=0),"",D401/Q401)</f>
        <v/>
      </c>
      <c r="G401" s="55" t="n"/>
      <c r="H401" s="58" t="n"/>
      <c r="I401" s="58" t="n"/>
      <c r="J401" s="55" t="n"/>
      <c r="K401" s="55" t="n"/>
      <c r="L401">
        <f>IF(OR(A401="",B401=""),"",_xlfn.MAXIFS(TrocasEquip!$A$2:$A$1000,TrocasEquip!$B$2:$B$1000,B401,TrocasEquip!$A$2:$A$1000,"&lt;"&amp;A401))</f>
        <v/>
      </c>
      <c r="M401">
        <f>IF(N(L401)=0,0,MATCH(1,INDEX((TrocasEquip!$B$2:$B$1000=B401)*(TrocasEquip!$A$2:$A$1000=L401),0),0))</f>
        <v/>
      </c>
      <c r="N401">
        <f>IF(B401="","",IFERROR(MATCH(B401,Equipamentos!$P$2:$P$61,0),""))</f>
        <v/>
      </c>
      <c r="O401">
        <f>IF(N401="","",IF(M401=0,INDEX(Equipamentos!$U$2:$U$61,N401),L401))</f>
        <v/>
      </c>
      <c r="P401">
        <f>IF(N401="","",IF(M401=0,N(INDEX(Equipamentos!$V$2:$V$61,N401)),N(INDEX(TrocasEquip!$I$2:$I$1000,M401))))</f>
        <v/>
      </c>
      <c r="Q401">
        <f>IF(N401="","",IF(M401=0,INDEX(Equipamentos!$T$2:$T$61,N401),IF(INDEX(TrocasEquip!$H$2:$H$1000,M401)="",INDEX(Equipamentos!$T$2:$T$61,N401),INDEX(TrocasEquip!$H$2:$H$1000,M401))))</f>
        <v/>
      </c>
    </row>
    <row r="402">
      <c r="A402" s="54" t="n"/>
      <c r="B402" s="55" t="n"/>
      <c r="C402">
        <f>IF(B402="","",IF(N402="","posição não encontrada",IF(M402=0,INDEX(Equipamentos!$S$2:$S$61,N402),INDEX(TrocasEquip!$G$2:$G$1000,M402))))</f>
        <v/>
      </c>
      <c r="D402" s="56">
        <f>IF(OR(A402="",N402=""),"",P402+IF(E402="dias",MAX(0,A402-O402),IF(INDEX(Equipamentos!$D$2:$D$61,N402)=2,SUMIFS(Producao!$D:$D,Producao!$A:$A,"&gt;="&amp;O402,Producao!$A:$A,"&lt;"&amp;A402),IF(INDEX(Equipamentos!$D$2:$D$61,N402)=3,SUMIFS(Producao!$E:$E,Producao!$A:$A,"&gt;="&amp;O402,Producao!$A:$A,"&lt;"&amp;A402),SUMIFS(Producao!$B:$B,Producao!$A:$A,"&gt;="&amp;O402,Producao!$A:$A,"&lt;"&amp;A402)))))</f>
        <v/>
      </c>
      <c r="E402">
        <f>IF(N402="","",INDEX(Equipamentos!$C$2:$C$61,N402))</f>
        <v/>
      </c>
      <c r="F402" s="57">
        <f>IF(OR(D402="",N(Q402)&lt;=0),"",D402/Q402)</f>
        <v/>
      </c>
      <c r="G402" s="55" t="n"/>
      <c r="H402" s="58" t="n"/>
      <c r="I402" s="58" t="n"/>
      <c r="J402" s="55" t="n"/>
      <c r="K402" s="55" t="n"/>
      <c r="L402">
        <f>IF(OR(A402="",B402=""),"",_xlfn.MAXIFS(TrocasEquip!$A$2:$A$1000,TrocasEquip!$B$2:$B$1000,B402,TrocasEquip!$A$2:$A$1000,"&lt;"&amp;A402))</f>
        <v/>
      </c>
      <c r="M402">
        <f>IF(N(L402)=0,0,MATCH(1,INDEX((TrocasEquip!$B$2:$B$1000=B402)*(TrocasEquip!$A$2:$A$1000=L402),0),0))</f>
        <v/>
      </c>
      <c r="N402">
        <f>IF(B402="","",IFERROR(MATCH(B402,Equipamentos!$P$2:$P$61,0),""))</f>
        <v/>
      </c>
      <c r="O402">
        <f>IF(N402="","",IF(M402=0,INDEX(Equipamentos!$U$2:$U$61,N402),L402))</f>
        <v/>
      </c>
      <c r="P402">
        <f>IF(N402="","",IF(M402=0,N(INDEX(Equipamentos!$V$2:$V$61,N402)),N(INDEX(TrocasEquip!$I$2:$I$1000,M402))))</f>
        <v/>
      </c>
      <c r="Q402">
        <f>IF(N402="","",IF(M402=0,INDEX(Equipamentos!$T$2:$T$61,N402),IF(INDEX(TrocasEquip!$H$2:$H$1000,M402)="",INDEX(Equipamentos!$T$2:$T$61,N402),INDEX(TrocasEquip!$H$2:$H$1000,M402))))</f>
        <v/>
      </c>
    </row>
    <row r="403">
      <c r="A403" s="54" t="n"/>
      <c r="B403" s="55" t="n"/>
      <c r="C403">
        <f>IF(B403="","",IF(N403="","posição não encontrada",IF(M403=0,INDEX(Equipamentos!$S$2:$S$61,N403),INDEX(TrocasEquip!$G$2:$G$1000,M403))))</f>
        <v/>
      </c>
      <c r="D403" s="56">
        <f>IF(OR(A403="",N403=""),"",P403+IF(E403="dias",MAX(0,A403-O403),IF(INDEX(Equipamentos!$D$2:$D$61,N403)=2,SUMIFS(Producao!$D:$D,Producao!$A:$A,"&gt;="&amp;O403,Producao!$A:$A,"&lt;"&amp;A403),IF(INDEX(Equipamentos!$D$2:$D$61,N403)=3,SUMIFS(Producao!$E:$E,Producao!$A:$A,"&gt;="&amp;O403,Producao!$A:$A,"&lt;"&amp;A403),SUMIFS(Producao!$B:$B,Producao!$A:$A,"&gt;="&amp;O403,Producao!$A:$A,"&lt;"&amp;A403)))))</f>
        <v/>
      </c>
      <c r="E403">
        <f>IF(N403="","",INDEX(Equipamentos!$C$2:$C$61,N403))</f>
        <v/>
      </c>
      <c r="F403" s="57">
        <f>IF(OR(D403="",N(Q403)&lt;=0),"",D403/Q403)</f>
        <v/>
      </c>
      <c r="G403" s="55" t="n"/>
      <c r="H403" s="58" t="n"/>
      <c r="I403" s="58" t="n"/>
      <c r="J403" s="55" t="n"/>
      <c r="K403" s="55" t="n"/>
      <c r="L403">
        <f>IF(OR(A403="",B403=""),"",_xlfn.MAXIFS(TrocasEquip!$A$2:$A$1000,TrocasEquip!$B$2:$B$1000,B403,TrocasEquip!$A$2:$A$1000,"&lt;"&amp;A403))</f>
        <v/>
      </c>
      <c r="M403">
        <f>IF(N(L403)=0,0,MATCH(1,INDEX((TrocasEquip!$B$2:$B$1000=B403)*(TrocasEquip!$A$2:$A$1000=L403),0),0))</f>
        <v/>
      </c>
      <c r="N403">
        <f>IF(B403="","",IFERROR(MATCH(B403,Equipamentos!$P$2:$P$61,0),""))</f>
        <v/>
      </c>
      <c r="O403">
        <f>IF(N403="","",IF(M403=0,INDEX(Equipamentos!$U$2:$U$61,N403),L403))</f>
        <v/>
      </c>
      <c r="P403">
        <f>IF(N403="","",IF(M403=0,N(INDEX(Equipamentos!$V$2:$V$61,N403)),N(INDEX(TrocasEquip!$I$2:$I$1000,M403))))</f>
        <v/>
      </c>
      <c r="Q403">
        <f>IF(N403="","",IF(M403=0,INDEX(Equipamentos!$T$2:$T$61,N403),IF(INDEX(TrocasEquip!$H$2:$H$1000,M403)="",INDEX(Equipamentos!$T$2:$T$61,N403),INDEX(TrocasEquip!$H$2:$H$1000,M403))))</f>
        <v/>
      </c>
    </row>
    <row r="404">
      <c r="A404" s="54" t="n"/>
      <c r="B404" s="55" t="n"/>
      <c r="C404">
        <f>IF(B404="","",IF(N404="","posição não encontrada",IF(M404=0,INDEX(Equipamentos!$S$2:$S$61,N404),INDEX(TrocasEquip!$G$2:$G$1000,M404))))</f>
        <v/>
      </c>
      <c r="D404" s="56">
        <f>IF(OR(A404="",N404=""),"",P404+IF(E404="dias",MAX(0,A404-O404),IF(INDEX(Equipamentos!$D$2:$D$61,N404)=2,SUMIFS(Producao!$D:$D,Producao!$A:$A,"&gt;="&amp;O404,Producao!$A:$A,"&lt;"&amp;A404),IF(INDEX(Equipamentos!$D$2:$D$61,N404)=3,SUMIFS(Producao!$E:$E,Producao!$A:$A,"&gt;="&amp;O404,Producao!$A:$A,"&lt;"&amp;A404),SUMIFS(Producao!$B:$B,Producao!$A:$A,"&gt;="&amp;O404,Producao!$A:$A,"&lt;"&amp;A404)))))</f>
        <v/>
      </c>
      <c r="E404">
        <f>IF(N404="","",INDEX(Equipamentos!$C$2:$C$61,N404))</f>
        <v/>
      </c>
      <c r="F404" s="57">
        <f>IF(OR(D404="",N(Q404)&lt;=0),"",D404/Q404)</f>
        <v/>
      </c>
      <c r="G404" s="55" t="n"/>
      <c r="H404" s="58" t="n"/>
      <c r="I404" s="58" t="n"/>
      <c r="J404" s="55" t="n"/>
      <c r="K404" s="55" t="n"/>
      <c r="L404">
        <f>IF(OR(A404="",B404=""),"",_xlfn.MAXIFS(TrocasEquip!$A$2:$A$1000,TrocasEquip!$B$2:$B$1000,B404,TrocasEquip!$A$2:$A$1000,"&lt;"&amp;A404))</f>
        <v/>
      </c>
      <c r="M404">
        <f>IF(N(L404)=0,0,MATCH(1,INDEX((TrocasEquip!$B$2:$B$1000=B404)*(TrocasEquip!$A$2:$A$1000=L404),0),0))</f>
        <v/>
      </c>
      <c r="N404">
        <f>IF(B404="","",IFERROR(MATCH(B404,Equipamentos!$P$2:$P$61,0),""))</f>
        <v/>
      </c>
      <c r="O404">
        <f>IF(N404="","",IF(M404=0,INDEX(Equipamentos!$U$2:$U$61,N404),L404))</f>
        <v/>
      </c>
      <c r="P404">
        <f>IF(N404="","",IF(M404=0,N(INDEX(Equipamentos!$V$2:$V$61,N404)),N(INDEX(TrocasEquip!$I$2:$I$1000,M404))))</f>
        <v/>
      </c>
      <c r="Q404">
        <f>IF(N404="","",IF(M404=0,INDEX(Equipamentos!$T$2:$T$61,N404),IF(INDEX(TrocasEquip!$H$2:$H$1000,M404)="",INDEX(Equipamentos!$T$2:$T$61,N404),INDEX(TrocasEquip!$H$2:$H$1000,M404))))</f>
        <v/>
      </c>
    </row>
    <row r="405">
      <c r="A405" s="54" t="n"/>
      <c r="B405" s="55" t="n"/>
      <c r="C405">
        <f>IF(B405="","",IF(N405="","posição não encontrada",IF(M405=0,INDEX(Equipamentos!$S$2:$S$61,N405),INDEX(TrocasEquip!$G$2:$G$1000,M405))))</f>
        <v/>
      </c>
      <c r="D405" s="56">
        <f>IF(OR(A405="",N405=""),"",P405+IF(E405="dias",MAX(0,A405-O405),IF(INDEX(Equipamentos!$D$2:$D$61,N405)=2,SUMIFS(Producao!$D:$D,Producao!$A:$A,"&gt;="&amp;O405,Producao!$A:$A,"&lt;"&amp;A405),IF(INDEX(Equipamentos!$D$2:$D$61,N405)=3,SUMIFS(Producao!$E:$E,Producao!$A:$A,"&gt;="&amp;O405,Producao!$A:$A,"&lt;"&amp;A405),SUMIFS(Producao!$B:$B,Producao!$A:$A,"&gt;="&amp;O405,Producao!$A:$A,"&lt;"&amp;A405)))))</f>
        <v/>
      </c>
      <c r="E405">
        <f>IF(N405="","",INDEX(Equipamentos!$C$2:$C$61,N405))</f>
        <v/>
      </c>
      <c r="F405" s="57">
        <f>IF(OR(D405="",N(Q405)&lt;=0),"",D405/Q405)</f>
        <v/>
      </c>
      <c r="G405" s="55" t="n"/>
      <c r="H405" s="58" t="n"/>
      <c r="I405" s="58" t="n"/>
      <c r="J405" s="55" t="n"/>
      <c r="K405" s="55" t="n"/>
      <c r="L405">
        <f>IF(OR(A405="",B405=""),"",_xlfn.MAXIFS(TrocasEquip!$A$2:$A$1000,TrocasEquip!$B$2:$B$1000,B405,TrocasEquip!$A$2:$A$1000,"&lt;"&amp;A405))</f>
        <v/>
      </c>
      <c r="M405">
        <f>IF(N(L405)=0,0,MATCH(1,INDEX((TrocasEquip!$B$2:$B$1000=B405)*(TrocasEquip!$A$2:$A$1000=L405),0),0))</f>
        <v/>
      </c>
      <c r="N405">
        <f>IF(B405="","",IFERROR(MATCH(B405,Equipamentos!$P$2:$P$61,0),""))</f>
        <v/>
      </c>
      <c r="O405">
        <f>IF(N405="","",IF(M405=0,INDEX(Equipamentos!$U$2:$U$61,N405),L405))</f>
        <v/>
      </c>
      <c r="P405">
        <f>IF(N405="","",IF(M405=0,N(INDEX(Equipamentos!$V$2:$V$61,N405)),N(INDEX(TrocasEquip!$I$2:$I$1000,M405))))</f>
        <v/>
      </c>
      <c r="Q405">
        <f>IF(N405="","",IF(M405=0,INDEX(Equipamentos!$T$2:$T$61,N405),IF(INDEX(TrocasEquip!$H$2:$H$1000,M405)="",INDEX(Equipamentos!$T$2:$T$61,N405),INDEX(TrocasEquip!$H$2:$H$1000,M405))))</f>
        <v/>
      </c>
    </row>
    <row r="406">
      <c r="A406" s="54" t="n"/>
      <c r="B406" s="55" t="n"/>
      <c r="C406">
        <f>IF(B406="","",IF(N406="","posição não encontrada",IF(M406=0,INDEX(Equipamentos!$S$2:$S$61,N406),INDEX(TrocasEquip!$G$2:$G$1000,M406))))</f>
        <v/>
      </c>
      <c r="D406" s="56">
        <f>IF(OR(A406="",N406=""),"",P406+IF(E406="dias",MAX(0,A406-O406),IF(INDEX(Equipamentos!$D$2:$D$61,N406)=2,SUMIFS(Producao!$D:$D,Producao!$A:$A,"&gt;="&amp;O406,Producao!$A:$A,"&lt;"&amp;A406),IF(INDEX(Equipamentos!$D$2:$D$61,N406)=3,SUMIFS(Producao!$E:$E,Producao!$A:$A,"&gt;="&amp;O406,Producao!$A:$A,"&lt;"&amp;A406),SUMIFS(Producao!$B:$B,Producao!$A:$A,"&gt;="&amp;O406,Producao!$A:$A,"&lt;"&amp;A406)))))</f>
        <v/>
      </c>
      <c r="E406">
        <f>IF(N406="","",INDEX(Equipamentos!$C$2:$C$61,N406))</f>
        <v/>
      </c>
      <c r="F406" s="57">
        <f>IF(OR(D406="",N(Q406)&lt;=0),"",D406/Q406)</f>
        <v/>
      </c>
      <c r="G406" s="55" t="n"/>
      <c r="H406" s="58" t="n"/>
      <c r="I406" s="58" t="n"/>
      <c r="J406" s="55" t="n"/>
      <c r="K406" s="55" t="n"/>
      <c r="L406">
        <f>IF(OR(A406="",B406=""),"",_xlfn.MAXIFS(TrocasEquip!$A$2:$A$1000,TrocasEquip!$B$2:$B$1000,B406,TrocasEquip!$A$2:$A$1000,"&lt;"&amp;A406))</f>
        <v/>
      </c>
      <c r="M406">
        <f>IF(N(L406)=0,0,MATCH(1,INDEX((TrocasEquip!$B$2:$B$1000=B406)*(TrocasEquip!$A$2:$A$1000=L406),0),0))</f>
        <v/>
      </c>
      <c r="N406">
        <f>IF(B406="","",IFERROR(MATCH(B406,Equipamentos!$P$2:$P$61,0),""))</f>
        <v/>
      </c>
      <c r="O406">
        <f>IF(N406="","",IF(M406=0,INDEX(Equipamentos!$U$2:$U$61,N406),L406))</f>
        <v/>
      </c>
      <c r="P406">
        <f>IF(N406="","",IF(M406=0,N(INDEX(Equipamentos!$V$2:$V$61,N406)),N(INDEX(TrocasEquip!$I$2:$I$1000,M406))))</f>
        <v/>
      </c>
      <c r="Q406">
        <f>IF(N406="","",IF(M406=0,INDEX(Equipamentos!$T$2:$T$61,N406),IF(INDEX(TrocasEquip!$H$2:$H$1000,M406)="",INDEX(Equipamentos!$T$2:$T$61,N406),INDEX(TrocasEquip!$H$2:$H$1000,M406))))</f>
        <v/>
      </c>
    </row>
    <row r="407">
      <c r="A407" s="54" t="n"/>
      <c r="B407" s="55" t="n"/>
      <c r="C407">
        <f>IF(B407="","",IF(N407="","posição não encontrada",IF(M407=0,INDEX(Equipamentos!$S$2:$S$61,N407),INDEX(TrocasEquip!$G$2:$G$1000,M407))))</f>
        <v/>
      </c>
      <c r="D407" s="56">
        <f>IF(OR(A407="",N407=""),"",P407+IF(E407="dias",MAX(0,A407-O407),IF(INDEX(Equipamentos!$D$2:$D$61,N407)=2,SUMIFS(Producao!$D:$D,Producao!$A:$A,"&gt;="&amp;O407,Producao!$A:$A,"&lt;"&amp;A407),IF(INDEX(Equipamentos!$D$2:$D$61,N407)=3,SUMIFS(Producao!$E:$E,Producao!$A:$A,"&gt;="&amp;O407,Producao!$A:$A,"&lt;"&amp;A407),SUMIFS(Producao!$B:$B,Producao!$A:$A,"&gt;="&amp;O407,Producao!$A:$A,"&lt;"&amp;A407)))))</f>
        <v/>
      </c>
      <c r="E407">
        <f>IF(N407="","",INDEX(Equipamentos!$C$2:$C$61,N407))</f>
        <v/>
      </c>
      <c r="F407" s="57">
        <f>IF(OR(D407="",N(Q407)&lt;=0),"",D407/Q407)</f>
        <v/>
      </c>
      <c r="G407" s="55" t="n"/>
      <c r="H407" s="58" t="n"/>
      <c r="I407" s="58" t="n"/>
      <c r="J407" s="55" t="n"/>
      <c r="K407" s="55" t="n"/>
      <c r="L407">
        <f>IF(OR(A407="",B407=""),"",_xlfn.MAXIFS(TrocasEquip!$A$2:$A$1000,TrocasEquip!$B$2:$B$1000,B407,TrocasEquip!$A$2:$A$1000,"&lt;"&amp;A407))</f>
        <v/>
      </c>
      <c r="M407">
        <f>IF(N(L407)=0,0,MATCH(1,INDEX((TrocasEquip!$B$2:$B$1000=B407)*(TrocasEquip!$A$2:$A$1000=L407),0),0))</f>
        <v/>
      </c>
      <c r="N407">
        <f>IF(B407="","",IFERROR(MATCH(B407,Equipamentos!$P$2:$P$61,0),""))</f>
        <v/>
      </c>
      <c r="O407">
        <f>IF(N407="","",IF(M407=0,INDEX(Equipamentos!$U$2:$U$61,N407),L407))</f>
        <v/>
      </c>
      <c r="P407">
        <f>IF(N407="","",IF(M407=0,N(INDEX(Equipamentos!$V$2:$V$61,N407)),N(INDEX(TrocasEquip!$I$2:$I$1000,M407))))</f>
        <v/>
      </c>
      <c r="Q407">
        <f>IF(N407="","",IF(M407=0,INDEX(Equipamentos!$T$2:$T$61,N407),IF(INDEX(TrocasEquip!$H$2:$H$1000,M407)="",INDEX(Equipamentos!$T$2:$T$61,N407),INDEX(TrocasEquip!$H$2:$H$1000,M407))))</f>
        <v/>
      </c>
    </row>
    <row r="408">
      <c r="A408" s="54" t="n"/>
      <c r="B408" s="55" t="n"/>
      <c r="C408">
        <f>IF(B408="","",IF(N408="","posição não encontrada",IF(M408=0,INDEX(Equipamentos!$S$2:$S$61,N408),INDEX(TrocasEquip!$G$2:$G$1000,M408))))</f>
        <v/>
      </c>
      <c r="D408" s="56">
        <f>IF(OR(A408="",N408=""),"",P408+IF(E408="dias",MAX(0,A408-O408),IF(INDEX(Equipamentos!$D$2:$D$61,N408)=2,SUMIFS(Producao!$D:$D,Producao!$A:$A,"&gt;="&amp;O408,Producao!$A:$A,"&lt;"&amp;A408),IF(INDEX(Equipamentos!$D$2:$D$61,N408)=3,SUMIFS(Producao!$E:$E,Producao!$A:$A,"&gt;="&amp;O408,Producao!$A:$A,"&lt;"&amp;A408),SUMIFS(Producao!$B:$B,Producao!$A:$A,"&gt;="&amp;O408,Producao!$A:$A,"&lt;"&amp;A408)))))</f>
        <v/>
      </c>
      <c r="E408">
        <f>IF(N408="","",INDEX(Equipamentos!$C$2:$C$61,N408))</f>
        <v/>
      </c>
      <c r="F408" s="57">
        <f>IF(OR(D408="",N(Q408)&lt;=0),"",D408/Q408)</f>
        <v/>
      </c>
      <c r="G408" s="55" t="n"/>
      <c r="H408" s="58" t="n"/>
      <c r="I408" s="58" t="n"/>
      <c r="J408" s="55" t="n"/>
      <c r="K408" s="55" t="n"/>
      <c r="L408">
        <f>IF(OR(A408="",B408=""),"",_xlfn.MAXIFS(TrocasEquip!$A$2:$A$1000,TrocasEquip!$B$2:$B$1000,B408,TrocasEquip!$A$2:$A$1000,"&lt;"&amp;A408))</f>
        <v/>
      </c>
      <c r="M408">
        <f>IF(N(L408)=0,0,MATCH(1,INDEX((TrocasEquip!$B$2:$B$1000=B408)*(TrocasEquip!$A$2:$A$1000=L408),0),0))</f>
        <v/>
      </c>
      <c r="N408">
        <f>IF(B408="","",IFERROR(MATCH(B408,Equipamentos!$P$2:$P$61,0),""))</f>
        <v/>
      </c>
      <c r="O408">
        <f>IF(N408="","",IF(M408=0,INDEX(Equipamentos!$U$2:$U$61,N408),L408))</f>
        <v/>
      </c>
      <c r="P408">
        <f>IF(N408="","",IF(M408=0,N(INDEX(Equipamentos!$V$2:$V$61,N408)),N(INDEX(TrocasEquip!$I$2:$I$1000,M408))))</f>
        <v/>
      </c>
      <c r="Q408">
        <f>IF(N408="","",IF(M408=0,INDEX(Equipamentos!$T$2:$T$61,N408),IF(INDEX(TrocasEquip!$H$2:$H$1000,M408)="",INDEX(Equipamentos!$T$2:$T$61,N408),INDEX(TrocasEquip!$H$2:$H$1000,M408))))</f>
        <v/>
      </c>
    </row>
    <row r="409">
      <c r="A409" s="54" t="n"/>
      <c r="B409" s="55" t="n"/>
      <c r="C409">
        <f>IF(B409="","",IF(N409="","posição não encontrada",IF(M409=0,INDEX(Equipamentos!$S$2:$S$61,N409),INDEX(TrocasEquip!$G$2:$G$1000,M409))))</f>
        <v/>
      </c>
      <c r="D409" s="56">
        <f>IF(OR(A409="",N409=""),"",P409+IF(E409="dias",MAX(0,A409-O409),IF(INDEX(Equipamentos!$D$2:$D$61,N409)=2,SUMIFS(Producao!$D:$D,Producao!$A:$A,"&gt;="&amp;O409,Producao!$A:$A,"&lt;"&amp;A409),IF(INDEX(Equipamentos!$D$2:$D$61,N409)=3,SUMIFS(Producao!$E:$E,Producao!$A:$A,"&gt;="&amp;O409,Producao!$A:$A,"&lt;"&amp;A409),SUMIFS(Producao!$B:$B,Producao!$A:$A,"&gt;="&amp;O409,Producao!$A:$A,"&lt;"&amp;A409)))))</f>
        <v/>
      </c>
      <c r="E409">
        <f>IF(N409="","",INDEX(Equipamentos!$C$2:$C$61,N409))</f>
        <v/>
      </c>
      <c r="F409" s="57">
        <f>IF(OR(D409="",N(Q409)&lt;=0),"",D409/Q409)</f>
        <v/>
      </c>
      <c r="G409" s="55" t="n"/>
      <c r="H409" s="58" t="n"/>
      <c r="I409" s="58" t="n"/>
      <c r="J409" s="55" t="n"/>
      <c r="K409" s="55" t="n"/>
      <c r="L409">
        <f>IF(OR(A409="",B409=""),"",_xlfn.MAXIFS(TrocasEquip!$A$2:$A$1000,TrocasEquip!$B$2:$B$1000,B409,TrocasEquip!$A$2:$A$1000,"&lt;"&amp;A409))</f>
        <v/>
      </c>
      <c r="M409">
        <f>IF(N(L409)=0,0,MATCH(1,INDEX((TrocasEquip!$B$2:$B$1000=B409)*(TrocasEquip!$A$2:$A$1000=L409),0),0))</f>
        <v/>
      </c>
      <c r="N409">
        <f>IF(B409="","",IFERROR(MATCH(B409,Equipamentos!$P$2:$P$61,0),""))</f>
        <v/>
      </c>
      <c r="O409">
        <f>IF(N409="","",IF(M409=0,INDEX(Equipamentos!$U$2:$U$61,N409),L409))</f>
        <v/>
      </c>
      <c r="P409">
        <f>IF(N409="","",IF(M409=0,N(INDEX(Equipamentos!$V$2:$V$61,N409)),N(INDEX(TrocasEquip!$I$2:$I$1000,M409))))</f>
        <v/>
      </c>
      <c r="Q409">
        <f>IF(N409="","",IF(M409=0,INDEX(Equipamentos!$T$2:$T$61,N409),IF(INDEX(TrocasEquip!$H$2:$H$1000,M409)="",INDEX(Equipamentos!$T$2:$T$61,N409),INDEX(TrocasEquip!$H$2:$H$1000,M409))))</f>
        <v/>
      </c>
    </row>
    <row r="410">
      <c r="A410" s="54" t="n"/>
      <c r="B410" s="55" t="n"/>
      <c r="C410">
        <f>IF(B410="","",IF(N410="","posição não encontrada",IF(M410=0,INDEX(Equipamentos!$S$2:$S$61,N410),INDEX(TrocasEquip!$G$2:$G$1000,M410))))</f>
        <v/>
      </c>
      <c r="D410" s="56">
        <f>IF(OR(A410="",N410=""),"",P410+IF(E410="dias",MAX(0,A410-O410),IF(INDEX(Equipamentos!$D$2:$D$61,N410)=2,SUMIFS(Producao!$D:$D,Producao!$A:$A,"&gt;="&amp;O410,Producao!$A:$A,"&lt;"&amp;A410),IF(INDEX(Equipamentos!$D$2:$D$61,N410)=3,SUMIFS(Producao!$E:$E,Producao!$A:$A,"&gt;="&amp;O410,Producao!$A:$A,"&lt;"&amp;A410),SUMIFS(Producao!$B:$B,Producao!$A:$A,"&gt;="&amp;O410,Producao!$A:$A,"&lt;"&amp;A410)))))</f>
        <v/>
      </c>
      <c r="E410">
        <f>IF(N410="","",INDEX(Equipamentos!$C$2:$C$61,N410))</f>
        <v/>
      </c>
      <c r="F410" s="57">
        <f>IF(OR(D410="",N(Q410)&lt;=0),"",D410/Q410)</f>
        <v/>
      </c>
      <c r="G410" s="55" t="n"/>
      <c r="H410" s="58" t="n"/>
      <c r="I410" s="58" t="n"/>
      <c r="J410" s="55" t="n"/>
      <c r="K410" s="55" t="n"/>
      <c r="L410">
        <f>IF(OR(A410="",B410=""),"",_xlfn.MAXIFS(TrocasEquip!$A$2:$A$1000,TrocasEquip!$B$2:$B$1000,B410,TrocasEquip!$A$2:$A$1000,"&lt;"&amp;A410))</f>
        <v/>
      </c>
      <c r="M410">
        <f>IF(N(L410)=0,0,MATCH(1,INDEX((TrocasEquip!$B$2:$B$1000=B410)*(TrocasEquip!$A$2:$A$1000=L410),0),0))</f>
        <v/>
      </c>
      <c r="N410">
        <f>IF(B410="","",IFERROR(MATCH(B410,Equipamentos!$P$2:$P$61,0),""))</f>
        <v/>
      </c>
      <c r="O410">
        <f>IF(N410="","",IF(M410=0,INDEX(Equipamentos!$U$2:$U$61,N410),L410))</f>
        <v/>
      </c>
      <c r="P410">
        <f>IF(N410="","",IF(M410=0,N(INDEX(Equipamentos!$V$2:$V$61,N410)),N(INDEX(TrocasEquip!$I$2:$I$1000,M410))))</f>
        <v/>
      </c>
      <c r="Q410">
        <f>IF(N410="","",IF(M410=0,INDEX(Equipamentos!$T$2:$T$61,N410),IF(INDEX(TrocasEquip!$H$2:$H$1000,M410)="",INDEX(Equipamentos!$T$2:$T$61,N410),INDEX(TrocasEquip!$H$2:$H$1000,M410))))</f>
        <v/>
      </c>
    </row>
    <row r="411">
      <c r="A411" s="54" t="n"/>
      <c r="B411" s="55" t="n"/>
      <c r="C411">
        <f>IF(B411="","",IF(N411="","posição não encontrada",IF(M411=0,INDEX(Equipamentos!$S$2:$S$61,N411),INDEX(TrocasEquip!$G$2:$G$1000,M411))))</f>
        <v/>
      </c>
      <c r="D411" s="56">
        <f>IF(OR(A411="",N411=""),"",P411+IF(E411="dias",MAX(0,A411-O411),IF(INDEX(Equipamentos!$D$2:$D$61,N411)=2,SUMIFS(Producao!$D:$D,Producao!$A:$A,"&gt;="&amp;O411,Producao!$A:$A,"&lt;"&amp;A411),IF(INDEX(Equipamentos!$D$2:$D$61,N411)=3,SUMIFS(Producao!$E:$E,Producao!$A:$A,"&gt;="&amp;O411,Producao!$A:$A,"&lt;"&amp;A411),SUMIFS(Producao!$B:$B,Producao!$A:$A,"&gt;="&amp;O411,Producao!$A:$A,"&lt;"&amp;A411)))))</f>
        <v/>
      </c>
      <c r="E411">
        <f>IF(N411="","",INDEX(Equipamentos!$C$2:$C$61,N411))</f>
        <v/>
      </c>
      <c r="F411" s="57">
        <f>IF(OR(D411="",N(Q411)&lt;=0),"",D411/Q411)</f>
        <v/>
      </c>
      <c r="G411" s="55" t="n"/>
      <c r="H411" s="58" t="n"/>
      <c r="I411" s="58" t="n"/>
      <c r="J411" s="55" t="n"/>
      <c r="K411" s="55" t="n"/>
      <c r="L411">
        <f>IF(OR(A411="",B411=""),"",_xlfn.MAXIFS(TrocasEquip!$A$2:$A$1000,TrocasEquip!$B$2:$B$1000,B411,TrocasEquip!$A$2:$A$1000,"&lt;"&amp;A411))</f>
        <v/>
      </c>
      <c r="M411">
        <f>IF(N(L411)=0,0,MATCH(1,INDEX((TrocasEquip!$B$2:$B$1000=B411)*(TrocasEquip!$A$2:$A$1000=L411),0),0))</f>
        <v/>
      </c>
      <c r="N411">
        <f>IF(B411="","",IFERROR(MATCH(B411,Equipamentos!$P$2:$P$61,0),""))</f>
        <v/>
      </c>
      <c r="O411">
        <f>IF(N411="","",IF(M411=0,INDEX(Equipamentos!$U$2:$U$61,N411),L411))</f>
        <v/>
      </c>
      <c r="P411">
        <f>IF(N411="","",IF(M411=0,N(INDEX(Equipamentos!$V$2:$V$61,N411)),N(INDEX(TrocasEquip!$I$2:$I$1000,M411))))</f>
        <v/>
      </c>
      <c r="Q411">
        <f>IF(N411="","",IF(M411=0,INDEX(Equipamentos!$T$2:$T$61,N411),IF(INDEX(TrocasEquip!$H$2:$H$1000,M411)="",INDEX(Equipamentos!$T$2:$T$61,N411),INDEX(TrocasEquip!$H$2:$H$1000,M411))))</f>
        <v/>
      </c>
    </row>
    <row r="412">
      <c r="A412" s="54" t="n"/>
      <c r="B412" s="55" t="n"/>
      <c r="C412">
        <f>IF(B412="","",IF(N412="","posição não encontrada",IF(M412=0,INDEX(Equipamentos!$S$2:$S$61,N412),INDEX(TrocasEquip!$G$2:$G$1000,M412))))</f>
        <v/>
      </c>
      <c r="D412" s="56">
        <f>IF(OR(A412="",N412=""),"",P412+IF(E412="dias",MAX(0,A412-O412),IF(INDEX(Equipamentos!$D$2:$D$61,N412)=2,SUMIFS(Producao!$D:$D,Producao!$A:$A,"&gt;="&amp;O412,Producao!$A:$A,"&lt;"&amp;A412),IF(INDEX(Equipamentos!$D$2:$D$61,N412)=3,SUMIFS(Producao!$E:$E,Producao!$A:$A,"&gt;="&amp;O412,Producao!$A:$A,"&lt;"&amp;A412),SUMIFS(Producao!$B:$B,Producao!$A:$A,"&gt;="&amp;O412,Producao!$A:$A,"&lt;"&amp;A412)))))</f>
        <v/>
      </c>
      <c r="E412">
        <f>IF(N412="","",INDEX(Equipamentos!$C$2:$C$61,N412))</f>
        <v/>
      </c>
      <c r="F412" s="57">
        <f>IF(OR(D412="",N(Q412)&lt;=0),"",D412/Q412)</f>
        <v/>
      </c>
      <c r="G412" s="55" t="n"/>
      <c r="H412" s="58" t="n"/>
      <c r="I412" s="58" t="n"/>
      <c r="J412" s="55" t="n"/>
      <c r="K412" s="55" t="n"/>
      <c r="L412">
        <f>IF(OR(A412="",B412=""),"",_xlfn.MAXIFS(TrocasEquip!$A$2:$A$1000,TrocasEquip!$B$2:$B$1000,B412,TrocasEquip!$A$2:$A$1000,"&lt;"&amp;A412))</f>
        <v/>
      </c>
      <c r="M412">
        <f>IF(N(L412)=0,0,MATCH(1,INDEX((TrocasEquip!$B$2:$B$1000=B412)*(TrocasEquip!$A$2:$A$1000=L412),0),0))</f>
        <v/>
      </c>
      <c r="N412">
        <f>IF(B412="","",IFERROR(MATCH(B412,Equipamentos!$P$2:$P$61,0),""))</f>
        <v/>
      </c>
      <c r="O412">
        <f>IF(N412="","",IF(M412=0,INDEX(Equipamentos!$U$2:$U$61,N412),L412))</f>
        <v/>
      </c>
      <c r="P412">
        <f>IF(N412="","",IF(M412=0,N(INDEX(Equipamentos!$V$2:$V$61,N412)),N(INDEX(TrocasEquip!$I$2:$I$1000,M412))))</f>
        <v/>
      </c>
      <c r="Q412">
        <f>IF(N412="","",IF(M412=0,INDEX(Equipamentos!$T$2:$T$61,N412),IF(INDEX(TrocasEquip!$H$2:$H$1000,M412)="",INDEX(Equipamentos!$T$2:$T$61,N412),INDEX(TrocasEquip!$H$2:$H$1000,M412))))</f>
        <v/>
      </c>
    </row>
    <row r="413">
      <c r="A413" s="54" t="n"/>
      <c r="B413" s="55" t="n"/>
      <c r="C413">
        <f>IF(B413="","",IF(N413="","posição não encontrada",IF(M413=0,INDEX(Equipamentos!$S$2:$S$61,N413),INDEX(TrocasEquip!$G$2:$G$1000,M413))))</f>
        <v/>
      </c>
      <c r="D413" s="56">
        <f>IF(OR(A413="",N413=""),"",P413+IF(E413="dias",MAX(0,A413-O413),IF(INDEX(Equipamentos!$D$2:$D$61,N413)=2,SUMIFS(Producao!$D:$D,Producao!$A:$A,"&gt;="&amp;O413,Producao!$A:$A,"&lt;"&amp;A413),IF(INDEX(Equipamentos!$D$2:$D$61,N413)=3,SUMIFS(Producao!$E:$E,Producao!$A:$A,"&gt;="&amp;O413,Producao!$A:$A,"&lt;"&amp;A413),SUMIFS(Producao!$B:$B,Producao!$A:$A,"&gt;="&amp;O413,Producao!$A:$A,"&lt;"&amp;A413)))))</f>
        <v/>
      </c>
      <c r="E413">
        <f>IF(N413="","",INDEX(Equipamentos!$C$2:$C$61,N413))</f>
        <v/>
      </c>
      <c r="F413" s="57">
        <f>IF(OR(D413="",N(Q413)&lt;=0),"",D413/Q413)</f>
        <v/>
      </c>
      <c r="G413" s="55" t="n"/>
      <c r="H413" s="58" t="n"/>
      <c r="I413" s="58" t="n"/>
      <c r="J413" s="55" t="n"/>
      <c r="K413" s="55" t="n"/>
      <c r="L413">
        <f>IF(OR(A413="",B413=""),"",_xlfn.MAXIFS(TrocasEquip!$A$2:$A$1000,TrocasEquip!$B$2:$B$1000,B413,TrocasEquip!$A$2:$A$1000,"&lt;"&amp;A413))</f>
        <v/>
      </c>
      <c r="M413">
        <f>IF(N(L413)=0,0,MATCH(1,INDEX((TrocasEquip!$B$2:$B$1000=B413)*(TrocasEquip!$A$2:$A$1000=L413),0),0))</f>
        <v/>
      </c>
      <c r="N413">
        <f>IF(B413="","",IFERROR(MATCH(B413,Equipamentos!$P$2:$P$61,0),""))</f>
        <v/>
      </c>
      <c r="O413">
        <f>IF(N413="","",IF(M413=0,INDEX(Equipamentos!$U$2:$U$61,N413),L413))</f>
        <v/>
      </c>
      <c r="P413">
        <f>IF(N413="","",IF(M413=0,N(INDEX(Equipamentos!$V$2:$V$61,N413)),N(INDEX(TrocasEquip!$I$2:$I$1000,M413))))</f>
        <v/>
      </c>
      <c r="Q413">
        <f>IF(N413="","",IF(M413=0,INDEX(Equipamentos!$T$2:$T$61,N413),IF(INDEX(TrocasEquip!$H$2:$H$1000,M413)="",INDEX(Equipamentos!$T$2:$T$61,N413),INDEX(TrocasEquip!$H$2:$H$1000,M413))))</f>
        <v/>
      </c>
    </row>
    <row r="414">
      <c r="A414" s="54" t="n"/>
      <c r="B414" s="55" t="n"/>
      <c r="C414">
        <f>IF(B414="","",IF(N414="","posição não encontrada",IF(M414=0,INDEX(Equipamentos!$S$2:$S$61,N414),INDEX(TrocasEquip!$G$2:$G$1000,M414))))</f>
        <v/>
      </c>
      <c r="D414" s="56">
        <f>IF(OR(A414="",N414=""),"",P414+IF(E414="dias",MAX(0,A414-O414),IF(INDEX(Equipamentos!$D$2:$D$61,N414)=2,SUMIFS(Producao!$D:$D,Producao!$A:$A,"&gt;="&amp;O414,Producao!$A:$A,"&lt;"&amp;A414),IF(INDEX(Equipamentos!$D$2:$D$61,N414)=3,SUMIFS(Producao!$E:$E,Producao!$A:$A,"&gt;="&amp;O414,Producao!$A:$A,"&lt;"&amp;A414),SUMIFS(Producao!$B:$B,Producao!$A:$A,"&gt;="&amp;O414,Producao!$A:$A,"&lt;"&amp;A414)))))</f>
        <v/>
      </c>
      <c r="E414">
        <f>IF(N414="","",INDEX(Equipamentos!$C$2:$C$61,N414))</f>
        <v/>
      </c>
      <c r="F414" s="57">
        <f>IF(OR(D414="",N(Q414)&lt;=0),"",D414/Q414)</f>
        <v/>
      </c>
      <c r="G414" s="55" t="n"/>
      <c r="H414" s="58" t="n"/>
      <c r="I414" s="58" t="n"/>
      <c r="J414" s="55" t="n"/>
      <c r="K414" s="55" t="n"/>
      <c r="L414">
        <f>IF(OR(A414="",B414=""),"",_xlfn.MAXIFS(TrocasEquip!$A$2:$A$1000,TrocasEquip!$B$2:$B$1000,B414,TrocasEquip!$A$2:$A$1000,"&lt;"&amp;A414))</f>
        <v/>
      </c>
      <c r="M414">
        <f>IF(N(L414)=0,0,MATCH(1,INDEX((TrocasEquip!$B$2:$B$1000=B414)*(TrocasEquip!$A$2:$A$1000=L414),0),0))</f>
        <v/>
      </c>
      <c r="N414">
        <f>IF(B414="","",IFERROR(MATCH(B414,Equipamentos!$P$2:$P$61,0),""))</f>
        <v/>
      </c>
      <c r="O414">
        <f>IF(N414="","",IF(M414=0,INDEX(Equipamentos!$U$2:$U$61,N414),L414))</f>
        <v/>
      </c>
      <c r="P414">
        <f>IF(N414="","",IF(M414=0,N(INDEX(Equipamentos!$V$2:$V$61,N414)),N(INDEX(TrocasEquip!$I$2:$I$1000,M414))))</f>
        <v/>
      </c>
      <c r="Q414">
        <f>IF(N414="","",IF(M414=0,INDEX(Equipamentos!$T$2:$T$61,N414),IF(INDEX(TrocasEquip!$H$2:$H$1000,M414)="",INDEX(Equipamentos!$T$2:$T$61,N414),INDEX(TrocasEquip!$H$2:$H$1000,M414))))</f>
        <v/>
      </c>
    </row>
    <row r="415">
      <c r="A415" s="54" t="n"/>
      <c r="B415" s="55" t="n"/>
      <c r="C415">
        <f>IF(B415="","",IF(N415="","posição não encontrada",IF(M415=0,INDEX(Equipamentos!$S$2:$S$61,N415),INDEX(TrocasEquip!$G$2:$G$1000,M415))))</f>
        <v/>
      </c>
      <c r="D415" s="56">
        <f>IF(OR(A415="",N415=""),"",P415+IF(E415="dias",MAX(0,A415-O415),IF(INDEX(Equipamentos!$D$2:$D$61,N415)=2,SUMIFS(Producao!$D:$D,Producao!$A:$A,"&gt;="&amp;O415,Producao!$A:$A,"&lt;"&amp;A415),IF(INDEX(Equipamentos!$D$2:$D$61,N415)=3,SUMIFS(Producao!$E:$E,Producao!$A:$A,"&gt;="&amp;O415,Producao!$A:$A,"&lt;"&amp;A415),SUMIFS(Producao!$B:$B,Producao!$A:$A,"&gt;="&amp;O415,Producao!$A:$A,"&lt;"&amp;A415)))))</f>
        <v/>
      </c>
      <c r="E415">
        <f>IF(N415="","",INDEX(Equipamentos!$C$2:$C$61,N415))</f>
        <v/>
      </c>
      <c r="F415" s="57">
        <f>IF(OR(D415="",N(Q415)&lt;=0),"",D415/Q415)</f>
        <v/>
      </c>
      <c r="G415" s="55" t="n"/>
      <c r="H415" s="58" t="n"/>
      <c r="I415" s="58" t="n"/>
      <c r="J415" s="55" t="n"/>
      <c r="K415" s="55" t="n"/>
      <c r="L415">
        <f>IF(OR(A415="",B415=""),"",_xlfn.MAXIFS(TrocasEquip!$A$2:$A$1000,TrocasEquip!$B$2:$B$1000,B415,TrocasEquip!$A$2:$A$1000,"&lt;"&amp;A415))</f>
        <v/>
      </c>
      <c r="M415">
        <f>IF(N(L415)=0,0,MATCH(1,INDEX((TrocasEquip!$B$2:$B$1000=B415)*(TrocasEquip!$A$2:$A$1000=L415),0),0))</f>
        <v/>
      </c>
      <c r="N415">
        <f>IF(B415="","",IFERROR(MATCH(B415,Equipamentos!$P$2:$P$61,0),""))</f>
        <v/>
      </c>
      <c r="O415">
        <f>IF(N415="","",IF(M415=0,INDEX(Equipamentos!$U$2:$U$61,N415),L415))</f>
        <v/>
      </c>
      <c r="P415">
        <f>IF(N415="","",IF(M415=0,N(INDEX(Equipamentos!$V$2:$V$61,N415)),N(INDEX(TrocasEquip!$I$2:$I$1000,M415))))</f>
        <v/>
      </c>
      <c r="Q415">
        <f>IF(N415="","",IF(M415=0,INDEX(Equipamentos!$T$2:$T$61,N415),IF(INDEX(TrocasEquip!$H$2:$H$1000,M415)="",INDEX(Equipamentos!$T$2:$T$61,N415),INDEX(TrocasEquip!$H$2:$H$1000,M415))))</f>
        <v/>
      </c>
    </row>
    <row r="416">
      <c r="A416" s="54" t="n"/>
      <c r="B416" s="55" t="n"/>
      <c r="C416">
        <f>IF(B416="","",IF(N416="","posição não encontrada",IF(M416=0,INDEX(Equipamentos!$S$2:$S$61,N416),INDEX(TrocasEquip!$G$2:$G$1000,M416))))</f>
        <v/>
      </c>
      <c r="D416" s="56">
        <f>IF(OR(A416="",N416=""),"",P416+IF(E416="dias",MAX(0,A416-O416),IF(INDEX(Equipamentos!$D$2:$D$61,N416)=2,SUMIFS(Producao!$D:$D,Producao!$A:$A,"&gt;="&amp;O416,Producao!$A:$A,"&lt;"&amp;A416),IF(INDEX(Equipamentos!$D$2:$D$61,N416)=3,SUMIFS(Producao!$E:$E,Producao!$A:$A,"&gt;="&amp;O416,Producao!$A:$A,"&lt;"&amp;A416),SUMIFS(Producao!$B:$B,Producao!$A:$A,"&gt;="&amp;O416,Producao!$A:$A,"&lt;"&amp;A416)))))</f>
        <v/>
      </c>
      <c r="E416">
        <f>IF(N416="","",INDEX(Equipamentos!$C$2:$C$61,N416))</f>
        <v/>
      </c>
      <c r="F416" s="57">
        <f>IF(OR(D416="",N(Q416)&lt;=0),"",D416/Q416)</f>
        <v/>
      </c>
      <c r="G416" s="55" t="n"/>
      <c r="H416" s="58" t="n"/>
      <c r="I416" s="58" t="n"/>
      <c r="J416" s="55" t="n"/>
      <c r="K416" s="55" t="n"/>
      <c r="L416">
        <f>IF(OR(A416="",B416=""),"",_xlfn.MAXIFS(TrocasEquip!$A$2:$A$1000,TrocasEquip!$B$2:$B$1000,B416,TrocasEquip!$A$2:$A$1000,"&lt;"&amp;A416))</f>
        <v/>
      </c>
      <c r="M416">
        <f>IF(N(L416)=0,0,MATCH(1,INDEX((TrocasEquip!$B$2:$B$1000=B416)*(TrocasEquip!$A$2:$A$1000=L416),0),0))</f>
        <v/>
      </c>
      <c r="N416">
        <f>IF(B416="","",IFERROR(MATCH(B416,Equipamentos!$P$2:$P$61,0),""))</f>
        <v/>
      </c>
      <c r="O416">
        <f>IF(N416="","",IF(M416=0,INDEX(Equipamentos!$U$2:$U$61,N416),L416))</f>
        <v/>
      </c>
      <c r="P416">
        <f>IF(N416="","",IF(M416=0,N(INDEX(Equipamentos!$V$2:$V$61,N416)),N(INDEX(TrocasEquip!$I$2:$I$1000,M416))))</f>
        <v/>
      </c>
      <c r="Q416">
        <f>IF(N416="","",IF(M416=0,INDEX(Equipamentos!$T$2:$T$61,N416),IF(INDEX(TrocasEquip!$H$2:$H$1000,M416)="",INDEX(Equipamentos!$T$2:$T$61,N416),INDEX(TrocasEquip!$H$2:$H$1000,M416))))</f>
        <v/>
      </c>
    </row>
    <row r="417">
      <c r="A417" s="54" t="n"/>
      <c r="B417" s="55" t="n"/>
      <c r="C417">
        <f>IF(B417="","",IF(N417="","posição não encontrada",IF(M417=0,INDEX(Equipamentos!$S$2:$S$61,N417),INDEX(TrocasEquip!$G$2:$G$1000,M417))))</f>
        <v/>
      </c>
      <c r="D417" s="56">
        <f>IF(OR(A417="",N417=""),"",P417+IF(E417="dias",MAX(0,A417-O417),IF(INDEX(Equipamentos!$D$2:$D$61,N417)=2,SUMIFS(Producao!$D:$D,Producao!$A:$A,"&gt;="&amp;O417,Producao!$A:$A,"&lt;"&amp;A417),IF(INDEX(Equipamentos!$D$2:$D$61,N417)=3,SUMIFS(Producao!$E:$E,Producao!$A:$A,"&gt;="&amp;O417,Producao!$A:$A,"&lt;"&amp;A417),SUMIFS(Producao!$B:$B,Producao!$A:$A,"&gt;="&amp;O417,Producao!$A:$A,"&lt;"&amp;A417)))))</f>
        <v/>
      </c>
      <c r="E417">
        <f>IF(N417="","",INDEX(Equipamentos!$C$2:$C$61,N417))</f>
        <v/>
      </c>
      <c r="F417" s="57">
        <f>IF(OR(D417="",N(Q417)&lt;=0),"",D417/Q417)</f>
        <v/>
      </c>
      <c r="G417" s="55" t="n"/>
      <c r="H417" s="58" t="n"/>
      <c r="I417" s="58" t="n"/>
      <c r="J417" s="55" t="n"/>
      <c r="K417" s="55" t="n"/>
      <c r="L417">
        <f>IF(OR(A417="",B417=""),"",_xlfn.MAXIFS(TrocasEquip!$A$2:$A$1000,TrocasEquip!$B$2:$B$1000,B417,TrocasEquip!$A$2:$A$1000,"&lt;"&amp;A417))</f>
        <v/>
      </c>
      <c r="M417">
        <f>IF(N(L417)=0,0,MATCH(1,INDEX((TrocasEquip!$B$2:$B$1000=B417)*(TrocasEquip!$A$2:$A$1000=L417),0),0))</f>
        <v/>
      </c>
      <c r="N417">
        <f>IF(B417="","",IFERROR(MATCH(B417,Equipamentos!$P$2:$P$61,0),""))</f>
        <v/>
      </c>
      <c r="O417">
        <f>IF(N417="","",IF(M417=0,INDEX(Equipamentos!$U$2:$U$61,N417),L417))</f>
        <v/>
      </c>
      <c r="P417">
        <f>IF(N417="","",IF(M417=0,N(INDEX(Equipamentos!$V$2:$V$61,N417)),N(INDEX(TrocasEquip!$I$2:$I$1000,M417))))</f>
        <v/>
      </c>
      <c r="Q417">
        <f>IF(N417="","",IF(M417=0,INDEX(Equipamentos!$T$2:$T$61,N417),IF(INDEX(TrocasEquip!$H$2:$H$1000,M417)="",INDEX(Equipamentos!$T$2:$T$61,N417),INDEX(TrocasEquip!$H$2:$H$1000,M417))))</f>
        <v/>
      </c>
    </row>
    <row r="418">
      <c r="A418" s="54" t="n"/>
      <c r="B418" s="55" t="n"/>
      <c r="C418">
        <f>IF(B418="","",IF(N418="","posição não encontrada",IF(M418=0,INDEX(Equipamentos!$S$2:$S$61,N418),INDEX(TrocasEquip!$G$2:$G$1000,M418))))</f>
        <v/>
      </c>
      <c r="D418" s="56">
        <f>IF(OR(A418="",N418=""),"",P418+IF(E418="dias",MAX(0,A418-O418),IF(INDEX(Equipamentos!$D$2:$D$61,N418)=2,SUMIFS(Producao!$D:$D,Producao!$A:$A,"&gt;="&amp;O418,Producao!$A:$A,"&lt;"&amp;A418),IF(INDEX(Equipamentos!$D$2:$D$61,N418)=3,SUMIFS(Producao!$E:$E,Producao!$A:$A,"&gt;="&amp;O418,Producao!$A:$A,"&lt;"&amp;A418),SUMIFS(Producao!$B:$B,Producao!$A:$A,"&gt;="&amp;O418,Producao!$A:$A,"&lt;"&amp;A418)))))</f>
        <v/>
      </c>
      <c r="E418">
        <f>IF(N418="","",INDEX(Equipamentos!$C$2:$C$61,N418))</f>
        <v/>
      </c>
      <c r="F418" s="57">
        <f>IF(OR(D418="",N(Q418)&lt;=0),"",D418/Q418)</f>
        <v/>
      </c>
      <c r="G418" s="55" t="n"/>
      <c r="H418" s="58" t="n"/>
      <c r="I418" s="58" t="n"/>
      <c r="J418" s="55" t="n"/>
      <c r="K418" s="55" t="n"/>
      <c r="L418">
        <f>IF(OR(A418="",B418=""),"",_xlfn.MAXIFS(TrocasEquip!$A$2:$A$1000,TrocasEquip!$B$2:$B$1000,B418,TrocasEquip!$A$2:$A$1000,"&lt;"&amp;A418))</f>
        <v/>
      </c>
      <c r="M418">
        <f>IF(N(L418)=0,0,MATCH(1,INDEX((TrocasEquip!$B$2:$B$1000=B418)*(TrocasEquip!$A$2:$A$1000=L418),0),0))</f>
        <v/>
      </c>
      <c r="N418">
        <f>IF(B418="","",IFERROR(MATCH(B418,Equipamentos!$P$2:$P$61,0),""))</f>
        <v/>
      </c>
      <c r="O418">
        <f>IF(N418="","",IF(M418=0,INDEX(Equipamentos!$U$2:$U$61,N418),L418))</f>
        <v/>
      </c>
      <c r="P418">
        <f>IF(N418="","",IF(M418=0,N(INDEX(Equipamentos!$V$2:$V$61,N418)),N(INDEX(TrocasEquip!$I$2:$I$1000,M418))))</f>
        <v/>
      </c>
      <c r="Q418">
        <f>IF(N418="","",IF(M418=0,INDEX(Equipamentos!$T$2:$T$61,N418),IF(INDEX(TrocasEquip!$H$2:$H$1000,M418)="",INDEX(Equipamentos!$T$2:$T$61,N418),INDEX(TrocasEquip!$H$2:$H$1000,M418))))</f>
        <v/>
      </c>
    </row>
    <row r="419">
      <c r="A419" s="54" t="n"/>
      <c r="B419" s="55" t="n"/>
      <c r="C419">
        <f>IF(B419="","",IF(N419="","posição não encontrada",IF(M419=0,INDEX(Equipamentos!$S$2:$S$61,N419),INDEX(TrocasEquip!$G$2:$G$1000,M419))))</f>
        <v/>
      </c>
      <c r="D419" s="56">
        <f>IF(OR(A419="",N419=""),"",P419+IF(E419="dias",MAX(0,A419-O419),IF(INDEX(Equipamentos!$D$2:$D$61,N419)=2,SUMIFS(Producao!$D:$D,Producao!$A:$A,"&gt;="&amp;O419,Producao!$A:$A,"&lt;"&amp;A419),IF(INDEX(Equipamentos!$D$2:$D$61,N419)=3,SUMIFS(Producao!$E:$E,Producao!$A:$A,"&gt;="&amp;O419,Producao!$A:$A,"&lt;"&amp;A419),SUMIFS(Producao!$B:$B,Producao!$A:$A,"&gt;="&amp;O419,Producao!$A:$A,"&lt;"&amp;A419)))))</f>
        <v/>
      </c>
      <c r="E419">
        <f>IF(N419="","",INDEX(Equipamentos!$C$2:$C$61,N419))</f>
        <v/>
      </c>
      <c r="F419" s="57">
        <f>IF(OR(D419="",N(Q419)&lt;=0),"",D419/Q419)</f>
        <v/>
      </c>
      <c r="G419" s="55" t="n"/>
      <c r="H419" s="58" t="n"/>
      <c r="I419" s="58" t="n"/>
      <c r="J419" s="55" t="n"/>
      <c r="K419" s="55" t="n"/>
      <c r="L419">
        <f>IF(OR(A419="",B419=""),"",_xlfn.MAXIFS(TrocasEquip!$A$2:$A$1000,TrocasEquip!$B$2:$B$1000,B419,TrocasEquip!$A$2:$A$1000,"&lt;"&amp;A419))</f>
        <v/>
      </c>
      <c r="M419">
        <f>IF(N(L419)=0,0,MATCH(1,INDEX((TrocasEquip!$B$2:$B$1000=B419)*(TrocasEquip!$A$2:$A$1000=L419),0),0))</f>
        <v/>
      </c>
      <c r="N419">
        <f>IF(B419="","",IFERROR(MATCH(B419,Equipamentos!$P$2:$P$61,0),""))</f>
        <v/>
      </c>
      <c r="O419">
        <f>IF(N419="","",IF(M419=0,INDEX(Equipamentos!$U$2:$U$61,N419),L419))</f>
        <v/>
      </c>
      <c r="P419">
        <f>IF(N419="","",IF(M419=0,N(INDEX(Equipamentos!$V$2:$V$61,N419)),N(INDEX(TrocasEquip!$I$2:$I$1000,M419))))</f>
        <v/>
      </c>
      <c r="Q419">
        <f>IF(N419="","",IF(M419=0,INDEX(Equipamentos!$T$2:$T$61,N419),IF(INDEX(TrocasEquip!$H$2:$H$1000,M419)="",INDEX(Equipamentos!$T$2:$T$61,N419),INDEX(TrocasEquip!$H$2:$H$1000,M419))))</f>
        <v/>
      </c>
    </row>
    <row r="420">
      <c r="A420" s="54" t="n"/>
      <c r="B420" s="55" t="n"/>
      <c r="C420">
        <f>IF(B420="","",IF(N420="","posição não encontrada",IF(M420=0,INDEX(Equipamentos!$S$2:$S$61,N420),INDEX(TrocasEquip!$G$2:$G$1000,M420))))</f>
        <v/>
      </c>
      <c r="D420" s="56">
        <f>IF(OR(A420="",N420=""),"",P420+IF(E420="dias",MAX(0,A420-O420),IF(INDEX(Equipamentos!$D$2:$D$61,N420)=2,SUMIFS(Producao!$D:$D,Producao!$A:$A,"&gt;="&amp;O420,Producao!$A:$A,"&lt;"&amp;A420),IF(INDEX(Equipamentos!$D$2:$D$61,N420)=3,SUMIFS(Producao!$E:$E,Producao!$A:$A,"&gt;="&amp;O420,Producao!$A:$A,"&lt;"&amp;A420),SUMIFS(Producao!$B:$B,Producao!$A:$A,"&gt;="&amp;O420,Producao!$A:$A,"&lt;"&amp;A420)))))</f>
        <v/>
      </c>
      <c r="E420">
        <f>IF(N420="","",INDEX(Equipamentos!$C$2:$C$61,N420))</f>
        <v/>
      </c>
      <c r="F420" s="57">
        <f>IF(OR(D420="",N(Q420)&lt;=0),"",D420/Q420)</f>
        <v/>
      </c>
      <c r="G420" s="55" t="n"/>
      <c r="H420" s="58" t="n"/>
      <c r="I420" s="58" t="n"/>
      <c r="J420" s="55" t="n"/>
      <c r="K420" s="55" t="n"/>
      <c r="L420">
        <f>IF(OR(A420="",B420=""),"",_xlfn.MAXIFS(TrocasEquip!$A$2:$A$1000,TrocasEquip!$B$2:$B$1000,B420,TrocasEquip!$A$2:$A$1000,"&lt;"&amp;A420))</f>
        <v/>
      </c>
      <c r="M420">
        <f>IF(N(L420)=0,0,MATCH(1,INDEX((TrocasEquip!$B$2:$B$1000=B420)*(TrocasEquip!$A$2:$A$1000=L420),0),0))</f>
        <v/>
      </c>
      <c r="N420">
        <f>IF(B420="","",IFERROR(MATCH(B420,Equipamentos!$P$2:$P$61,0),""))</f>
        <v/>
      </c>
      <c r="O420">
        <f>IF(N420="","",IF(M420=0,INDEX(Equipamentos!$U$2:$U$61,N420),L420))</f>
        <v/>
      </c>
      <c r="P420">
        <f>IF(N420="","",IF(M420=0,N(INDEX(Equipamentos!$V$2:$V$61,N420)),N(INDEX(TrocasEquip!$I$2:$I$1000,M420))))</f>
        <v/>
      </c>
      <c r="Q420">
        <f>IF(N420="","",IF(M420=0,INDEX(Equipamentos!$T$2:$T$61,N420),IF(INDEX(TrocasEquip!$H$2:$H$1000,M420)="",INDEX(Equipamentos!$T$2:$T$61,N420),INDEX(TrocasEquip!$H$2:$H$1000,M420))))</f>
        <v/>
      </c>
    </row>
    <row r="421">
      <c r="A421" s="54" t="n"/>
      <c r="B421" s="55" t="n"/>
      <c r="C421">
        <f>IF(B421="","",IF(N421="","posição não encontrada",IF(M421=0,INDEX(Equipamentos!$S$2:$S$61,N421),INDEX(TrocasEquip!$G$2:$G$1000,M421))))</f>
        <v/>
      </c>
      <c r="D421" s="56">
        <f>IF(OR(A421="",N421=""),"",P421+IF(E421="dias",MAX(0,A421-O421),IF(INDEX(Equipamentos!$D$2:$D$61,N421)=2,SUMIFS(Producao!$D:$D,Producao!$A:$A,"&gt;="&amp;O421,Producao!$A:$A,"&lt;"&amp;A421),IF(INDEX(Equipamentos!$D$2:$D$61,N421)=3,SUMIFS(Producao!$E:$E,Producao!$A:$A,"&gt;="&amp;O421,Producao!$A:$A,"&lt;"&amp;A421),SUMIFS(Producao!$B:$B,Producao!$A:$A,"&gt;="&amp;O421,Producao!$A:$A,"&lt;"&amp;A421)))))</f>
        <v/>
      </c>
      <c r="E421">
        <f>IF(N421="","",INDEX(Equipamentos!$C$2:$C$61,N421))</f>
        <v/>
      </c>
      <c r="F421" s="57">
        <f>IF(OR(D421="",N(Q421)&lt;=0),"",D421/Q421)</f>
        <v/>
      </c>
      <c r="G421" s="55" t="n"/>
      <c r="H421" s="58" t="n"/>
      <c r="I421" s="58" t="n"/>
      <c r="J421" s="55" t="n"/>
      <c r="K421" s="55" t="n"/>
      <c r="L421">
        <f>IF(OR(A421="",B421=""),"",_xlfn.MAXIFS(TrocasEquip!$A$2:$A$1000,TrocasEquip!$B$2:$B$1000,B421,TrocasEquip!$A$2:$A$1000,"&lt;"&amp;A421))</f>
        <v/>
      </c>
      <c r="M421">
        <f>IF(N(L421)=0,0,MATCH(1,INDEX((TrocasEquip!$B$2:$B$1000=B421)*(TrocasEquip!$A$2:$A$1000=L421),0),0))</f>
        <v/>
      </c>
      <c r="N421">
        <f>IF(B421="","",IFERROR(MATCH(B421,Equipamentos!$P$2:$P$61,0),""))</f>
        <v/>
      </c>
      <c r="O421">
        <f>IF(N421="","",IF(M421=0,INDEX(Equipamentos!$U$2:$U$61,N421),L421))</f>
        <v/>
      </c>
      <c r="P421">
        <f>IF(N421="","",IF(M421=0,N(INDEX(Equipamentos!$V$2:$V$61,N421)),N(INDEX(TrocasEquip!$I$2:$I$1000,M421))))</f>
        <v/>
      </c>
      <c r="Q421">
        <f>IF(N421="","",IF(M421=0,INDEX(Equipamentos!$T$2:$T$61,N421),IF(INDEX(TrocasEquip!$H$2:$H$1000,M421)="",INDEX(Equipamentos!$T$2:$T$61,N421),INDEX(TrocasEquip!$H$2:$H$1000,M421))))</f>
        <v/>
      </c>
    </row>
    <row r="422">
      <c r="A422" s="54" t="n"/>
      <c r="B422" s="55" t="n"/>
      <c r="C422">
        <f>IF(B422="","",IF(N422="","posição não encontrada",IF(M422=0,INDEX(Equipamentos!$S$2:$S$61,N422),INDEX(TrocasEquip!$G$2:$G$1000,M422))))</f>
        <v/>
      </c>
      <c r="D422" s="56">
        <f>IF(OR(A422="",N422=""),"",P422+IF(E422="dias",MAX(0,A422-O422),IF(INDEX(Equipamentos!$D$2:$D$61,N422)=2,SUMIFS(Producao!$D:$D,Producao!$A:$A,"&gt;="&amp;O422,Producao!$A:$A,"&lt;"&amp;A422),IF(INDEX(Equipamentos!$D$2:$D$61,N422)=3,SUMIFS(Producao!$E:$E,Producao!$A:$A,"&gt;="&amp;O422,Producao!$A:$A,"&lt;"&amp;A422),SUMIFS(Producao!$B:$B,Producao!$A:$A,"&gt;="&amp;O422,Producao!$A:$A,"&lt;"&amp;A422)))))</f>
        <v/>
      </c>
      <c r="E422">
        <f>IF(N422="","",INDEX(Equipamentos!$C$2:$C$61,N422))</f>
        <v/>
      </c>
      <c r="F422" s="57">
        <f>IF(OR(D422="",N(Q422)&lt;=0),"",D422/Q422)</f>
        <v/>
      </c>
      <c r="G422" s="55" t="n"/>
      <c r="H422" s="58" t="n"/>
      <c r="I422" s="58" t="n"/>
      <c r="J422" s="55" t="n"/>
      <c r="K422" s="55" t="n"/>
      <c r="L422">
        <f>IF(OR(A422="",B422=""),"",_xlfn.MAXIFS(TrocasEquip!$A$2:$A$1000,TrocasEquip!$B$2:$B$1000,B422,TrocasEquip!$A$2:$A$1000,"&lt;"&amp;A422))</f>
        <v/>
      </c>
      <c r="M422">
        <f>IF(N(L422)=0,0,MATCH(1,INDEX((TrocasEquip!$B$2:$B$1000=B422)*(TrocasEquip!$A$2:$A$1000=L422),0),0))</f>
        <v/>
      </c>
      <c r="N422">
        <f>IF(B422="","",IFERROR(MATCH(B422,Equipamentos!$P$2:$P$61,0),""))</f>
        <v/>
      </c>
      <c r="O422">
        <f>IF(N422="","",IF(M422=0,INDEX(Equipamentos!$U$2:$U$61,N422),L422))</f>
        <v/>
      </c>
      <c r="P422">
        <f>IF(N422="","",IF(M422=0,N(INDEX(Equipamentos!$V$2:$V$61,N422)),N(INDEX(TrocasEquip!$I$2:$I$1000,M422))))</f>
        <v/>
      </c>
      <c r="Q422">
        <f>IF(N422="","",IF(M422=0,INDEX(Equipamentos!$T$2:$T$61,N422),IF(INDEX(TrocasEquip!$H$2:$H$1000,M422)="",INDEX(Equipamentos!$T$2:$T$61,N422),INDEX(TrocasEquip!$H$2:$H$1000,M422))))</f>
        <v/>
      </c>
    </row>
    <row r="423">
      <c r="A423" s="54" t="n"/>
      <c r="B423" s="55" t="n"/>
      <c r="C423">
        <f>IF(B423="","",IF(N423="","posição não encontrada",IF(M423=0,INDEX(Equipamentos!$S$2:$S$61,N423),INDEX(TrocasEquip!$G$2:$G$1000,M423))))</f>
        <v/>
      </c>
      <c r="D423" s="56">
        <f>IF(OR(A423="",N423=""),"",P423+IF(E423="dias",MAX(0,A423-O423),IF(INDEX(Equipamentos!$D$2:$D$61,N423)=2,SUMIFS(Producao!$D:$D,Producao!$A:$A,"&gt;="&amp;O423,Producao!$A:$A,"&lt;"&amp;A423),IF(INDEX(Equipamentos!$D$2:$D$61,N423)=3,SUMIFS(Producao!$E:$E,Producao!$A:$A,"&gt;="&amp;O423,Producao!$A:$A,"&lt;"&amp;A423),SUMIFS(Producao!$B:$B,Producao!$A:$A,"&gt;="&amp;O423,Producao!$A:$A,"&lt;"&amp;A423)))))</f>
        <v/>
      </c>
      <c r="E423">
        <f>IF(N423="","",INDEX(Equipamentos!$C$2:$C$61,N423))</f>
        <v/>
      </c>
      <c r="F423" s="57">
        <f>IF(OR(D423="",N(Q423)&lt;=0),"",D423/Q423)</f>
        <v/>
      </c>
      <c r="G423" s="55" t="n"/>
      <c r="H423" s="58" t="n"/>
      <c r="I423" s="58" t="n"/>
      <c r="J423" s="55" t="n"/>
      <c r="K423" s="55" t="n"/>
      <c r="L423">
        <f>IF(OR(A423="",B423=""),"",_xlfn.MAXIFS(TrocasEquip!$A$2:$A$1000,TrocasEquip!$B$2:$B$1000,B423,TrocasEquip!$A$2:$A$1000,"&lt;"&amp;A423))</f>
        <v/>
      </c>
      <c r="M423">
        <f>IF(N(L423)=0,0,MATCH(1,INDEX((TrocasEquip!$B$2:$B$1000=B423)*(TrocasEquip!$A$2:$A$1000=L423),0),0))</f>
        <v/>
      </c>
      <c r="N423">
        <f>IF(B423="","",IFERROR(MATCH(B423,Equipamentos!$P$2:$P$61,0),""))</f>
        <v/>
      </c>
      <c r="O423">
        <f>IF(N423="","",IF(M423=0,INDEX(Equipamentos!$U$2:$U$61,N423),L423))</f>
        <v/>
      </c>
      <c r="P423">
        <f>IF(N423="","",IF(M423=0,N(INDEX(Equipamentos!$V$2:$V$61,N423)),N(INDEX(TrocasEquip!$I$2:$I$1000,M423))))</f>
        <v/>
      </c>
      <c r="Q423">
        <f>IF(N423="","",IF(M423=0,INDEX(Equipamentos!$T$2:$T$61,N423),IF(INDEX(TrocasEquip!$H$2:$H$1000,M423)="",INDEX(Equipamentos!$T$2:$T$61,N423),INDEX(TrocasEquip!$H$2:$H$1000,M423))))</f>
        <v/>
      </c>
    </row>
    <row r="424">
      <c r="A424" s="54" t="n"/>
      <c r="B424" s="55" t="n"/>
      <c r="C424">
        <f>IF(B424="","",IF(N424="","posição não encontrada",IF(M424=0,INDEX(Equipamentos!$S$2:$S$61,N424),INDEX(TrocasEquip!$G$2:$G$1000,M424))))</f>
        <v/>
      </c>
      <c r="D424" s="56">
        <f>IF(OR(A424="",N424=""),"",P424+IF(E424="dias",MAX(0,A424-O424),IF(INDEX(Equipamentos!$D$2:$D$61,N424)=2,SUMIFS(Producao!$D:$D,Producao!$A:$A,"&gt;="&amp;O424,Producao!$A:$A,"&lt;"&amp;A424),IF(INDEX(Equipamentos!$D$2:$D$61,N424)=3,SUMIFS(Producao!$E:$E,Producao!$A:$A,"&gt;="&amp;O424,Producao!$A:$A,"&lt;"&amp;A424),SUMIFS(Producao!$B:$B,Producao!$A:$A,"&gt;="&amp;O424,Producao!$A:$A,"&lt;"&amp;A424)))))</f>
        <v/>
      </c>
      <c r="E424">
        <f>IF(N424="","",INDEX(Equipamentos!$C$2:$C$61,N424))</f>
        <v/>
      </c>
      <c r="F424" s="57">
        <f>IF(OR(D424="",N(Q424)&lt;=0),"",D424/Q424)</f>
        <v/>
      </c>
      <c r="G424" s="55" t="n"/>
      <c r="H424" s="58" t="n"/>
      <c r="I424" s="58" t="n"/>
      <c r="J424" s="55" t="n"/>
      <c r="K424" s="55" t="n"/>
      <c r="L424">
        <f>IF(OR(A424="",B424=""),"",_xlfn.MAXIFS(TrocasEquip!$A$2:$A$1000,TrocasEquip!$B$2:$B$1000,B424,TrocasEquip!$A$2:$A$1000,"&lt;"&amp;A424))</f>
        <v/>
      </c>
      <c r="M424">
        <f>IF(N(L424)=0,0,MATCH(1,INDEX((TrocasEquip!$B$2:$B$1000=B424)*(TrocasEquip!$A$2:$A$1000=L424),0),0))</f>
        <v/>
      </c>
      <c r="N424">
        <f>IF(B424="","",IFERROR(MATCH(B424,Equipamentos!$P$2:$P$61,0),""))</f>
        <v/>
      </c>
      <c r="O424">
        <f>IF(N424="","",IF(M424=0,INDEX(Equipamentos!$U$2:$U$61,N424),L424))</f>
        <v/>
      </c>
      <c r="P424">
        <f>IF(N424="","",IF(M424=0,N(INDEX(Equipamentos!$V$2:$V$61,N424)),N(INDEX(TrocasEquip!$I$2:$I$1000,M424))))</f>
        <v/>
      </c>
      <c r="Q424">
        <f>IF(N424="","",IF(M424=0,INDEX(Equipamentos!$T$2:$T$61,N424),IF(INDEX(TrocasEquip!$H$2:$H$1000,M424)="",INDEX(Equipamentos!$T$2:$T$61,N424),INDEX(TrocasEquip!$H$2:$H$1000,M424))))</f>
        <v/>
      </c>
    </row>
    <row r="425">
      <c r="A425" s="54" t="n"/>
      <c r="B425" s="55" t="n"/>
      <c r="C425">
        <f>IF(B425="","",IF(N425="","posição não encontrada",IF(M425=0,INDEX(Equipamentos!$S$2:$S$61,N425),INDEX(TrocasEquip!$G$2:$G$1000,M425))))</f>
        <v/>
      </c>
      <c r="D425" s="56">
        <f>IF(OR(A425="",N425=""),"",P425+IF(E425="dias",MAX(0,A425-O425),IF(INDEX(Equipamentos!$D$2:$D$61,N425)=2,SUMIFS(Producao!$D:$D,Producao!$A:$A,"&gt;="&amp;O425,Producao!$A:$A,"&lt;"&amp;A425),IF(INDEX(Equipamentos!$D$2:$D$61,N425)=3,SUMIFS(Producao!$E:$E,Producao!$A:$A,"&gt;="&amp;O425,Producao!$A:$A,"&lt;"&amp;A425),SUMIFS(Producao!$B:$B,Producao!$A:$A,"&gt;="&amp;O425,Producao!$A:$A,"&lt;"&amp;A425)))))</f>
        <v/>
      </c>
      <c r="E425">
        <f>IF(N425="","",INDEX(Equipamentos!$C$2:$C$61,N425))</f>
        <v/>
      </c>
      <c r="F425" s="57">
        <f>IF(OR(D425="",N(Q425)&lt;=0),"",D425/Q425)</f>
        <v/>
      </c>
      <c r="G425" s="55" t="n"/>
      <c r="H425" s="58" t="n"/>
      <c r="I425" s="58" t="n"/>
      <c r="J425" s="55" t="n"/>
      <c r="K425" s="55" t="n"/>
      <c r="L425">
        <f>IF(OR(A425="",B425=""),"",_xlfn.MAXIFS(TrocasEquip!$A$2:$A$1000,TrocasEquip!$B$2:$B$1000,B425,TrocasEquip!$A$2:$A$1000,"&lt;"&amp;A425))</f>
        <v/>
      </c>
      <c r="M425">
        <f>IF(N(L425)=0,0,MATCH(1,INDEX((TrocasEquip!$B$2:$B$1000=B425)*(TrocasEquip!$A$2:$A$1000=L425),0),0))</f>
        <v/>
      </c>
      <c r="N425">
        <f>IF(B425="","",IFERROR(MATCH(B425,Equipamentos!$P$2:$P$61,0),""))</f>
        <v/>
      </c>
      <c r="O425">
        <f>IF(N425="","",IF(M425=0,INDEX(Equipamentos!$U$2:$U$61,N425),L425))</f>
        <v/>
      </c>
      <c r="P425">
        <f>IF(N425="","",IF(M425=0,N(INDEX(Equipamentos!$V$2:$V$61,N425)),N(INDEX(TrocasEquip!$I$2:$I$1000,M425))))</f>
        <v/>
      </c>
      <c r="Q425">
        <f>IF(N425="","",IF(M425=0,INDEX(Equipamentos!$T$2:$T$61,N425),IF(INDEX(TrocasEquip!$H$2:$H$1000,M425)="",INDEX(Equipamentos!$T$2:$T$61,N425),INDEX(TrocasEquip!$H$2:$H$1000,M425))))</f>
        <v/>
      </c>
    </row>
    <row r="426">
      <c r="A426" s="54" t="n"/>
      <c r="B426" s="55" t="n"/>
      <c r="C426">
        <f>IF(B426="","",IF(N426="","posição não encontrada",IF(M426=0,INDEX(Equipamentos!$S$2:$S$61,N426),INDEX(TrocasEquip!$G$2:$G$1000,M426))))</f>
        <v/>
      </c>
      <c r="D426" s="56">
        <f>IF(OR(A426="",N426=""),"",P426+IF(E426="dias",MAX(0,A426-O426),IF(INDEX(Equipamentos!$D$2:$D$61,N426)=2,SUMIFS(Producao!$D:$D,Producao!$A:$A,"&gt;="&amp;O426,Producao!$A:$A,"&lt;"&amp;A426),IF(INDEX(Equipamentos!$D$2:$D$61,N426)=3,SUMIFS(Producao!$E:$E,Producao!$A:$A,"&gt;="&amp;O426,Producao!$A:$A,"&lt;"&amp;A426),SUMIFS(Producao!$B:$B,Producao!$A:$A,"&gt;="&amp;O426,Producao!$A:$A,"&lt;"&amp;A426)))))</f>
        <v/>
      </c>
      <c r="E426">
        <f>IF(N426="","",INDEX(Equipamentos!$C$2:$C$61,N426))</f>
        <v/>
      </c>
      <c r="F426" s="57">
        <f>IF(OR(D426="",N(Q426)&lt;=0),"",D426/Q426)</f>
        <v/>
      </c>
      <c r="G426" s="55" t="n"/>
      <c r="H426" s="58" t="n"/>
      <c r="I426" s="58" t="n"/>
      <c r="J426" s="55" t="n"/>
      <c r="K426" s="55" t="n"/>
      <c r="L426">
        <f>IF(OR(A426="",B426=""),"",_xlfn.MAXIFS(TrocasEquip!$A$2:$A$1000,TrocasEquip!$B$2:$B$1000,B426,TrocasEquip!$A$2:$A$1000,"&lt;"&amp;A426))</f>
        <v/>
      </c>
      <c r="M426">
        <f>IF(N(L426)=0,0,MATCH(1,INDEX((TrocasEquip!$B$2:$B$1000=B426)*(TrocasEquip!$A$2:$A$1000=L426),0),0))</f>
        <v/>
      </c>
      <c r="N426">
        <f>IF(B426="","",IFERROR(MATCH(B426,Equipamentos!$P$2:$P$61,0),""))</f>
        <v/>
      </c>
      <c r="O426">
        <f>IF(N426="","",IF(M426=0,INDEX(Equipamentos!$U$2:$U$61,N426),L426))</f>
        <v/>
      </c>
      <c r="P426">
        <f>IF(N426="","",IF(M426=0,N(INDEX(Equipamentos!$V$2:$V$61,N426)),N(INDEX(TrocasEquip!$I$2:$I$1000,M426))))</f>
        <v/>
      </c>
      <c r="Q426">
        <f>IF(N426="","",IF(M426=0,INDEX(Equipamentos!$T$2:$T$61,N426),IF(INDEX(TrocasEquip!$H$2:$H$1000,M426)="",INDEX(Equipamentos!$T$2:$T$61,N426),INDEX(TrocasEquip!$H$2:$H$1000,M426))))</f>
        <v/>
      </c>
    </row>
    <row r="427">
      <c r="A427" s="54" t="n"/>
      <c r="B427" s="55" t="n"/>
      <c r="C427">
        <f>IF(B427="","",IF(N427="","posição não encontrada",IF(M427=0,INDEX(Equipamentos!$S$2:$S$61,N427),INDEX(TrocasEquip!$G$2:$G$1000,M427))))</f>
        <v/>
      </c>
      <c r="D427" s="56">
        <f>IF(OR(A427="",N427=""),"",P427+IF(E427="dias",MAX(0,A427-O427),IF(INDEX(Equipamentos!$D$2:$D$61,N427)=2,SUMIFS(Producao!$D:$D,Producao!$A:$A,"&gt;="&amp;O427,Producao!$A:$A,"&lt;"&amp;A427),IF(INDEX(Equipamentos!$D$2:$D$61,N427)=3,SUMIFS(Producao!$E:$E,Producao!$A:$A,"&gt;="&amp;O427,Producao!$A:$A,"&lt;"&amp;A427),SUMIFS(Producao!$B:$B,Producao!$A:$A,"&gt;="&amp;O427,Producao!$A:$A,"&lt;"&amp;A427)))))</f>
        <v/>
      </c>
      <c r="E427">
        <f>IF(N427="","",INDEX(Equipamentos!$C$2:$C$61,N427))</f>
        <v/>
      </c>
      <c r="F427" s="57">
        <f>IF(OR(D427="",N(Q427)&lt;=0),"",D427/Q427)</f>
        <v/>
      </c>
      <c r="G427" s="55" t="n"/>
      <c r="H427" s="58" t="n"/>
      <c r="I427" s="58" t="n"/>
      <c r="J427" s="55" t="n"/>
      <c r="K427" s="55" t="n"/>
      <c r="L427">
        <f>IF(OR(A427="",B427=""),"",_xlfn.MAXIFS(TrocasEquip!$A$2:$A$1000,TrocasEquip!$B$2:$B$1000,B427,TrocasEquip!$A$2:$A$1000,"&lt;"&amp;A427))</f>
        <v/>
      </c>
      <c r="M427">
        <f>IF(N(L427)=0,0,MATCH(1,INDEX((TrocasEquip!$B$2:$B$1000=B427)*(TrocasEquip!$A$2:$A$1000=L427),0),0))</f>
        <v/>
      </c>
      <c r="N427">
        <f>IF(B427="","",IFERROR(MATCH(B427,Equipamentos!$P$2:$P$61,0),""))</f>
        <v/>
      </c>
      <c r="O427">
        <f>IF(N427="","",IF(M427=0,INDEX(Equipamentos!$U$2:$U$61,N427),L427))</f>
        <v/>
      </c>
      <c r="P427">
        <f>IF(N427="","",IF(M427=0,N(INDEX(Equipamentos!$V$2:$V$61,N427)),N(INDEX(TrocasEquip!$I$2:$I$1000,M427))))</f>
        <v/>
      </c>
      <c r="Q427">
        <f>IF(N427="","",IF(M427=0,INDEX(Equipamentos!$T$2:$T$61,N427),IF(INDEX(TrocasEquip!$H$2:$H$1000,M427)="",INDEX(Equipamentos!$T$2:$T$61,N427),INDEX(TrocasEquip!$H$2:$H$1000,M427))))</f>
        <v/>
      </c>
    </row>
    <row r="428">
      <c r="A428" s="54" t="n"/>
      <c r="B428" s="55" t="n"/>
      <c r="C428">
        <f>IF(B428="","",IF(N428="","posição não encontrada",IF(M428=0,INDEX(Equipamentos!$S$2:$S$61,N428),INDEX(TrocasEquip!$G$2:$G$1000,M428))))</f>
        <v/>
      </c>
      <c r="D428" s="56">
        <f>IF(OR(A428="",N428=""),"",P428+IF(E428="dias",MAX(0,A428-O428),IF(INDEX(Equipamentos!$D$2:$D$61,N428)=2,SUMIFS(Producao!$D:$D,Producao!$A:$A,"&gt;="&amp;O428,Producao!$A:$A,"&lt;"&amp;A428),IF(INDEX(Equipamentos!$D$2:$D$61,N428)=3,SUMIFS(Producao!$E:$E,Producao!$A:$A,"&gt;="&amp;O428,Producao!$A:$A,"&lt;"&amp;A428),SUMIFS(Producao!$B:$B,Producao!$A:$A,"&gt;="&amp;O428,Producao!$A:$A,"&lt;"&amp;A428)))))</f>
        <v/>
      </c>
      <c r="E428">
        <f>IF(N428="","",INDEX(Equipamentos!$C$2:$C$61,N428))</f>
        <v/>
      </c>
      <c r="F428" s="57">
        <f>IF(OR(D428="",N(Q428)&lt;=0),"",D428/Q428)</f>
        <v/>
      </c>
      <c r="G428" s="55" t="n"/>
      <c r="H428" s="58" t="n"/>
      <c r="I428" s="58" t="n"/>
      <c r="J428" s="55" t="n"/>
      <c r="K428" s="55" t="n"/>
      <c r="L428">
        <f>IF(OR(A428="",B428=""),"",_xlfn.MAXIFS(TrocasEquip!$A$2:$A$1000,TrocasEquip!$B$2:$B$1000,B428,TrocasEquip!$A$2:$A$1000,"&lt;"&amp;A428))</f>
        <v/>
      </c>
      <c r="M428">
        <f>IF(N(L428)=0,0,MATCH(1,INDEX((TrocasEquip!$B$2:$B$1000=B428)*(TrocasEquip!$A$2:$A$1000=L428),0),0))</f>
        <v/>
      </c>
      <c r="N428">
        <f>IF(B428="","",IFERROR(MATCH(B428,Equipamentos!$P$2:$P$61,0),""))</f>
        <v/>
      </c>
      <c r="O428">
        <f>IF(N428="","",IF(M428=0,INDEX(Equipamentos!$U$2:$U$61,N428),L428))</f>
        <v/>
      </c>
      <c r="P428">
        <f>IF(N428="","",IF(M428=0,N(INDEX(Equipamentos!$V$2:$V$61,N428)),N(INDEX(TrocasEquip!$I$2:$I$1000,M428))))</f>
        <v/>
      </c>
      <c r="Q428">
        <f>IF(N428="","",IF(M428=0,INDEX(Equipamentos!$T$2:$T$61,N428),IF(INDEX(TrocasEquip!$H$2:$H$1000,M428)="",INDEX(Equipamentos!$T$2:$T$61,N428),INDEX(TrocasEquip!$H$2:$H$1000,M428))))</f>
        <v/>
      </c>
    </row>
    <row r="429">
      <c r="A429" s="54" t="n"/>
      <c r="B429" s="55" t="n"/>
      <c r="C429">
        <f>IF(B429="","",IF(N429="","posição não encontrada",IF(M429=0,INDEX(Equipamentos!$S$2:$S$61,N429),INDEX(TrocasEquip!$G$2:$G$1000,M429))))</f>
        <v/>
      </c>
      <c r="D429" s="56">
        <f>IF(OR(A429="",N429=""),"",P429+IF(E429="dias",MAX(0,A429-O429),IF(INDEX(Equipamentos!$D$2:$D$61,N429)=2,SUMIFS(Producao!$D:$D,Producao!$A:$A,"&gt;="&amp;O429,Producao!$A:$A,"&lt;"&amp;A429),IF(INDEX(Equipamentos!$D$2:$D$61,N429)=3,SUMIFS(Producao!$E:$E,Producao!$A:$A,"&gt;="&amp;O429,Producao!$A:$A,"&lt;"&amp;A429),SUMIFS(Producao!$B:$B,Producao!$A:$A,"&gt;="&amp;O429,Producao!$A:$A,"&lt;"&amp;A429)))))</f>
        <v/>
      </c>
      <c r="E429">
        <f>IF(N429="","",INDEX(Equipamentos!$C$2:$C$61,N429))</f>
        <v/>
      </c>
      <c r="F429" s="57">
        <f>IF(OR(D429="",N(Q429)&lt;=0),"",D429/Q429)</f>
        <v/>
      </c>
      <c r="G429" s="55" t="n"/>
      <c r="H429" s="58" t="n"/>
      <c r="I429" s="58" t="n"/>
      <c r="J429" s="55" t="n"/>
      <c r="K429" s="55" t="n"/>
      <c r="L429">
        <f>IF(OR(A429="",B429=""),"",_xlfn.MAXIFS(TrocasEquip!$A$2:$A$1000,TrocasEquip!$B$2:$B$1000,B429,TrocasEquip!$A$2:$A$1000,"&lt;"&amp;A429))</f>
        <v/>
      </c>
      <c r="M429">
        <f>IF(N(L429)=0,0,MATCH(1,INDEX((TrocasEquip!$B$2:$B$1000=B429)*(TrocasEquip!$A$2:$A$1000=L429),0),0))</f>
        <v/>
      </c>
      <c r="N429">
        <f>IF(B429="","",IFERROR(MATCH(B429,Equipamentos!$P$2:$P$61,0),""))</f>
        <v/>
      </c>
      <c r="O429">
        <f>IF(N429="","",IF(M429=0,INDEX(Equipamentos!$U$2:$U$61,N429),L429))</f>
        <v/>
      </c>
      <c r="P429">
        <f>IF(N429="","",IF(M429=0,N(INDEX(Equipamentos!$V$2:$V$61,N429)),N(INDEX(TrocasEquip!$I$2:$I$1000,M429))))</f>
        <v/>
      </c>
      <c r="Q429">
        <f>IF(N429="","",IF(M429=0,INDEX(Equipamentos!$T$2:$T$61,N429),IF(INDEX(TrocasEquip!$H$2:$H$1000,M429)="",INDEX(Equipamentos!$T$2:$T$61,N429),INDEX(TrocasEquip!$H$2:$H$1000,M429))))</f>
        <v/>
      </c>
    </row>
    <row r="430">
      <c r="A430" s="54" t="n"/>
      <c r="B430" s="55" t="n"/>
      <c r="C430">
        <f>IF(B430="","",IF(N430="","posição não encontrada",IF(M430=0,INDEX(Equipamentos!$S$2:$S$61,N430),INDEX(TrocasEquip!$G$2:$G$1000,M430))))</f>
        <v/>
      </c>
      <c r="D430" s="56">
        <f>IF(OR(A430="",N430=""),"",P430+IF(E430="dias",MAX(0,A430-O430),IF(INDEX(Equipamentos!$D$2:$D$61,N430)=2,SUMIFS(Producao!$D:$D,Producao!$A:$A,"&gt;="&amp;O430,Producao!$A:$A,"&lt;"&amp;A430),IF(INDEX(Equipamentos!$D$2:$D$61,N430)=3,SUMIFS(Producao!$E:$E,Producao!$A:$A,"&gt;="&amp;O430,Producao!$A:$A,"&lt;"&amp;A430),SUMIFS(Producao!$B:$B,Producao!$A:$A,"&gt;="&amp;O430,Producao!$A:$A,"&lt;"&amp;A430)))))</f>
        <v/>
      </c>
      <c r="E430">
        <f>IF(N430="","",INDEX(Equipamentos!$C$2:$C$61,N430))</f>
        <v/>
      </c>
      <c r="F430" s="57">
        <f>IF(OR(D430="",N(Q430)&lt;=0),"",D430/Q430)</f>
        <v/>
      </c>
      <c r="G430" s="55" t="n"/>
      <c r="H430" s="58" t="n"/>
      <c r="I430" s="58" t="n"/>
      <c r="J430" s="55" t="n"/>
      <c r="K430" s="55" t="n"/>
      <c r="L430">
        <f>IF(OR(A430="",B430=""),"",_xlfn.MAXIFS(TrocasEquip!$A$2:$A$1000,TrocasEquip!$B$2:$B$1000,B430,TrocasEquip!$A$2:$A$1000,"&lt;"&amp;A430))</f>
        <v/>
      </c>
      <c r="M430">
        <f>IF(N(L430)=0,0,MATCH(1,INDEX((TrocasEquip!$B$2:$B$1000=B430)*(TrocasEquip!$A$2:$A$1000=L430),0),0))</f>
        <v/>
      </c>
      <c r="N430">
        <f>IF(B430="","",IFERROR(MATCH(B430,Equipamentos!$P$2:$P$61,0),""))</f>
        <v/>
      </c>
      <c r="O430">
        <f>IF(N430="","",IF(M430=0,INDEX(Equipamentos!$U$2:$U$61,N430),L430))</f>
        <v/>
      </c>
      <c r="P430">
        <f>IF(N430="","",IF(M430=0,N(INDEX(Equipamentos!$V$2:$V$61,N430)),N(INDEX(TrocasEquip!$I$2:$I$1000,M430))))</f>
        <v/>
      </c>
      <c r="Q430">
        <f>IF(N430="","",IF(M430=0,INDEX(Equipamentos!$T$2:$T$61,N430),IF(INDEX(TrocasEquip!$H$2:$H$1000,M430)="",INDEX(Equipamentos!$T$2:$T$61,N430),INDEX(TrocasEquip!$H$2:$H$1000,M430))))</f>
        <v/>
      </c>
    </row>
    <row r="431">
      <c r="A431" s="54" t="n"/>
      <c r="B431" s="55" t="n"/>
      <c r="C431">
        <f>IF(B431="","",IF(N431="","posição não encontrada",IF(M431=0,INDEX(Equipamentos!$S$2:$S$61,N431),INDEX(TrocasEquip!$G$2:$G$1000,M431))))</f>
        <v/>
      </c>
      <c r="D431" s="56">
        <f>IF(OR(A431="",N431=""),"",P431+IF(E431="dias",MAX(0,A431-O431),IF(INDEX(Equipamentos!$D$2:$D$61,N431)=2,SUMIFS(Producao!$D:$D,Producao!$A:$A,"&gt;="&amp;O431,Producao!$A:$A,"&lt;"&amp;A431),IF(INDEX(Equipamentos!$D$2:$D$61,N431)=3,SUMIFS(Producao!$E:$E,Producao!$A:$A,"&gt;="&amp;O431,Producao!$A:$A,"&lt;"&amp;A431),SUMIFS(Producao!$B:$B,Producao!$A:$A,"&gt;="&amp;O431,Producao!$A:$A,"&lt;"&amp;A431)))))</f>
        <v/>
      </c>
      <c r="E431">
        <f>IF(N431="","",INDEX(Equipamentos!$C$2:$C$61,N431))</f>
        <v/>
      </c>
      <c r="F431" s="57">
        <f>IF(OR(D431="",N(Q431)&lt;=0),"",D431/Q431)</f>
        <v/>
      </c>
      <c r="G431" s="55" t="n"/>
      <c r="H431" s="58" t="n"/>
      <c r="I431" s="58" t="n"/>
      <c r="J431" s="55" t="n"/>
      <c r="K431" s="55" t="n"/>
      <c r="L431">
        <f>IF(OR(A431="",B431=""),"",_xlfn.MAXIFS(TrocasEquip!$A$2:$A$1000,TrocasEquip!$B$2:$B$1000,B431,TrocasEquip!$A$2:$A$1000,"&lt;"&amp;A431))</f>
        <v/>
      </c>
      <c r="M431">
        <f>IF(N(L431)=0,0,MATCH(1,INDEX((TrocasEquip!$B$2:$B$1000=B431)*(TrocasEquip!$A$2:$A$1000=L431),0),0))</f>
        <v/>
      </c>
      <c r="N431">
        <f>IF(B431="","",IFERROR(MATCH(B431,Equipamentos!$P$2:$P$61,0),""))</f>
        <v/>
      </c>
      <c r="O431">
        <f>IF(N431="","",IF(M431=0,INDEX(Equipamentos!$U$2:$U$61,N431),L431))</f>
        <v/>
      </c>
      <c r="P431">
        <f>IF(N431="","",IF(M431=0,N(INDEX(Equipamentos!$V$2:$V$61,N431)),N(INDEX(TrocasEquip!$I$2:$I$1000,M431))))</f>
        <v/>
      </c>
      <c r="Q431">
        <f>IF(N431="","",IF(M431=0,INDEX(Equipamentos!$T$2:$T$61,N431),IF(INDEX(TrocasEquip!$H$2:$H$1000,M431)="",INDEX(Equipamentos!$T$2:$T$61,N431),INDEX(TrocasEquip!$H$2:$H$1000,M431))))</f>
        <v/>
      </c>
    </row>
    <row r="432">
      <c r="A432" s="54" t="n"/>
      <c r="B432" s="55" t="n"/>
      <c r="C432">
        <f>IF(B432="","",IF(N432="","posição não encontrada",IF(M432=0,INDEX(Equipamentos!$S$2:$S$61,N432),INDEX(TrocasEquip!$G$2:$G$1000,M432))))</f>
        <v/>
      </c>
      <c r="D432" s="56">
        <f>IF(OR(A432="",N432=""),"",P432+IF(E432="dias",MAX(0,A432-O432),IF(INDEX(Equipamentos!$D$2:$D$61,N432)=2,SUMIFS(Producao!$D:$D,Producao!$A:$A,"&gt;="&amp;O432,Producao!$A:$A,"&lt;"&amp;A432),IF(INDEX(Equipamentos!$D$2:$D$61,N432)=3,SUMIFS(Producao!$E:$E,Producao!$A:$A,"&gt;="&amp;O432,Producao!$A:$A,"&lt;"&amp;A432),SUMIFS(Producao!$B:$B,Producao!$A:$A,"&gt;="&amp;O432,Producao!$A:$A,"&lt;"&amp;A432)))))</f>
        <v/>
      </c>
      <c r="E432">
        <f>IF(N432="","",INDEX(Equipamentos!$C$2:$C$61,N432))</f>
        <v/>
      </c>
      <c r="F432" s="57">
        <f>IF(OR(D432="",N(Q432)&lt;=0),"",D432/Q432)</f>
        <v/>
      </c>
      <c r="G432" s="55" t="n"/>
      <c r="H432" s="58" t="n"/>
      <c r="I432" s="58" t="n"/>
      <c r="J432" s="55" t="n"/>
      <c r="K432" s="55" t="n"/>
      <c r="L432">
        <f>IF(OR(A432="",B432=""),"",_xlfn.MAXIFS(TrocasEquip!$A$2:$A$1000,TrocasEquip!$B$2:$B$1000,B432,TrocasEquip!$A$2:$A$1000,"&lt;"&amp;A432))</f>
        <v/>
      </c>
      <c r="M432">
        <f>IF(N(L432)=0,0,MATCH(1,INDEX((TrocasEquip!$B$2:$B$1000=B432)*(TrocasEquip!$A$2:$A$1000=L432),0),0))</f>
        <v/>
      </c>
      <c r="N432">
        <f>IF(B432="","",IFERROR(MATCH(B432,Equipamentos!$P$2:$P$61,0),""))</f>
        <v/>
      </c>
      <c r="O432">
        <f>IF(N432="","",IF(M432=0,INDEX(Equipamentos!$U$2:$U$61,N432),L432))</f>
        <v/>
      </c>
      <c r="P432">
        <f>IF(N432="","",IF(M432=0,N(INDEX(Equipamentos!$V$2:$V$61,N432)),N(INDEX(TrocasEquip!$I$2:$I$1000,M432))))</f>
        <v/>
      </c>
      <c r="Q432">
        <f>IF(N432="","",IF(M432=0,INDEX(Equipamentos!$T$2:$T$61,N432),IF(INDEX(TrocasEquip!$H$2:$H$1000,M432)="",INDEX(Equipamentos!$T$2:$T$61,N432),INDEX(TrocasEquip!$H$2:$H$1000,M432))))</f>
        <v/>
      </c>
    </row>
    <row r="433">
      <c r="A433" s="54" t="n"/>
      <c r="B433" s="55" t="n"/>
      <c r="C433">
        <f>IF(B433="","",IF(N433="","posição não encontrada",IF(M433=0,INDEX(Equipamentos!$S$2:$S$61,N433),INDEX(TrocasEquip!$G$2:$G$1000,M433))))</f>
        <v/>
      </c>
      <c r="D433" s="56">
        <f>IF(OR(A433="",N433=""),"",P433+IF(E433="dias",MAX(0,A433-O433),IF(INDEX(Equipamentos!$D$2:$D$61,N433)=2,SUMIFS(Producao!$D:$D,Producao!$A:$A,"&gt;="&amp;O433,Producao!$A:$A,"&lt;"&amp;A433),IF(INDEX(Equipamentos!$D$2:$D$61,N433)=3,SUMIFS(Producao!$E:$E,Producao!$A:$A,"&gt;="&amp;O433,Producao!$A:$A,"&lt;"&amp;A433),SUMIFS(Producao!$B:$B,Producao!$A:$A,"&gt;="&amp;O433,Producao!$A:$A,"&lt;"&amp;A433)))))</f>
        <v/>
      </c>
      <c r="E433">
        <f>IF(N433="","",INDEX(Equipamentos!$C$2:$C$61,N433))</f>
        <v/>
      </c>
      <c r="F433" s="57">
        <f>IF(OR(D433="",N(Q433)&lt;=0),"",D433/Q433)</f>
        <v/>
      </c>
      <c r="G433" s="55" t="n"/>
      <c r="H433" s="58" t="n"/>
      <c r="I433" s="58" t="n"/>
      <c r="J433" s="55" t="n"/>
      <c r="K433" s="55" t="n"/>
      <c r="L433">
        <f>IF(OR(A433="",B433=""),"",_xlfn.MAXIFS(TrocasEquip!$A$2:$A$1000,TrocasEquip!$B$2:$B$1000,B433,TrocasEquip!$A$2:$A$1000,"&lt;"&amp;A433))</f>
        <v/>
      </c>
      <c r="M433">
        <f>IF(N(L433)=0,0,MATCH(1,INDEX((TrocasEquip!$B$2:$B$1000=B433)*(TrocasEquip!$A$2:$A$1000=L433),0),0))</f>
        <v/>
      </c>
      <c r="N433">
        <f>IF(B433="","",IFERROR(MATCH(B433,Equipamentos!$P$2:$P$61,0),""))</f>
        <v/>
      </c>
      <c r="O433">
        <f>IF(N433="","",IF(M433=0,INDEX(Equipamentos!$U$2:$U$61,N433),L433))</f>
        <v/>
      </c>
      <c r="P433">
        <f>IF(N433="","",IF(M433=0,N(INDEX(Equipamentos!$V$2:$V$61,N433)),N(INDEX(TrocasEquip!$I$2:$I$1000,M433))))</f>
        <v/>
      </c>
      <c r="Q433">
        <f>IF(N433="","",IF(M433=0,INDEX(Equipamentos!$T$2:$T$61,N433),IF(INDEX(TrocasEquip!$H$2:$H$1000,M433)="",INDEX(Equipamentos!$T$2:$T$61,N433),INDEX(TrocasEquip!$H$2:$H$1000,M433))))</f>
        <v/>
      </c>
    </row>
    <row r="434">
      <c r="A434" s="54" t="n"/>
      <c r="B434" s="55" t="n"/>
      <c r="C434">
        <f>IF(B434="","",IF(N434="","posição não encontrada",IF(M434=0,INDEX(Equipamentos!$S$2:$S$61,N434),INDEX(TrocasEquip!$G$2:$G$1000,M434))))</f>
        <v/>
      </c>
      <c r="D434" s="56">
        <f>IF(OR(A434="",N434=""),"",P434+IF(E434="dias",MAX(0,A434-O434),IF(INDEX(Equipamentos!$D$2:$D$61,N434)=2,SUMIFS(Producao!$D:$D,Producao!$A:$A,"&gt;="&amp;O434,Producao!$A:$A,"&lt;"&amp;A434),IF(INDEX(Equipamentos!$D$2:$D$61,N434)=3,SUMIFS(Producao!$E:$E,Producao!$A:$A,"&gt;="&amp;O434,Producao!$A:$A,"&lt;"&amp;A434),SUMIFS(Producao!$B:$B,Producao!$A:$A,"&gt;="&amp;O434,Producao!$A:$A,"&lt;"&amp;A434)))))</f>
        <v/>
      </c>
      <c r="E434">
        <f>IF(N434="","",INDEX(Equipamentos!$C$2:$C$61,N434))</f>
        <v/>
      </c>
      <c r="F434" s="57">
        <f>IF(OR(D434="",N(Q434)&lt;=0),"",D434/Q434)</f>
        <v/>
      </c>
      <c r="G434" s="55" t="n"/>
      <c r="H434" s="58" t="n"/>
      <c r="I434" s="58" t="n"/>
      <c r="J434" s="55" t="n"/>
      <c r="K434" s="55" t="n"/>
      <c r="L434">
        <f>IF(OR(A434="",B434=""),"",_xlfn.MAXIFS(TrocasEquip!$A$2:$A$1000,TrocasEquip!$B$2:$B$1000,B434,TrocasEquip!$A$2:$A$1000,"&lt;"&amp;A434))</f>
        <v/>
      </c>
      <c r="M434">
        <f>IF(N(L434)=0,0,MATCH(1,INDEX((TrocasEquip!$B$2:$B$1000=B434)*(TrocasEquip!$A$2:$A$1000=L434),0),0))</f>
        <v/>
      </c>
      <c r="N434">
        <f>IF(B434="","",IFERROR(MATCH(B434,Equipamentos!$P$2:$P$61,0),""))</f>
        <v/>
      </c>
      <c r="O434">
        <f>IF(N434="","",IF(M434=0,INDEX(Equipamentos!$U$2:$U$61,N434),L434))</f>
        <v/>
      </c>
      <c r="P434">
        <f>IF(N434="","",IF(M434=0,N(INDEX(Equipamentos!$V$2:$V$61,N434)),N(INDEX(TrocasEquip!$I$2:$I$1000,M434))))</f>
        <v/>
      </c>
      <c r="Q434">
        <f>IF(N434="","",IF(M434=0,INDEX(Equipamentos!$T$2:$T$61,N434),IF(INDEX(TrocasEquip!$H$2:$H$1000,M434)="",INDEX(Equipamentos!$T$2:$T$61,N434),INDEX(TrocasEquip!$H$2:$H$1000,M434))))</f>
        <v/>
      </c>
    </row>
    <row r="435">
      <c r="A435" s="54" t="n"/>
      <c r="B435" s="55" t="n"/>
      <c r="C435">
        <f>IF(B435="","",IF(N435="","posição não encontrada",IF(M435=0,INDEX(Equipamentos!$S$2:$S$61,N435),INDEX(TrocasEquip!$G$2:$G$1000,M435))))</f>
        <v/>
      </c>
      <c r="D435" s="56">
        <f>IF(OR(A435="",N435=""),"",P435+IF(E435="dias",MAX(0,A435-O435),IF(INDEX(Equipamentos!$D$2:$D$61,N435)=2,SUMIFS(Producao!$D:$D,Producao!$A:$A,"&gt;="&amp;O435,Producao!$A:$A,"&lt;"&amp;A435),IF(INDEX(Equipamentos!$D$2:$D$61,N435)=3,SUMIFS(Producao!$E:$E,Producao!$A:$A,"&gt;="&amp;O435,Producao!$A:$A,"&lt;"&amp;A435),SUMIFS(Producao!$B:$B,Producao!$A:$A,"&gt;="&amp;O435,Producao!$A:$A,"&lt;"&amp;A435)))))</f>
        <v/>
      </c>
      <c r="E435">
        <f>IF(N435="","",INDEX(Equipamentos!$C$2:$C$61,N435))</f>
        <v/>
      </c>
      <c r="F435" s="57">
        <f>IF(OR(D435="",N(Q435)&lt;=0),"",D435/Q435)</f>
        <v/>
      </c>
      <c r="G435" s="55" t="n"/>
      <c r="H435" s="58" t="n"/>
      <c r="I435" s="58" t="n"/>
      <c r="J435" s="55" t="n"/>
      <c r="K435" s="55" t="n"/>
      <c r="L435">
        <f>IF(OR(A435="",B435=""),"",_xlfn.MAXIFS(TrocasEquip!$A$2:$A$1000,TrocasEquip!$B$2:$B$1000,B435,TrocasEquip!$A$2:$A$1000,"&lt;"&amp;A435))</f>
        <v/>
      </c>
      <c r="M435">
        <f>IF(N(L435)=0,0,MATCH(1,INDEX((TrocasEquip!$B$2:$B$1000=B435)*(TrocasEquip!$A$2:$A$1000=L435),0),0))</f>
        <v/>
      </c>
      <c r="N435">
        <f>IF(B435="","",IFERROR(MATCH(B435,Equipamentos!$P$2:$P$61,0),""))</f>
        <v/>
      </c>
      <c r="O435">
        <f>IF(N435="","",IF(M435=0,INDEX(Equipamentos!$U$2:$U$61,N435),L435))</f>
        <v/>
      </c>
      <c r="P435">
        <f>IF(N435="","",IF(M435=0,N(INDEX(Equipamentos!$V$2:$V$61,N435)),N(INDEX(TrocasEquip!$I$2:$I$1000,M435))))</f>
        <v/>
      </c>
      <c r="Q435">
        <f>IF(N435="","",IF(M435=0,INDEX(Equipamentos!$T$2:$T$61,N435),IF(INDEX(TrocasEquip!$H$2:$H$1000,M435)="",INDEX(Equipamentos!$T$2:$T$61,N435),INDEX(TrocasEquip!$H$2:$H$1000,M435))))</f>
        <v/>
      </c>
    </row>
    <row r="436">
      <c r="A436" s="54" t="n"/>
      <c r="B436" s="55" t="n"/>
      <c r="C436">
        <f>IF(B436="","",IF(N436="","posição não encontrada",IF(M436=0,INDEX(Equipamentos!$S$2:$S$61,N436),INDEX(TrocasEquip!$G$2:$G$1000,M436))))</f>
        <v/>
      </c>
      <c r="D436" s="56">
        <f>IF(OR(A436="",N436=""),"",P436+IF(E436="dias",MAX(0,A436-O436),IF(INDEX(Equipamentos!$D$2:$D$61,N436)=2,SUMIFS(Producao!$D:$D,Producao!$A:$A,"&gt;="&amp;O436,Producao!$A:$A,"&lt;"&amp;A436),IF(INDEX(Equipamentos!$D$2:$D$61,N436)=3,SUMIFS(Producao!$E:$E,Producao!$A:$A,"&gt;="&amp;O436,Producao!$A:$A,"&lt;"&amp;A436),SUMIFS(Producao!$B:$B,Producao!$A:$A,"&gt;="&amp;O436,Producao!$A:$A,"&lt;"&amp;A436)))))</f>
        <v/>
      </c>
      <c r="E436">
        <f>IF(N436="","",INDEX(Equipamentos!$C$2:$C$61,N436))</f>
        <v/>
      </c>
      <c r="F436" s="57">
        <f>IF(OR(D436="",N(Q436)&lt;=0),"",D436/Q436)</f>
        <v/>
      </c>
      <c r="G436" s="55" t="n"/>
      <c r="H436" s="58" t="n"/>
      <c r="I436" s="58" t="n"/>
      <c r="J436" s="55" t="n"/>
      <c r="K436" s="55" t="n"/>
      <c r="L436">
        <f>IF(OR(A436="",B436=""),"",_xlfn.MAXIFS(TrocasEquip!$A$2:$A$1000,TrocasEquip!$B$2:$B$1000,B436,TrocasEquip!$A$2:$A$1000,"&lt;"&amp;A436))</f>
        <v/>
      </c>
      <c r="M436">
        <f>IF(N(L436)=0,0,MATCH(1,INDEX((TrocasEquip!$B$2:$B$1000=B436)*(TrocasEquip!$A$2:$A$1000=L436),0),0))</f>
        <v/>
      </c>
      <c r="N436">
        <f>IF(B436="","",IFERROR(MATCH(B436,Equipamentos!$P$2:$P$61,0),""))</f>
        <v/>
      </c>
      <c r="O436">
        <f>IF(N436="","",IF(M436=0,INDEX(Equipamentos!$U$2:$U$61,N436),L436))</f>
        <v/>
      </c>
      <c r="P436">
        <f>IF(N436="","",IF(M436=0,N(INDEX(Equipamentos!$V$2:$V$61,N436)),N(INDEX(TrocasEquip!$I$2:$I$1000,M436))))</f>
        <v/>
      </c>
      <c r="Q436">
        <f>IF(N436="","",IF(M436=0,INDEX(Equipamentos!$T$2:$T$61,N436),IF(INDEX(TrocasEquip!$H$2:$H$1000,M436)="",INDEX(Equipamentos!$T$2:$T$61,N436),INDEX(TrocasEquip!$H$2:$H$1000,M436))))</f>
        <v/>
      </c>
    </row>
    <row r="437">
      <c r="A437" s="54" t="n"/>
      <c r="B437" s="55" t="n"/>
      <c r="C437">
        <f>IF(B437="","",IF(N437="","posição não encontrada",IF(M437=0,INDEX(Equipamentos!$S$2:$S$61,N437),INDEX(TrocasEquip!$G$2:$G$1000,M437))))</f>
        <v/>
      </c>
      <c r="D437" s="56">
        <f>IF(OR(A437="",N437=""),"",P437+IF(E437="dias",MAX(0,A437-O437),IF(INDEX(Equipamentos!$D$2:$D$61,N437)=2,SUMIFS(Producao!$D:$D,Producao!$A:$A,"&gt;="&amp;O437,Producao!$A:$A,"&lt;"&amp;A437),IF(INDEX(Equipamentos!$D$2:$D$61,N437)=3,SUMIFS(Producao!$E:$E,Producao!$A:$A,"&gt;="&amp;O437,Producao!$A:$A,"&lt;"&amp;A437),SUMIFS(Producao!$B:$B,Producao!$A:$A,"&gt;="&amp;O437,Producao!$A:$A,"&lt;"&amp;A437)))))</f>
        <v/>
      </c>
      <c r="E437">
        <f>IF(N437="","",INDEX(Equipamentos!$C$2:$C$61,N437))</f>
        <v/>
      </c>
      <c r="F437" s="57">
        <f>IF(OR(D437="",N(Q437)&lt;=0),"",D437/Q437)</f>
        <v/>
      </c>
      <c r="G437" s="55" t="n"/>
      <c r="H437" s="58" t="n"/>
      <c r="I437" s="58" t="n"/>
      <c r="J437" s="55" t="n"/>
      <c r="K437" s="55" t="n"/>
      <c r="L437">
        <f>IF(OR(A437="",B437=""),"",_xlfn.MAXIFS(TrocasEquip!$A$2:$A$1000,TrocasEquip!$B$2:$B$1000,B437,TrocasEquip!$A$2:$A$1000,"&lt;"&amp;A437))</f>
        <v/>
      </c>
      <c r="M437">
        <f>IF(N(L437)=0,0,MATCH(1,INDEX((TrocasEquip!$B$2:$B$1000=B437)*(TrocasEquip!$A$2:$A$1000=L437),0),0))</f>
        <v/>
      </c>
      <c r="N437">
        <f>IF(B437="","",IFERROR(MATCH(B437,Equipamentos!$P$2:$P$61,0),""))</f>
        <v/>
      </c>
      <c r="O437">
        <f>IF(N437="","",IF(M437=0,INDEX(Equipamentos!$U$2:$U$61,N437),L437))</f>
        <v/>
      </c>
      <c r="P437">
        <f>IF(N437="","",IF(M437=0,N(INDEX(Equipamentos!$V$2:$V$61,N437)),N(INDEX(TrocasEquip!$I$2:$I$1000,M437))))</f>
        <v/>
      </c>
      <c r="Q437">
        <f>IF(N437="","",IF(M437=0,INDEX(Equipamentos!$T$2:$T$61,N437),IF(INDEX(TrocasEquip!$H$2:$H$1000,M437)="",INDEX(Equipamentos!$T$2:$T$61,N437),INDEX(TrocasEquip!$H$2:$H$1000,M437))))</f>
        <v/>
      </c>
    </row>
    <row r="438">
      <c r="A438" s="54" t="n"/>
      <c r="B438" s="55" t="n"/>
      <c r="C438">
        <f>IF(B438="","",IF(N438="","posição não encontrada",IF(M438=0,INDEX(Equipamentos!$S$2:$S$61,N438),INDEX(TrocasEquip!$G$2:$G$1000,M438))))</f>
        <v/>
      </c>
      <c r="D438" s="56">
        <f>IF(OR(A438="",N438=""),"",P438+IF(E438="dias",MAX(0,A438-O438),IF(INDEX(Equipamentos!$D$2:$D$61,N438)=2,SUMIFS(Producao!$D:$D,Producao!$A:$A,"&gt;="&amp;O438,Producao!$A:$A,"&lt;"&amp;A438),IF(INDEX(Equipamentos!$D$2:$D$61,N438)=3,SUMIFS(Producao!$E:$E,Producao!$A:$A,"&gt;="&amp;O438,Producao!$A:$A,"&lt;"&amp;A438),SUMIFS(Producao!$B:$B,Producao!$A:$A,"&gt;="&amp;O438,Producao!$A:$A,"&lt;"&amp;A438)))))</f>
        <v/>
      </c>
      <c r="E438">
        <f>IF(N438="","",INDEX(Equipamentos!$C$2:$C$61,N438))</f>
        <v/>
      </c>
      <c r="F438" s="57">
        <f>IF(OR(D438="",N(Q438)&lt;=0),"",D438/Q438)</f>
        <v/>
      </c>
      <c r="G438" s="55" t="n"/>
      <c r="H438" s="58" t="n"/>
      <c r="I438" s="58" t="n"/>
      <c r="J438" s="55" t="n"/>
      <c r="K438" s="55" t="n"/>
      <c r="L438">
        <f>IF(OR(A438="",B438=""),"",_xlfn.MAXIFS(TrocasEquip!$A$2:$A$1000,TrocasEquip!$B$2:$B$1000,B438,TrocasEquip!$A$2:$A$1000,"&lt;"&amp;A438))</f>
        <v/>
      </c>
      <c r="M438">
        <f>IF(N(L438)=0,0,MATCH(1,INDEX((TrocasEquip!$B$2:$B$1000=B438)*(TrocasEquip!$A$2:$A$1000=L438),0),0))</f>
        <v/>
      </c>
      <c r="N438">
        <f>IF(B438="","",IFERROR(MATCH(B438,Equipamentos!$P$2:$P$61,0),""))</f>
        <v/>
      </c>
      <c r="O438">
        <f>IF(N438="","",IF(M438=0,INDEX(Equipamentos!$U$2:$U$61,N438),L438))</f>
        <v/>
      </c>
      <c r="P438">
        <f>IF(N438="","",IF(M438=0,N(INDEX(Equipamentos!$V$2:$V$61,N438)),N(INDEX(TrocasEquip!$I$2:$I$1000,M438))))</f>
        <v/>
      </c>
      <c r="Q438">
        <f>IF(N438="","",IF(M438=0,INDEX(Equipamentos!$T$2:$T$61,N438),IF(INDEX(TrocasEquip!$H$2:$H$1000,M438)="",INDEX(Equipamentos!$T$2:$T$61,N438),INDEX(TrocasEquip!$H$2:$H$1000,M438))))</f>
        <v/>
      </c>
    </row>
    <row r="439">
      <c r="A439" s="54" t="n"/>
      <c r="B439" s="55" t="n"/>
      <c r="C439">
        <f>IF(B439="","",IF(N439="","posição não encontrada",IF(M439=0,INDEX(Equipamentos!$S$2:$S$61,N439),INDEX(TrocasEquip!$G$2:$G$1000,M439))))</f>
        <v/>
      </c>
      <c r="D439" s="56">
        <f>IF(OR(A439="",N439=""),"",P439+IF(E439="dias",MAX(0,A439-O439),IF(INDEX(Equipamentos!$D$2:$D$61,N439)=2,SUMIFS(Producao!$D:$D,Producao!$A:$A,"&gt;="&amp;O439,Producao!$A:$A,"&lt;"&amp;A439),IF(INDEX(Equipamentos!$D$2:$D$61,N439)=3,SUMIFS(Producao!$E:$E,Producao!$A:$A,"&gt;="&amp;O439,Producao!$A:$A,"&lt;"&amp;A439),SUMIFS(Producao!$B:$B,Producao!$A:$A,"&gt;="&amp;O439,Producao!$A:$A,"&lt;"&amp;A439)))))</f>
        <v/>
      </c>
      <c r="E439">
        <f>IF(N439="","",INDEX(Equipamentos!$C$2:$C$61,N439))</f>
        <v/>
      </c>
      <c r="F439" s="57">
        <f>IF(OR(D439="",N(Q439)&lt;=0),"",D439/Q439)</f>
        <v/>
      </c>
      <c r="G439" s="55" t="n"/>
      <c r="H439" s="58" t="n"/>
      <c r="I439" s="58" t="n"/>
      <c r="J439" s="55" t="n"/>
      <c r="K439" s="55" t="n"/>
      <c r="L439">
        <f>IF(OR(A439="",B439=""),"",_xlfn.MAXIFS(TrocasEquip!$A$2:$A$1000,TrocasEquip!$B$2:$B$1000,B439,TrocasEquip!$A$2:$A$1000,"&lt;"&amp;A439))</f>
        <v/>
      </c>
      <c r="M439">
        <f>IF(N(L439)=0,0,MATCH(1,INDEX((TrocasEquip!$B$2:$B$1000=B439)*(TrocasEquip!$A$2:$A$1000=L439),0),0))</f>
        <v/>
      </c>
      <c r="N439">
        <f>IF(B439="","",IFERROR(MATCH(B439,Equipamentos!$P$2:$P$61,0),""))</f>
        <v/>
      </c>
      <c r="O439">
        <f>IF(N439="","",IF(M439=0,INDEX(Equipamentos!$U$2:$U$61,N439),L439))</f>
        <v/>
      </c>
      <c r="P439">
        <f>IF(N439="","",IF(M439=0,N(INDEX(Equipamentos!$V$2:$V$61,N439)),N(INDEX(TrocasEquip!$I$2:$I$1000,M439))))</f>
        <v/>
      </c>
      <c r="Q439">
        <f>IF(N439="","",IF(M439=0,INDEX(Equipamentos!$T$2:$T$61,N439),IF(INDEX(TrocasEquip!$H$2:$H$1000,M439)="",INDEX(Equipamentos!$T$2:$T$61,N439),INDEX(TrocasEquip!$H$2:$H$1000,M439))))</f>
        <v/>
      </c>
    </row>
    <row r="440">
      <c r="A440" s="54" t="n"/>
      <c r="B440" s="55" t="n"/>
      <c r="C440">
        <f>IF(B440="","",IF(N440="","posição não encontrada",IF(M440=0,INDEX(Equipamentos!$S$2:$S$61,N440),INDEX(TrocasEquip!$G$2:$G$1000,M440))))</f>
        <v/>
      </c>
      <c r="D440" s="56">
        <f>IF(OR(A440="",N440=""),"",P440+IF(E440="dias",MAX(0,A440-O440),IF(INDEX(Equipamentos!$D$2:$D$61,N440)=2,SUMIFS(Producao!$D:$D,Producao!$A:$A,"&gt;="&amp;O440,Producao!$A:$A,"&lt;"&amp;A440),IF(INDEX(Equipamentos!$D$2:$D$61,N440)=3,SUMIFS(Producao!$E:$E,Producao!$A:$A,"&gt;="&amp;O440,Producao!$A:$A,"&lt;"&amp;A440),SUMIFS(Producao!$B:$B,Producao!$A:$A,"&gt;="&amp;O440,Producao!$A:$A,"&lt;"&amp;A440)))))</f>
        <v/>
      </c>
      <c r="E440">
        <f>IF(N440="","",INDEX(Equipamentos!$C$2:$C$61,N440))</f>
        <v/>
      </c>
      <c r="F440" s="57">
        <f>IF(OR(D440="",N(Q440)&lt;=0),"",D440/Q440)</f>
        <v/>
      </c>
      <c r="G440" s="55" t="n"/>
      <c r="H440" s="58" t="n"/>
      <c r="I440" s="58" t="n"/>
      <c r="J440" s="55" t="n"/>
      <c r="K440" s="55" t="n"/>
      <c r="L440">
        <f>IF(OR(A440="",B440=""),"",_xlfn.MAXIFS(TrocasEquip!$A$2:$A$1000,TrocasEquip!$B$2:$B$1000,B440,TrocasEquip!$A$2:$A$1000,"&lt;"&amp;A440))</f>
        <v/>
      </c>
      <c r="M440">
        <f>IF(N(L440)=0,0,MATCH(1,INDEX((TrocasEquip!$B$2:$B$1000=B440)*(TrocasEquip!$A$2:$A$1000=L440),0),0))</f>
        <v/>
      </c>
      <c r="N440">
        <f>IF(B440="","",IFERROR(MATCH(B440,Equipamentos!$P$2:$P$61,0),""))</f>
        <v/>
      </c>
      <c r="O440">
        <f>IF(N440="","",IF(M440=0,INDEX(Equipamentos!$U$2:$U$61,N440),L440))</f>
        <v/>
      </c>
      <c r="P440">
        <f>IF(N440="","",IF(M440=0,N(INDEX(Equipamentos!$V$2:$V$61,N440)),N(INDEX(TrocasEquip!$I$2:$I$1000,M440))))</f>
        <v/>
      </c>
      <c r="Q440">
        <f>IF(N440="","",IF(M440=0,INDEX(Equipamentos!$T$2:$T$61,N440),IF(INDEX(TrocasEquip!$H$2:$H$1000,M440)="",INDEX(Equipamentos!$T$2:$T$61,N440),INDEX(TrocasEquip!$H$2:$H$1000,M440))))</f>
        <v/>
      </c>
    </row>
    <row r="441">
      <c r="A441" s="54" t="n"/>
      <c r="B441" s="55" t="n"/>
      <c r="C441">
        <f>IF(B441="","",IF(N441="","posição não encontrada",IF(M441=0,INDEX(Equipamentos!$S$2:$S$61,N441),INDEX(TrocasEquip!$G$2:$G$1000,M441))))</f>
        <v/>
      </c>
      <c r="D441" s="56">
        <f>IF(OR(A441="",N441=""),"",P441+IF(E441="dias",MAX(0,A441-O441),IF(INDEX(Equipamentos!$D$2:$D$61,N441)=2,SUMIFS(Producao!$D:$D,Producao!$A:$A,"&gt;="&amp;O441,Producao!$A:$A,"&lt;"&amp;A441),IF(INDEX(Equipamentos!$D$2:$D$61,N441)=3,SUMIFS(Producao!$E:$E,Producao!$A:$A,"&gt;="&amp;O441,Producao!$A:$A,"&lt;"&amp;A441),SUMIFS(Producao!$B:$B,Producao!$A:$A,"&gt;="&amp;O441,Producao!$A:$A,"&lt;"&amp;A441)))))</f>
        <v/>
      </c>
      <c r="E441">
        <f>IF(N441="","",INDEX(Equipamentos!$C$2:$C$61,N441))</f>
        <v/>
      </c>
      <c r="F441" s="57">
        <f>IF(OR(D441="",N(Q441)&lt;=0),"",D441/Q441)</f>
        <v/>
      </c>
      <c r="G441" s="55" t="n"/>
      <c r="H441" s="58" t="n"/>
      <c r="I441" s="58" t="n"/>
      <c r="J441" s="55" t="n"/>
      <c r="K441" s="55" t="n"/>
      <c r="L441">
        <f>IF(OR(A441="",B441=""),"",_xlfn.MAXIFS(TrocasEquip!$A$2:$A$1000,TrocasEquip!$B$2:$B$1000,B441,TrocasEquip!$A$2:$A$1000,"&lt;"&amp;A441))</f>
        <v/>
      </c>
      <c r="M441">
        <f>IF(N(L441)=0,0,MATCH(1,INDEX((TrocasEquip!$B$2:$B$1000=B441)*(TrocasEquip!$A$2:$A$1000=L441),0),0))</f>
        <v/>
      </c>
      <c r="N441">
        <f>IF(B441="","",IFERROR(MATCH(B441,Equipamentos!$P$2:$P$61,0),""))</f>
        <v/>
      </c>
      <c r="O441">
        <f>IF(N441="","",IF(M441=0,INDEX(Equipamentos!$U$2:$U$61,N441),L441))</f>
        <v/>
      </c>
      <c r="P441">
        <f>IF(N441="","",IF(M441=0,N(INDEX(Equipamentos!$V$2:$V$61,N441)),N(INDEX(TrocasEquip!$I$2:$I$1000,M441))))</f>
        <v/>
      </c>
      <c r="Q441">
        <f>IF(N441="","",IF(M441=0,INDEX(Equipamentos!$T$2:$T$61,N441),IF(INDEX(TrocasEquip!$H$2:$H$1000,M441)="",INDEX(Equipamentos!$T$2:$T$61,N441),INDEX(TrocasEquip!$H$2:$H$1000,M441))))</f>
        <v/>
      </c>
    </row>
    <row r="442">
      <c r="A442" s="54" t="n"/>
      <c r="B442" s="55" t="n"/>
      <c r="C442">
        <f>IF(B442="","",IF(N442="","posição não encontrada",IF(M442=0,INDEX(Equipamentos!$S$2:$S$61,N442),INDEX(TrocasEquip!$G$2:$G$1000,M442))))</f>
        <v/>
      </c>
      <c r="D442" s="56">
        <f>IF(OR(A442="",N442=""),"",P442+IF(E442="dias",MAX(0,A442-O442),IF(INDEX(Equipamentos!$D$2:$D$61,N442)=2,SUMIFS(Producao!$D:$D,Producao!$A:$A,"&gt;="&amp;O442,Producao!$A:$A,"&lt;"&amp;A442),IF(INDEX(Equipamentos!$D$2:$D$61,N442)=3,SUMIFS(Producao!$E:$E,Producao!$A:$A,"&gt;="&amp;O442,Producao!$A:$A,"&lt;"&amp;A442),SUMIFS(Producao!$B:$B,Producao!$A:$A,"&gt;="&amp;O442,Producao!$A:$A,"&lt;"&amp;A442)))))</f>
        <v/>
      </c>
      <c r="E442">
        <f>IF(N442="","",INDEX(Equipamentos!$C$2:$C$61,N442))</f>
        <v/>
      </c>
      <c r="F442" s="57">
        <f>IF(OR(D442="",N(Q442)&lt;=0),"",D442/Q442)</f>
        <v/>
      </c>
      <c r="G442" s="55" t="n"/>
      <c r="H442" s="58" t="n"/>
      <c r="I442" s="58" t="n"/>
      <c r="J442" s="55" t="n"/>
      <c r="K442" s="55" t="n"/>
      <c r="L442">
        <f>IF(OR(A442="",B442=""),"",_xlfn.MAXIFS(TrocasEquip!$A$2:$A$1000,TrocasEquip!$B$2:$B$1000,B442,TrocasEquip!$A$2:$A$1000,"&lt;"&amp;A442))</f>
        <v/>
      </c>
      <c r="M442">
        <f>IF(N(L442)=0,0,MATCH(1,INDEX((TrocasEquip!$B$2:$B$1000=B442)*(TrocasEquip!$A$2:$A$1000=L442),0),0))</f>
        <v/>
      </c>
      <c r="N442">
        <f>IF(B442="","",IFERROR(MATCH(B442,Equipamentos!$P$2:$P$61,0),""))</f>
        <v/>
      </c>
      <c r="O442">
        <f>IF(N442="","",IF(M442=0,INDEX(Equipamentos!$U$2:$U$61,N442),L442))</f>
        <v/>
      </c>
      <c r="P442">
        <f>IF(N442="","",IF(M442=0,N(INDEX(Equipamentos!$V$2:$V$61,N442)),N(INDEX(TrocasEquip!$I$2:$I$1000,M442))))</f>
        <v/>
      </c>
      <c r="Q442">
        <f>IF(N442="","",IF(M442=0,INDEX(Equipamentos!$T$2:$T$61,N442),IF(INDEX(TrocasEquip!$H$2:$H$1000,M442)="",INDEX(Equipamentos!$T$2:$T$61,N442),INDEX(TrocasEquip!$H$2:$H$1000,M442))))</f>
        <v/>
      </c>
    </row>
    <row r="443">
      <c r="A443" s="54" t="n"/>
      <c r="B443" s="55" t="n"/>
      <c r="C443">
        <f>IF(B443="","",IF(N443="","posição não encontrada",IF(M443=0,INDEX(Equipamentos!$S$2:$S$61,N443),INDEX(TrocasEquip!$G$2:$G$1000,M443))))</f>
        <v/>
      </c>
      <c r="D443" s="56">
        <f>IF(OR(A443="",N443=""),"",P443+IF(E443="dias",MAX(0,A443-O443),IF(INDEX(Equipamentos!$D$2:$D$61,N443)=2,SUMIFS(Producao!$D:$D,Producao!$A:$A,"&gt;="&amp;O443,Producao!$A:$A,"&lt;"&amp;A443),IF(INDEX(Equipamentos!$D$2:$D$61,N443)=3,SUMIFS(Producao!$E:$E,Producao!$A:$A,"&gt;="&amp;O443,Producao!$A:$A,"&lt;"&amp;A443),SUMIFS(Producao!$B:$B,Producao!$A:$A,"&gt;="&amp;O443,Producao!$A:$A,"&lt;"&amp;A443)))))</f>
        <v/>
      </c>
      <c r="E443">
        <f>IF(N443="","",INDEX(Equipamentos!$C$2:$C$61,N443))</f>
        <v/>
      </c>
      <c r="F443" s="57">
        <f>IF(OR(D443="",N(Q443)&lt;=0),"",D443/Q443)</f>
        <v/>
      </c>
      <c r="G443" s="55" t="n"/>
      <c r="H443" s="58" t="n"/>
      <c r="I443" s="58" t="n"/>
      <c r="J443" s="55" t="n"/>
      <c r="K443" s="55" t="n"/>
      <c r="L443">
        <f>IF(OR(A443="",B443=""),"",_xlfn.MAXIFS(TrocasEquip!$A$2:$A$1000,TrocasEquip!$B$2:$B$1000,B443,TrocasEquip!$A$2:$A$1000,"&lt;"&amp;A443))</f>
        <v/>
      </c>
      <c r="M443">
        <f>IF(N(L443)=0,0,MATCH(1,INDEX((TrocasEquip!$B$2:$B$1000=B443)*(TrocasEquip!$A$2:$A$1000=L443),0),0))</f>
        <v/>
      </c>
      <c r="N443">
        <f>IF(B443="","",IFERROR(MATCH(B443,Equipamentos!$P$2:$P$61,0),""))</f>
        <v/>
      </c>
      <c r="O443">
        <f>IF(N443="","",IF(M443=0,INDEX(Equipamentos!$U$2:$U$61,N443),L443))</f>
        <v/>
      </c>
      <c r="P443">
        <f>IF(N443="","",IF(M443=0,N(INDEX(Equipamentos!$V$2:$V$61,N443)),N(INDEX(TrocasEquip!$I$2:$I$1000,M443))))</f>
        <v/>
      </c>
      <c r="Q443">
        <f>IF(N443="","",IF(M443=0,INDEX(Equipamentos!$T$2:$T$61,N443),IF(INDEX(TrocasEquip!$H$2:$H$1000,M443)="",INDEX(Equipamentos!$T$2:$T$61,N443),INDEX(TrocasEquip!$H$2:$H$1000,M443))))</f>
        <v/>
      </c>
    </row>
    <row r="444">
      <c r="A444" s="54" t="n"/>
      <c r="B444" s="55" t="n"/>
      <c r="C444">
        <f>IF(B444="","",IF(N444="","posição não encontrada",IF(M444=0,INDEX(Equipamentos!$S$2:$S$61,N444),INDEX(TrocasEquip!$G$2:$G$1000,M444))))</f>
        <v/>
      </c>
      <c r="D444" s="56">
        <f>IF(OR(A444="",N444=""),"",P444+IF(E444="dias",MAX(0,A444-O444),IF(INDEX(Equipamentos!$D$2:$D$61,N444)=2,SUMIFS(Producao!$D:$D,Producao!$A:$A,"&gt;="&amp;O444,Producao!$A:$A,"&lt;"&amp;A444),IF(INDEX(Equipamentos!$D$2:$D$61,N444)=3,SUMIFS(Producao!$E:$E,Producao!$A:$A,"&gt;="&amp;O444,Producao!$A:$A,"&lt;"&amp;A444),SUMIFS(Producao!$B:$B,Producao!$A:$A,"&gt;="&amp;O444,Producao!$A:$A,"&lt;"&amp;A444)))))</f>
        <v/>
      </c>
      <c r="E444">
        <f>IF(N444="","",INDEX(Equipamentos!$C$2:$C$61,N444))</f>
        <v/>
      </c>
      <c r="F444" s="57">
        <f>IF(OR(D444="",N(Q444)&lt;=0),"",D444/Q444)</f>
        <v/>
      </c>
      <c r="G444" s="55" t="n"/>
      <c r="H444" s="58" t="n"/>
      <c r="I444" s="58" t="n"/>
      <c r="J444" s="55" t="n"/>
      <c r="K444" s="55" t="n"/>
      <c r="L444">
        <f>IF(OR(A444="",B444=""),"",_xlfn.MAXIFS(TrocasEquip!$A$2:$A$1000,TrocasEquip!$B$2:$B$1000,B444,TrocasEquip!$A$2:$A$1000,"&lt;"&amp;A444))</f>
        <v/>
      </c>
      <c r="M444">
        <f>IF(N(L444)=0,0,MATCH(1,INDEX((TrocasEquip!$B$2:$B$1000=B444)*(TrocasEquip!$A$2:$A$1000=L444),0),0))</f>
        <v/>
      </c>
      <c r="N444">
        <f>IF(B444="","",IFERROR(MATCH(B444,Equipamentos!$P$2:$P$61,0),""))</f>
        <v/>
      </c>
      <c r="O444">
        <f>IF(N444="","",IF(M444=0,INDEX(Equipamentos!$U$2:$U$61,N444),L444))</f>
        <v/>
      </c>
      <c r="P444">
        <f>IF(N444="","",IF(M444=0,N(INDEX(Equipamentos!$V$2:$V$61,N444)),N(INDEX(TrocasEquip!$I$2:$I$1000,M444))))</f>
        <v/>
      </c>
      <c r="Q444">
        <f>IF(N444="","",IF(M444=0,INDEX(Equipamentos!$T$2:$T$61,N444),IF(INDEX(TrocasEquip!$H$2:$H$1000,M444)="",INDEX(Equipamentos!$T$2:$T$61,N444),INDEX(TrocasEquip!$H$2:$H$1000,M444))))</f>
        <v/>
      </c>
    </row>
    <row r="445">
      <c r="A445" s="54" t="n"/>
      <c r="B445" s="55" t="n"/>
      <c r="C445">
        <f>IF(B445="","",IF(N445="","posição não encontrada",IF(M445=0,INDEX(Equipamentos!$S$2:$S$61,N445),INDEX(TrocasEquip!$G$2:$G$1000,M445))))</f>
        <v/>
      </c>
      <c r="D445" s="56">
        <f>IF(OR(A445="",N445=""),"",P445+IF(E445="dias",MAX(0,A445-O445),IF(INDEX(Equipamentos!$D$2:$D$61,N445)=2,SUMIFS(Producao!$D:$D,Producao!$A:$A,"&gt;="&amp;O445,Producao!$A:$A,"&lt;"&amp;A445),IF(INDEX(Equipamentos!$D$2:$D$61,N445)=3,SUMIFS(Producao!$E:$E,Producao!$A:$A,"&gt;="&amp;O445,Producao!$A:$A,"&lt;"&amp;A445),SUMIFS(Producao!$B:$B,Producao!$A:$A,"&gt;="&amp;O445,Producao!$A:$A,"&lt;"&amp;A445)))))</f>
        <v/>
      </c>
      <c r="E445">
        <f>IF(N445="","",INDEX(Equipamentos!$C$2:$C$61,N445))</f>
        <v/>
      </c>
      <c r="F445" s="57">
        <f>IF(OR(D445="",N(Q445)&lt;=0),"",D445/Q445)</f>
        <v/>
      </c>
      <c r="G445" s="55" t="n"/>
      <c r="H445" s="58" t="n"/>
      <c r="I445" s="58" t="n"/>
      <c r="J445" s="55" t="n"/>
      <c r="K445" s="55" t="n"/>
      <c r="L445">
        <f>IF(OR(A445="",B445=""),"",_xlfn.MAXIFS(TrocasEquip!$A$2:$A$1000,TrocasEquip!$B$2:$B$1000,B445,TrocasEquip!$A$2:$A$1000,"&lt;"&amp;A445))</f>
        <v/>
      </c>
      <c r="M445">
        <f>IF(N(L445)=0,0,MATCH(1,INDEX((TrocasEquip!$B$2:$B$1000=B445)*(TrocasEquip!$A$2:$A$1000=L445),0),0))</f>
        <v/>
      </c>
      <c r="N445">
        <f>IF(B445="","",IFERROR(MATCH(B445,Equipamentos!$P$2:$P$61,0),""))</f>
        <v/>
      </c>
      <c r="O445">
        <f>IF(N445="","",IF(M445=0,INDEX(Equipamentos!$U$2:$U$61,N445),L445))</f>
        <v/>
      </c>
      <c r="P445">
        <f>IF(N445="","",IF(M445=0,N(INDEX(Equipamentos!$V$2:$V$61,N445)),N(INDEX(TrocasEquip!$I$2:$I$1000,M445))))</f>
        <v/>
      </c>
      <c r="Q445">
        <f>IF(N445="","",IF(M445=0,INDEX(Equipamentos!$T$2:$T$61,N445),IF(INDEX(TrocasEquip!$H$2:$H$1000,M445)="",INDEX(Equipamentos!$T$2:$T$61,N445),INDEX(TrocasEquip!$H$2:$H$1000,M445))))</f>
        <v/>
      </c>
    </row>
    <row r="446">
      <c r="A446" s="54" t="n"/>
      <c r="B446" s="55" t="n"/>
      <c r="C446">
        <f>IF(B446="","",IF(N446="","posição não encontrada",IF(M446=0,INDEX(Equipamentos!$S$2:$S$61,N446),INDEX(TrocasEquip!$G$2:$G$1000,M446))))</f>
        <v/>
      </c>
      <c r="D446" s="56">
        <f>IF(OR(A446="",N446=""),"",P446+IF(E446="dias",MAX(0,A446-O446),IF(INDEX(Equipamentos!$D$2:$D$61,N446)=2,SUMIFS(Producao!$D:$D,Producao!$A:$A,"&gt;="&amp;O446,Producao!$A:$A,"&lt;"&amp;A446),IF(INDEX(Equipamentos!$D$2:$D$61,N446)=3,SUMIFS(Producao!$E:$E,Producao!$A:$A,"&gt;="&amp;O446,Producao!$A:$A,"&lt;"&amp;A446),SUMIFS(Producao!$B:$B,Producao!$A:$A,"&gt;="&amp;O446,Producao!$A:$A,"&lt;"&amp;A446)))))</f>
        <v/>
      </c>
      <c r="E446">
        <f>IF(N446="","",INDEX(Equipamentos!$C$2:$C$61,N446))</f>
        <v/>
      </c>
      <c r="F446" s="57">
        <f>IF(OR(D446="",N(Q446)&lt;=0),"",D446/Q446)</f>
        <v/>
      </c>
      <c r="G446" s="55" t="n"/>
      <c r="H446" s="58" t="n"/>
      <c r="I446" s="58" t="n"/>
      <c r="J446" s="55" t="n"/>
      <c r="K446" s="55" t="n"/>
      <c r="L446">
        <f>IF(OR(A446="",B446=""),"",_xlfn.MAXIFS(TrocasEquip!$A$2:$A$1000,TrocasEquip!$B$2:$B$1000,B446,TrocasEquip!$A$2:$A$1000,"&lt;"&amp;A446))</f>
        <v/>
      </c>
      <c r="M446">
        <f>IF(N(L446)=0,0,MATCH(1,INDEX((TrocasEquip!$B$2:$B$1000=B446)*(TrocasEquip!$A$2:$A$1000=L446),0),0))</f>
        <v/>
      </c>
      <c r="N446">
        <f>IF(B446="","",IFERROR(MATCH(B446,Equipamentos!$P$2:$P$61,0),""))</f>
        <v/>
      </c>
      <c r="O446">
        <f>IF(N446="","",IF(M446=0,INDEX(Equipamentos!$U$2:$U$61,N446),L446))</f>
        <v/>
      </c>
      <c r="P446">
        <f>IF(N446="","",IF(M446=0,N(INDEX(Equipamentos!$V$2:$V$61,N446)),N(INDEX(TrocasEquip!$I$2:$I$1000,M446))))</f>
        <v/>
      </c>
      <c r="Q446">
        <f>IF(N446="","",IF(M446=0,INDEX(Equipamentos!$T$2:$T$61,N446),IF(INDEX(TrocasEquip!$H$2:$H$1000,M446)="",INDEX(Equipamentos!$T$2:$T$61,N446),INDEX(TrocasEquip!$H$2:$H$1000,M446))))</f>
        <v/>
      </c>
    </row>
    <row r="447">
      <c r="A447" s="54" t="n"/>
      <c r="B447" s="55" t="n"/>
      <c r="C447">
        <f>IF(B447="","",IF(N447="","posição não encontrada",IF(M447=0,INDEX(Equipamentos!$S$2:$S$61,N447),INDEX(TrocasEquip!$G$2:$G$1000,M447))))</f>
        <v/>
      </c>
      <c r="D447" s="56">
        <f>IF(OR(A447="",N447=""),"",P447+IF(E447="dias",MAX(0,A447-O447),IF(INDEX(Equipamentos!$D$2:$D$61,N447)=2,SUMIFS(Producao!$D:$D,Producao!$A:$A,"&gt;="&amp;O447,Producao!$A:$A,"&lt;"&amp;A447),IF(INDEX(Equipamentos!$D$2:$D$61,N447)=3,SUMIFS(Producao!$E:$E,Producao!$A:$A,"&gt;="&amp;O447,Producao!$A:$A,"&lt;"&amp;A447),SUMIFS(Producao!$B:$B,Producao!$A:$A,"&gt;="&amp;O447,Producao!$A:$A,"&lt;"&amp;A447)))))</f>
        <v/>
      </c>
      <c r="E447">
        <f>IF(N447="","",INDEX(Equipamentos!$C$2:$C$61,N447))</f>
        <v/>
      </c>
      <c r="F447" s="57">
        <f>IF(OR(D447="",N(Q447)&lt;=0),"",D447/Q447)</f>
        <v/>
      </c>
      <c r="G447" s="55" t="n"/>
      <c r="H447" s="58" t="n"/>
      <c r="I447" s="58" t="n"/>
      <c r="J447" s="55" t="n"/>
      <c r="K447" s="55" t="n"/>
      <c r="L447">
        <f>IF(OR(A447="",B447=""),"",_xlfn.MAXIFS(TrocasEquip!$A$2:$A$1000,TrocasEquip!$B$2:$B$1000,B447,TrocasEquip!$A$2:$A$1000,"&lt;"&amp;A447))</f>
        <v/>
      </c>
      <c r="M447">
        <f>IF(N(L447)=0,0,MATCH(1,INDEX((TrocasEquip!$B$2:$B$1000=B447)*(TrocasEquip!$A$2:$A$1000=L447),0),0))</f>
        <v/>
      </c>
      <c r="N447">
        <f>IF(B447="","",IFERROR(MATCH(B447,Equipamentos!$P$2:$P$61,0),""))</f>
        <v/>
      </c>
      <c r="O447">
        <f>IF(N447="","",IF(M447=0,INDEX(Equipamentos!$U$2:$U$61,N447),L447))</f>
        <v/>
      </c>
      <c r="P447">
        <f>IF(N447="","",IF(M447=0,N(INDEX(Equipamentos!$V$2:$V$61,N447)),N(INDEX(TrocasEquip!$I$2:$I$1000,M447))))</f>
        <v/>
      </c>
      <c r="Q447">
        <f>IF(N447="","",IF(M447=0,INDEX(Equipamentos!$T$2:$T$61,N447),IF(INDEX(TrocasEquip!$H$2:$H$1000,M447)="",INDEX(Equipamentos!$T$2:$T$61,N447),INDEX(TrocasEquip!$H$2:$H$1000,M447))))</f>
        <v/>
      </c>
    </row>
    <row r="448">
      <c r="A448" s="54" t="n"/>
      <c r="B448" s="55" t="n"/>
      <c r="C448">
        <f>IF(B448="","",IF(N448="","posição não encontrada",IF(M448=0,INDEX(Equipamentos!$S$2:$S$61,N448),INDEX(TrocasEquip!$G$2:$G$1000,M448))))</f>
        <v/>
      </c>
      <c r="D448" s="56">
        <f>IF(OR(A448="",N448=""),"",P448+IF(E448="dias",MAX(0,A448-O448),IF(INDEX(Equipamentos!$D$2:$D$61,N448)=2,SUMIFS(Producao!$D:$D,Producao!$A:$A,"&gt;="&amp;O448,Producao!$A:$A,"&lt;"&amp;A448),IF(INDEX(Equipamentos!$D$2:$D$61,N448)=3,SUMIFS(Producao!$E:$E,Producao!$A:$A,"&gt;="&amp;O448,Producao!$A:$A,"&lt;"&amp;A448),SUMIFS(Producao!$B:$B,Producao!$A:$A,"&gt;="&amp;O448,Producao!$A:$A,"&lt;"&amp;A448)))))</f>
        <v/>
      </c>
      <c r="E448">
        <f>IF(N448="","",INDEX(Equipamentos!$C$2:$C$61,N448))</f>
        <v/>
      </c>
      <c r="F448" s="57">
        <f>IF(OR(D448="",N(Q448)&lt;=0),"",D448/Q448)</f>
        <v/>
      </c>
      <c r="G448" s="55" t="n"/>
      <c r="H448" s="58" t="n"/>
      <c r="I448" s="58" t="n"/>
      <c r="J448" s="55" t="n"/>
      <c r="K448" s="55" t="n"/>
      <c r="L448">
        <f>IF(OR(A448="",B448=""),"",_xlfn.MAXIFS(TrocasEquip!$A$2:$A$1000,TrocasEquip!$B$2:$B$1000,B448,TrocasEquip!$A$2:$A$1000,"&lt;"&amp;A448))</f>
        <v/>
      </c>
      <c r="M448">
        <f>IF(N(L448)=0,0,MATCH(1,INDEX((TrocasEquip!$B$2:$B$1000=B448)*(TrocasEquip!$A$2:$A$1000=L448),0),0))</f>
        <v/>
      </c>
      <c r="N448">
        <f>IF(B448="","",IFERROR(MATCH(B448,Equipamentos!$P$2:$P$61,0),""))</f>
        <v/>
      </c>
      <c r="O448">
        <f>IF(N448="","",IF(M448=0,INDEX(Equipamentos!$U$2:$U$61,N448),L448))</f>
        <v/>
      </c>
      <c r="P448">
        <f>IF(N448="","",IF(M448=0,N(INDEX(Equipamentos!$V$2:$V$61,N448)),N(INDEX(TrocasEquip!$I$2:$I$1000,M448))))</f>
        <v/>
      </c>
      <c r="Q448">
        <f>IF(N448="","",IF(M448=0,INDEX(Equipamentos!$T$2:$T$61,N448),IF(INDEX(TrocasEquip!$H$2:$H$1000,M448)="",INDEX(Equipamentos!$T$2:$T$61,N448),INDEX(TrocasEquip!$H$2:$H$1000,M448))))</f>
        <v/>
      </c>
    </row>
    <row r="449">
      <c r="A449" s="54" t="n"/>
      <c r="B449" s="55" t="n"/>
      <c r="C449">
        <f>IF(B449="","",IF(N449="","posição não encontrada",IF(M449=0,INDEX(Equipamentos!$S$2:$S$61,N449),INDEX(TrocasEquip!$G$2:$G$1000,M449))))</f>
        <v/>
      </c>
      <c r="D449" s="56">
        <f>IF(OR(A449="",N449=""),"",P449+IF(E449="dias",MAX(0,A449-O449),IF(INDEX(Equipamentos!$D$2:$D$61,N449)=2,SUMIFS(Producao!$D:$D,Producao!$A:$A,"&gt;="&amp;O449,Producao!$A:$A,"&lt;"&amp;A449),IF(INDEX(Equipamentos!$D$2:$D$61,N449)=3,SUMIFS(Producao!$E:$E,Producao!$A:$A,"&gt;="&amp;O449,Producao!$A:$A,"&lt;"&amp;A449),SUMIFS(Producao!$B:$B,Producao!$A:$A,"&gt;="&amp;O449,Producao!$A:$A,"&lt;"&amp;A449)))))</f>
        <v/>
      </c>
      <c r="E449">
        <f>IF(N449="","",INDEX(Equipamentos!$C$2:$C$61,N449))</f>
        <v/>
      </c>
      <c r="F449" s="57">
        <f>IF(OR(D449="",N(Q449)&lt;=0),"",D449/Q449)</f>
        <v/>
      </c>
      <c r="G449" s="55" t="n"/>
      <c r="H449" s="58" t="n"/>
      <c r="I449" s="58" t="n"/>
      <c r="J449" s="55" t="n"/>
      <c r="K449" s="55" t="n"/>
      <c r="L449">
        <f>IF(OR(A449="",B449=""),"",_xlfn.MAXIFS(TrocasEquip!$A$2:$A$1000,TrocasEquip!$B$2:$B$1000,B449,TrocasEquip!$A$2:$A$1000,"&lt;"&amp;A449))</f>
        <v/>
      </c>
      <c r="M449">
        <f>IF(N(L449)=0,0,MATCH(1,INDEX((TrocasEquip!$B$2:$B$1000=B449)*(TrocasEquip!$A$2:$A$1000=L449),0),0))</f>
        <v/>
      </c>
      <c r="N449">
        <f>IF(B449="","",IFERROR(MATCH(B449,Equipamentos!$P$2:$P$61,0),""))</f>
        <v/>
      </c>
      <c r="O449">
        <f>IF(N449="","",IF(M449=0,INDEX(Equipamentos!$U$2:$U$61,N449),L449))</f>
        <v/>
      </c>
      <c r="P449">
        <f>IF(N449="","",IF(M449=0,N(INDEX(Equipamentos!$V$2:$V$61,N449)),N(INDEX(TrocasEquip!$I$2:$I$1000,M449))))</f>
        <v/>
      </c>
      <c r="Q449">
        <f>IF(N449="","",IF(M449=0,INDEX(Equipamentos!$T$2:$T$61,N449),IF(INDEX(TrocasEquip!$H$2:$H$1000,M449)="",INDEX(Equipamentos!$T$2:$T$61,N449),INDEX(TrocasEquip!$H$2:$H$1000,M449))))</f>
        <v/>
      </c>
    </row>
    <row r="450">
      <c r="A450" s="54" t="n"/>
      <c r="B450" s="55" t="n"/>
      <c r="C450">
        <f>IF(B450="","",IF(N450="","posição não encontrada",IF(M450=0,INDEX(Equipamentos!$S$2:$S$61,N450),INDEX(TrocasEquip!$G$2:$G$1000,M450))))</f>
        <v/>
      </c>
      <c r="D450" s="56">
        <f>IF(OR(A450="",N450=""),"",P450+IF(E450="dias",MAX(0,A450-O450),IF(INDEX(Equipamentos!$D$2:$D$61,N450)=2,SUMIFS(Producao!$D:$D,Producao!$A:$A,"&gt;="&amp;O450,Producao!$A:$A,"&lt;"&amp;A450),IF(INDEX(Equipamentos!$D$2:$D$61,N450)=3,SUMIFS(Producao!$E:$E,Producao!$A:$A,"&gt;="&amp;O450,Producao!$A:$A,"&lt;"&amp;A450),SUMIFS(Producao!$B:$B,Producao!$A:$A,"&gt;="&amp;O450,Producao!$A:$A,"&lt;"&amp;A450)))))</f>
        <v/>
      </c>
      <c r="E450">
        <f>IF(N450="","",INDEX(Equipamentos!$C$2:$C$61,N450))</f>
        <v/>
      </c>
      <c r="F450" s="57">
        <f>IF(OR(D450="",N(Q450)&lt;=0),"",D450/Q450)</f>
        <v/>
      </c>
      <c r="G450" s="55" t="n"/>
      <c r="H450" s="58" t="n"/>
      <c r="I450" s="58" t="n"/>
      <c r="J450" s="55" t="n"/>
      <c r="K450" s="55" t="n"/>
      <c r="L450">
        <f>IF(OR(A450="",B450=""),"",_xlfn.MAXIFS(TrocasEquip!$A$2:$A$1000,TrocasEquip!$B$2:$B$1000,B450,TrocasEquip!$A$2:$A$1000,"&lt;"&amp;A450))</f>
        <v/>
      </c>
      <c r="M450">
        <f>IF(N(L450)=0,0,MATCH(1,INDEX((TrocasEquip!$B$2:$B$1000=B450)*(TrocasEquip!$A$2:$A$1000=L450),0),0))</f>
        <v/>
      </c>
      <c r="N450">
        <f>IF(B450="","",IFERROR(MATCH(B450,Equipamentos!$P$2:$P$61,0),""))</f>
        <v/>
      </c>
      <c r="O450">
        <f>IF(N450="","",IF(M450=0,INDEX(Equipamentos!$U$2:$U$61,N450),L450))</f>
        <v/>
      </c>
      <c r="P450">
        <f>IF(N450="","",IF(M450=0,N(INDEX(Equipamentos!$V$2:$V$61,N450)),N(INDEX(TrocasEquip!$I$2:$I$1000,M450))))</f>
        <v/>
      </c>
      <c r="Q450">
        <f>IF(N450="","",IF(M450=0,INDEX(Equipamentos!$T$2:$T$61,N450),IF(INDEX(TrocasEquip!$H$2:$H$1000,M450)="",INDEX(Equipamentos!$T$2:$T$61,N450),INDEX(TrocasEquip!$H$2:$H$1000,M450))))</f>
        <v/>
      </c>
    </row>
    <row r="451">
      <c r="A451" s="54" t="n"/>
      <c r="B451" s="55" t="n"/>
      <c r="C451">
        <f>IF(B451="","",IF(N451="","posição não encontrada",IF(M451=0,INDEX(Equipamentos!$S$2:$S$61,N451),INDEX(TrocasEquip!$G$2:$G$1000,M451))))</f>
        <v/>
      </c>
      <c r="D451" s="56">
        <f>IF(OR(A451="",N451=""),"",P451+IF(E451="dias",MAX(0,A451-O451),IF(INDEX(Equipamentos!$D$2:$D$61,N451)=2,SUMIFS(Producao!$D:$D,Producao!$A:$A,"&gt;="&amp;O451,Producao!$A:$A,"&lt;"&amp;A451),IF(INDEX(Equipamentos!$D$2:$D$61,N451)=3,SUMIFS(Producao!$E:$E,Producao!$A:$A,"&gt;="&amp;O451,Producao!$A:$A,"&lt;"&amp;A451),SUMIFS(Producao!$B:$B,Producao!$A:$A,"&gt;="&amp;O451,Producao!$A:$A,"&lt;"&amp;A451)))))</f>
        <v/>
      </c>
      <c r="E451">
        <f>IF(N451="","",INDEX(Equipamentos!$C$2:$C$61,N451))</f>
        <v/>
      </c>
      <c r="F451" s="57">
        <f>IF(OR(D451="",N(Q451)&lt;=0),"",D451/Q451)</f>
        <v/>
      </c>
      <c r="G451" s="55" t="n"/>
      <c r="H451" s="58" t="n"/>
      <c r="I451" s="58" t="n"/>
      <c r="J451" s="55" t="n"/>
      <c r="K451" s="55" t="n"/>
      <c r="L451">
        <f>IF(OR(A451="",B451=""),"",_xlfn.MAXIFS(TrocasEquip!$A$2:$A$1000,TrocasEquip!$B$2:$B$1000,B451,TrocasEquip!$A$2:$A$1000,"&lt;"&amp;A451))</f>
        <v/>
      </c>
      <c r="M451">
        <f>IF(N(L451)=0,0,MATCH(1,INDEX((TrocasEquip!$B$2:$B$1000=B451)*(TrocasEquip!$A$2:$A$1000=L451),0),0))</f>
        <v/>
      </c>
      <c r="N451">
        <f>IF(B451="","",IFERROR(MATCH(B451,Equipamentos!$P$2:$P$61,0),""))</f>
        <v/>
      </c>
      <c r="O451">
        <f>IF(N451="","",IF(M451=0,INDEX(Equipamentos!$U$2:$U$61,N451),L451))</f>
        <v/>
      </c>
      <c r="P451">
        <f>IF(N451="","",IF(M451=0,N(INDEX(Equipamentos!$V$2:$V$61,N451)),N(INDEX(TrocasEquip!$I$2:$I$1000,M451))))</f>
        <v/>
      </c>
      <c r="Q451">
        <f>IF(N451="","",IF(M451=0,INDEX(Equipamentos!$T$2:$T$61,N451),IF(INDEX(TrocasEquip!$H$2:$H$1000,M451)="",INDEX(Equipamentos!$T$2:$T$61,N451),INDEX(TrocasEquip!$H$2:$H$1000,M451))))</f>
        <v/>
      </c>
    </row>
    <row r="452">
      <c r="A452" s="54" t="n"/>
      <c r="B452" s="55" t="n"/>
      <c r="C452">
        <f>IF(B452="","",IF(N452="","posição não encontrada",IF(M452=0,INDEX(Equipamentos!$S$2:$S$61,N452),INDEX(TrocasEquip!$G$2:$G$1000,M452))))</f>
        <v/>
      </c>
      <c r="D452" s="56">
        <f>IF(OR(A452="",N452=""),"",P452+IF(E452="dias",MAX(0,A452-O452),IF(INDEX(Equipamentos!$D$2:$D$61,N452)=2,SUMIFS(Producao!$D:$D,Producao!$A:$A,"&gt;="&amp;O452,Producao!$A:$A,"&lt;"&amp;A452),IF(INDEX(Equipamentos!$D$2:$D$61,N452)=3,SUMIFS(Producao!$E:$E,Producao!$A:$A,"&gt;="&amp;O452,Producao!$A:$A,"&lt;"&amp;A452),SUMIFS(Producao!$B:$B,Producao!$A:$A,"&gt;="&amp;O452,Producao!$A:$A,"&lt;"&amp;A452)))))</f>
        <v/>
      </c>
      <c r="E452">
        <f>IF(N452="","",INDEX(Equipamentos!$C$2:$C$61,N452))</f>
        <v/>
      </c>
      <c r="F452" s="57">
        <f>IF(OR(D452="",N(Q452)&lt;=0),"",D452/Q452)</f>
        <v/>
      </c>
      <c r="G452" s="55" t="n"/>
      <c r="H452" s="58" t="n"/>
      <c r="I452" s="58" t="n"/>
      <c r="J452" s="55" t="n"/>
      <c r="K452" s="55" t="n"/>
      <c r="L452">
        <f>IF(OR(A452="",B452=""),"",_xlfn.MAXIFS(TrocasEquip!$A$2:$A$1000,TrocasEquip!$B$2:$B$1000,B452,TrocasEquip!$A$2:$A$1000,"&lt;"&amp;A452))</f>
        <v/>
      </c>
      <c r="M452">
        <f>IF(N(L452)=0,0,MATCH(1,INDEX((TrocasEquip!$B$2:$B$1000=B452)*(TrocasEquip!$A$2:$A$1000=L452),0),0))</f>
        <v/>
      </c>
      <c r="N452">
        <f>IF(B452="","",IFERROR(MATCH(B452,Equipamentos!$P$2:$P$61,0),""))</f>
        <v/>
      </c>
      <c r="O452">
        <f>IF(N452="","",IF(M452=0,INDEX(Equipamentos!$U$2:$U$61,N452),L452))</f>
        <v/>
      </c>
      <c r="P452">
        <f>IF(N452="","",IF(M452=0,N(INDEX(Equipamentos!$V$2:$V$61,N452)),N(INDEX(TrocasEquip!$I$2:$I$1000,M452))))</f>
        <v/>
      </c>
      <c r="Q452">
        <f>IF(N452="","",IF(M452=0,INDEX(Equipamentos!$T$2:$T$61,N452),IF(INDEX(TrocasEquip!$H$2:$H$1000,M452)="",INDEX(Equipamentos!$T$2:$T$61,N452),INDEX(TrocasEquip!$H$2:$H$1000,M452))))</f>
        <v/>
      </c>
    </row>
    <row r="453">
      <c r="A453" s="54" t="n"/>
      <c r="B453" s="55" t="n"/>
      <c r="C453">
        <f>IF(B453="","",IF(N453="","posição não encontrada",IF(M453=0,INDEX(Equipamentos!$S$2:$S$61,N453),INDEX(TrocasEquip!$G$2:$G$1000,M453))))</f>
        <v/>
      </c>
      <c r="D453" s="56">
        <f>IF(OR(A453="",N453=""),"",P453+IF(E453="dias",MAX(0,A453-O453),IF(INDEX(Equipamentos!$D$2:$D$61,N453)=2,SUMIFS(Producao!$D:$D,Producao!$A:$A,"&gt;="&amp;O453,Producao!$A:$A,"&lt;"&amp;A453),IF(INDEX(Equipamentos!$D$2:$D$61,N453)=3,SUMIFS(Producao!$E:$E,Producao!$A:$A,"&gt;="&amp;O453,Producao!$A:$A,"&lt;"&amp;A453),SUMIFS(Producao!$B:$B,Producao!$A:$A,"&gt;="&amp;O453,Producao!$A:$A,"&lt;"&amp;A453)))))</f>
        <v/>
      </c>
      <c r="E453">
        <f>IF(N453="","",INDEX(Equipamentos!$C$2:$C$61,N453))</f>
        <v/>
      </c>
      <c r="F453" s="57">
        <f>IF(OR(D453="",N(Q453)&lt;=0),"",D453/Q453)</f>
        <v/>
      </c>
      <c r="G453" s="55" t="n"/>
      <c r="H453" s="58" t="n"/>
      <c r="I453" s="58" t="n"/>
      <c r="J453" s="55" t="n"/>
      <c r="K453" s="55" t="n"/>
      <c r="L453">
        <f>IF(OR(A453="",B453=""),"",_xlfn.MAXIFS(TrocasEquip!$A$2:$A$1000,TrocasEquip!$B$2:$B$1000,B453,TrocasEquip!$A$2:$A$1000,"&lt;"&amp;A453))</f>
        <v/>
      </c>
      <c r="M453">
        <f>IF(N(L453)=0,0,MATCH(1,INDEX((TrocasEquip!$B$2:$B$1000=B453)*(TrocasEquip!$A$2:$A$1000=L453),0),0))</f>
        <v/>
      </c>
      <c r="N453">
        <f>IF(B453="","",IFERROR(MATCH(B453,Equipamentos!$P$2:$P$61,0),""))</f>
        <v/>
      </c>
      <c r="O453">
        <f>IF(N453="","",IF(M453=0,INDEX(Equipamentos!$U$2:$U$61,N453),L453))</f>
        <v/>
      </c>
      <c r="P453">
        <f>IF(N453="","",IF(M453=0,N(INDEX(Equipamentos!$V$2:$V$61,N453)),N(INDEX(TrocasEquip!$I$2:$I$1000,M453))))</f>
        <v/>
      </c>
      <c r="Q453">
        <f>IF(N453="","",IF(M453=0,INDEX(Equipamentos!$T$2:$T$61,N453),IF(INDEX(TrocasEquip!$H$2:$H$1000,M453)="",INDEX(Equipamentos!$T$2:$T$61,N453),INDEX(TrocasEquip!$H$2:$H$1000,M453))))</f>
        <v/>
      </c>
    </row>
    <row r="454">
      <c r="A454" s="54" t="n"/>
      <c r="B454" s="55" t="n"/>
      <c r="C454">
        <f>IF(B454="","",IF(N454="","posição não encontrada",IF(M454=0,INDEX(Equipamentos!$S$2:$S$61,N454),INDEX(TrocasEquip!$G$2:$G$1000,M454))))</f>
        <v/>
      </c>
      <c r="D454" s="56">
        <f>IF(OR(A454="",N454=""),"",P454+IF(E454="dias",MAX(0,A454-O454),IF(INDEX(Equipamentos!$D$2:$D$61,N454)=2,SUMIFS(Producao!$D:$D,Producao!$A:$A,"&gt;="&amp;O454,Producao!$A:$A,"&lt;"&amp;A454),IF(INDEX(Equipamentos!$D$2:$D$61,N454)=3,SUMIFS(Producao!$E:$E,Producao!$A:$A,"&gt;="&amp;O454,Producao!$A:$A,"&lt;"&amp;A454),SUMIFS(Producao!$B:$B,Producao!$A:$A,"&gt;="&amp;O454,Producao!$A:$A,"&lt;"&amp;A454)))))</f>
        <v/>
      </c>
      <c r="E454">
        <f>IF(N454="","",INDEX(Equipamentos!$C$2:$C$61,N454))</f>
        <v/>
      </c>
      <c r="F454" s="57">
        <f>IF(OR(D454="",N(Q454)&lt;=0),"",D454/Q454)</f>
        <v/>
      </c>
      <c r="G454" s="55" t="n"/>
      <c r="H454" s="58" t="n"/>
      <c r="I454" s="58" t="n"/>
      <c r="J454" s="55" t="n"/>
      <c r="K454" s="55" t="n"/>
      <c r="L454">
        <f>IF(OR(A454="",B454=""),"",_xlfn.MAXIFS(TrocasEquip!$A$2:$A$1000,TrocasEquip!$B$2:$B$1000,B454,TrocasEquip!$A$2:$A$1000,"&lt;"&amp;A454))</f>
        <v/>
      </c>
      <c r="M454">
        <f>IF(N(L454)=0,0,MATCH(1,INDEX((TrocasEquip!$B$2:$B$1000=B454)*(TrocasEquip!$A$2:$A$1000=L454),0),0))</f>
        <v/>
      </c>
      <c r="N454">
        <f>IF(B454="","",IFERROR(MATCH(B454,Equipamentos!$P$2:$P$61,0),""))</f>
        <v/>
      </c>
      <c r="O454">
        <f>IF(N454="","",IF(M454=0,INDEX(Equipamentos!$U$2:$U$61,N454),L454))</f>
        <v/>
      </c>
      <c r="P454">
        <f>IF(N454="","",IF(M454=0,N(INDEX(Equipamentos!$V$2:$V$61,N454)),N(INDEX(TrocasEquip!$I$2:$I$1000,M454))))</f>
        <v/>
      </c>
      <c r="Q454">
        <f>IF(N454="","",IF(M454=0,INDEX(Equipamentos!$T$2:$T$61,N454),IF(INDEX(TrocasEquip!$H$2:$H$1000,M454)="",INDEX(Equipamentos!$T$2:$T$61,N454),INDEX(TrocasEquip!$H$2:$H$1000,M454))))</f>
        <v/>
      </c>
    </row>
    <row r="455">
      <c r="A455" s="54" t="n"/>
      <c r="B455" s="55" t="n"/>
      <c r="C455">
        <f>IF(B455="","",IF(N455="","posição não encontrada",IF(M455=0,INDEX(Equipamentos!$S$2:$S$61,N455),INDEX(TrocasEquip!$G$2:$G$1000,M455))))</f>
        <v/>
      </c>
      <c r="D455" s="56">
        <f>IF(OR(A455="",N455=""),"",P455+IF(E455="dias",MAX(0,A455-O455),IF(INDEX(Equipamentos!$D$2:$D$61,N455)=2,SUMIFS(Producao!$D:$D,Producao!$A:$A,"&gt;="&amp;O455,Producao!$A:$A,"&lt;"&amp;A455),IF(INDEX(Equipamentos!$D$2:$D$61,N455)=3,SUMIFS(Producao!$E:$E,Producao!$A:$A,"&gt;="&amp;O455,Producao!$A:$A,"&lt;"&amp;A455),SUMIFS(Producao!$B:$B,Producao!$A:$A,"&gt;="&amp;O455,Producao!$A:$A,"&lt;"&amp;A455)))))</f>
        <v/>
      </c>
      <c r="E455">
        <f>IF(N455="","",INDEX(Equipamentos!$C$2:$C$61,N455))</f>
        <v/>
      </c>
      <c r="F455" s="57">
        <f>IF(OR(D455="",N(Q455)&lt;=0),"",D455/Q455)</f>
        <v/>
      </c>
      <c r="G455" s="55" t="n"/>
      <c r="H455" s="58" t="n"/>
      <c r="I455" s="58" t="n"/>
      <c r="J455" s="55" t="n"/>
      <c r="K455" s="55" t="n"/>
      <c r="L455">
        <f>IF(OR(A455="",B455=""),"",_xlfn.MAXIFS(TrocasEquip!$A$2:$A$1000,TrocasEquip!$B$2:$B$1000,B455,TrocasEquip!$A$2:$A$1000,"&lt;"&amp;A455))</f>
        <v/>
      </c>
      <c r="M455">
        <f>IF(N(L455)=0,0,MATCH(1,INDEX((TrocasEquip!$B$2:$B$1000=B455)*(TrocasEquip!$A$2:$A$1000=L455),0),0))</f>
        <v/>
      </c>
      <c r="N455">
        <f>IF(B455="","",IFERROR(MATCH(B455,Equipamentos!$P$2:$P$61,0),""))</f>
        <v/>
      </c>
      <c r="O455">
        <f>IF(N455="","",IF(M455=0,INDEX(Equipamentos!$U$2:$U$61,N455),L455))</f>
        <v/>
      </c>
      <c r="P455">
        <f>IF(N455="","",IF(M455=0,N(INDEX(Equipamentos!$V$2:$V$61,N455)),N(INDEX(TrocasEquip!$I$2:$I$1000,M455))))</f>
        <v/>
      </c>
      <c r="Q455">
        <f>IF(N455="","",IF(M455=0,INDEX(Equipamentos!$T$2:$T$61,N455),IF(INDEX(TrocasEquip!$H$2:$H$1000,M455)="",INDEX(Equipamentos!$T$2:$T$61,N455),INDEX(TrocasEquip!$H$2:$H$1000,M455))))</f>
        <v/>
      </c>
    </row>
    <row r="456">
      <c r="A456" s="54" t="n"/>
      <c r="B456" s="55" t="n"/>
      <c r="C456">
        <f>IF(B456="","",IF(N456="","posição não encontrada",IF(M456=0,INDEX(Equipamentos!$S$2:$S$61,N456),INDEX(TrocasEquip!$G$2:$G$1000,M456))))</f>
        <v/>
      </c>
      <c r="D456" s="56">
        <f>IF(OR(A456="",N456=""),"",P456+IF(E456="dias",MAX(0,A456-O456),IF(INDEX(Equipamentos!$D$2:$D$61,N456)=2,SUMIFS(Producao!$D:$D,Producao!$A:$A,"&gt;="&amp;O456,Producao!$A:$A,"&lt;"&amp;A456),IF(INDEX(Equipamentos!$D$2:$D$61,N456)=3,SUMIFS(Producao!$E:$E,Producao!$A:$A,"&gt;="&amp;O456,Producao!$A:$A,"&lt;"&amp;A456),SUMIFS(Producao!$B:$B,Producao!$A:$A,"&gt;="&amp;O456,Producao!$A:$A,"&lt;"&amp;A456)))))</f>
        <v/>
      </c>
      <c r="E456">
        <f>IF(N456="","",INDEX(Equipamentos!$C$2:$C$61,N456))</f>
        <v/>
      </c>
      <c r="F456" s="57">
        <f>IF(OR(D456="",N(Q456)&lt;=0),"",D456/Q456)</f>
        <v/>
      </c>
      <c r="G456" s="55" t="n"/>
      <c r="H456" s="58" t="n"/>
      <c r="I456" s="58" t="n"/>
      <c r="J456" s="55" t="n"/>
      <c r="K456" s="55" t="n"/>
      <c r="L456">
        <f>IF(OR(A456="",B456=""),"",_xlfn.MAXIFS(TrocasEquip!$A$2:$A$1000,TrocasEquip!$B$2:$B$1000,B456,TrocasEquip!$A$2:$A$1000,"&lt;"&amp;A456))</f>
        <v/>
      </c>
      <c r="M456">
        <f>IF(N(L456)=0,0,MATCH(1,INDEX((TrocasEquip!$B$2:$B$1000=B456)*(TrocasEquip!$A$2:$A$1000=L456),0),0))</f>
        <v/>
      </c>
      <c r="N456">
        <f>IF(B456="","",IFERROR(MATCH(B456,Equipamentos!$P$2:$P$61,0),""))</f>
        <v/>
      </c>
      <c r="O456">
        <f>IF(N456="","",IF(M456=0,INDEX(Equipamentos!$U$2:$U$61,N456),L456))</f>
        <v/>
      </c>
      <c r="P456">
        <f>IF(N456="","",IF(M456=0,N(INDEX(Equipamentos!$V$2:$V$61,N456)),N(INDEX(TrocasEquip!$I$2:$I$1000,M456))))</f>
        <v/>
      </c>
      <c r="Q456">
        <f>IF(N456="","",IF(M456=0,INDEX(Equipamentos!$T$2:$T$61,N456),IF(INDEX(TrocasEquip!$H$2:$H$1000,M456)="",INDEX(Equipamentos!$T$2:$T$61,N456),INDEX(TrocasEquip!$H$2:$H$1000,M456))))</f>
        <v/>
      </c>
    </row>
    <row r="457">
      <c r="A457" s="54" t="n"/>
      <c r="B457" s="55" t="n"/>
      <c r="C457">
        <f>IF(B457="","",IF(N457="","posição não encontrada",IF(M457=0,INDEX(Equipamentos!$S$2:$S$61,N457),INDEX(TrocasEquip!$G$2:$G$1000,M457))))</f>
        <v/>
      </c>
      <c r="D457" s="56">
        <f>IF(OR(A457="",N457=""),"",P457+IF(E457="dias",MAX(0,A457-O457),IF(INDEX(Equipamentos!$D$2:$D$61,N457)=2,SUMIFS(Producao!$D:$D,Producao!$A:$A,"&gt;="&amp;O457,Producao!$A:$A,"&lt;"&amp;A457),IF(INDEX(Equipamentos!$D$2:$D$61,N457)=3,SUMIFS(Producao!$E:$E,Producao!$A:$A,"&gt;="&amp;O457,Producao!$A:$A,"&lt;"&amp;A457),SUMIFS(Producao!$B:$B,Producao!$A:$A,"&gt;="&amp;O457,Producao!$A:$A,"&lt;"&amp;A457)))))</f>
        <v/>
      </c>
      <c r="E457">
        <f>IF(N457="","",INDEX(Equipamentos!$C$2:$C$61,N457))</f>
        <v/>
      </c>
      <c r="F457" s="57">
        <f>IF(OR(D457="",N(Q457)&lt;=0),"",D457/Q457)</f>
        <v/>
      </c>
      <c r="G457" s="55" t="n"/>
      <c r="H457" s="58" t="n"/>
      <c r="I457" s="58" t="n"/>
      <c r="J457" s="55" t="n"/>
      <c r="K457" s="55" t="n"/>
      <c r="L457">
        <f>IF(OR(A457="",B457=""),"",_xlfn.MAXIFS(TrocasEquip!$A$2:$A$1000,TrocasEquip!$B$2:$B$1000,B457,TrocasEquip!$A$2:$A$1000,"&lt;"&amp;A457))</f>
        <v/>
      </c>
      <c r="M457">
        <f>IF(N(L457)=0,0,MATCH(1,INDEX((TrocasEquip!$B$2:$B$1000=B457)*(TrocasEquip!$A$2:$A$1000=L457),0),0))</f>
        <v/>
      </c>
      <c r="N457">
        <f>IF(B457="","",IFERROR(MATCH(B457,Equipamentos!$P$2:$P$61,0),""))</f>
        <v/>
      </c>
      <c r="O457">
        <f>IF(N457="","",IF(M457=0,INDEX(Equipamentos!$U$2:$U$61,N457),L457))</f>
        <v/>
      </c>
      <c r="P457">
        <f>IF(N457="","",IF(M457=0,N(INDEX(Equipamentos!$V$2:$V$61,N457)),N(INDEX(TrocasEquip!$I$2:$I$1000,M457))))</f>
        <v/>
      </c>
      <c r="Q457">
        <f>IF(N457="","",IF(M457=0,INDEX(Equipamentos!$T$2:$T$61,N457),IF(INDEX(TrocasEquip!$H$2:$H$1000,M457)="",INDEX(Equipamentos!$T$2:$T$61,N457),INDEX(TrocasEquip!$H$2:$H$1000,M457))))</f>
        <v/>
      </c>
    </row>
    <row r="458">
      <c r="A458" s="54" t="n"/>
      <c r="B458" s="55" t="n"/>
      <c r="C458">
        <f>IF(B458="","",IF(N458="","posição não encontrada",IF(M458=0,INDEX(Equipamentos!$S$2:$S$61,N458),INDEX(TrocasEquip!$G$2:$G$1000,M458))))</f>
        <v/>
      </c>
      <c r="D458" s="56">
        <f>IF(OR(A458="",N458=""),"",P458+IF(E458="dias",MAX(0,A458-O458),IF(INDEX(Equipamentos!$D$2:$D$61,N458)=2,SUMIFS(Producao!$D:$D,Producao!$A:$A,"&gt;="&amp;O458,Producao!$A:$A,"&lt;"&amp;A458),IF(INDEX(Equipamentos!$D$2:$D$61,N458)=3,SUMIFS(Producao!$E:$E,Producao!$A:$A,"&gt;="&amp;O458,Producao!$A:$A,"&lt;"&amp;A458),SUMIFS(Producao!$B:$B,Producao!$A:$A,"&gt;="&amp;O458,Producao!$A:$A,"&lt;"&amp;A458)))))</f>
        <v/>
      </c>
      <c r="E458">
        <f>IF(N458="","",INDEX(Equipamentos!$C$2:$C$61,N458))</f>
        <v/>
      </c>
      <c r="F458" s="57">
        <f>IF(OR(D458="",N(Q458)&lt;=0),"",D458/Q458)</f>
        <v/>
      </c>
      <c r="G458" s="55" t="n"/>
      <c r="H458" s="58" t="n"/>
      <c r="I458" s="58" t="n"/>
      <c r="J458" s="55" t="n"/>
      <c r="K458" s="55" t="n"/>
      <c r="L458">
        <f>IF(OR(A458="",B458=""),"",_xlfn.MAXIFS(TrocasEquip!$A$2:$A$1000,TrocasEquip!$B$2:$B$1000,B458,TrocasEquip!$A$2:$A$1000,"&lt;"&amp;A458))</f>
        <v/>
      </c>
      <c r="M458">
        <f>IF(N(L458)=0,0,MATCH(1,INDEX((TrocasEquip!$B$2:$B$1000=B458)*(TrocasEquip!$A$2:$A$1000=L458),0),0))</f>
        <v/>
      </c>
      <c r="N458">
        <f>IF(B458="","",IFERROR(MATCH(B458,Equipamentos!$P$2:$P$61,0),""))</f>
        <v/>
      </c>
      <c r="O458">
        <f>IF(N458="","",IF(M458=0,INDEX(Equipamentos!$U$2:$U$61,N458),L458))</f>
        <v/>
      </c>
      <c r="P458">
        <f>IF(N458="","",IF(M458=0,N(INDEX(Equipamentos!$V$2:$V$61,N458)),N(INDEX(TrocasEquip!$I$2:$I$1000,M458))))</f>
        <v/>
      </c>
      <c r="Q458">
        <f>IF(N458="","",IF(M458=0,INDEX(Equipamentos!$T$2:$T$61,N458),IF(INDEX(TrocasEquip!$H$2:$H$1000,M458)="",INDEX(Equipamentos!$T$2:$T$61,N458),INDEX(TrocasEquip!$H$2:$H$1000,M458))))</f>
        <v/>
      </c>
    </row>
    <row r="459">
      <c r="A459" s="54" t="n"/>
      <c r="B459" s="55" t="n"/>
      <c r="C459">
        <f>IF(B459="","",IF(N459="","posição não encontrada",IF(M459=0,INDEX(Equipamentos!$S$2:$S$61,N459),INDEX(TrocasEquip!$G$2:$G$1000,M459))))</f>
        <v/>
      </c>
      <c r="D459" s="56">
        <f>IF(OR(A459="",N459=""),"",P459+IF(E459="dias",MAX(0,A459-O459),IF(INDEX(Equipamentos!$D$2:$D$61,N459)=2,SUMIFS(Producao!$D:$D,Producao!$A:$A,"&gt;="&amp;O459,Producao!$A:$A,"&lt;"&amp;A459),IF(INDEX(Equipamentos!$D$2:$D$61,N459)=3,SUMIFS(Producao!$E:$E,Producao!$A:$A,"&gt;="&amp;O459,Producao!$A:$A,"&lt;"&amp;A459),SUMIFS(Producao!$B:$B,Producao!$A:$A,"&gt;="&amp;O459,Producao!$A:$A,"&lt;"&amp;A459)))))</f>
        <v/>
      </c>
      <c r="E459">
        <f>IF(N459="","",INDEX(Equipamentos!$C$2:$C$61,N459))</f>
        <v/>
      </c>
      <c r="F459" s="57">
        <f>IF(OR(D459="",N(Q459)&lt;=0),"",D459/Q459)</f>
        <v/>
      </c>
      <c r="G459" s="55" t="n"/>
      <c r="H459" s="58" t="n"/>
      <c r="I459" s="58" t="n"/>
      <c r="J459" s="55" t="n"/>
      <c r="K459" s="55" t="n"/>
      <c r="L459">
        <f>IF(OR(A459="",B459=""),"",_xlfn.MAXIFS(TrocasEquip!$A$2:$A$1000,TrocasEquip!$B$2:$B$1000,B459,TrocasEquip!$A$2:$A$1000,"&lt;"&amp;A459))</f>
        <v/>
      </c>
      <c r="M459">
        <f>IF(N(L459)=0,0,MATCH(1,INDEX((TrocasEquip!$B$2:$B$1000=B459)*(TrocasEquip!$A$2:$A$1000=L459),0),0))</f>
        <v/>
      </c>
      <c r="N459">
        <f>IF(B459="","",IFERROR(MATCH(B459,Equipamentos!$P$2:$P$61,0),""))</f>
        <v/>
      </c>
      <c r="O459">
        <f>IF(N459="","",IF(M459=0,INDEX(Equipamentos!$U$2:$U$61,N459),L459))</f>
        <v/>
      </c>
      <c r="P459">
        <f>IF(N459="","",IF(M459=0,N(INDEX(Equipamentos!$V$2:$V$61,N459)),N(INDEX(TrocasEquip!$I$2:$I$1000,M459))))</f>
        <v/>
      </c>
      <c r="Q459">
        <f>IF(N459="","",IF(M459=0,INDEX(Equipamentos!$T$2:$T$61,N459),IF(INDEX(TrocasEquip!$H$2:$H$1000,M459)="",INDEX(Equipamentos!$T$2:$T$61,N459),INDEX(TrocasEquip!$H$2:$H$1000,M459))))</f>
        <v/>
      </c>
    </row>
    <row r="460">
      <c r="A460" s="54" t="n"/>
      <c r="B460" s="55" t="n"/>
      <c r="C460">
        <f>IF(B460="","",IF(N460="","posição não encontrada",IF(M460=0,INDEX(Equipamentos!$S$2:$S$61,N460),INDEX(TrocasEquip!$G$2:$G$1000,M460))))</f>
        <v/>
      </c>
      <c r="D460" s="56">
        <f>IF(OR(A460="",N460=""),"",P460+IF(E460="dias",MAX(0,A460-O460),IF(INDEX(Equipamentos!$D$2:$D$61,N460)=2,SUMIFS(Producao!$D:$D,Producao!$A:$A,"&gt;="&amp;O460,Producao!$A:$A,"&lt;"&amp;A460),IF(INDEX(Equipamentos!$D$2:$D$61,N460)=3,SUMIFS(Producao!$E:$E,Producao!$A:$A,"&gt;="&amp;O460,Producao!$A:$A,"&lt;"&amp;A460),SUMIFS(Producao!$B:$B,Producao!$A:$A,"&gt;="&amp;O460,Producao!$A:$A,"&lt;"&amp;A460)))))</f>
        <v/>
      </c>
      <c r="E460">
        <f>IF(N460="","",INDEX(Equipamentos!$C$2:$C$61,N460))</f>
        <v/>
      </c>
      <c r="F460" s="57">
        <f>IF(OR(D460="",N(Q460)&lt;=0),"",D460/Q460)</f>
        <v/>
      </c>
      <c r="G460" s="55" t="n"/>
      <c r="H460" s="58" t="n"/>
      <c r="I460" s="58" t="n"/>
      <c r="J460" s="55" t="n"/>
      <c r="K460" s="55" t="n"/>
      <c r="L460">
        <f>IF(OR(A460="",B460=""),"",_xlfn.MAXIFS(TrocasEquip!$A$2:$A$1000,TrocasEquip!$B$2:$B$1000,B460,TrocasEquip!$A$2:$A$1000,"&lt;"&amp;A460))</f>
        <v/>
      </c>
      <c r="M460">
        <f>IF(N(L460)=0,0,MATCH(1,INDEX((TrocasEquip!$B$2:$B$1000=B460)*(TrocasEquip!$A$2:$A$1000=L460),0),0))</f>
        <v/>
      </c>
      <c r="N460">
        <f>IF(B460="","",IFERROR(MATCH(B460,Equipamentos!$P$2:$P$61,0),""))</f>
        <v/>
      </c>
      <c r="O460">
        <f>IF(N460="","",IF(M460=0,INDEX(Equipamentos!$U$2:$U$61,N460),L460))</f>
        <v/>
      </c>
      <c r="P460">
        <f>IF(N460="","",IF(M460=0,N(INDEX(Equipamentos!$V$2:$V$61,N460)),N(INDEX(TrocasEquip!$I$2:$I$1000,M460))))</f>
        <v/>
      </c>
      <c r="Q460">
        <f>IF(N460="","",IF(M460=0,INDEX(Equipamentos!$T$2:$T$61,N460),IF(INDEX(TrocasEquip!$H$2:$H$1000,M460)="",INDEX(Equipamentos!$T$2:$T$61,N460),INDEX(TrocasEquip!$H$2:$H$1000,M460))))</f>
        <v/>
      </c>
    </row>
    <row r="461">
      <c r="A461" s="54" t="n"/>
      <c r="B461" s="55" t="n"/>
      <c r="C461">
        <f>IF(B461="","",IF(N461="","posição não encontrada",IF(M461=0,INDEX(Equipamentos!$S$2:$S$61,N461),INDEX(TrocasEquip!$G$2:$G$1000,M461))))</f>
        <v/>
      </c>
      <c r="D461" s="56">
        <f>IF(OR(A461="",N461=""),"",P461+IF(E461="dias",MAX(0,A461-O461),IF(INDEX(Equipamentos!$D$2:$D$61,N461)=2,SUMIFS(Producao!$D:$D,Producao!$A:$A,"&gt;="&amp;O461,Producao!$A:$A,"&lt;"&amp;A461),IF(INDEX(Equipamentos!$D$2:$D$61,N461)=3,SUMIFS(Producao!$E:$E,Producao!$A:$A,"&gt;="&amp;O461,Producao!$A:$A,"&lt;"&amp;A461),SUMIFS(Producao!$B:$B,Producao!$A:$A,"&gt;="&amp;O461,Producao!$A:$A,"&lt;"&amp;A461)))))</f>
        <v/>
      </c>
      <c r="E461">
        <f>IF(N461="","",INDEX(Equipamentos!$C$2:$C$61,N461))</f>
        <v/>
      </c>
      <c r="F461" s="57">
        <f>IF(OR(D461="",N(Q461)&lt;=0),"",D461/Q461)</f>
        <v/>
      </c>
      <c r="G461" s="55" t="n"/>
      <c r="H461" s="58" t="n"/>
      <c r="I461" s="58" t="n"/>
      <c r="J461" s="55" t="n"/>
      <c r="K461" s="55" t="n"/>
      <c r="L461">
        <f>IF(OR(A461="",B461=""),"",_xlfn.MAXIFS(TrocasEquip!$A$2:$A$1000,TrocasEquip!$B$2:$B$1000,B461,TrocasEquip!$A$2:$A$1000,"&lt;"&amp;A461))</f>
        <v/>
      </c>
      <c r="M461">
        <f>IF(N(L461)=0,0,MATCH(1,INDEX((TrocasEquip!$B$2:$B$1000=B461)*(TrocasEquip!$A$2:$A$1000=L461),0),0))</f>
        <v/>
      </c>
      <c r="N461">
        <f>IF(B461="","",IFERROR(MATCH(B461,Equipamentos!$P$2:$P$61,0),""))</f>
        <v/>
      </c>
      <c r="O461">
        <f>IF(N461="","",IF(M461=0,INDEX(Equipamentos!$U$2:$U$61,N461),L461))</f>
        <v/>
      </c>
      <c r="P461">
        <f>IF(N461="","",IF(M461=0,N(INDEX(Equipamentos!$V$2:$V$61,N461)),N(INDEX(TrocasEquip!$I$2:$I$1000,M461))))</f>
        <v/>
      </c>
      <c r="Q461">
        <f>IF(N461="","",IF(M461=0,INDEX(Equipamentos!$T$2:$T$61,N461),IF(INDEX(TrocasEquip!$H$2:$H$1000,M461)="",INDEX(Equipamentos!$T$2:$T$61,N461),INDEX(TrocasEquip!$H$2:$H$1000,M461))))</f>
        <v/>
      </c>
    </row>
    <row r="462">
      <c r="A462" s="54" t="n"/>
      <c r="B462" s="55" t="n"/>
      <c r="C462">
        <f>IF(B462="","",IF(N462="","posição não encontrada",IF(M462=0,INDEX(Equipamentos!$S$2:$S$61,N462),INDEX(TrocasEquip!$G$2:$G$1000,M462))))</f>
        <v/>
      </c>
      <c r="D462" s="56">
        <f>IF(OR(A462="",N462=""),"",P462+IF(E462="dias",MAX(0,A462-O462),IF(INDEX(Equipamentos!$D$2:$D$61,N462)=2,SUMIFS(Producao!$D:$D,Producao!$A:$A,"&gt;="&amp;O462,Producao!$A:$A,"&lt;"&amp;A462),IF(INDEX(Equipamentos!$D$2:$D$61,N462)=3,SUMIFS(Producao!$E:$E,Producao!$A:$A,"&gt;="&amp;O462,Producao!$A:$A,"&lt;"&amp;A462),SUMIFS(Producao!$B:$B,Producao!$A:$A,"&gt;="&amp;O462,Producao!$A:$A,"&lt;"&amp;A462)))))</f>
        <v/>
      </c>
      <c r="E462">
        <f>IF(N462="","",INDEX(Equipamentos!$C$2:$C$61,N462))</f>
        <v/>
      </c>
      <c r="F462" s="57">
        <f>IF(OR(D462="",N(Q462)&lt;=0),"",D462/Q462)</f>
        <v/>
      </c>
      <c r="G462" s="55" t="n"/>
      <c r="H462" s="58" t="n"/>
      <c r="I462" s="58" t="n"/>
      <c r="J462" s="55" t="n"/>
      <c r="K462" s="55" t="n"/>
      <c r="L462">
        <f>IF(OR(A462="",B462=""),"",_xlfn.MAXIFS(TrocasEquip!$A$2:$A$1000,TrocasEquip!$B$2:$B$1000,B462,TrocasEquip!$A$2:$A$1000,"&lt;"&amp;A462))</f>
        <v/>
      </c>
      <c r="M462">
        <f>IF(N(L462)=0,0,MATCH(1,INDEX((TrocasEquip!$B$2:$B$1000=B462)*(TrocasEquip!$A$2:$A$1000=L462),0),0))</f>
        <v/>
      </c>
      <c r="N462">
        <f>IF(B462="","",IFERROR(MATCH(B462,Equipamentos!$P$2:$P$61,0),""))</f>
        <v/>
      </c>
      <c r="O462">
        <f>IF(N462="","",IF(M462=0,INDEX(Equipamentos!$U$2:$U$61,N462),L462))</f>
        <v/>
      </c>
      <c r="P462">
        <f>IF(N462="","",IF(M462=0,N(INDEX(Equipamentos!$V$2:$V$61,N462)),N(INDEX(TrocasEquip!$I$2:$I$1000,M462))))</f>
        <v/>
      </c>
      <c r="Q462">
        <f>IF(N462="","",IF(M462=0,INDEX(Equipamentos!$T$2:$T$61,N462),IF(INDEX(TrocasEquip!$H$2:$H$1000,M462)="",INDEX(Equipamentos!$T$2:$T$61,N462),INDEX(TrocasEquip!$H$2:$H$1000,M462))))</f>
        <v/>
      </c>
    </row>
    <row r="463">
      <c r="A463" s="54" t="n"/>
      <c r="B463" s="55" t="n"/>
      <c r="C463">
        <f>IF(B463="","",IF(N463="","posição não encontrada",IF(M463=0,INDEX(Equipamentos!$S$2:$S$61,N463),INDEX(TrocasEquip!$G$2:$G$1000,M463))))</f>
        <v/>
      </c>
      <c r="D463" s="56">
        <f>IF(OR(A463="",N463=""),"",P463+IF(E463="dias",MAX(0,A463-O463),IF(INDEX(Equipamentos!$D$2:$D$61,N463)=2,SUMIFS(Producao!$D:$D,Producao!$A:$A,"&gt;="&amp;O463,Producao!$A:$A,"&lt;"&amp;A463),IF(INDEX(Equipamentos!$D$2:$D$61,N463)=3,SUMIFS(Producao!$E:$E,Producao!$A:$A,"&gt;="&amp;O463,Producao!$A:$A,"&lt;"&amp;A463),SUMIFS(Producao!$B:$B,Producao!$A:$A,"&gt;="&amp;O463,Producao!$A:$A,"&lt;"&amp;A463)))))</f>
        <v/>
      </c>
      <c r="E463">
        <f>IF(N463="","",INDEX(Equipamentos!$C$2:$C$61,N463))</f>
        <v/>
      </c>
      <c r="F463" s="57">
        <f>IF(OR(D463="",N(Q463)&lt;=0),"",D463/Q463)</f>
        <v/>
      </c>
      <c r="G463" s="55" t="n"/>
      <c r="H463" s="58" t="n"/>
      <c r="I463" s="58" t="n"/>
      <c r="J463" s="55" t="n"/>
      <c r="K463" s="55" t="n"/>
      <c r="L463">
        <f>IF(OR(A463="",B463=""),"",_xlfn.MAXIFS(TrocasEquip!$A$2:$A$1000,TrocasEquip!$B$2:$B$1000,B463,TrocasEquip!$A$2:$A$1000,"&lt;"&amp;A463))</f>
        <v/>
      </c>
      <c r="M463">
        <f>IF(N(L463)=0,0,MATCH(1,INDEX((TrocasEquip!$B$2:$B$1000=B463)*(TrocasEquip!$A$2:$A$1000=L463),0),0))</f>
        <v/>
      </c>
      <c r="N463">
        <f>IF(B463="","",IFERROR(MATCH(B463,Equipamentos!$P$2:$P$61,0),""))</f>
        <v/>
      </c>
      <c r="O463">
        <f>IF(N463="","",IF(M463=0,INDEX(Equipamentos!$U$2:$U$61,N463),L463))</f>
        <v/>
      </c>
      <c r="P463">
        <f>IF(N463="","",IF(M463=0,N(INDEX(Equipamentos!$V$2:$V$61,N463)),N(INDEX(TrocasEquip!$I$2:$I$1000,M463))))</f>
        <v/>
      </c>
      <c r="Q463">
        <f>IF(N463="","",IF(M463=0,INDEX(Equipamentos!$T$2:$T$61,N463),IF(INDEX(TrocasEquip!$H$2:$H$1000,M463)="",INDEX(Equipamentos!$T$2:$T$61,N463),INDEX(TrocasEquip!$H$2:$H$1000,M463))))</f>
        <v/>
      </c>
    </row>
    <row r="464">
      <c r="A464" s="54" t="n"/>
      <c r="B464" s="55" t="n"/>
      <c r="C464">
        <f>IF(B464="","",IF(N464="","posição não encontrada",IF(M464=0,INDEX(Equipamentos!$S$2:$S$61,N464),INDEX(TrocasEquip!$G$2:$G$1000,M464))))</f>
        <v/>
      </c>
      <c r="D464" s="56">
        <f>IF(OR(A464="",N464=""),"",P464+IF(E464="dias",MAX(0,A464-O464),IF(INDEX(Equipamentos!$D$2:$D$61,N464)=2,SUMIFS(Producao!$D:$D,Producao!$A:$A,"&gt;="&amp;O464,Producao!$A:$A,"&lt;"&amp;A464),IF(INDEX(Equipamentos!$D$2:$D$61,N464)=3,SUMIFS(Producao!$E:$E,Producao!$A:$A,"&gt;="&amp;O464,Producao!$A:$A,"&lt;"&amp;A464),SUMIFS(Producao!$B:$B,Producao!$A:$A,"&gt;="&amp;O464,Producao!$A:$A,"&lt;"&amp;A464)))))</f>
        <v/>
      </c>
      <c r="E464">
        <f>IF(N464="","",INDEX(Equipamentos!$C$2:$C$61,N464))</f>
        <v/>
      </c>
      <c r="F464" s="57">
        <f>IF(OR(D464="",N(Q464)&lt;=0),"",D464/Q464)</f>
        <v/>
      </c>
      <c r="G464" s="55" t="n"/>
      <c r="H464" s="58" t="n"/>
      <c r="I464" s="58" t="n"/>
      <c r="J464" s="55" t="n"/>
      <c r="K464" s="55" t="n"/>
      <c r="L464">
        <f>IF(OR(A464="",B464=""),"",_xlfn.MAXIFS(TrocasEquip!$A$2:$A$1000,TrocasEquip!$B$2:$B$1000,B464,TrocasEquip!$A$2:$A$1000,"&lt;"&amp;A464))</f>
        <v/>
      </c>
      <c r="M464">
        <f>IF(N(L464)=0,0,MATCH(1,INDEX((TrocasEquip!$B$2:$B$1000=B464)*(TrocasEquip!$A$2:$A$1000=L464),0),0))</f>
        <v/>
      </c>
      <c r="N464">
        <f>IF(B464="","",IFERROR(MATCH(B464,Equipamentos!$P$2:$P$61,0),""))</f>
        <v/>
      </c>
      <c r="O464">
        <f>IF(N464="","",IF(M464=0,INDEX(Equipamentos!$U$2:$U$61,N464),L464))</f>
        <v/>
      </c>
      <c r="P464">
        <f>IF(N464="","",IF(M464=0,N(INDEX(Equipamentos!$V$2:$V$61,N464)),N(INDEX(TrocasEquip!$I$2:$I$1000,M464))))</f>
        <v/>
      </c>
      <c r="Q464">
        <f>IF(N464="","",IF(M464=0,INDEX(Equipamentos!$T$2:$T$61,N464),IF(INDEX(TrocasEquip!$H$2:$H$1000,M464)="",INDEX(Equipamentos!$T$2:$T$61,N464),INDEX(TrocasEquip!$H$2:$H$1000,M464))))</f>
        <v/>
      </c>
    </row>
    <row r="465">
      <c r="A465" s="54" t="n"/>
      <c r="B465" s="55" t="n"/>
      <c r="C465">
        <f>IF(B465="","",IF(N465="","posição não encontrada",IF(M465=0,INDEX(Equipamentos!$S$2:$S$61,N465),INDEX(TrocasEquip!$G$2:$G$1000,M465))))</f>
        <v/>
      </c>
      <c r="D465" s="56">
        <f>IF(OR(A465="",N465=""),"",P465+IF(E465="dias",MAX(0,A465-O465),IF(INDEX(Equipamentos!$D$2:$D$61,N465)=2,SUMIFS(Producao!$D:$D,Producao!$A:$A,"&gt;="&amp;O465,Producao!$A:$A,"&lt;"&amp;A465),IF(INDEX(Equipamentos!$D$2:$D$61,N465)=3,SUMIFS(Producao!$E:$E,Producao!$A:$A,"&gt;="&amp;O465,Producao!$A:$A,"&lt;"&amp;A465),SUMIFS(Producao!$B:$B,Producao!$A:$A,"&gt;="&amp;O465,Producao!$A:$A,"&lt;"&amp;A465)))))</f>
        <v/>
      </c>
      <c r="E465">
        <f>IF(N465="","",INDEX(Equipamentos!$C$2:$C$61,N465))</f>
        <v/>
      </c>
      <c r="F465" s="57">
        <f>IF(OR(D465="",N(Q465)&lt;=0),"",D465/Q465)</f>
        <v/>
      </c>
      <c r="G465" s="55" t="n"/>
      <c r="H465" s="58" t="n"/>
      <c r="I465" s="58" t="n"/>
      <c r="J465" s="55" t="n"/>
      <c r="K465" s="55" t="n"/>
      <c r="L465">
        <f>IF(OR(A465="",B465=""),"",_xlfn.MAXIFS(TrocasEquip!$A$2:$A$1000,TrocasEquip!$B$2:$B$1000,B465,TrocasEquip!$A$2:$A$1000,"&lt;"&amp;A465))</f>
        <v/>
      </c>
      <c r="M465">
        <f>IF(N(L465)=0,0,MATCH(1,INDEX((TrocasEquip!$B$2:$B$1000=B465)*(TrocasEquip!$A$2:$A$1000=L465),0),0))</f>
        <v/>
      </c>
      <c r="N465">
        <f>IF(B465="","",IFERROR(MATCH(B465,Equipamentos!$P$2:$P$61,0),""))</f>
        <v/>
      </c>
      <c r="O465">
        <f>IF(N465="","",IF(M465=0,INDEX(Equipamentos!$U$2:$U$61,N465),L465))</f>
        <v/>
      </c>
      <c r="P465">
        <f>IF(N465="","",IF(M465=0,N(INDEX(Equipamentos!$V$2:$V$61,N465)),N(INDEX(TrocasEquip!$I$2:$I$1000,M465))))</f>
        <v/>
      </c>
      <c r="Q465">
        <f>IF(N465="","",IF(M465=0,INDEX(Equipamentos!$T$2:$T$61,N465),IF(INDEX(TrocasEquip!$H$2:$H$1000,M465)="",INDEX(Equipamentos!$T$2:$T$61,N465),INDEX(TrocasEquip!$H$2:$H$1000,M465))))</f>
        <v/>
      </c>
    </row>
    <row r="466">
      <c r="A466" s="54" t="n"/>
      <c r="B466" s="55" t="n"/>
      <c r="C466">
        <f>IF(B466="","",IF(N466="","posição não encontrada",IF(M466=0,INDEX(Equipamentos!$S$2:$S$61,N466),INDEX(TrocasEquip!$G$2:$G$1000,M466))))</f>
        <v/>
      </c>
      <c r="D466" s="56">
        <f>IF(OR(A466="",N466=""),"",P466+IF(E466="dias",MAX(0,A466-O466),IF(INDEX(Equipamentos!$D$2:$D$61,N466)=2,SUMIFS(Producao!$D:$D,Producao!$A:$A,"&gt;="&amp;O466,Producao!$A:$A,"&lt;"&amp;A466),IF(INDEX(Equipamentos!$D$2:$D$61,N466)=3,SUMIFS(Producao!$E:$E,Producao!$A:$A,"&gt;="&amp;O466,Producao!$A:$A,"&lt;"&amp;A466),SUMIFS(Producao!$B:$B,Producao!$A:$A,"&gt;="&amp;O466,Producao!$A:$A,"&lt;"&amp;A466)))))</f>
        <v/>
      </c>
      <c r="E466">
        <f>IF(N466="","",INDEX(Equipamentos!$C$2:$C$61,N466))</f>
        <v/>
      </c>
      <c r="F466" s="57">
        <f>IF(OR(D466="",N(Q466)&lt;=0),"",D466/Q466)</f>
        <v/>
      </c>
      <c r="G466" s="55" t="n"/>
      <c r="H466" s="58" t="n"/>
      <c r="I466" s="58" t="n"/>
      <c r="J466" s="55" t="n"/>
      <c r="K466" s="55" t="n"/>
      <c r="L466">
        <f>IF(OR(A466="",B466=""),"",_xlfn.MAXIFS(TrocasEquip!$A$2:$A$1000,TrocasEquip!$B$2:$B$1000,B466,TrocasEquip!$A$2:$A$1000,"&lt;"&amp;A466))</f>
        <v/>
      </c>
      <c r="M466">
        <f>IF(N(L466)=0,0,MATCH(1,INDEX((TrocasEquip!$B$2:$B$1000=B466)*(TrocasEquip!$A$2:$A$1000=L466),0),0))</f>
        <v/>
      </c>
      <c r="N466">
        <f>IF(B466="","",IFERROR(MATCH(B466,Equipamentos!$P$2:$P$61,0),""))</f>
        <v/>
      </c>
      <c r="O466">
        <f>IF(N466="","",IF(M466=0,INDEX(Equipamentos!$U$2:$U$61,N466),L466))</f>
        <v/>
      </c>
      <c r="P466">
        <f>IF(N466="","",IF(M466=0,N(INDEX(Equipamentos!$V$2:$V$61,N466)),N(INDEX(TrocasEquip!$I$2:$I$1000,M466))))</f>
        <v/>
      </c>
      <c r="Q466">
        <f>IF(N466="","",IF(M466=0,INDEX(Equipamentos!$T$2:$T$61,N466),IF(INDEX(TrocasEquip!$H$2:$H$1000,M466)="",INDEX(Equipamentos!$T$2:$T$61,N466),INDEX(TrocasEquip!$H$2:$H$1000,M466))))</f>
        <v/>
      </c>
    </row>
    <row r="467">
      <c r="A467" s="54" t="n"/>
      <c r="B467" s="55" t="n"/>
      <c r="C467">
        <f>IF(B467="","",IF(N467="","posição não encontrada",IF(M467=0,INDEX(Equipamentos!$S$2:$S$61,N467),INDEX(TrocasEquip!$G$2:$G$1000,M467))))</f>
        <v/>
      </c>
      <c r="D467" s="56">
        <f>IF(OR(A467="",N467=""),"",P467+IF(E467="dias",MAX(0,A467-O467),IF(INDEX(Equipamentos!$D$2:$D$61,N467)=2,SUMIFS(Producao!$D:$D,Producao!$A:$A,"&gt;="&amp;O467,Producao!$A:$A,"&lt;"&amp;A467),IF(INDEX(Equipamentos!$D$2:$D$61,N467)=3,SUMIFS(Producao!$E:$E,Producao!$A:$A,"&gt;="&amp;O467,Producao!$A:$A,"&lt;"&amp;A467),SUMIFS(Producao!$B:$B,Producao!$A:$A,"&gt;="&amp;O467,Producao!$A:$A,"&lt;"&amp;A467)))))</f>
        <v/>
      </c>
      <c r="E467">
        <f>IF(N467="","",INDEX(Equipamentos!$C$2:$C$61,N467))</f>
        <v/>
      </c>
      <c r="F467" s="57">
        <f>IF(OR(D467="",N(Q467)&lt;=0),"",D467/Q467)</f>
        <v/>
      </c>
      <c r="G467" s="55" t="n"/>
      <c r="H467" s="58" t="n"/>
      <c r="I467" s="58" t="n"/>
      <c r="J467" s="55" t="n"/>
      <c r="K467" s="55" t="n"/>
      <c r="L467">
        <f>IF(OR(A467="",B467=""),"",_xlfn.MAXIFS(TrocasEquip!$A$2:$A$1000,TrocasEquip!$B$2:$B$1000,B467,TrocasEquip!$A$2:$A$1000,"&lt;"&amp;A467))</f>
        <v/>
      </c>
      <c r="M467">
        <f>IF(N(L467)=0,0,MATCH(1,INDEX((TrocasEquip!$B$2:$B$1000=B467)*(TrocasEquip!$A$2:$A$1000=L467),0),0))</f>
        <v/>
      </c>
      <c r="N467">
        <f>IF(B467="","",IFERROR(MATCH(B467,Equipamentos!$P$2:$P$61,0),""))</f>
        <v/>
      </c>
      <c r="O467">
        <f>IF(N467="","",IF(M467=0,INDEX(Equipamentos!$U$2:$U$61,N467),L467))</f>
        <v/>
      </c>
      <c r="P467">
        <f>IF(N467="","",IF(M467=0,N(INDEX(Equipamentos!$V$2:$V$61,N467)),N(INDEX(TrocasEquip!$I$2:$I$1000,M467))))</f>
        <v/>
      </c>
      <c r="Q467">
        <f>IF(N467="","",IF(M467=0,INDEX(Equipamentos!$T$2:$T$61,N467),IF(INDEX(TrocasEquip!$H$2:$H$1000,M467)="",INDEX(Equipamentos!$T$2:$T$61,N467),INDEX(TrocasEquip!$H$2:$H$1000,M467))))</f>
        <v/>
      </c>
    </row>
    <row r="468">
      <c r="A468" s="54" t="n"/>
      <c r="B468" s="55" t="n"/>
      <c r="C468">
        <f>IF(B468="","",IF(N468="","posição não encontrada",IF(M468=0,INDEX(Equipamentos!$S$2:$S$61,N468),INDEX(TrocasEquip!$G$2:$G$1000,M468))))</f>
        <v/>
      </c>
      <c r="D468" s="56">
        <f>IF(OR(A468="",N468=""),"",P468+IF(E468="dias",MAX(0,A468-O468),IF(INDEX(Equipamentos!$D$2:$D$61,N468)=2,SUMIFS(Producao!$D:$D,Producao!$A:$A,"&gt;="&amp;O468,Producao!$A:$A,"&lt;"&amp;A468),IF(INDEX(Equipamentos!$D$2:$D$61,N468)=3,SUMIFS(Producao!$E:$E,Producao!$A:$A,"&gt;="&amp;O468,Producao!$A:$A,"&lt;"&amp;A468),SUMIFS(Producao!$B:$B,Producao!$A:$A,"&gt;="&amp;O468,Producao!$A:$A,"&lt;"&amp;A468)))))</f>
        <v/>
      </c>
      <c r="E468">
        <f>IF(N468="","",INDEX(Equipamentos!$C$2:$C$61,N468))</f>
        <v/>
      </c>
      <c r="F468" s="57">
        <f>IF(OR(D468="",N(Q468)&lt;=0),"",D468/Q468)</f>
        <v/>
      </c>
      <c r="G468" s="55" t="n"/>
      <c r="H468" s="58" t="n"/>
      <c r="I468" s="58" t="n"/>
      <c r="J468" s="55" t="n"/>
      <c r="K468" s="55" t="n"/>
      <c r="L468">
        <f>IF(OR(A468="",B468=""),"",_xlfn.MAXIFS(TrocasEquip!$A$2:$A$1000,TrocasEquip!$B$2:$B$1000,B468,TrocasEquip!$A$2:$A$1000,"&lt;"&amp;A468))</f>
        <v/>
      </c>
      <c r="M468">
        <f>IF(N(L468)=0,0,MATCH(1,INDEX((TrocasEquip!$B$2:$B$1000=B468)*(TrocasEquip!$A$2:$A$1000=L468),0),0))</f>
        <v/>
      </c>
      <c r="N468">
        <f>IF(B468="","",IFERROR(MATCH(B468,Equipamentos!$P$2:$P$61,0),""))</f>
        <v/>
      </c>
      <c r="O468">
        <f>IF(N468="","",IF(M468=0,INDEX(Equipamentos!$U$2:$U$61,N468),L468))</f>
        <v/>
      </c>
      <c r="P468">
        <f>IF(N468="","",IF(M468=0,N(INDEX(Equipamentos!$V$2:$V$61,N468)),N(INDEX(TrocasEquip!$I$2:$I$1000,M468))))</f>
        <v/>
      </c>
      <c r="Q468">
        <f>IF(N468="","",IF(M468=0,INDEX(Equipamentos!$T$2:$T$61,N468),IF(INDEX(TrocasEquip!$H$2:$H$1000,M468)="",INDEX(Equipamentos!$T$2:$T$61,N468),INDEX(TrocasEquip!$H$2:$H$1000,M468))))</f>
        <v/>
      </c>
    </row>
    <row r="469">
      <c r="A469" s="54" t="n"/>
      <c r="B469" s="55" t="n"/>
      <c r="C469">
        <f>IF(B469="","",IF(N469="","posição não encontrada",IF(M469=0,INDEX(Equipamentos!$S$2:$S$61,N469),INDEX(TrocasEquip!$G$2:$G$1000,M469))))</f>
        <v/>
      </c>
      <c r="D469" s="56">
        <f>IF(OR(A469="",N469=""),"",P469+IF(E469="dias",MAX(0,A469-O469),IF(INDEX(Equipamentos!$D$2:$D$61,N469)=2,SUMIFS(Producao!$D:$D,Producao!$A:$A,"&gt;="&amp;O469,Producao!$A:$A,"&lt;"&amp;A469),IF(INDEX(Equipamentos!$D$2:$D$61,N469)=3,SUMIFS(Producao!$E:$E,Producao!$A:$A,"&gt;="&amp;O469,Producao!$A:$A,"&lt;"&amp;A469),SUMIFS(Producao!$B:$B,Producao!$A:$A,"&gt;="&amp;O469,Producao!$A:$A,"&lt;"&amp;A469)))))</f>
        <v/>
      </c>
      <c r="E469">
        <f>IF(N469="","",INDEX(Equipamentos!$C$2:$C$61,N469))</f>
        <v/>
      </c>
      <c r="F469" s="57">
        <f>IF(OR(D469="",N(Q469)&lt;=0),"",D469/Q469)</f>
        <v/>
      </c>
      <c r="G469" s="55" t="n"/>
      <c r="H469" s="58" t="n"/>
      <c r="I469" s="58" t="n"/>
      <c r="J469" s="55" t="n"/>
      <c r="K469" s="55" t="n"/>
      <c r="L469">
        <f>IF(OR(A469="",B469=""),"",_xlfn.MAXIFS(TrocasEquip!$A$2:$A$1000,TrocasEquip!$B$2:$B$1000,B469,TrocasEquip!$A$2:$A$1000,"&lt;"&amp;A469))</f>
        <v/>
      </c>
      <c r="M469">
        <f>IF(N(L469)=0,0,MATCH(1,INDEX((TrocasEquip!$B$2:$B$1000=B469)*(TrocasEquip!$A$2:$A$1000=L469),0),0))</f>
        <v/>
      </c>
      <c r="N469">
        <f>IF(B469="","",IFERROR(MATCH(B469,Equipamentos!$P$2:$P$61,0),""))</f>
        <v/>
      </c>
      <c r="O469">
        <f>IF(N469="","",IF(M469=0,INDEX(Equipamentos!$U$2:$U$61,N469),L469))</f>
        <v/>
      </c>
      <c r="P469">
        <f>IF(N469="","",IF(M469=0,N(INDEX(Equipamentos!$V$2:$V$61,N469)),N(INDEX(TrocasEquip!$I$2:$I$1000,M469))))</f>
        <v/>
      </c>
      <c r="Q469">
        <f>IF(N469="","",IF(M469=0,INDEX(Equipamentos!$T$2:$T$61,N469),IF(INDEX(TrocasEquip!$H$2:$H$1000,M469)="",INDEX(Equipamentos!$T$2:$T$61,N469),INDEX(TrocasEquip!$H$2:$H$1000,M469))))</f>
        <v/>
      </c>
    </row>
    <row r="470">
      <c r="A470" s="54" t="n"/>
      <c r="B470" s="55" t="n"/>
      <c r="C470">
        <f>IF(B470="","",IF(N470="","posição não encontrada",IF(M470=0,INDEX(Equipamentos!$S$2:$S$61,N470),INDEX(TrocasEquip!$G$2:$G$1000,M470))))</f>
        <v/>
      </c>
      <c r="D470" s="56">
        <f>IF(OR(A470="",N470=""),"",P470+IF(E470="dias",MAX(0,A470-O470),IF(INDEX(Equipamentos!$D$2:$D$61,N470)=2,SUMIFS(Producao!$D:$D,Producao!$A:$A,"&gt;="&amp;O470,Producao!$A:$A,"&lt;"&amp;A470),IF(INDEX(Equipamentos!$D$2:$D$61,N470)=3,SUMIFS(Producao!$E:$E,Producao!$A:$A,"&gt;="&amp;O470,Producao!$A:$A,"&lt;"&amp;A470),SUMIFS(Producao!$B:$B,Producao!$A:$A,"&gt;="&amp;O470,Producao!$A:$A,"&lt;"&amp;A470)))))</f>
        <v/>
      </c>
      <c r="E470">
        <f>IF(N470="","",INDEX(Equipamentos!$C$2:$C$61,N470))</f>
        <v/>
      </c>
      <c r="F470" s="57">
        <f>IF(OR(D470="",N(Q470)&lt;=0),"",D470/Q470)</f>
        <v/>
      </c>
      <c r="G470" s="55" t="n"/>
      <c r="H470" s="58" t="n"/>
      <c r="I470" s="58" t="n"/>
      <c r="J470" s="55" t="n"/>
      <c r="K470" s="55" t="n"/>
      <c r="L470">
        <f>IF(OR(A470="",B470=""),"",_xlfn.MAXIFS(TrocasEquip!$A$2:$A$1000,TrocasEquip!$B$2:$B$1000,B470,TrocasEquip!$A$2:$A$1000,"&lt;"&amp;A470))</f>
        <v/>
      </c>
      <c r="M470">
        <f>IF(N(L470)=0,0,MATCH(1,INDEX((TrocasEquip!$B$2:$B$1000=B470)*(TrocasEquip!$A$2:$A$1000=L470),0),0))</f>
        <v/>
      </c>
      <c r="N470">
        <f>IF(B470="","",IFERROR(MATCH(B470,Equipamentos!$P$2:$P$61,0),""))</f>
        <v/>
      </c>
      <c r="O470">
        <f>IF(N470="","",IF(M470=0,INDEX(Equipamentos!$U$2:$U$61,N470),L470))</f>
        <v/>
      </c>
      <c r="P470">
        <f>IF(N470="","",IF(M470=0,N(INDEX(Equipamentos!$V$2:$V$61,N470)),N(INDEX(TrocasEquip!$I$2:$I$1000,M470))))</f>
        <v/>
      </c>
      <c r="Q470">
        <f>IF(N470="","",IF(M470=0,INDEX(Equipamentos!$T$2:$T$61,N470),IF(INDEX(TrocasEquip!$H$2:$H$1000,M470)="",INDEX(Equipamentos!$T$2:$T$61,N470),INDEX(TrocasEquip!$H$2:$H$1000,M470))))</f>
        <v/>
      </c>
    </row>
    <row r="471">
      <c r="A471" s="54" t="n"/>
      <c r="B471" s="55" t="n"/>
      <c r="C471">
        <f>IF(B471="","",IF(N471="","posição não encontrada",IF(M471=0,INDEX(Equipamentos!$S$2:$S$61,N471),INDEX(TrocasEquip!$G$2:$G$1000,M471))))</f>
        <v/>
      </c>
      <c r="D471" s="56">
        <f>IF(OR(A471="",N471=""),"",P471+IF(E471="dias",MAX(0,A471-O471),IF(INDEX(Equipamentos!$D$2:$D$61,N471)=2,SUMIFS(Producao!$D:$D,Producao!$A:$A,"&gt;="&amp;O471,Producao!$A:$A,"&lt;"&amp;A471),IF(INDEX(Equipamentos!$D$2:$D$61,N471)=3,SUMIFS(Producao!$E:$E,Producao!$A:$A,"&gt;="&amp;O471,Producao!$A:$A,"&lt;"&amp;A471),SUMIFS(Producao!$B:$B,Producao!$A:$A,"&gt;="&amp;O471,Producao!$A:$A,"&lt;"&amp;A471)))))</f>
        <v/>
      </c>
      <c r="E471">
        <f>IF(N471="","",INDEX(Equipamentos!$C$2:$C$61,N471))</f>
        <v/>
      </c>
      <c r="F471" s="57">
        <f>IF(OR(D471="",N(Q471)&lt;=0),"",D471/Q471)</f>
        <v/>
      </c>
      <c r="G471" s="55" t="n"/>
      <c r="H471" s="58" t="n"/>
      <c r="I471" s="58" t="n"/>
      <c r="J471" s="55" t="n"/>
      <c r="K471" s="55" t="n"/>
      <c r="L471">
        <f>IF(OR(A471="",B471=""),"",_xlfn.MAXIFS(TrocasEquip!$A$2:$A$1000,TrocasEquip!$B$2:$B$1000,B471,TrocasEquip!$A$2:$A$1000,"&lt;"&amp;A471))</f>
        <v/>
      </c>
      <c r="M471">
        <f>IF(N(L471)=0,0,MATCH(1,INDEX((TrocasEquip!$B$2:$B$1000=B471)*(TrocasEquip!$A$2:$A$1000=L471),0),0))</f>
        <v/>
      </c>
      <c r="N471">
        <f>IF(B471="","",IFERROR(MATCH(B471,Equipamentos!$P$2:$P$61,0),""))</f>
        <v/>
      </c>
      <c r="O471">
        <f>IF(N471="","",IF(M471=0,INDEX(Equipamentos!$U$2:$U$61,N471),L471))</f>
        <v/>
      </c>
      <c r="P471">
        <f>IF(N471="","",IF(M471=0,N(INDEX(Equipamentos!$V$2:$V$61,N471)),N(INDEX(TrocasEquip!$I$2:$I$1000,M471))))</f>
        <v/>
      </c>
      <c r="Q471">
        <f>IF(N471="","",IF(M471=0,INDEX(Equipamentos!$T$2:$T$61,N471),IF(INDEX(TrocasEquip!$H$2:$H$1000,M471)="",INDEX(Equipamentos!$T$2:$T$61,N471),INDEX(TrocasEquip!$H$2:$H$1000,M471))))</f>
        <v/>
      </c>
    </row>
    <row r="472">
      <c r="A472" s="54" t="n"/>
      <c r="B472" s="55" t="n"/>
      <c r="C472">
        <f>IF(B472="","",IF(N472="","posição não encontrada",IF(M472=0,INDEX(Equipamentos!$S$2:$S$61,N472),INDEX(TrocasEquip!$G$2:$G$1000,M472))))</f>
        <v/>
      </c>
      <c r="D472" s="56">
        <f>IF(OR(A472="",N472=""),"",P472+IF(E472="dias",MAX(0,A472-O472),IF(INDEX(Equipamentos!$D$2:$D$61,N472)=2,SUMIFS(Producao!$D:$D,Producao!$A:$A,"&gt;="&amp;O472,Producao!$A:$A,"&lt;"&amp;A472),IF(INDEX(Equipamentos!$D$2:$D$61,N472)=3,SUMIFS(Producao!$E:$E,Producao!$A:$A,"&gt;="&amp;O472,Producao!$A:$A,"&lt;"&amp;A472),SUMIFS(Producao!$B:$B,Producao!$A:$A,"&gt;="&amp;O472,Producao!$A:$A,"&lt;"&amp;A472)))))</f>
        <v/>
      </c>
      <c r="E472">
        <f>IF(N472="","",INDEX(Equipamentos!$C$2:$C$61,N472))</f>
        <v/>
      </c>
      <c r="F472" s="57">
        <f>IF(OR(D472="",N(Q472)&lt;=0),"",D472/Q472)</f>
        <v/>
      </c>
      <c r="G472" s="55" t="n"/>
      <c r="H472" s="58" t="n"/>
      <c r="I472" s="58" t="n"/>
      <c r="J472" s="55" t="n"/>
      <c r="K472" s="55" t="n"/>
      <c r="L472">
        <f>IF(OR(A472="",B472=""),"",_xlfn.MAXIFS(TrocasEquip!$A$2:$A$1000,TrocasEquip!$B$2:$B$1000,B472,TrocasEquip!$A$2:$A$1000,"&lt;"&amp;A472))</f>
        <v/>
      </c>
      <c r="M472">
        <f>IF(N(L472)=0,0,MATCH(1,INDEX((TrocasEquip!$B$2:$B$1000=B472)*(TrocasEquip!$A$2:$A$1000=L472),0),0))</f>
        <v/>
      </c>
      <c r="N472">
        <f>IF(B472="","",IFERROR(MATCH(B472,Equipamentos!$P$2:$P$61,0),""))</f>
        <v/>
      </c>
      <c r="O472">
        <f>IF(N472="","",IF(M472=0,INDEX(Equipamentos!$U$2:$U$61,N472),L472))</f>
        <v/>
      </c>
      <c r="P472">
        <f>IF(N472="","",IF(M472=0,N(INDEX(Equipamentos!$V$2:$V$61,N472)),N(INDEX(TrocasEquip!$I$2:$I$1000,M472))))</f>
        <v/>
      </c>
      <c r="Q472">
        <f>IF(N472="","",IF(M472=0,INDEX(Equipamentos!$T$2:$T$61,N472),IF(INDEX(TrocasEquip!$H$2:$H$1000,M472)="",INDEX(Equipamentos!$T$2:$T$61,N472),INDEX(TrocasEquip!$H$2:$H$1000,M472))))</f>
        <v/>
      </c>
    </row>
    <row r="473">
      <c r="A473" s="54" t="n"/>
      <c r="B473" s="55" t="n"/>
      <c r="C473">
        <f>IF(B473="","",IF(N473="","posição não encontrada",IF(M473=0,INDEX(Equipamentos!$S$2:$S$61,N473),INDEX(TrocasEquip!$G$2:$G$1000,M473))))</f>
        <v/>
      </c>
      <c r="D473" s="56">
        <f>IF(OR(A473="",N473=""),"",P473+IF(E473="dias",MAX(0,A473-O473),IF(INDEX(Equipamentos!$D$2:$D$61,N473)=2,SUMIFS(Producao!$D:$D,Producao!$A:$A,"&gt;="&amp;O473,Producao!$A:$A,"&lt;"&amp;A473),IF(INDEX(Equipamentos!$D$2:$D$61,N473)=3,SUMIFS(Producao!$E:$E,Producao!$A:$A,"&gt;="&amp;O473,Producao!$A:$A,"&lt;"&amp;A473),SUMIFS(Producao!$B:$B,Producao!$A:$A,"&gt;="&amp;O473,Producao!$A:$A,"&lt;"&amp;A473)))))</f>
        <v/>
      </c>
      <c r="E473">
        <f>IF(N473="","",INDEX(Equipamentos!$C$2:$C$61,N473))</f>
        <v/>
      </c>
      <c r="F473" s="57">
        <f>IF(OR(D473="",N(Q473)&lt;=0),"",D473/Q473)</f>
        <v/>
      </c>
      <c r="G473" s="55" t="n"/>
      <c r="H473" s="58" t="n"/>
      <c r="I473" s="58" t="n"/>
      <c r="J473" s="55" t="n"/>
      <c r="K473" s="55" t="n"/>
      <c r="L473">
        <f>IF(OR(A473="",B473=""),"",_xlfn.MAXIFS(TrocasEquip!$A$2:$A$1000,TrocasEquip!$B$2:$B$1000,B473,TrocasEquip!$A$2:$A$1000,"&lt;"&amp;A473))</f>
        <v/>
      </c>
      <c r="M473">
        <f>IF(N(L473)=0,0,MATCH(1,INDEX((TrocasEquip!$B$2:$B$1000=B473)*(TrocasEquip!$A$2:$A$1000=L473),0),0))</f>
        <v/>
      </c>
      <c r="N473">
        <f>IF(B473="","",IFERROR(MATCH(B473,Equipamentos!$P$2:$P$61,0),""))</f>
        <v/>
      </c>
      <c r="O473">
        <f>IF(N473="","",IF(M473=0,INDEX(Equipamentos!$U$2:$U$61,N473),L473))</f>
        <v/>
      </c>
      <c r="P473">
        <f>IF(N473="","",IF(M473=0,N(INDEX(Equipamentos!$V$2:$V$61,N473)),N(INDEX(TrocasEquip!$I$2:$I$1000,M473))))</f>
        <v/>
      </c>
      <c r="Q473">
        <f>IF(N473="","",IF(M473=0,INDEX(Equipamentos!$T$2:$T$61,N473),IF(INDEX(TrocasEquip!$H$2:$H$1000,M473)="",INDEX(Equipamentos!$T$2:$T$61,N473),INDEX(TrocasEquip!$H$2:$H$1000,M473))))</f>
        <v/>
      </c>
    </row>
    <row r="474">
      <c r="A474" s="54" t="n"/>
      <c r="B474" s="55" t="n"/>
      <c r="C474">
        <f>IF(B474="","",IF(N474="","posição não encontrada",IF(M474=0,INDEX(Equipamentos!$S$2:$S$61,N474),INDEX(TrocasEquip!$G$2:$G$1000,M474))))</f>
        <v/>
      </c>
      <c r="D474" s="56">
        <f>IF(OR(A474="",N474=""),"",P474+IF(E474="dias",MAX(0,A474-O474),IF(INDEX(Equipamentos!$D$2:$D$61,N474)=2,SUMIFS(Producao!$D:$D,Producao!$A:$A,"&gt;="&amp;O474,Producao!$A:$A,"&lt;"&amp;A474),IF(INDEX(Equipamentos!$D$2:$D$61,N474)=3,SUMIFS(Producao!$E:$E,Producao!$A:$A,"&gt;="&amp;O474,Producao!$A:$A,"&lt;"&amp;A474),SUMIFS(Producao!$B:$B,Producao!$A:$A,"&gt;="&amp;O474,Producao!$A:$A,"&lt;"&amp;A474)))))</f>
        <v/>
      </c>
      <c r="E474">
        <f>IF(N474="","",INDEX(Equipamentos!$C$2:$C$61,N474))</f>
        <v/>
      </c>
      <c r="F474" s="57">
        <f>IF(OR(D474="",N(Q474)&lt;=0),"",D474/Q474)</f>
        <v/>
      </c>
      <c r="G474" s="55" t="n"/>
      <c r="H474" s="58" t="n"/>
      <c r="I474" s="58" t="n"/>
      <c r="J474" s="55" t="n"/>
      <c r="K474" s="55" t="n"/>
      <c r="L474">
        <f>IF(OR(A474="",B474=""),"",_xlfn.MAXIFS(TrocasEquip!$A$2:$A$1000,TrocasEquip!$B$2:$B$1000,B474,TrocasEquip!$A$2:$A$1000,"&lt;"&amp;A474))</f>
        <v/>
      </c>
      <c r="M474">
        <f>IF(N(L474)=0,0,MATCH(1,INDEX((TrocasEquip!$B$2:$B$1000=B474)*(TrocasEquip!$A$2:$A$1000=L474),0),0))</f>
        <v/>
      </c>
      <c r="N474">
        <f>IF(B474="","",IFERROR(MATCH(B474,Equipamentos!$P$2:$P$61,0),""))</f>
        <v/>
      </c>
      <c r="O474">
        <f>IF(N474="","",IF(M474=0,INDEX(Equipamentos!$U$2:$U$61,N474),L474))</f>
        <v/>
      </c>
      <c r="P474">
        <f>IF(N474="","",IF(M474=0,N(INDEX(Equipamentos!$V$2:$V$61,N474)),N(INDEX(TrocasEquip!$I$2:$I$1000,M474))))</f>
        <v/>
      </c>
      <c r="Q474">
        <f>IF(N474="","",IF(M474=0,INDEX(Equipamentos!$T$2:$T$61,N474),IF(INDEX(TrocasEquip!$H$2:$H$1000,M474)="",INDEX(Equipamentos!$T$2:$T$61,N474),INDEX(TrocasEquip!$H$2:$H$1000,M474))))</f>
        <v/>
      </c>
    </row>
    <row r="475">
      <c r="A475" s="54" t="n"/>
      <c r="B475" s="55" t="n"/>
      <c r="C475">
        <f>IF(B475="","",IF(N475="","posição não encontrada",IF(M475=0,INDEX(Equipamentos!$S$2:$S$61,N475),INDEX(TrocasEquip!$G$2:$G$1000,M475))))</f>
        <v/>
      </c>
      <c r="D475" s="56">
        <f>IF(OR(A475="",N475=""),"",P475+IF(E475="dias",MAX(0,A475-O475),IF(INDEX(Equipamentos!$D$2:$D$61,N475)=2,SUMIFS(Producao!$D:$D,Producao!$A:$A,"&gt;="&amp;O475,Producao!$A:$A,"&lt;"&amp;A475),IF(INDEX(Equipamentos!$D$2:$D$61,N475)=3,SUMIFS(Producao!$E:$E,Producao!$A:$A,"&gt;="&amp;O475,Producao!$A:$A,"&lt;"&amp;A475),SUMIFS(Producao!$B:$B,Producao!$A:$A,"&gt;="&amp;O475,Producao!$A:$A,"&lt;"&amp;A475)))))</f>
        <v/>
      </c>
      <c r="E475">
        <f>IF(N475="","",INDEX(Equipamentos!$C$2:$C$61,N475))</f>
        <v/>
      </c>
      <c r="F475" s="57">
        <f>IF(OR(D475="",N(Q475)&lt;=0),"",D475/Q475)</f>
        <v/>
      </c>
      <c r="G475" s="55" t="n"/>
      <c r="H475" s="58" t="n"/>
      <c r="I475" s="58" t="n"/>
      <c r="J475" s="55" t="n"/>
      <c r="K475" s="55" t="n"/>
      <c r="L475">
        <f>IF(OR(A475="",B475=""),"",_xlfn.MAXIFS(TrocasEquip!$A$2:$A$1000,TrocasEquip!$B$2:$B$1000,B475,TrocasEquip!$A$2:$A$1000,"&lt;"&amp;A475))</f>
        <v/>
      </c>
      <c r="M475">
        <f>IF(N(L475)=0,0,MATCH(1,INDEX((TrocasEquip!$B$2:$B$1000=B475)*(TrocasEquip!$A$2:$A$1000=L475),0),0))</f>
        <v/>
      </c>
      <c r="N475">
        <f>IF(B475="","",IFERROR(MATCH(B475,Equipamentos!$P$2:$P$61,0),""))</f>
        <v/>
      </c>
      <c r="O475">
        <f>IF(N475="","",IF(M475=0,INDEX(Equipamentos!$U$2:$U$61,N475),L475))</f>
        <v/>
      </c>
      <c r="P475">
        <f>IF(N475="","",IF(M475=0,N(INDEX(Equipamentos!$V$2:$V$61,N475)),N(INDEX(TrocasEquip!$I$2:$I$1000,M475))))</f>
        <v/>
      </c>
      <c r="Q475">
        <f>IF(N475="","",IF(M475=0,INDEX(Equipamentos!$T$2:$T$61,N475),IF(INDEX(TrocasEquip!$H$2:$H$1000,M475)="",INDEX(Equipamentos!$T$2:$T$61,N475),INDEX(TrocasEquip!$H$2:$H$1000,M475))))</f>
        <v/>
      </c>
    </row>
    <row r="476">
      <c r="A476" s="54" t="n"/>
      <c r="B476" s="55" t="n"/>
      <c r="C476">
        <f>IF(B476="","",IF(N476="","posição não encontrada",IF(M476=0,INDEX(Equipamentos!$S$2:$S$61,N476),INDEX(TrocasEquip!$G$2:$G$1000,M476))))</f>
        <v/>
      </c>
      <c r="D476" s="56">
        <f>IF(OR(A476="",N476=""),"",P476+IF(E476="dias",MAX(0,A476-O476),IF(INDEX(Equipamentos!$D$2:$D$61,N476)=2,SUMIFS(Producao!$D:$D,Producao!$A:$A,"&gt;="&amp;O476,Producao!$A:$A,"&lt;"&amp;A476),IF(INDEX(Equipamentos!$D$2:$D$61,N476)=3,SUMIFS(Producao!$E:$E,Producao!$A:$A,"&gt;="&amp;O476,Producao!$A:$A,"&lt;"&amp;A476),SUMIFS(Producao!$B:$B,Producao!$A:$A,"&gt;="&amp;O476,Producao!$A:$A,"&lt;"&amp;A476)))))</f>
        <v/>
      </c>
      <c r="E476">
        <f>IF(N476="","",INDEX(Equipamentos!$C$2:$C$61,N476))</f>
        <v/>
      </c>
      <c r="F476" s="57">
        <f>IF(OR(D476="",N(Q476)&lt;=0),"",D476/Q476)</f>
        <v/>
      </c>
      <c r="G476" s="55" t="n"/>
      <c r="H476" s="58" t="n"/>
      <c r="I476" s="58" t="n"/>
      <c r="J476" s="55" t="n"/>
      <c r="K476" s="55" t="n"/>
      <c r="L476">
        <f>IF(OR(A476="",B476=""),"",_xlfn.MAXIFS(TrocasEquip!$A$2:$A$1000,TrocasEquip!$B$2:$B$1000,B476,TrocasEquip!$A$2:$A$1000,"&lt;"&amp;A476))</f>
        <v/>
      </c>
      <c r="M476">
        <f>IF(N(L476)=0,0,MATCH(1,INDEX((TrocasEquip!$B$2:$B$1000=B476)*(TrocasEquip!$A$2:$A$1000=L476),0),0))</f>
        <v/>
      </c>
      <c r="N476">
        <f>IF(B476="","",IFERROR(MATCH(B476,Equipamentos!$P$2:$P$61,0),""))</f>
        <v/>
      </c>
      <c r="O476">
        <f>IF(N476="","",IF(M476=0,INDEX(Equipamentos!$U$2:$U$61,N476),L476))</f>
        <v/>
      </c>
      <c r="P476">
        <f>IF(N476="","",IF(M476=0,N(INDEX(Equipamentos!$V$2:$V$61,N476)),N(INDEX(TrocasEquip!$I$2:$I$1000,M476))))</f>
        <v/>
      </c>
      <c r="Q476">
        <f>IF(N476="","",IF(M476=0,INDEX(Equipamentos!$T$2:$T$61,N476),IF(INDEX(TrocasEquip!$H$2:$H$1000,M476)="",INDEX(Equipamentos!$T$2:$T$61,N476),INDEX(TrocasEquip!$H$2:$H$1000,M476))))</f>
        <v/>
      </c>
    </row>
    <row r="477">
      <c r="A477" s="54" t="n"/>
      <c r="B477" s="55" t="n"/>
      <c r="C477">
        <f>IF(B477="","",IF(N477="","posição não encontrada",IF(M477=0,INDEX(Equipamentos!$S$2:$S$61,N477),INDEX(TrocasEquip!$G$2:$G$1000,M477))))</f>
        <v/>
      </c>
      <c r="D477" s="56">
        <f>IF(OR(A477="",N477=""),"",P477+IF(E477="dias",MAX(0,A477-O477),IF(INDEX(Equipamentos!$D$2:$D$61,N477)=2,SUMIFS(Producao!$D:$D,Producao!$A:$A,"&gt;="&amp;O477,Producao!$A:$A,"&lt;"&amp;A477),IF(INDEX(Equipamentos!$D$2:$D$61,N477)=3,SUMIFS(Producao!$E:$E,Producao!$A:$A,"&gt;="&amp;O477,Producao!$A:$A,"&lt;"&amp;A477),SUMIFS(Producao!$B:$B,Producao!$A:$A,"&gt;="&amp;O477,Producao!$A:$A,"&lt;"&amp;A477)))))</f>
        <v/>
      </c>
      <c r="E477">
        <f>IF(N477="","",INDEX(Equipamentos!$C$2:$C$61,N477))</f>
        <v/>
      </c>
      <c r="F477" s="57">
        <f>IF(OR(D477="",N(Q477)&lt;=0),"",D477/Q477)</f>
        <v/>
      </c>
      <c r="G477" s="55" t="n"/>
      <c r="H477" s="58" t="n"/>
      <c r="I477" s="58" t="n"/>
      <c r="J477" s="55" t="n"/>
      <c r="K477" s="55" t="n"/>
      <c r="L477">
        <f>IF(OR(A477="",B477=""),"",_xlfn.MAXIFS(TrocasEquip!$A$2:$A$1000,TrocasEquip!$B$2:$B$1000,B477,TrocasEquip!$A$2:$A$1000,"&lt;"&amp;A477))</f>
        <v/>
      </c>
      <c r="M477">
        <f>IF(N(L477)=0,0,MATCH(1,INDEX((TrocasEquip!$B$2:$B$1000=B477)*(TrocasEquip!$A$2:$A$1000=L477),0),0))</f>
        <v/>
      </c>
      <c r="N477">
        <f>IF(B477="","",IFERROR(MATCH(B477,Equipamentos!$P$2:$P$61,0),""))</f>
        <v/>
      </c>
      <c r="O477">
        <f>IF(N477="","",IF(M477=0,INDEX(Equipamentos!$U$2:$U$61,N477),L477))</f>
        <v/>
      </c>
      <c r="P477">
        <f>IF(N477="","",IF(M477=0,N(INDEX(Equipamentos!$V$2:$V$61,N477)),N(INDEX(TrocasEquip!$I$2:$I$1000,M477))))</f>
        <v/>
      </c>
      <c r="Q477">
        <f>IF(N477="","",IF(M477=0,INDEX(Equipamentos!$T$2:$T$61,N477),IF(INDEX(TrocasEquip!$H$2:$H$1000,M477)="",INDEX(Equipamentos!$T$2:$T$61,N477),INDEX(TrocasEquip!$H$2:$H$1000,M477))))</f>
        <v/>
      </c>
    </row>
    <row r="478">
      <c r="A478" s="54" t="n"/>
      <c r="B478" s="55" t="n"/>
      <c r="C478">
        <f>IF(B478="","",IF(N478="","posição não encontrada",IF(M478=0,INDEX(Equipamentos!$S$2:$S$61,N478),INDEX(TrocasEquip!$G$2:$G$1000,M478))))</f>
        <v/>
      </c>
      <c r="D478" s="56">
        <f>IF(OR(A478="",N478=""),"",P478+IF(E478="dias",MAX(0,A478-O478),IF(INDEX(Equipamentos!$D$2:$D$61,N478)=2,SUMIFS(Producao!$D:$D,Producao!$A:$A,"&gt;="&amp;O478,Producao!$A:$A,"&lt;"&amp;A478),IF(INDEX(Equipamentos!$D$2:$D$61,N478)=3,SUMIFS(Producao!$E:$E,Producao!$A:$A,"&gt;="&amp;O478,Producao!$A:$A,"&lt;"&amp;A478),SUMIFS(Producao!$B:$B,Producao!$A:$A,"&gt;="&amp;O478,Producao!$A:$A,"&lt;"&amp;A478)))))</f>
        <v/>
      </c>
      <c r="E478">
        <f>IF(N478="","",INDEX(Equipamentos!$C$2:$C$61,N478))</f>
        <v/>
      </c>
      <c r="F478" s="57">
        <f>IF(OR(D478="",N(Q478)&lt;=0),"",D478/Q478)</f>
        <v/>
      </c>
      <c r="G478" s="55" t="n"/>
      <c r="H478" s="58" t="n"/>
      <c r="I478" s="58" t="n"/>
      <c r="J478" s="55" t="n"/>
      <c r="K478" s="55" t="n"/>
      <c r="L478">
        <f>IF(OR(A478="",B478=""),"",_xlfn.MAXIFS(TrocasEquip!$A$2:$A$1000,TrocasEquip!$B$2:$B$1000,B478,TrocasEquip!$A$2:$A$1000,"&lt;"&amp;A478))</f>
        <v/>
      </c>
      <c r="M478">
        <f>IF(N(L478)=0,0,MATCH(1,INDEX((TrocasEquip!$B$2:$B$1000=B478)*(TrocasEquip!$A$2:$A$1000=L478),0),0))</f>
        <v/>
      </c>
      <c r="N478">
        <f>IF(B478="","",IFERROR(MATCH(B478,Equipamentos!$P$2:$P$61,0),""))</f>
        <v/>
      </c>
      <c r="O478">
        <f>IF(N478="","",IF(M478=0,INDEX(Equipamentos!$U$2:$U$61,N478),L478))</f>
        <v/>
      </c>
      <c r="P478">
        <f>IF(N478="","",IF(M478=0,N(INDEX(Equipamentos!$V$2:$V$61,N478)),N(INDEX(TrocasEquip!$I$2:$I$1000,M478))))</f>
        <v/>
      </c>
      <c r="Q478">
        <f>IF(N478="","",IF(M478=0,INDEX(Equipamentos!$T$2:$T$61,N478),IF(INDEX(TrocasEquip!$H$2:$H$1000,M478)="",INDEX(Equipamentos!$T$2:$T$61,N478),INDEX(TrocasEquip!$H$2:$H$1000,M478))))</f>
        <v/>
      </c>
    </row>
    <row r="479">
      <c r="A479" s="54" t="n"/>
      <c r="B479" s="55" t="n"/>
      <c r="C479">
        <f>IF(B479="","",IF(N479="","posição não encontrada",IF(M479=0,INDEX(Equipamentos!$S$2:$S$61,N479),INDEX(TrocasEquip!$G$2:$G$1000,M479))))</f>
        <v/>
      </c>
      <c r="D479" s="56">
        <f>IF(OR(A479="",N479=""),"",P479+IF(E479="dias",MAX(0,A479-O479),IF(INDEX(Equipamentos!$D$2:$D$61,N479)=2,SUMIFS(Producao!$D:$D,Producao!$A:$A,"&gt;="&amp;O479,Producao!$A:$A,"&lt;"&amp;A479),IF(INDEX(Equipamentos!$D$2:$D$61,N479)=3,SUMIFS(Producao!$E:$E,Producao!$A:$A,"&gt;="&amp;O479,Producao!$A:$A,"&lt;"&amp;A479),SUMIFS(Producao!$B:$B,Producao!$A:$A,"&gt;="&amp;O479,Producao!$A:$A,"&lt;"&amp;A479)))))</f>
        <v/>
      </c>
      <c r="E479">
        <f>IF(N479="","",INDEX(Equipamentos!$C$2:$C$61,N479))</f>
        <v/>
      </c>
      <c r="F479" s="57">
        <f>IF(OR(D479="",N(Q479)&lt;=0),"",D479/Q479)</f>
        <v/>
      </c>
      <c r="G479" s="55" t="n"/>
      <c r="H479" s="58" t="n"/>
      <c r="I479" s="58" t="n"/>
      <c r="J479" s="55" t="n"/>
      <c r="K479" s="55" t="n"/>
      <c r="L479">
        <f>IF(OR(A479="",B479=""),"",_xlfn.MAXIFS(TrocasEquip!$A$2:$A$1000,TrocasEquip!$B$2:$B$1000,B479,TrocasEquip!$A$2:$A$1000,"&lt;"&amp;A479))</f>
        <v/>
      </c>
      <c r="M479">
        <f>IF(N(L479)=0,0,MATCH(1,INDEX((TrocasEquip!$B$2:$B$1000=B479)*(TrocasEquip!$A$2:$A$1000=L479),0),0))</f>
        <v/>
      </c>
      <c r="N479">
        <f>IF(B479="","",IFERROR(MATCH(B479,Equipamentos!$P$2:$P$61,0),""))</f>
        <v/>
      </c>
      <c r="O479">
        <f>IF(N479="","",IF(M479=0,INDEX(Equipamentos!$U$2:$U$61,N479),L479))</f>
        <v/>
      </c>
      <c r="P479">
        <f>IF(N479="","",IF(M479=0,N(INDEX(Equipamentos!$V$2:$V$61,N479)),N(INDEX(TrocasEquip!$I$2:$I$1000,M479))))</f>
        <v/>
      </c>
      <c r="Q479">
        <f>IF(N479="","",IF(M479=0,INDEX(Equipamentos!$T$2:$T$61,N479),IF(INDEX(TrocasEquip!$H$2:$H$1000,M479)="",INDEX(Equipamentos!$T$2:$T$61,N479),INDEX(TrocasEquip!$H$2:$H$1000,M479))))</f>
        <v/>
      </c>
    </row>
    <row r="480">
      <c r="A480" s="54" t="n"/>
      <c r="B480" s="55" t="n"/>
      <c r="C480">
        <f>IF(B480="","",IF(N480="","posição não encontrada",IF(M480=0,INDEX(Equipamentos!$S$2:$S$61,N480),INDEX(TrocasEquip!$G$2:$G$1000,M480))))</f>
        <v/>
      </c>
      <c r="D480" s="56">
        <f>IF(OR(A480="",N480=""),"",P480+IF(E480="dias",MAX(0,A480-O480),IF(INDEX(Equipamentos!$D$2:$D$61,N480)=2,SUMIFS(Producao!$D:$D,Producao!$A:$A,"&gt;="&amp;O480,Producao!$A:$A,"&lt;"&amp;A480),IF(INDEX(Equipamentos!$D$2:$D$61,N480)=3,SUMIFS(Producao!$E:$E,Producao!$A:$A,"&gt;="&amp;O480,Producao!$A:$A,"&lt;"&amp;A480),SUMIFS(Producao!$B:$B,Producao!$A:$A,"&gt;="&amp;O480,Producao!$A:$A,"&lt;"&amp;A480)))))</f>
        <v/>
      </c>
      <c r="E480">
        <f>IF(N480="","",INDEX(Equipamentos!$C$2:$C$61,N480))</f>
        <v/>
      </c>
      <c r="F480" s="57">
        <f>IF(OR(D480="",N(Q480)&lt;=0),"",D480/Q480)</f>
        <v/>
      </c>
      <c r="G480" s="55" t="n"/>
      <c r="H480" s="58" t="n"/>
      <c r="I480" s="58" t="n"/>
      <c r="J480" s="55" t="n"/>
      <c r="K480" s="55" t="n"/>
      <c r="L480">
        <f>IF(OR(A480="",B480=""),"",_xlfn.MAXIFS(TrocasEquip!$A$2:$A$1000,TrocasEquip!$B$2:$B$1000,B480,TrocasEquip!$A$2:$A$1000,"&lt;"&amp;A480))</f>
        <v/>
      </c>
      <c r="M480">
        <f>IF(N(L480)=0,0,MATCH(1,INDEX((TrocasEquip!$B$2:$B$1000=B480)*(TrocasEquip!$A$2:$A$1000=L480),0),0))</f>
        <v/>
      </c>
      <c r="N480">
        <f>IF(B480="","",IFERROR(MATCH(B480,Equipamentos!$P$2:$P$61,0),""))</f>
        <v/>
      </c>
      <c r="O480">
        <f>IF(N480="","",IF(M480=0,INDEX(Equipamentos!$U$2:$U$61,N480),L480))</f>
        <v/>
      </c>
      <c r="P480">
        <f>IF(N480="","",IF(M480=0,N(INDEX(Equipamentos!$V$2:$V$61,N480)),N(INDEX(TrocasEquip!$I$2:$I$1000,M480))))</f>
        <v/>
      </c>
      <c r="Q480">
        <f>IF(N480="","",IF(M480=0,INDEX(Equipamentos!$T$2:$T$61,N480),IF(INDEX(TrocasEquip!$H$2:$H$1000,M480)="",INDEX(Equipamentos!$T$2:$T$61,N480),INDEX(TrocasEquip!$H$2:$H$1000,M480))))</f>
        <v/>
      </c>
    </row>
    <row r="481">
      <c r="A481" s="54" t="n"/>
      <c r="B481" s="55" t="n"/>
      <c r="C481">
        <f>IF(B481="","",IF(N481="","posição não encontrada",IF(M481=0,INDEX(Equipamentos!$S$2:$S$61,N481),INDEX(TrocasEquip!$G$2:$G$1000,M481))))</f>
        <v/>
      </c>
      <c r="D481" s="56">
        <f>IF(OR(A481="",N481=""),"",P481+IF(E481="dias",MAX(0,A481-O481),IF(INDEX(Equipamentos!$D$2:$D$61,N481)=2,SUMIFS(Producao!$D:$D,Producao!$A:$A,"&gt;="&amp;O481,Producao!$A:$A,"&lt;"&amp;A481),IF(INDEX(Equipamentos!$D$2:$D$61,N481)=3,SUMIFS(Producao!$E:$E,Producao!$A:$A,"&gt;="&amp;O481,Producao!$A:$A,"&lt;"&amp;A481),SUMIFS(Producao!$B:$B,Producao!$A:$A,"&gt;="&amp;O481,Producao!$A:$A,"&lt;"&amp;A481)))))</f>
        <v/>
      </c>
      <c r="E481">
        <f>IF(N481="","",INDEX(Equipamentos!$C$2:$C$61,N481))</f>
        <v/>
      </c>
      <c r="F481" s="57">
        <f>IF(OR(D481="",N(Q481)&lt;=0),"",D481/Q481)</f>
        <v/>
      </c>
      <c r="G481" s="55" t="n"/>
      <c r="H481" s="58" t="n"/>
      <c r="I481" s="58" t="n"/>
      <c r="J481" s="55" t="n"/>
      <c r="K481" s="55" t="n"/>
      <c r="L481">
        <f>IF(OR(A481="",B481=""),"",_xlfn.MAXIFS(TrocasEquip!$A$2:$A$1000,TrocasEquip!$B$2:$B$1000,B481,TrocasEquip!$A$2:$A$1000,"&lt;"&amp;A481))</f>
        <v/>
      </c>
      <c r="M481">
        <f>IF(N(L481)=0,0,MATCH(1,INDEX((TrocasEquip!$B$2:$B$1000=B481)*(TrocasEquip!$A$2:$A$1000=L481),0),0))</f>
        <v/>
      </c>
      <c r="N481">
        <f>IF(B481="","",IFERROR(MATCH(B481,Equipamentos!$P$2:$P$61,0),""))</f>
        <v/>
      </c>
      <c r="O481">
        <f>IF(N481="","",IF(M481=0,INDEX(Equipamentos!$U$2:$U$61,N481),L481))</f>
        <v/>
      </c>
      <c r="P481">
        <f>IF(N481="","",IF(M481=0,N(INDEX(Equipamentos!$V$2:$V$61,N481)),N(INDEX(TrocasEquip!$I$2:$I$1000,M481))))</f>
        <v/>
      </c>
      <c r="Q481">
        <f>IF(N481="","",IF(M481=0,INDEX(Equipamentos!$T$2:$T$61,N481),IF(INDEX(TrocasEquip!$H$2:$H$1000,M481)="",INDEX(Equipamentos!$T$2:$T$61,N481),INDEX(TrocasEquip!$H$2:$H$1000,M481))))</f>
        <v/>
      </c>
    </row>
    <row r="482">
      <c r="A482" s="54" t="n"/>
      <c r="B482" s="55" t="n"/>
      <c r="C482">
        <f>IF(B482="","",IF(N482="","posição não encontrada",IF(M482=0,INDEX(Equipamentos!$S$2:$S$61,N482),INDEX(TrocasEquip!$G$2:$G$1000,M482))))</f>
        <v/>
      </c>
      <c r="D482" s="56">
        <f>IF(OR(A482="",N482=""),"",P482+IF(E482="dias",MAX(0,A482-O482),IF(INDEX(Equipamentos!$D$2:$D$61,N482)=2,SUMIFS(Producao!$D:$D,Producao!$A:$A,"&gt;="&amp;O482,Producao!$A:$A,"&lt;"&amp;A482),IF(INDEX(Equipamentos!$D$2:$D$61,N482)=3,SUMIFS(Producao!$E:$E,Producao!$A:$A,"&gt;="&amp;O482,Producao!$A:$A,"&lt;"&amp;A482),SUMIFS(Producao!$B:$B,Producao!$A:$A,"&gt;="&amp;O482,Producao!$A:$A,"&lt;"&amp;A482)))))</f>
        <v/>
      </c>
      <c r="E482">
        <f>IF(N482="","",INDEX(Equipamentos!$C$2:$C$61,N482))</f>
        <v/>
      </c>
      <c r="F482" s="57">
        <f>IF(OR(D482="",N(Q482)&lt;=0),"",D482/Q482)</f>
        <v/>
      </c>
      <c r="G482" s="55" t="n"/>
      <c r="H482" s="58" t="n"/>
      <c r="I482" s="58" t="n"/>
      <c r="J482" s="55" t="n"/>
      <c r="K482" s="55" t="n"/>
      <c r="L482">
        <f>IF(OR(A482="",B482=""),"",_xlfn.MAXIFS(TrocasEquip!$A$2:$A$1000,TrocasEquip!$B$2:$B$1000,B482,TrocasEquip!$A$2:$A$1000,"&lt;"&amp;A482))</f>
        <v/>
      </c>
      <c r="M482">
        <f>IF(N(L482)=0,0,MATCH(1,INDEX((TrocasEquip!$B$2:$B$1000=B482)*(TrocasEquip!$A$2:$A$1000=L482),0),0))</f>
        <v/>
      </c>
      <c r="N482">
        <f>IF(B482="","",IFERROR(MATCH(B482,Equipamentos!$P$2:$P$61,0),""))</f>
        <v/>
      </c>
      <c r="O482">
        <f>IF(N482="","",IF(M482=0,INDEX(Equipamentos!$U$2:$U$61,N482),L482))</f>
        <v/>
      </c>
      <c r="P482">
        <f>IF(N482="","",IF(M482=0,N(INDEX(Equipamentos!$V$2:$V$61,N482)),N(INDEX(TrocasEquip!$I$2:$I$1000,M482))))</f>
        <v/>
      </c>
      <c r="Q482">
        <f>IF(N482="","",IF(M482=0,INDEX(Equipamentos!$T$2:$T$61,N482),IF(INDEX(TrocasEquip!$H$2:$H$1000,M482)="",INDEX(Equipamentos!$T$2:$T$61,N482),INDEX(TrocasEquip!$H$2:$H$1000,M482))))</f>
        <v/>
      </c>
    </row>
    <row r="483">
      <c r="A483" s="54" t="n"/>
      <c r="B483" s="55" t="n"/>
      <c r="C483">
        <f>IF(B483="","",IF(N483="","posição não encontrada",IF(M483=0,INDEX(Equipamentos!$S$2:$S$61,N483),INDEX(TrocasEquip!$G$2:$G$1000,M483))))</f>
        <v/>
      </c>
      <c r="D483" s="56">
        <f>IF(OR(A483="",N483=""),"",P483+IF(E483="dias",MAX(0,A483-O483),IF(INDEX(Equipamentos!$D$2:$D$61,N483)=2,SUMIFS(Producao!$D:$D,Producao!$A:$A,"&gt;="&amp;O483,Producao!$A:$A,"&lt;"&amp;A483),IF(INDEX(Equipamentos!$D$2:$D$61,N483)=3,SUMIFS(Producao!$E:$E,Producao!$A:$A,"&gt;="&amp;O483,Producao!$A:$A,"&lt;"&amp;A483),SUMIFS(Producao!$B:$B,Producao!$A:$A,"&gt;="&amp;O483,Producao!$A:$A,"&lt;"&amp;A483)))))</f>
        <v/>
      </c>
      <c r="E483">
        <f>IF(N483="","",INDEX(Equipamentos!$C$2:$C$61,N483))</f>
        <v/>
      </c>
      <c r="F483" s="57">
        <f>IF(OR(D483="",N(Q483)&lt;=0),"",D483/Q483)</f>
        <v/>
      </c>
      <c r="G483" s="55" t="n"/>
      <c r="H483" s="58" t="n"/>
      <c r="I483" s="58" t="n"/>
      <c r="J483" s="55" t="n"/>
      <c r="K483" s="55" t="n"/>
      <c r="L483">
        <f>IF(OR(A483="",B483=""),"",_xlfn.MAXIFS(TrocasEquip!$A$2:$A$1000,TrocasEquip!$B$2:$B$1000,B483,TrocasEquip!$A$2:$A$1000,"&lt;"&amp;A483))</f>
        <v/>
      </c>
      <c r="M483">
        <f>IF(N(L483)=0,0,MATCH(1,INDEX((TrocasEquip!$B$2:$B$1000=B483)*(TrocasEquip!$A$2:$A$1000=L483),0),0))</f>
        <v/>
      </c>
      <c r="N483">
        <f>IF(B483="","",IFERROR(MATCH(B483,Equipamentos!$P$2:$P$61,0),""))</f>
        <v/>
      </c>
      <c r="O483">
        <f>IF(N483="","",IF(M483=0,INDEX(Equipamentos!$U$2:$U$61,N483),L483))</f>
        <v/>
      </c>
      <c r="P483">
        <f>IF(N483="","",IF(M483=0,N(INDEX(Equipamentos!$V$2:$V$61,N483)),N(INDEX(TrocasEquip!$I$2:$I$1000,M483))))</f>
        <v/>
      </c>
      <c r="Q483">
        <f>IF(N483="","",IF(M483=0,INDEX(Equipamentos!$T$2:$T$61,N483),IF(INDEX(TrocasEquip!$H$2:$H$1000,M483)="",INDEX(Equipamentos!$T$2:$T$61,N483),INDEX(TrocasEquip!$H$2:$H$1000,M483))))</f>
        <v/>
      </c>
    </row>
    <row r="484">
      <c r="A484" s="54" t="n"/>
      <c r="B484" s="55" t="n"/>
      <c r="C484">
        <f>IF(B484="","",IF(N484="","posição não encontrada",IF(M484=0,INDEX(Equipamentos!$S$2:$S$61,N484),INDEX(TrocasEquip!$G$2:$G$1000,M484))))</f>
        <v/>
      </c>
      <c r="D484" s="56">
        <f>IF(OR(A484="",N484=""),"",P484+IF(E484="dias",MAX(0,A484-O484),IF(INDEX(Equipamentos!$D$2:$D$61,N484)=2,SUMIFS(Producao!$D:$D,Producao!$A:$A,"&gt;="&amp;O484,Producao!$A:$A,"&lt;"&amp;A484),IF(INDEX(Equipamentos!$D$2:$D$61,N484)=3,SUMIFS(Producao!$E:$E,Producao!$A:$A,"&gt;="&amp;O484,Producao!$A:$A,"&lt;"&amp;A484),SUMIFS(Producao!$B:$B,Producao!$A:$A,"&gt;="&amp;O484,Producao!$A:$A,"&lt;"&amp;A484)))))</f>
        <v/>
      </c>
      <c r="E484">
        <f>IF(N484="","",INDEX(Equipamentos!$C$2:$C$61,N484))</f>
        <v/>
      </c>
      <c r="F484" s="57">
        <f>IF(OR(D484="",N(Q484)&lt;=0),"",D484/Q484)</f>
        <v/>
      </c>
      <c r="G484" s="55" t="n"/>
      <c r="H484" s="58" t="n"/>
      <c r="I484" s="58" t="n"/>
      <c r="J484" s="55" t="n"/>
      <c r="K484" s="55" t="n"/>
      <c r="L484">
        <f>IF(OR(A484="",B484=""),"",_xlfn.MAXIFS(TrocasEquip!$A$2:$A$1000,TrocasEquip!$B$2:$B$1000,B484,TrocasEquip!$A$2:$A$1000,"&lt;"&amp;A484))</f>
        <v/>
      </c>
      <c r="M484">
        <f>IF(N(L484)=0,0,MATCH(1,INDEX((TrocasEquip!$B$2:$B$1000=B484)*(TrocasEquip!$A$2:$A$1000=L484),0),0))</f>
        <v/>
      </c>
      <c r="N484">
        <f>IF(B484="","",IFERROR(MATCH(B484,Equipamentos!$P$2:$P$61,0),""))</f>
        <v/>
      </c>
      <c r="O484">
        <f>IF(N484="","",IF(M484=0,INDEX(Equipamentos!$U$2:$U$61,N484),L484))</f>
        <v/>
      </c>
      <c r="P484">
        <f>IF(N484="","",IF(M484=0,N(INDEX(Equipamentos!$V$2:$V$61,N484)),N(INDEX(TrocasEquip!$I$2:$I$1000,M484))))</f>
        <v/>
      </c>
      <c r="Q484">
        <f>IF(N484="","",IF(M484=0,INDEX(Equipamentos!$T$2:$T$61,N484),IF(INDEX(TrocasEquip!$H$2:$H$1000,M484)="",INDEX(Equipamentos!$T$2:$T$61,N484),INDEX(TrocasEquip!$H$2:$H$1000,M484))))</f>
        <v/>
      </c>
    </row>
    <row r="485">
      <c r="A485" s="54" t="n"/>
      <c r="B485" s="55" t="n"/>
      <c r="C485">
        <f>IF(B485="","",IF(N485="","posição não encontrada",IF(M485=0,INDEX(Equipamentos!$S$2:$S$61,N485),INDEX(TrocasEquip!$G$2:$G$1000,M485))))</f>
        <v/>
      </c>
      <c r="D485" s="56">
        <f>IF(OR(A485="",N485=""),"",P485+IF(E485="dias",MAX(0,A485-O485),IF(INDEX(Equipamentos!$D$2:$D$61,N485)=2,SUMIFS(Producao!$D:$D,Producao!$A:$A,"&gt;="&amp;O485,Producao!$A:$A,"&lt;"&amp;A485),IF(INDEX(Equipamentos!$D$2:$D$61,N485)=3,SUMIFS(Producao!$E:$E,Producao!$A:$A,"&gt;="&amp;O485,Producao!$A:$A,"&lt;"&amp;A485),SUMIFS(Producao!$B:$B,Producao!$A:$A,"&gt;="&amp;O485,Producao!$A:$A,"&lt;"&amp;A485)))))</f>
        <v/>
      </c>
      <c r="E485">
        <f>IF(N485="","",INDEX(Equipamentos!$C$2:$C$61,N485))</f>
        <v/>
      </c>
      <c r="F485" s="57">
        <f>IF(OR(D485="",N(Q485)&lt;=0),"",D485/Q485)</f>
        <v/>
      </c>
      <c r="G485" s="55" t="n"/>
      <c r="H485" s="58" t="n"/>
      <c r="I485" s="58" t="n"/>
      <c r="J485" s="55" t="n"/>
      <c r="K485" s="55" t="n"/>
      <c r="L485">
        <f>IF(OR(A485="",B485=""),"",_xlfn.MAXIFS(TrocasEquip!$A$2:$A$1000,TrocasEquip!$B$2:$B$1000,B485,TrocasEquip!$A$2:$A$1000,"&lt;"&amp;A485))</f>
        <v/>
      </c>
      <c r="M485">
        <f>IF(N(L485)=0,0,MATCH(1,INDEX((TrocasEquip!$B$2:$B$1000=B485)*(TrocasEquip!$A$2:$A$1000=L485),0),0))</f>
        <v/>
      </c>
      <c r="N485">
        <f>IF(B485="","",IFERROR(MATCH(B485,Equipamentos!$P$2:$P$61,0),""))</f>
        <v/>
      </c>
      <c r="O485">
        <f>IF(N485="","",IF(M485=0,INDEX(Equipamentos!$U$2:$U$61,N485),L485))</f>
        <v/>
      </c>
      <c r="P485">
        <f>IF(N485="","",IF(M485=0,N(INDEX(Equipamentos!$V$2:$V$61,N485)),N(INDEX(TrocasEquip!$I$2:$I$1000,M485))))</f>
        <v/>
      </c>
      <c r="Q485">
        <f>IF(N485="","",IF(M485=0,INDEX(Equipamentos!$T$2:$T$61,N485),IF(INDEX(TrocasEquip!$H$2:$H$1000,M485)="",INDEX(Equipamentos!$T$2:$T$61,N485),INDEX(TrocasEquip!$H$2:$H$1000,M485))))</f>
        <v/>
      </c>
    </row>
    <row r="486">
      <c r="A486" s="54" t="n"/>
      <c r="B486" s="55" t="n"/>
      <c r="C486">
        <f>IF(B486="","",IF(N486="","posição não encontrada",IF(M486=0,INDEX(Equipamentos!$S$2:$S$61,N486),INDEX(TrocasEquip!$G$2:$G$1000,M486))))</f>
        <v/>
      </c>
      <c r="D486" s="56">
        <f>IF(OR(A486="",N486=""),"",P486+IF(E486="dias",MAX(0,A486-O486),IF(INDEX(Equipamentos!$D$2:$D$61,N486)=2,SUMIFS(Producao!$D:$D,Producao!$A:$A,"&gt;="&amp;O486,Producao!$A:$A,"&lt;"&amp;A486),IF(INDEX(Equipamentos!$D$2:$D$61,N486)=3,SUMIFS(Producao!$E:$E,Producao!$A:$A,"&gt;="&amp;O486,Producao!$A:$A,"&lt;"&amp;A486),SUMIFS(Producao!$B:$B,Producao!$A:$A,"&gt;="&amp;O486,Producao!$A:$A,"&lt;"&amp;A486)))))</f>
        <v/>
      </c>
      <c r="E486">
        <f>IF(N486="","",INDEX(Equipamentos!$C$2:$C$61,N486))</f>
        <v/>
      </c>
      <c r="F486" s="57">
        <f>IF(OR(D486="",N(Q486)&lt;=0),"",D486/Q486)</f>
        <v/>
      </c>
      <c r="G486" s="55" t="n"/>
      <c r="H486" s="58" t="n"/>
      <c r="I486" s="58" t="n"/>
      <c r="J486" s="55" t="n"/>
      <c r="K486" s="55" t="n"/>
      <c r="L486">
        <f>IF(OR(A486="",B486=""),"",_xlfn.MAXIFS(TrocasEquip!$A$2:$A$1000,TrocasEquip!$B$2:$B$1000,B486,TrocasEquip!$A$2:$A$1000,"&lt;"&amp;A486))</f>
        <v/>
      </c>
      <c r="M486">
        <f>IF(N(L486)=0,0,MATCH(1,INDEX((TrocasEquip!$B$2:$B$1000=B486)*(TrocasEquip!$A$2:$A$1000=L486),0),0))</f>
        <v/>
      </c>
      <c r="N486">
        <f>IF(B486="","",IFERROR(MATCH(B486,Equipamentos!$P$2:$P$61,0),""))</f>
        <v/>
      </c>
      <c r="O486">
        <f>IF(N486="","",IF(M486=0,INDEX(Equipamentos!$U$2:$U$61,N486),L486))</f>
        <v/>
      </c>
      <c r="P486">
        <f>IF(N486="","",IF(M486=0,N(INDEX(Equipamentos!$V$2:$V$61,N486)),N(INDEX(TrocasEquip!$I$2:$I$1000,M486))))</f>
        <v/>
      </c>
      <c r="Q486">
        <f>IF(N486="","",IF(M486=0,INDEX(Equipamentos!$T$2:$T$61,N486),IF(INDEX(TrocasEquip!$H$2:$H$1000,M486)="",INDEX(Equipamentos!$T$2:$T$61,N486),INDEX(TrocasEquip!$H$2:$H$1000,M486))))</f>
        <v/>
      </c>
    </row>
    <row r="487">
      <c r="A487" s="54" t="n"/>
      <c r="B487" s="55" t="n"/>
      <c r="C487">
        <f>IF(B487="","",IF(N487="","posição não encontrada",IF(M487=0,INDEX(Equipamentos!$S$2:$S$61,N487),INDEX(TrocasEquip!$G$2:$G$1000,M487))))</f>
        <v/>
      </c>
      <c r="D487" s="56">
        <f>IF(OR(A487="",N487=""),"",P487+IF(E487="dias",MAX(0,A487-O487),IF(INDEX(Equipamentos!$D$2:$D$61,N487)=2,SUMIFS(Producao!$D:$D,Producao!$A:$A,"&gt;="&amp;O487,Producao!$A:$A,"&lt;"&amp;A487),IF(INDEX(Equipamentos!$D$2:$D$61,N487)=3,SUMIFS(Producao!$E:$E,Producao!$A:$A,"&gt;="&amp;O487,Producao!$A:$A,"&lt;"&amp;A487),SUMIFS(Producao!$B:$B,Producao!$A:$A,"&gt;="&amp;O487,Producao!$A:$A,"&lt;"&amp;A487)))))</f>
        <v/>
      </c>
      <c r="E487">
        <f>IF(N487="","",INDEX(Equipamentos!$C$2:$C$61,N487))</f>
        <v/>
      </c>
      <c r="F487" s="57">
        <f>IF(OR(D487="",N(Q487)&lt;=0),"",D487/Q487)</f>
        <v/>
      </c>
      <c r="G487" s="55" t="n"/>
      <c r="H487" s="58" t="n"/>
      <c r="I487" s="58" t="n"/>
      <c r="J487" s="55" t="n"/>
      <c r="K487" s="55" t="n"/>
      <c r="L487">
        <f>IF(OR(A487="",B487=""),"",_xlfn.MAXIFS(TrocasEquip!$A$2:$A$1000,TrocasEquip!$B$2:$B$1000,B487,TrocasEquip!$A$2:$A$1000,"&lt;"&amp;A487))</f>
        <v/>
      </c>
      <c r="M487">
        <f>IF(N(L487)=0,0,MATCH(1,INDEX((TrocasEquip!$B$2:$B$1000=B487)*(TrocasEquip!$A$2:$A$1000=L487),0),0))</f>
        <v/>
      </c>
      <c r="N487">
        <f>IF(B487="","",IFERROR(MATCH(B487,Equipamentos!$P$2:$P$61,0),""))</f>
        <v/>
      </c>
      <c r="O487">
        <f>IF(N487="","",IF(M487=0,INDEX(Equipamentos!$U$2:$U$61,N487),L487))</f>
        <v/>
      </c>
      <c r="P487">
        <f>IF(N487="","",IF(M487=0,N(INDEX(Equipamentos!$V$2:$V$61,N487)),N(INDEX(TrocasEquip!$I$2:$I$1000,M487))))</f>
        <v/>
      </c>
      <c r="Q487">
        <f>IF(N487="","",IF(M487=0,INDEX(Equipamentos!$T$2:$T$61,N487),IF(INDEX(TrocasEquip!$H$2:$H$1000,M487)="",INDEX(Equipamentos!$T$2:$T$61,N487),INDEX(TrocasEquip!$H$2:$H$1000,M487))))</f>
        <v/>
      </c>
    </row>
    <row r="488">
      <c r="A488" s="54" t="n"/>
      <c r="B488" s="55" t="n"/>
      <c r="C488">
        <f>IF(B488="","",IF(N488="","posição não encontrada",IF(M488=0,INDEX(Equipamentos!$S$2:$S$61,N488),INDEX(TrocasEquip!$G$2:$G$1000,M488))))</f>
        <v/>
      </c>
      <c r="D488" s="56">
        <f>IF(OR(A488="",N488=""),"",P488+IF(E488="dias",MAX(0,A488-O488),IF(INDEX(Equipamentos!$D$2:$D$61,N488)=2,SUMIFS(Producao!$D:$D,Producao!$A:$A,"&gt;="&amp;O488,Producao!$A:$A,"&lt;"&amp;A488),IF(INDEX(Equipamentos!$D$2:$D$61,N488)=3,SUMIFS(Producao!$E:$E,Producao!$A:$A,"&gt;="&amp;O488,Producao!$A:$A,"&lt;"&amp;A488),SUMIFS(Producao!$B:$B,Producao!$A:$A,"&gt;="&amp;O488,Producao!$A:$A,"&lt;"&amp;A488)))))</f>
        <v/>
      </c>
      <c r="E488">
        <f>IF(N488="","",INDEX(Equipamentos!$C$2:$C$61,N488))</f>
        <v/>
      </c>
      <c r="F488" s="57">
        <f>IF(OR(D488="",N(Q488)&lt;=0),"",D488/Q488)</f>
        <v/>
      </c>
      <c r="G488" s="55" t="n"/>
      <c r="H488" s="58" t="n"/>
      <c r="I488" s="58" t="n"/>
      <c r="J488" s="55" t="n"/>
      <c r="K488" s="55" t="n"/>
      <c r="L488">
        <f>IF(OR(A488="",B488=""),"",_xlfn.MAXIFS(TrocasEquip!$A$2:$A$1000,TrocasEquip!$B$2:$B$1000,B488,TrocasEquip!$A$2:$A$1000,"&lt;"&amp;A488))</f>
        <v/>
      </c>
      <c r="M488">
        <f>IF(N(L488)=0,0,MATCH(1,INDEX((TrocasEquip!$B$2:$B$1000=B488)*(TrocasEquip!$A$2:$A$1000=L488),0),0))</f>
        <v/>
      </c>
      <c r="N488">
        <f>IF(B488="","",IFERROR(MATCH(B488,Equipamentos!$P$2:$P$61,0),""))</f>
        <v/>
      </c>
      <c r="O488">
        <f>IF(N488="","",IF(M488=0,INDEX(Equipamentos!$U$2:$U$61,N488),L488))</f>
        <v/>
      </c>
      <c r="P488">
        <f>IF(N488="","",IF(M488=0,N(INDEX(Equipamentos!$V$2:$V$61,N488)),N(INDEX(TrocasEquip!$I$2:$I$1000,M488))))</f>
        <v/>
      </c>
      <c r="Q488">
        <f>IF(N488="","",IF(M488=0,INDEX(Equipamentos!$T$2:$T$61,N488),IF(INDEX(TrocasEquip!$H$2:$H$1000,M488)="",INDEX(Equipamentos!$T$2:$T$61,N488),INDEX(TrocasEquip!$H$2:$H$1000,M488))))</f>
        <v/>
      </c>
    </row>
    <row r="489">
      <c r="A489" s="54" t="n"/>
      <c r="B489" s="55" t="n"/>
      <c r="C489">
        <f>IF(B489="","",IF(N489="","posição não encontrada",IF(M489=0,INDEX(Equipamentos!$S$2:$S$61,N489),INDEX(TrocasEquip!$G$2:$G$1000,M489))))</f>
        <v/>
      </c>
      <c r="D489" s="56">
        <f>IF(OR(A489="",N489=""),"",P489+IF(E489="dias",MAX(0,A489-O489),IF(INDEX(Equipamentos!$D$2:$D$61,N489)=2,SUMIFS(Producao!$D:$D,Producao!$A:$A,"&gt;="&amp;O489,Producao!$A:$A,"&lt;"&amp;A489),IF(INDEX(Equipamentos!$D$2:$D$61,N489)=3,SUMIFS(Producao!$E:$E,Producao!$A:$A,"&gt;="&amp;O489,Producao!$A:$A,"&lt;"&amp;A489),SUMIFS(Producao!$B:$B,Producao!$A:$A,"&gt;="&amp;O489,Producao!$A:$A,"&lt;"&amp;A489)))))</f>
        <v/>
      </c>
      <c r="E489">
        <f>IF(N489="","",INDEX(Equipamentos!$C$2:$C$61,N489))</f>
        <v/>
      </c>
      <c r="F489" s="57">
        <f>IF(OR(D489="",N(Q489)&lt;=0),"",D489/Q489)</f>
        <v/>
      </c>
      <c r="G489" s="55" t="n"/>
      <c r="H489" s="58" t="n"/>
      <c r="I489" s="58" t="n"/>
      <c r="J489" s="55" t="n"/>
      <c r="K489" s="55" t="n"/>
      <c r="L489">
        <f>IF(OR(A489="",B489=""),"",_xlfn.MAXIFS(TrocasEquip!$A$2:$A$1000,TrocasEquip!$B$2:$B$1000,B489,TrocasEquip!$A$2:$A$1000,"&lt;"&amp;A489))</f>
        <v/>
      </c>
      <c r="M489">
        <f>IF(N(L489)=0,0,MATCH(1,INDEX((TrocasEquip!$B$2:$B$1000=B489)*(TrocasEquip!$A$2:$A$1000=L489),0),0))</f>
        <v/>
      </c>
      <c r="N489">
        <f>IF(B489="","",IFERROR(MATCH(B489,Equipamentos!$P$2:$P$61,0),""))</f>
        <v/>
      </c>
      <c r="O489">
        <f>IF(N489="","",IF(M489=0,INDEX(Equipamentos!$U$2:$U$61,N489),L489))</f>
        <v/>
      </c>
      <c r="P489">
        <f>IF(N489="","",IF(M489=0,N(INDEX(Equipamentos!$V$2:$V$61,N489)),N(INDEX(TrocasEquip!$I$2:$I$1000,M489))))</f>
        <v/>
      </c>
      <c r="Q489">
        <f>IF(N489="","",IF(M489=0,INDEX(Equipamentos!$T$2:$T$61,N489),IF(INDEX(TrocasEquip!$H$2:$H$1000,M489)="",INDEX(Equipamentos!$T$2:$T$61,N489),INDEX(TrocasEquip!$H$2:$H$1000,M489))))</f>
        <v/>
      </c>
    </row>
    <row r="490">
      <c r="A490" s="54" t="n"/>
      <c r="B490" s="55" t="n"/>
      <c r="C490">
        <f>IF(B490="","",IF(N490="","posição não encontrada",IF(M490=0,INDEX(Equipamentos!$S$2:$S$61,N490),INDEX(TrocasEquip!$G$2:$G$1000,M490))))</f>
        <v/>
      </c>
      <c r="D490" s="56">
        <f>IF(OR(A490="",N490=""),"",P490+IF(E490="dias",MAX(0,A490-O490),IF(INDEX(Equipamentos!$D$2:$D$61,N490)=2,SUMIFS(Producao!$D:$D,Producao!$A:$A,"&gt;="&amp;O490,Producao!$A:$A,"&lt;"&amp;A490),IF(INDEX(Equipamentos!$D$2:$D$61,N490)=3,SUMIFS(Producao!$E:$E,Producao!$A:$A,"&gt;="&amp;O490,Producao!$A:$A,"&lt;"&amp;A490),SUMIFS(Producao!$B:$B,Producao!$A:$A,"&gt;="&amp;O490,Producao!$A:$A,"&lt;"&amp;A490)))))</f>
        <v/>
      </c>
      <c r="E490">
        <f>IF(N490="","",INDEX(Equipamentos!$C$2:$C$61,N490))</f>
        <v/>
      </c>
      <c r="F490" s="57">
        <f>IF(OR(D490="",N(Q490)&lt;=0),"",D490/Q490)</f>
        <v/>
      </c>
      <c r="G490" s="55" t="n"/>
      <c r="H490" s="58" t="n"/>
      <c r="I490" s="58" t="n"/>
      <c r="J490" s="55" t="n"/>
      <c r="K490" s="55" t="n"/>
      <c r="L490">
        <f>IF(OR(A490="",B490=""),"",_xlfn.MAXIFS(TrocasEquip!$A$2:$A$1000,TrocasEquip!$B$2:$B$1000,B490,TrocasEquip!$A$2:$A$1000,"&lt;"&amp;A490))</f>
        <v/>
      </c>
      <c r="M490">
        <f>IF(N(L490)=0,0,MATCH(1,INDEX((TrocasEquip!$B$2:$B$1000=B490)*(TrocasEquip!$A$2:$A$1000=L490),0),0))</f>
        <v/>
      </c>
      <c r="N490">
        <f>IF(B490="","",IFERROR(MATCH(B490,Equipamentos!$P$2:$P$61,0),""))</f>
        <v/>
      </c>
      <c r="O490">
        <f>IF(N490="","",IF(M490=0,INDEX(Equipamentos!$U$2:$U$61,N490),L490))</f>
        <v/>
      </c>
      <c r="P490">
        <f>IF(N490="","",IF(M490=0,N(INDEX(Equipamentos!$V$2:$V$61,N490)),N(INDEX(TrocasEquip!$I$2:$I$1000,M490))))</f>
        <v/>
      </c>
      <c r="Q490">
        <f>IF(N490="","",IF(M490=0,INDEX(Equipamentos!$T$2:$T$61,N490),IF(INDEX(TrocasEquip!$H$2:$H$1000,M490)="",INDEX(Equipamentos!$T$2:$T$61,N490),INDEX(TrocasEquip!$H$2:$H$1000,M490))))</f>
        <v/>
      </c>
    </row>
    <row r="491">
      <c r="A491" s="54" t="n"/>
      <c r="B491" s="55" t="n"/>
      <c r="C491">
        <f>IF(B491="","",IF(N491="","posição não encontrada",IF(M491=0,INDEX(Equipamentos!$S$2:$S$61,N491),INDEX(TrocasEquip!$G$2:$G$1000,M491))))</f>
        <v/>
      </c>
      <c r="D491" s="56">
        <f>IF(OR(A491="",N491=""),"",P491+IF(E491="dias",MAX(0,A491-O491),IF(INDEX(Equipamentos!$D$2:$D$61,N491)=2,SUMIFS(Producao!$D:$D,Producao!$A:$A,"&gt;="&amp;O491,Producao!$A:$A,"&lt;"&amp;A491),IF(INDEX(Equipamentos!$D$2:$D$61,N491)=3,SUMIFS(Producao!$E:$E,Producao!$A:$A,"&gt;="&amp;O491,Producao!$A:$A,"&lt;"&amp;A491),SUMIFS(Producao!$B:$B,Producao!$A:$A,"&gt;="&amp;O491,Producao!$A:$A,"&lt;"&amp;A491)))))</f>
        <v/>
      </c>
      <c r="E491">
        <f>IF(N491="","",INDEX(Equipamentos!$C$2:$C$61,N491))</f>
        <v/>
      </c>
      <c r="F491" s="57">
        <f>IF(OR(D491="",N(Q491)&lt;=0),"",D491/Q491)</f>
        <v/>
      </c>
      <c r="G491" s="55" t="n"/>
      <c r="H491" s="58" t="n"/>
      <c r="I491" s="58" t="n"/>
      <c r="J491" s="55" t="n"/>
      <c r="K491" s="55" t="n"/>
      <c r="L491">
        <f>IF(OR(A491="",B491=""),"",_xlfn.MAXIFS(TrocasEquip!$A$2:$A$1000,TrocasEquip!$B$2:$B$1000,B491,TrocasEquip!$A$2:$A$1000,"&lt;"&amp;A491))</f>
        <v/>
      </c>
      <c r="M491">
        <f>IF(N(L491)=0,0,MATCH(1,INDEX((TrocasEquip!$B$2:$B$1000=B491)*(TrocasEquip!$A$2:$A$1000=L491),0),0))</f>
        <v/>
      </c>
      <c r="N491">
        <f>IF(B491="","",IFERROR(MATCH(B491,Equipamentos!$P$2:$P$61,0),""))</f>
        <v/>
      </c>
      <c r="O491">
        <f>IF(N491="","",IF(M491=0,INDEX(Equipamentos!$U$2:$U$61,N491),L491))</f>
        <v/>
      </c>
      <c r="P491">
        <f>IF(N491="","",IF(M491=0,N(INDEX(Equipamentos!$V$2:$V$61,N491)),N(INDEX(TrocasEquip!$I$2:$I$1000,M491))))</f>
        <v/>
      </c>
      <c r="Q491">
        <f>IF(N491="","",IF(M491=0,INDEX(Equipamentos!$T$2:$T$61,N491),IF(INDEX(TrocasEquip!$H$2:$H$1000,M491)="",INDEX(Equipamentos!$T$2:$T$61,N491),INDEX(TrocasEquip!$H$2:$H$1000,M491))))</f>
        <v/>
      </c>
    </row>
    <row r="492">
      <c r="A492" s="54" t="n"/>
      <c r="B492" s="55" t="n"/>
      <c r="C492">
        <f>IF(B492="","",IF(N492="","posição não encontrada",IF(M492=0,INDEX(Equipamentos!$S$2:$S$61,N492),INDEX(TrocasEquip!$G$2:$G$1000,M492))))</f>
        <v/>
      </c>
      <c r="D492" s="56">
        <f>IF(OR(A492="",N492=""),"",P492+IF(E492="dias",MAX(0,A492-O492),IF(INDEX(Equipamentos!$D$2:$D$61,N492)=2,SUMIFS(Producao!$D:$D,Producao!$A:$A,"&gt;="&amp;O492,Producao!$A:$A,"&lt;"&amp;A492),IF(INDEX(Equipamentos!$D$2:$D$61,N492)=3,SUMIFS(Producao!$E:$E,Producao!$A:$A,"&gt;="&amp;O492,Producao!$A:$A,"&lt;"&amp;A492),SUMIFS(Producao!$B:$B,Producao!$A:$A,"&gt;="&amp;O492,Producao!$A:$A,"&lt;"&amp;A492)))))</f>
        <v/>
      </c>
      <c r="E492">
        <f>IF(N492="","",INDEX(Equipamentos!$C$2:$C$61,N492))</f>
        <v/>
      </c>
      <c r="F492" s="57">
        <f>IF(OR(D492="",N(Q492)&lt;=0),"",D492/Q492)</f>
        <v/>
      </c>
      <c r="G492" s="55" t="n"/>
      <c r="H492" s="58" t="n"/>
      <c r="I492" s="58" t="n"/>
      <c r="J492" s="55" t="n"/>
      <c r="K492" s="55" t="n"/>
      <c r="L492">
        <f>IF(OR(A492="",B492=""),"",_xlfn.MAXIFS(TrocasEquip!$A$2:$A$1000,TrocasEquip!$B$2:$B$1000,B492,TrocasEquip!$A$2:$A$1000,"&lt;"&amp;A492))</f>
        <v/>
      </c>
      <c r="M492">
        <f>IF(N(L492)=0,0,MATCH(1,INDEX((TrocasEquip!$B$2:$B$1000=B492)*(TrocasEquip!$A$2:$A$1000=L492),0),0))</f>
        <v/>
      </c>
      <c r="N492">
        <f>IF(B492="","",IFERROR(MATCH(B492,Equipamentos!$P$2:$P$61,0),""))</f>
        <v/>
      </c>
      <c r="O492">
        <f>IF(N492="","",IF(M492=0,INDEX(Equipamentos!$U$2:$U$61,N492),L492))</f>
        <v/>
      </c>
      <c r="P492">
        <f>IF(N492="","",IF(M492=0,N(INDEX(Equipamentos!$V$2:$V$61,N492)),N(INDEX(TrocasEquip!$I$2:$I$1000,M492))))</f>
        <v/>
      </c>
      <c r="Q492">
        <f>IF(N492="","",IF(M492=0,INDEX(Equipamentos!$T$2:$T$61,N492),IF(INDEX(TrocasEquip!$H$2:$H$1000,M492)="",INDEX(Equipamentos!$T$2:$T$61,N492),INDEX(TrocasEquip!$H$2:$H$1000,M492))))</f>
        <v/>
      </c>
    </row>
    <row r="493">
      <c r="A493" s="54" t="n"/>
      <c r="B493" s="55" t="n"/>
      <c r="C493">
        <f>IF(B493="","",IF(N493="","posição não encontrada",IF(M493=0,INDEX(Equipamentos!$S$2:$S$61,N493),INDEX(TrocasEquip!$G$2:$G$1000,M493))))</f>
        <v/>
      </c>
      <c r="D493" s="56">
        <f>IF(OR(A493="",N493=""),"",P493+IF(E493="dias",MAX(0,A493-O493),IF(INDEX(Equipamentos!$D$2:$D$61,N493)=2,SUMIFS(Producao!$D:$D,Producao!$A:$A,"&gt;="&amp;O493,Producao!$A:$A,"&lt;"&amp;A493),IF(INDEX(Equipamentos!$D$2:$D$61,N493)=3,SUMIFS(Producao!$E:$E,Producao!$A:$A,"&gt;="&amp;O493,Producao!$A:$A,"&lt;"&amp;A493),SUMIFS(Producao!$B:$B,Producao!$A:$A,"&gt;="&amp;O493,Producao!$A:$A,"&lt;"&amp;A493)))))</f>
        <v/>
      </c>
      <c r="E493">
        <f>IF(N493="","",INDEX(Equipamentos!$C$2:$C$61,N493))</f>
        <v/>
      </c>
      <c r="F493" s="57">
        <f>IF(OR(D493="",N(Q493)&lt;=0),"",D493/Q493)</f>
        <v/>
      </c>
      <c r="G493" s="55" t="n"/>
      <c r="H493" s="58" t="n"/>
      <c r="I493" s="58" t="n"/>
      <c r="J493" s="55" t="n"/>
      <c r="K493" s="55" t="n"/>
      <c r="L493">
        <f>IF(OR(A493="",B493=""),"",_xlfn.MAXIFS(TrocasEquip!$A$2:$A$1000,TrocasEquip!$B$2:$B$1000,B493,TrocasEquip!$A$2:$A$1000,"&lt;"&amp;A493))</f>
        <v/>
      </c>
      <c r="M493">
        <f>IF(N(L493)=0,0,MATCH(1,INDEX((TrocasEquip!$B$2:$B$1000=B493)*(TrocasEquip!$A$2:$A$1000=L493),0),0))</f>
        <v/>
      </c>
      <c r="N493">
        <f>IF(B493="","",IFERROR(MATCH(B493,Equipamentos!$P$2:$P$61,0),""))</f>
        <v/>
      </c>
      <c r="O493">
        <f>IF(N493="","",IF(M493=0,INDEX(Equipamentos!$U$2:$U$61,N493),L493))</f>
        <v/>
      </c>
      <c r="P493">
        <f>IF(N493="","",IF(M493=0,N(INDEX(Equipamentos!$V$2:$V$61,N493)),N(INDEX(TrocasEquip!$I$2:$I$1000,M493))))</f>
        <v/>
      </c>
      <c r="Q493">
        <f>IF(N493="","",IF(M493=0,INDEX(Equipamentos!$T$2:$T$61,N493),IF(INDEX(TrocasEquip!$H$2:$H$1000,M493)="",INDEX(Equipamentos!$T$2:$T$61,N493),INDEX(TrocasEquip!$H$2:$H$1000,M493))))</f>
        <v/>
      </c>
    </row>
    <row r="494">
      <c r="A494" s="54" t="n"/>
      <c r="B494" s="55" t="n"/>
      <c r="C494">
        <f>IF(B494="","",IF(N494="","posição não encontrada",IF(M494=0,INDEX(Equipamentos!$S$2:$S$61,N494),INDEX(TrocasEquip!$G$2:$G$1000,M494))))</f>
        <v/>
      </c>
      <c r="D494" s="56">
        <f>IF(OR(A494="",N494=""),"",P494+IF(E494="dias",MAX(0,A494-O494),IF(INDEX(Equipamentos!$D$2:$D$61,N494)=2,SUMIFS(Producao!$D:$D,Producao!$A:$A,"&gt;="&amp;O494,Producao!$A:$A,"&lt;"&amp;A494),IF(INDEX(Equipamentos!$D$2:$D$61,N494)=3,SUMIFS(Producao!$E:$E,Producao!$A:$A,"&gt;="&amp;O494,Producao!$A:$A,"&lt;"&amp;A494),SUMIFS(Producao!$B:$B,Producao!$A:$A,"&gt;="&amp;O494,Producao!$A:$A,"&lt;"&amp;A494)))))</f>
        <v/>
      </c>
      <c r="E494">
        <f>IF(N494="","",INDEX(Equipamentos!$C$2:$C$61,N494))</f>
        <v/>
      </c>
      <c r="F494" s="57">
        <f>IF(OR(D494="",N(Q494)&lt;=0),"",D494/Q494)</f>
        <v/>
      </c>
      <c r="G494" s="55" t="n"/>
      <c r="H494" s="58" t="n"/>
      <c r="I494" s="58" t="n"/>
      <c r="J494" s="55" t="n"/>
      <c r="K494" s="55" t="n"/>
      <c r="L494">
        <f>IF(OR(A494="",B494=""),"",_xlfn.MAXIFS(TrocasEquip!$A$2:$A$1000,TrocasEquip!$B$2:$B$1000,B494,TrocasEquip!$A$2:$A$1000,"&lt;"&amp;A494))</f>
        <v/>
      </c>
      <c r="M494">
        <f>IF(N(L494)=0,0,MATCH(1,INDEX((TrocasEquip!$B$2:$B$1000=B494)*(TrocasEquip!$A$2:$A$1000=L494),0),0))</f>
        <v/>
      </c>
      <c r="N494">
        <f>IF(B494="","",IFERROR(MATCH(B494,Equipamentos!$P$2:$P$61,0),""))</f>
        <v/>
      </c>
      <c r="O494">
        <f>IF(N494="","",IF(M494=0,INDEX(Equipamentos!$U$2:$U$61,N494),L494))</f>
        <v/>
      </c>
      <c r="P494">
        <f>IF(N494="","",IF(M494=0,N(INDEX(Equipamentos!$V$2:$V$61,N494)),N(INDEX(TrocasEquip!$I$2:$I$1000,M494))))</f>
        <v/>
      </c>
      <c r="Q494">
        <f>IF(N494="","",IF(M494=0,INDEX(Equipamentos!$T$2:$T$61,N494),IF(INDEX(TrocasEquip!$H$2:$H$1000,M494)="",INDEX(Equipamentos!$T$2:$T$61,N494),INDEX(TrocasEquip!$H$2:$H$1000,M494))))</f>
        <v/>
      </c>
    </row>
    <row r="495">
      <c r="A495" s="54" t="n"/>
      <c r="B495" s="55" t="n"/>
      <c r="C495">
        <f>IF(B495="","",IF(N495="","posição não encontrada",IF(M495=0,INDEX(Equipamentos!$S$2:$S$61,N495),INDEX(TrocasEquip!$G$2:$G$1000,M495))))</f>
        <v/>
      </c>
      <c r="D495" s="56">
        <f>IF(OR(A495="",N495=""),"",P495+IF(E495="dias",MAX(0,A495-O495),IF(INDEX(Equipamentos!$D$2:$D$61,N495)=2,SUMIFS(Producao!$D:$D,Producao!$A:$A,"&gt;="&amp;O495,Producao!$A:$A,"&lt;"&amp;A495),IF(INDEX(Equipamentos!$D$2:$D$61,N495)=3,SUMIFS(Producao!$E:$E,Producao!$A:$A,"&gt;="&amp;O495,Producao!$A:$A,"&lt;"&amp;A495),SUMIFS(Producao!$B:$B,Producao!$A:$A,"&gt;="&amp;O495,Producao!$A:$A,"&lt;"&amp;A495)))))</f>
        <v/>
      </c>
      <c r="E495">
        <f>IF(N495="","",INDEX(Equipamentos!$C$2:$C$61,N495))</f>
        <v/>
      </c>
      <c r="F495" s="57">
        <f>IF(OR(D495="",N(Q495)&lt;=0),"",D495/Q495)</f>
        <v/>
      </c>
      <c r="G495" s="55" t="n"/>
      <c r="H495" s="58" t="n"/>
      <c r="I495" s="58" t="n"/>
      <c r="J495" s="55" t="n"/>
      <c r="K495" s="55" t="n"/>
      <c r="L495">
        <f>IF(OR(A495="",B495=""),"",_xlfn.MAXIFS(TrocasEquip!$A$2:$A$1000,TrocasEquip!$B$2:$B$1000,B495,TrocasEquip!$A$2:$A$1000,"&lt;"&amp;A495))</f>
        <v/>
      </c>
      <c r="M495">
        <f>IF(N(L495)=0,0,MATCH(1,INDEX((TrocasEquip!$B$2:$B$1000=B495)*(TrocasEquip!$A$2:$A$1000=L495),0),0))</f>
        <v/>
      </c>
      <c r="N495">
        <f>IF(B495="","",IFERROR(MATCH(B495,Equipamentos!$P$2:$P$61,0),""))</f>
        <v/>
      </c>
      <c r="O495">
        <f>IF(N495="","",IF(M495=0,INDEX(Equipamentos!$U$2:$U$61,N495),L495))</f>
        <v/>
      </c>
      <c r="P495">
        <f>IF(N495="","",IF(M495=0,N(INDEX(Equipamentos!$V$2:$V$61,N495)),N(INDEX(TrocasEquip!$I$2:$I$1000,M495))))</f>
        <v/>
      </c>
      <c r="Q495">
        <f>IF(N495="","",IF(M495=0,INDEX(Equipamentos!$T$2:$T$61,N495),IF(INDEX(TrocasEquip!$H$2:$H$1000,M495)="",INDEX(Equipamentos!$T$2:$T$61,N495),INDEX(TrocasEquip!$H$2:$H$1000,M495))))</f>
        <v/>
      </c>
    </row>
    <row r="496">
      <c r="A496" s="54" t="n"/>
      <c r="B496" s="55" t="n"/>
      <c r="C496">
        <f>IF(B496="","",IF(N496="","posição não encontrada",IF(M496=0,INDEX(Equipamentos!$S$2:$S$61,N496),INDEX(TrocasEquip!$G$2:$G$1000,M496))))</f>
        <v/>
      </c>
      <c r="D496" s="56">
        <f>IF(OR(A496="",N496=""),"",P496+IF(E496="dias",MAX(0,A496-O496),IF(INDEX(Equipamentos!$D$2:$D$61,N496)=2,SUMIFS(Producao!$D:$D,Producao!$A:$A,"&gt;="&amp;O496,Producao!$A:$A,"&lt;"&amp;A496),IF(INDEX(Equipamentos!$D$2:$D$61,N496)=3,SUMIFS(Producao!$E:$E,Producao!$A:$A,"&gt;="&amp;O496,Producao!$A:$A,"&lt;"&amp;A496),SUMIFS(Producao!$B:$B,Producao!$A:$A,"&gt;="&amp;O496,Producao!$A:$A,"&lt;"&amp;A496)))))</f>
        <v/>
      </c>
      <c r="E496">
        <f>IF(N496="","",INDEX(Equipamentos!$C$2:$C$61,N496))</f>
        <v/>
      </c>
      <c r="F496" s="57">
        <f>IF(OR(D496="",N(Q496)&lt;=0),"",D496/Q496)</f>
        <v/>
      </c>
      <c r="G496" s="55" t="n"/>
      <c r="H496" s="58" t="n"/>
      <c r="I496" s="58" t="n"/>
      <c r="J496" s="55" t="n"/>
      <c r="K496" s="55" t="n"/>
      <c r="L496">
        <f>IF(OR(A496="",B496=""),"",_xlfn.MAXIFS(TrocasEquip!$A$2:$A$1000,TrocasEquip!$B$2:$B$1000,B496,TrocasEquip!$A$2:$A$1000,"&lt;"&amp;A496))</f>
        <v/>
      </c>
      <c r="M496">
        <f>IF(N(L496)=0,0,MATCH(1,INDEX((TrocasEquip!$B$2:$B$1000=B496)*(TrocasEquip!$A$2:$A$1000=L496),0),0))</f>
        <v/>
      </c>
      <c r="N496">
        <f>IF(B496="","",IFERROR(MATCH(B496,Equipamentos!$P$2:$P$61,0),""))</f>
        <v/>
      </c>
      <c r="O496">
        <f>IF(N496="","",IF(M496=0,INDEX(Equipamentos!$U$2:$U$61,N496),L496))</f>
        <v/>
      </c>
      <c r="P496">
        <f>IF(N496="","",IF(M496=0,N(INDEX(Equipamentos!$V$2:$V$61,N496)),N(INDEX(TrocasEquip!$I$2:$I$1000,M496))))</f>
        <v/>
      </c>
      <c r="Q496">
        <f>IF(N496="","",IF(M496=0,INDEX(Equipamentos!$T$2:$T$61,N496),IF(INDEX(TrocasEquip!$H$2:$H$1000,M496)="",INDEX(Equipamentos!$T$2:$T$61,N496),INDEX(TrocasEquip!$H$2:$H$1000,M496))))</f>
        <v/>
      </c>
    </row>
    <row r="497">
      <c r="A497" s="54" t="n"/>
      <c r="B497" s="55" t="n"/>
      <c r="C497">
        <f>IF(B497="","",IF(N497="","posição não encontrada",IF(M497=0,INDEX(Equipamentos!$S$2:$S$61,N497),INDEX(TrocasEquip!$G$2:$G$1000,M497))))</f>
        <v/>
      </c>
      <c r="D497" s="56">
        <f>IF(OR(A497="",N497=""),"",P497+IF(E497="dias",MAX(0,A497-O497),IF(INDEX(Equipamentos!$D$2:$D$61,N497)=2,SUMIFS(Producao!$D:$D,Producao!$A:$A,"&gt;="&amp;O497,Producao!$A:$A,"&lt;"&amp;A497),IF(INDEX(Equipamentos!$D$2:$D$61,N497)=3,SUMIFS(Producao!$E:$E,Producao!$A:$A,"&gt;="&amp;O497,Producao!$A:$A,"&lt;"&amp;A497),SUMIFS(Producao!$B:$B,Producao!$A:$A,"&gt;="&amp;O497,Producao!$A:$A,"&lt;"&amp;A497)))))</f>
        <v/>
      </c>
      <c r="E497">
        <f>IF(N497="","",INDEX(Equipamentos!$C$2:$C$61,N497))</f>
        <v/>
      </c>
      <c r="F497" s="57">
        <f>IF(OR(D497="",N(Q497)&lt;=0),"",D497/Q497)</f>
        <v/>
      </c>
      <c r="G497" s="55" t="n"/>
      <c r="H497" s="58" t="n"/>
      <c r="I497" s="58" t="n"/>
      <c r="J497" s="55" t="n"/>
      <c r="K497" s="55" t="n"/>
      <c r="L497">
        <f>IF(OR(A497="",B497=""),"",_xlfn.MAXIFS(TrocasEquip!$A$2:$A$1000,TrocasEquip!$B$2:$B$1000,B497,TrocasEquip!$A$2:$A$1000,"&lt;"&amp;A497))</f>
        <v/>
      </c>
      <c r="M497">
        <f>IF(N(L497)=0,0,MATCH(1,INDEX((TrocasEquip!$B$2:$B$1000=B497)*(TrocasEquip!$A$2:$A$1000=L497),0),0))</f>
        <v/>
      </c>
      <c r="N497">
        <f>IF(B497="","",IFERROR(MATCH(B497,Equipamentos!$P$2:$P$61,0),""))</f>
        <v/>
      </c>
      <c r="O497">
        <f>IF(N497="","",IF(M497=0,INDEX(Equipamentos!$U$2:$U$61,N497),L497))</f>
        <v/>
      </c>
      <c r="P497">
        <f>IF(N497="","",IF(M497=0,N(INDEX(Equipamentos!$V$2:$V$61,N497)),N(INDEX(TrocasEquip!$I$2:$I$1000,M497))))</f>
        <v/>
      </c>
      <c r="Q497">
        <f>IF(N497="","",IF(M497=0,INDEX(Equipamentos!$T$2:$T$61,N497),IF(INDEX(TrocasEquip!$H$2:$H$1000,M497)="",INDEX(Equipamentos!$T$2:$T$61,N497),INDEX(TrocasEquip!$H$2:$H$1000,M497))))</f>
        <v/>
      </c>
    </row>
    <row r="498">
      <c r="A498" s="54" t="n"/>
      <c r="B498" s="55" t="n"/>
      <c r="C498">
        <f>IF(B498="","",IF(N498="","posição não encontrada",IF(M498=0,INDEX(Equipamentos!$S$2:$S$61,N498),INDEX(TrocasEquip!$G$2:$G$1000,M498))))</f>
        <v/>
      </c>
      <c r="D498" s="56">
        <f>IF(OR(A498="",N498=""),"",P498+IF(E498="dias",MAX(0,A498-O498),IF(INDEX(Equipamentos!$D$2:$D$61,N498)=2,SUMIFS(Producao!$D:$D,Producao!$A:$A,"&gt;="&amp;O498,Producao!$A:$A,"&lt;"&amp;A498),IF(INDEX(Equipamentos!$D$2:$D$61,N498)=3,SUMIFS(Producao!$E:$E,Producao!$A:$A,"&gt;="&amp;O498,Producao!$A:$A,"&lt;"&amp;A498),SUMIFS(Producao!$B:$B,Producao!$A:$A,"&gt;="&amp;O498,Producao!$A:$A,"&lt;"&amp;A498)))))</f>
        <v/>
      </c>
      <c r="E498">
        <f>IF(N498="","",INDEX(Equipamentos!$C$2:$C$61,N498))</f>
        <v/>
      </c>
      <c r="F498" s="57">
        <f>IF(OR(D498="",N(Q498)&lt;=0),"",D498/Q498)</f>
        <v/>
      </c>
      <c r="G498" s="55" t="n"/>
      <c r="H498" s="58" t="n"/>
      <c r="I498" s="58" t="n"/>
      <c r="J498" s="55" t="n"/>
      <c r="K498" s="55" t="n"/>
      <c r="L498">
        <f>IF(OR(A498="",B498=""),"",_xlfn.MAXIFS(TrocasEquip!$A$2:$A$1000,TrocasEquip!$B$2:$B$1000,B498,TrocasEquip!$A$2:$A$1000,"&lt;"&amp;A498))</f>
        <v/>
      </c>
      <c r="M498">
        <f>IF(N(L498)=0,0,MATCH(1,INDEX((TrocasEquip!$B$2:$B$1000=B498)*(TrocasEquip!$A$2:$A$1000=L498),0),0))</f>
        <v/>
      </c>
      <c r="N498">
        <f>IF(B498="","",IFERROR(MATCH(B498,Equipamentos!$P$2:$P$61,0),""))</f>
        <v/>
      </c>
      <c r="O498">
        <f>IF(N498="","",IF(M498=0,INDEX(Equipamentos!$U$2:$U$61,N498),L498))</f>
        <v/>
      </c>
      <c r="P498">
        <f>IF(N498="","",IF(M498=0,N(INDEX(Equipamentos!$V$2:$V$61,N498)),N(INDEX(TrocasEquip!$I$2:$I$1000,M498))))</f>
        <v/>
      </c>
      <c r="Q498">
        <f>IF(N498="","",IF(M498=0,INDEX(Equipamentos!$T$2:$T$61,N498),IF(INDEX(TrocasEquip!$H$2:$H$1000,M498)="",INDEX(Equipamentos!$T$2:$T$61,N498),INDEX(TrocasEquip!$H$2:$H$1000,M498))))</f>
        <v/>
      </c>
    </row>
    <row r="499">
      <c r="A499" s="54" t="n"/>
      <c r="B499" s="55" t="n"/>
      <c r="C499">
        <f>IF(B499="","",IF(N499="","posição não encontrada",IF(M499=0,INDEX(Equipamentos!$S$2:$S$61,N499),INDEX(TrocasEquip!$G$2:$G$1000,M499))))</f>
        <v/>
      </c>
      <c r="D499" s="56">
        <f>IF(OR(A499="",N499=""),"",P499+IF(E499="dias",MAX(0,A499-O499),IF(INDEX(Equipamentos!$D$2:$D$61,N499)=2,SUMIFS(Producao!$D:$D,Producao!$A:$A,"&gt;="&amp;O499,Producao!$A:$A,"&lt;"&amp;A499),IF(INDEX(Equipamentos!$D$2:$D$61,N499)=3,SUMIFS(Producao!$E:$E,Producao!$A:$A,"&gt;="&amp;O499,Producao!$A:$A,"&lt;"&amp;A499),SUMIFS(Producao!$B:$B,Producao!$A:$A,"&gt;="&amp;O499,Producao!$A:$A,"&lt;"&amp;A499)))))</f>
        <v/>
      </c>
      <c r="E499">
        <f>IF(N499="","",INDEX(Equipamentos!$C$2:$C$61,N499))</f>
        <v/>
      </c>
      <c r="F499" s="57">
        <f>IF(OR(D499="",N(Q499)&lt;=0),"",D499/Q499)</f>
        <v/>
      </c>
      <c r="G499" s="55" t="n"/>
      <c r="H499" s="58" t="n"/>
      <c r="I499" s="58" t="n"/>
      <c r="J499" s="55" t="n"/>
      <c r="K499" s="55" t="n"/>
      <c r="L499">
        <f>IF(OR(A499="",B499=""),"",_xlfn.MAXIFS(TrocasEquip!$A$2:$A$1000,TrocasEquip!$B$2:$B$1000,B499,TrocasEquip!$A$2:$A$1000,"&lt;"&amp;A499))</f>
        <v/>
      </c>
      <c r="M499">
        <f>IF(N(L499)=0,0,MATCH(1,INDEX((TrocasEquip!$B$2:$B$1000=B499)*(TrocasEquip!$A$2:$A$1000=L499),0),0))</f>
        <v/>
      </c>
      <c r="N499">
        <f>IF(B499="","",IFERROR(MATCH(B499,Equipamentos!$P$2:$P$61,0),""))</f>
        <v/>
      </c>
      <c r="O499">
        <f>IF(N499="","",IF(M499=0,INDEX(Equipamentos!$U$2:$U$61,N499),L499))</f>
        <v/>
      </c>
      <c r="P499">
        <f>IF(N499="","",IF(M499=0,N(INDEX(Equipamentos!$V$2:$V$61,N499)),N(INDEX(TrocasEquip!$I$2:$I$1000,M499))))</f>
        <v/>
      </c>
      <c r="Q499">
        <f>IF(N499="","",IF(M499=0,INDEX(Equipamentos!$T$2:$T$61,N499),IF(INDEX(TrocasEquip!$H$2:$H$1000,M499)="",INDEX(Equipamentos!$T$2:$T$61,N499),INDEX(TrocasEquip!$H$2:$H$1000,M499))))</f>
        <v/>
      </c>
    </row>
    <row r="500">
      <c r="A500" s="54" t="n"/>
      <c r="B500" s="55" t="n"/>
      <c r="C500">
        <f>IF(B500="","",IF(N500="","posição não encontrada",IF(M500=0,INDEX(Equipamentos!$S$2:$S$61,N500),INDEX(TrocasEquip!$G$2:$G$1000,M500))))</f>
        <v/>
      </c>
      <c r="D500" s="56">
        <f>IF(OR(A500="",N500=""),"",P500+IF(E500="dias",MAX(0,A500-O500),IF(INDEX(Equipamentos!$D$2:$D$61,N500)=2,SUMIFS(Producao!$D:$D,Producao!$A:$A,"&gt;="&amp;O500,Producao!$A:$A,"&lt;"&amp;A500),IF(INDEX(Equipamentos!$D$2:$D$61,N500)=3,SUMIFS(Producao!$E:$E,Producao!$A:$A,"&gt;="&amp;O500,Producao!$A:$A,"&lt;"&amp;A500),SUMIFS(Producao!$B:$B,Producao!$A:$A,"&gt;="&amp;O500,Producao!$A:$A,"&lt;"&amp;A500)))))</f>
        <v/>
      </c>
      <c r="E500">
        <f>IF(N500="","",INDEX(Equipamentos!$C$2:$C$61,N500))</f>
        <v/>
      </c>
      <c r="F500" s="57">
        <f>IF(OR(D500="",N(Q500)&lt;=0),"",D500/Q500)</f>
        <v/>
      </c>
      <c r="G500" s="55" t="n"/>
      <c r="H500" s="58" t="n"/>
      <c r="I500" s="58" t="n"/>
      <c r="J500" s="55" t="n"/>
      <c r="K500" s="55" t="n"/>
      <c r="L500">
        <f>IF(OR(A500="",B500=""),"",_xlfn.MAXIFS(TrocasEquip!$A$2:$A$1000,TrocasEquip!$B$2:$B$1000,B500,TrocasEquip!$A$2:$A$1000,"&lt;"&amp;A500))</f>
        <v/>
      </c>
      <c r="M500">
        <f>IF(N(L500)=0,0,MATCH(1,INDEX((TrocasEquip!$B$2:$B$1000=B500)*(TrocasEquip!$A$2:$A$1000=L500),0),0))</f>
        <v/>
      </c>
      <c r="N500">
        <f>IF(B500="","",IFERROR(MATCH(B500,Equipamentos!$P$2:$P$61,0),""))</f>
        <v/>
      </c>
      <c r="O500">
        <f>IF(N500="","",IF(M500=0,INDEX(Equipamentos!$U$2:$U$61,N500),L500))</f>
        <v/>
      </c>
      <c r="P500">
        <f>IF(N500="","",IF(M500=0,N(INDEX(Equipamentos!$V$2:$V$61,N500)),N(INDEX(TrocasEquip!$I$2:$I$1000,M500))))</f>
        <v/>
      </c>
      <c r="Q500">
        <f>IF(N500="","",IF(M500=0,INDEX(Equipamentos!$T$2:$T$61,N500),IF(INDEX(TrocasEquip!$H$2:$H$1000,M500)="",INDEX(Equipamentos!$T$2:$T$61,N500),INDEX(TrocasEquip!$H$2:$H$1000,M500))))</f>
        <v/>
      </c>
    </row>
    <row r="501">
      <c r="A501" s="54" t="n"/>
      <c r="B501" s="55" t="n"/>
      <c r="C501">
        <f>IF(B501="","",IF(N501="","posição não encontrada",IF(M501=0,INDEX(Equipamentos!$S$2:$S$61,N501),INDEX(TrocasEquip!$G$2:$G$1000,M501))))</f>
        <v/>
      </c>
      <c r="D501" s="56">
        <f>IF(OR(A501="",N501=""),"",P501+IF(E501="dias",MAX(0,A501-O501),IF(INDEX(Equipamentos!$D$2:$D$61,N501)=2,SUMIFS(Producao!$D:$D,Producao!$A:$A,"&gt;="&amp;O501,Producao!$A:$A,"&lt;"&amp;A501),IF(INDEX(Equipamentos!$D$2:$D$61,N501)=3,SUMIFS(Producao!$E:$E,Producao!$A:$A,"&gt;="&amp;O501,Producao!$A:$A,"&lt;"&amp;A501),SUMIFS(Producao!$B:$B,Producao!$A:$A,"&gt;="&amp;O501,Producao!$A:$A,"&lt;"&amp;A501)))))</f>
        <v/>
      </c>
      <c r="E501">
        <f>IF(N501="","",INDEX(Equipamentos!$C$2:$C$61,N501))</f>
        <v/>
      </c>
      <c r="F501" s="57">
        <f>IF(OR(D501="",N(Q501)&lt;=0),"",D501/Q501)</f>
        <v/>
      </c>
      <c r="G501" s="55" t="n"/>
      <c r="H501" s="58" t="n"/>
      <c r="I501" s="58" t="n"/>
      <c r="J501" s="55" t="n"/>
      <c r="K501" s="55" t="n"/>
      <c r="L501">
        <f>IF(OR(A501="",B501=""),"",_xlfn.MAXIFS(TrocasEquip!$A$2:$A$1000,TrocasEquip!$B$2:$B$1000,B501,TrocasEquip!$A$2:$A$1000,"&lt;"&amp;A501))</f>
        <v/>
      </c>
      <c r="M501">
        <f>IF(N(L501)=0,0,MATCH(1,INDEX((TrocasEquip!$B$2:$B$1000=B501)*(TrocasEquip!$A$2:$A$1000=L501),0),0))</f>
        <v/>
      </c>
      <c r="N501">
        <f>IF(B501="","",IFERROR(MATCH(B501,Equipamentos!$P$2:$P$61,0),""))</f>
        <v/>
      </c>
      <c r="O501">
        <f>IF(N501="","",IF(M501=0,INDEX(Equipamentos!$U$2:$U$61,N501),L501))</f>
        <v/>
      </c>
      <c r="P501">
        <f>IF(N501="","",IF(M501=0,N(INDEX(Equipamentos!$V$2:$V$61,N501)),N(INDEX(TrocasEquip!$I$2:$I$1000,M501))))</f>
        <v/>
      </c>
      <c r="Q501">
        <f>IF(N501="","",IF(M501=0,INDEX(Equipamentos!$T$2:$T$61,N501),IF(INDEX(TrocasEquip!$H$2:$H$1000,M501)="",INDEX(Equipamentos!$T$2:$T$61,N501),INDEX(TrocasEquip!$H$2:$H$1000,M501))))</f>
        <v/>
      </c>
    </row>
    <row r="502">
      <c r="A502" s="54" t="n"/>
      <c r="B502" s="55" t="n"/>
      <c r="C502">
        <f>IF(B502="","",IF(N502="","posição não encontrada",IF(M502=0,INDEX(Equipamentos!$S$2:$S$61,N502),INDEX(TrocasEquip!$G$2:$G$1000,M502))))</f>
        <v/>
      </c>
      <c r="D502" s="56">
        <f>IF(OR(A502="",N502=""),"",P502+IF(E502="dias",MAX(0,A502-O502),IF(INDEX(Equipamentos!$D$2:$D$61,N502)=2,SUMIFS(Producao!$D:$D,Producao!$A:$A,"&gt;="&amp;O502,Producao!$A:$A,"&lt;"&amp;A502),IF(INDEX(Equipamentos!$D$2:$D$61,N502)=3,SUMIFS(Producao!$E:$E,Producao!$A:$A,"&gt;="&amp;O502,Producao!$A:$A,"&lt;"&amp;A502),SUMIFS(Producao!$B:$B,Producao!$A:$A,"&gt;="&amp;O502,Producao!$A:$A,"&lt;"&amp;A502)))))</f>
        <v/>
      </c>
      <c r="E502">
        <f>IF(N502="","",INDEX(Equipamentos!$C$2:$C$61,N502))</f>
        <v/>
      </c>
      <c r="F502" s="57">
        <f>IF(OR(D502="",N(Q502)&lt;=0),"",D502/Q502)</f>
        <v/>
      </c>
      <c r="G502" s="55" t="n"/>
      <c r="H502" s="58" t="n"/>
      <c r="I502" s="58" t="n"/>
      <c r="J502" s="55" t="n"/>
      <c r="K502" s="55" t="n"/>
      <c r="L502">
        <f>IF(OR(A502="",B502=""),"",_xlfn.MAXIFS(TrocasEquip!$A$2:$A$1000,TrocasEquip!$B$2:$B$1000,B502,TrocasEquip!$A$2:$A$1000,"&lt;"&amp;A502))</f>
        <v/>
      </c>
      <c r="M502">
        <f>IF(N(L502)=0,0,MATCH(1,INDEX((TrocasEquip!$B$2:$B$1000=B502)*(TrocasEquip!$A$2:$A$1000=L502),0),0))</f>
        <v/>
      </c>
      <c r="N502">
        <f>IF(B502="","",IFERROR(MATCH(B502,Equipamentos!$P$2:$P$61,0),""))</f>
        <v/>
      </c>
      <c r="O502">
        <f>IF(N502="","",IF(M502=0,INDEX(Equipamentos!$U$2:$U$61,N502),L502))</f>
        <v/>
      </c>
      <c r="P502">
        <f>IF(N502="","",IF(M502=0,N(INDEX(Equipamentos!$V$2:$V$61,N502)),N(INDEX(TrocasEquip!$I$2:$I$1000,M502))))</f>
        <v/>
      </c>
      <c r="Q502">
        <f>IF(N502="","",IF(M502=0,INDEX(Equipamentos!$T$2:$T$61,N502),IF(INDEX(TrocasEquip!$H$2:$H$1000,M502)="",INDEX(Equipamentos!$T$2:$T$61,N502),INDEX(TrocasEquip!$H$2:$H$1000,M502))))</f>
        <v/>
      </c>
    </row>
    <row r="503">
      <c r="A503" s="54" t="n"/>
      <c r="B503" s="55" t="n"/>
      <c r="C503">
        <f>IF(B503="","",IF(N503="","posição não encontrada",IF(M503=0,INDEX(Equipamentos!$S$2:$S$61,N503),INDEX(TrocasEquip!$G$2:$G$1000,M503))))</f>
        <v/>
      </c>
      <c r="D503" s="56">
        <f>IF(OR(A503="",N503=""),"",P503+IF(E503="dias",MAX(0,A503-O503),IF(INDEX(Equipamentos!$D$2:$D$61,N503)=2,SUMIFS(Producao!$D:$D,Producao!$A:$A,"&gt;="&amp;O503,Producao!$A:$A,"&lt;"&amp;A503),IF(INDEX(Equipamentos!$D$2:$D$61,N503)=3,SUMIFS(Producao!$E:$E,Producao!$A:$A,"&gt;="&amp;O503,Producao!$A:$A,"&lt;"&amp;A503),SUMIFS(Producao!$B:$B,Producao!$A:$A,"&gt;="&amp;O503,Producao!$A:$A,"&lt;"&amp;A503)))))</f>
        <v/>
      </c>
      <c r="E503">
        <f>IF(N503="","",INDEX(Equipamentos!$C$2:$C$61,N503))</f>
        <v/>
      </c>
      <c r="F503" s="57">
        <f>IF(OR(D503="",N(Q503)&lt;=0),"",D503/Q503)</f>
        <v/>
      </c>
      <c r="G503" s="55" t="n"/>
      <c r="H503" s="58" t="n"/>
      <c r="I503" s="58" t="n"/>
      <c r="J503" s="55" t="n"/>
      <c r="K503" s="55" t="n"/>
      <c r="L503">
        <f>IF(OR(A503="",B503=""),"",_xlfn.MAXIFS(TrocasEquip!$A$2:$A$1000,TrocasEquip!$B$2:$B$1000,B503,TrocasEquip!$A$2:$A$1000,"&lt;"&amp;A503))</f>
        <v/>
      </c>
      <c r="M503">
        <f>IF(N(L503)=0,0,MATCH(1,INDEX((TrocasEquip!$B$2:$B$1000=B503)*(TrocasEquip!$A$2:$A$1000=L503),0),0))</f>
        <v/>
      </c>
      <c r="N503">
        <f>IF(B503="","",IFERROR(MATCH(B503,Equipamentos!$P$2:$P$61,0),""))</f>
        <v/>
      </c>
      <c r="O503">
        <f>IF(N503="","",IF(M503=0,INDEX(Equipamentos!$U$2:$U$61,N503),L503))</f>
        <v/>
      </c>
      <c r="P503">
        <f>IF(N503="","",IF(M503=0,N(INDEX(Equipamentos!$V$2:$V$61,N503)),N(INDEX(TrocasEquip!$I$2:$I$1000,M503))))</f>
        <v/>
      </c>
      <c r="Q503">
        <f>IF(N503="","",IF(M503=0,INDEX(Equipamentos!$T$2:$T$61,N503),IF(INDEX(TrocasEquip!$H$2:$H$1000,M503)="",INDEX(Equipamentos!$T$2:$T$61,N503),INDEX(TrocasEquip!$H$2:$H$1000,M503))))</f>
        <v/>
      </c>
    </row>
    <row r="504">
      <c r="A504" s="54" t="n"/>
      <c r="B504" s="55" t="n"/>
      <c r="C504">
        <f>IF(B504="","",IF(N504="","posição não encontrada",IF(M504=0,INDEX(Equipamentos!$S$2:$S$61,N504),INDEX(TrocasEquip!$G$2:$G$1000,M504))))</f>
        <v/>
      </c>
      <c r="D504" s="56">
        <f>IF(OR(A504="",N504=""),"",P504+IF(E504="dias",MAX(0,A504-O504),IF(INDEX(Equipamentos!$D$2:$D$61,N504)=2,SUMIFS(Producao!$D:$D,Producao!$A:$A,"&gt;="&amp;O504,Producao!$A:$A,"&lt;"&amp;A504),IF(INDEX(Equipamentos!$D$2:$D$61,N504)=3,SUMIFS(Producao!$E:$E,Producao!$A:$A,"&gt;="&amp;O504,Producao!$A:$A,"&lt;"&amp;A504),SUMIFS(Producao!$B:$B,Producao!$A:$A,"&gt;="&amp;O504,Producao!$A:$A,"&lt;"&amp;A504)))))</f>
        <v/>
      </c>
      <c r="E504">
        <f>IF(N504="","",INDEX(Equipamentos!$C$2:$C$61,N504))</f>
        <v/>
      </c>
      <c r="F504" s="57">
        <f>IF(OR(D504="",N(Q504)&lt;=0),"",D504/Q504)</f>
        <v/>
      </c>
      <c r="G504" s="55" t="n"/>
      <c r="H504" s="58" t="n"/>
      <c r="I504" s="58" t="n"/>
      <c r="J504" s="55" t="n"/>
      <c r="K504" s="55" t="n"/>
      <c r="L504">
        <f>IF(OR(A504="",B504=""),"",_xlfn.MAXIFS(TrocasEquip!$A$2:$A$1000,TrocasEquip!$B$2:$B$1000,B504,TrocasEquip!$A$2:$A$1000,"&lt;"&amp;A504))</f>
        <v/>
      </c>
      <c r="M504">
        <f>IF(N(L504)=0,0,MATCH(1,INDEX((TrocasEquip!$B$2:$B$1000=B504)*(TrocasEquip!$A$2:$A$1000=L504),0),0))</f>
        <v/>
      </c>
      <c r="N504">
        <f>IF(B504="","",IFERROR(MATCH(B504,Equipamentos!$P$2:$P$61,0),""))</f>
        <v/>
      </c>
      <c r="O504">
        <f>IF(N504="","",IF(M504=0,INDEX(Equipamentos!$U$2:$U$61,N504),L504))</f>
        <v/>
      </c>
      <c r="P504">
        <f>IF(N504="","",IF(M504=0,N(INDEX(Equipamentos!$V$2:$V$61,N504)),N(INDEX(TrocasEquip!$I$2:$I$1000,M504))))</f>
        <v/>
      </c>
      <c r="Q504">
        <f>IF(N504="","",IF(M504=0,INDEX(Equipamentos!$T$2:$T$61,N504),IF(INDEX(TrocasEquip!$H$2:$H$1000,M504)="",INDEX(Equipamentos!$T$2:$T$61,N504),INDEX(TrocasEquip!$H$2:$H$1000,M504))))</f>
        <v/>
      </c>
    </row>
    <row r="505">
      <c r="A505" s="54" t="n"/>
      <c r="B505" s="55" t="n"/>
      <c r="C505">
        <f>IF(B505="","",IF(N505="","posição não encontrada",IF(M505=0,INDEX(Equipamentos!$S$2:$S$61,N505),INDEX(TrocasEquip!$G$2:$G$1000,M505))))</f>
        <v/>
      </c>
      <c r="D505" s="56">
        <f>IF(OR(A505="",N505=""),"",P505+IF(E505="dias",MAX(0,A505-O505),IF(INDEX(Equipamentos!$D$2:$D$61,N505)=2,SUMIFS(Producao!$D:$D,Producao!$A:$A,"&gt;="&amp;O505,Producao!$A:$A,"&lt;"&amp;A505),IF(INDEX(Equipamentos!$D$2:$D$61,N505)=3,SUMIFS(Producao!$E:$E,Producao!$A:$A,"&gt;="&amp;O505,Producao!$A:$A,"&lt;"&amp;A505),SUMIFS(Producao!$B:$B,Producao!$A:$A,"&gt;="&amp;O505,Producao!$A:$A,"&lt;"&amp;A505)))))</f>
        <v/>
      </c>
      <c r="E505">
        <f>IF(N505="","",INDEX(Equipamentos!$C$2:$C$61,N505))</f>
        <v/>
      </c>
      <c r="F505" s="57">
        <f>IF(OR(D505="",N(Q505)&lt;=0),"",D505/Q505)</f>
        <v/>
      </c>
      <c r="G505" s="55" t="n"/>
      <c r="H505" s="58" t="n"/>
      <c r="I505" s="58" t="n"/>
      <c r="J505" s="55" t="n"/>
      <c r="K505" s="55" t="n"/>
      <c r="L505">
        <f>IF(OR(A505="",B505=""),"",_xlfn.MAXIFS(TrocasEquip!$A$2:$A$1000,TrocasEquip!$B$2:$B$1000,B505,TrocasEquip!$A$2:$A$1000,"&lt;"&amp;A505))</f>
        <v/>
      </c>
      <c r="M505">
        <f>IF(N(L505)=0,0,MATCH(1,INDEX((TrocasEquip!$B$2:$B$1000=B505)*(TrocasEquip!$A$2:$A$1000=L505),0),0))</f>
        <v/>
      </c>
      <c r="N505">
        <f>IF(B505="","",IFERROR(MATCH(B505,Equipamentos!$P$2:$P$61,0),""))</f>
        <v/>
      </c>
      <c r="O505">
        <f>IF(N505="","",IF(M505=0,INDEX(Equipamentos!$U$2:$U$61,N505),L505))</f>
        <v/>
      </c>
      <c r="P505">
        <f>IF(N505="","",IF(M505=0,N(INDEX(Equipamentos!$V$2:$V$61,N505)),N(INDEX(TrocasEquip!$I$2:$I$1000,M505))))</f>
        <v/>
      </c>
      <c r="Q505">
        <f>IF(N505="","",IF(M505=0,INDEX(Equipamentos!$T$2:$T$61,N505),IF(INDEX(TrocasEquip!$H$2:$H$1000,M505)="",INDEX(Equipamentos!$T$2:$T$61,N505),INDEX(TrocasEquip!$H$2:$H$1000,M505))))</f>
        <v/>
      </c>
    </row>
    <row r="506">
      <c r="A506" s="54" t="n"/>
      <c r="B506" s="55" t="n"/>
      <c r="C506">
        <f>IF(B506="","",IF(N506="","posição não encontrada",IF(M506=0,INDEX(Equipamentos!$S$2:$S$61,N506),INDEX(TrocasEquip!$G$2:$G$1000,M506))))</f>
        <v/>
      </c>
      <c r="D506" s="56">
        <f>IF(OR(A506="",N506=""),"",P506+IF(E506="dias",MAX(0,A506-O506),IF(INDEX(Equipamentos!$D$2:$D$61,N506)=2,SUMIFS(Producao!$D:$D,Producao!$A:$A,"&gt;="&amp;O506,Producao!$A:$A,"&lt;"&amp;A506),IF(INDEX(Equipamentos!$D$2:$D$61,N506)=3,SUMIFS(Producao!$E:$E,Producao!$A:$A,"&gt;="&amp;O506,Producao!$A:$A,"&lt;"&amp;A506),SUMIFS(Producao!$B:$B,Producao!$A:$A,"&gt;="&amp;O506,Producao!$A:$A,"&lt;"&amp;A506)))))</f>
        <v/>
      </c>
      <c r="E506">
        <f>IF(N506="","",INDEX(Equipamentos!$C$2:$C$61,N506))</f>
        <v/>
      </c>
      <c r="F506" s="57">
        <f>IF(OR(D506="",N(Q506)&lt;=0),"",D506/Q506)</f>
        <v/>
      </c>
      <c r="G506" s="55" t="n"/>
      <c r="H506" s="58" t="n"/>
      <c r="I506" s="58" t="n"/>
      <c r="J506" s="55" t="n"/>
      <c r="K506" s="55" t="n"/>
      <c r="L506">
        <f>IF(OR(A506="",B506=""),"",_xlfn.MAXIFS(TrocasEquip!$A$2:$A$1000,TrocasEquip!$B$2:$B$1000,B506,TrocasEquip!$A$2:$A$1000,"&lt;"&amp;A506))</f>
        <v/>
      </c>
      <c r="M506">
        <f>IF(N(L506)=0,0,MATCH(1,INDEX((TrocasEquip!$B$2:$B$1000=B506)*(TrocasEquip!$A$2:$A$1000=L506),0),0))</f>
        <v/>
      </c>
      <c r="N506">
        <f>IF(B506="","",IFERROR(MATCH(B506,Equipamentos!$P$2:$P$61,0),""))</f>
        <v/>
      </c>
      <c r="O506">
        <f>IF(N506="","",IF(M506=0,INDEX(Equipamentos!$U$2:$U$61,N506),L506))</f>
        <v/>
      </c>
      <c r="P506">
        <f>IF(N506="","",IF(M506=0,N(INDEX(Equipamentos!$V$2:$V$61,N506)),N(INDEX(TrocasEquip!$I$2:$I$1000,M506))))</f>
        <v/>
      </c>
      <c r="Q506">
        <f>IF(N506="","",IF(M506=0,INDEX(Equipamentos!$T$2:$T$61,N506),IF(INDEX(TrocasEquip!$H$2:$H$1000,M506)="",INDEX(Equipamentos!$T$2:$T$61,N506),INDEX(TrocasEquip!$H$2:$H$1000,M506))))</f>
        <v/>
      </c>
    </row>
    <row r="507">
      <c r="A507" s="54" t="n"/>
      <c r="B507" s="55" t="n"/>
      <c r="C507">
        <f>IF(B507="","",IF(N507="","posição não encontrada",IF(M507=0,INDEX(Equipamentos!$S$2:$S$61,N507),INDEX(TrocasEquip!$G$2:$G$1000,M507))))</f>
        <v/>
      </c>
      <c r="D507" s="56">
        <f>IF(OR(A507="",N507=""),"",P507+IF(E507="dias",MAX(0,A507-O507),IF(INDEX(Equipamentos!$D$2:$D$61,N507)=2,SUMIFS(Producao!$D:$D,Producao!$A:$A,"&gt;="&amp;O507,Producao!$A:$A,"&lt;"&amp;A507),IF(INDEX(Equipamentos!$D$2:$D$61,N507)=3,SUMIFS(Producao!$E:$E,Producao!$A:$A,"&gt;="&amp;O507,Producao!$A:$A,"&lt;"&amp;A507),SUMIFS(Producao!$B:$B,Producao!$A:$A,"&gt;="&amp;O507,Producao!$A:$A,"&lt;"&amp;A507)))))</f>
        <v/>
      </c>
      <c r="E507">
        <f>IF(N507="","",INDEX(Equipamentos!$C$2:$C$61,N507))</f>
        <v/>
      </c>
      <c r="F507" s="57">
        <f>IF(OR(D507="",N(Q507)&lt;=0),"",D507/Q507)</f>
        <v/>
      </c>
      <c r="G507" s="55" t="n"/>
      <c r="H507" s="58" t="n"/>
      <c r="I507" s="58" t="n"/>
      <c r="J507" s="55" t="n"/>
      <c r="K507" s="55" t="n"/>
      <c r="L507">
        <f>IF(OR(A507="",B507=""),"",_xlfn.MAXIFS(TrocasEquip!$A$2:$A$1000,TrocasEquip!$B$2:$B$1000,B507,TrocasEquip!$A$2:$A$1000,"&lt;"&amp;A507))</f>
        <v/>
      </c>
      <c r="M507">
        <f>IF(N(L507)=0,0,MATCH(1,INDEX((TrocasEquip!$B$2:$B$1000=B507)*(TrocasEquip!$A$2:$A$1000=L507),0),0))</f>
        <v/>
      </c>
      <c r="N507">
        <f>IF(B507="","",IFERROR(MATCH(B507,Equipamentos!$P$2:$P$61,0),""))</f>
        <v/>
      </c>
      <c r="O507">
        <f>IF(N507="","",IF(M507=0,INDEX(Equipamentos!$U$2:$U$61,N507),L507))</f>
        <v/>
      </c>
      <c r="P507">
        <f>IF(N507="","",IF(M507=0,N(INDEX(Equipamentos!$V$2:$V$61,N507)),N(INDEX(TrocasEquip!$I$2:$I$1000,M507))))</f>
        <v/>
      </c>
      <c r="Q507">
        <f>IF(N507="","",IF(M507=0,INDEX(Equipamentos!$T$2:$T$61,N507),IF(INDEX(TrocasEquip!$H$2:$H$1000,M507)="",INDEX(Equipamentos!$T$2:$T$61,N507),INDEX(TrocasEquip!$H$2:$H$1000,M507))))</f>
        <v/>
      </c>
    </row>
    <row r="508">
      <c r="A508" s="54" t="n"/>
      <c r="B508" s="55" t="n"/>
      <c r="C508">
        <f>IF(B508="","",IF(N508="","posição não encontrada",IF(M508=0,INDEX(Equipamentos!$S$2:$S$61,N508),INDEX(TrocasEquip!$G$2:$G$1000,M508))))</f>
        <v/>
      </c>
      <c r="D508" s="56">
        <f>IF(OR(A508="",N508=""),"",P508+IF(E508="dias",MAX(0,A508-O508),IF(INDEX(Equipamentos!$D$2:$D$61,N508)=2,SUMIFS(Producao!$D:$D,Producao!$A:$A,"&gt;="&amp;O508,Producao!$A:$A,"&lt;"&amp;A508),IF(INDEX(Equipamentos!$D$2:$D$61,N508)=3,SUMIFS(Producao!$E:$E,Producao!$A:$A,"&gt;="&amp;O508,Producao!$A:$A,"&lt;"&amp;A508),SUMIFS(Producao!$B:$B,Producao!$A:$A,"&gt;="&amp;O508,Producao!$A:$A,"&lt;"&amp;A508)))))</f>
        <v/>
      </c>
      <c r="E508">
        <f>IF(N508="","",INDEX(Equipamentos!$C$2:$C$61,N508))</f>
        <v/>
      </c>
      <c r="F508" s="57">
        <f>IF(OR(D508="",N(Q508)&lt;=0),"",D508/Q508)</f>
        <v/>
      </c>
      <c r="G508" s="55" t="n"/>
      <c r="H508" s="58" t="n"/>
      <c r="I508" s="58" t="n"/>
      <c r="J508" s="55" t="n"/>
      <c r="K508" s="55" t="n"/>
      <c r="L508">
        <f>IF(OR(A508="",B508=""),"",_xlfn.MAXIFS(TrocasEquip!$A$2:$A$1000,TrocasEquip!$B$2:$B$1000,B508,TrocasEquip!$A$2:$A$1000,"&lt;"&amp;A508))</f>
        <v/>
      </c>
      <c r="M508">
        <f>IF(N(L508)=0,0,MATCH(1,INDEX((TrocasEquip!$B$2:$B$1000=B508)*(TrocasEquip!$A$2:$A$1000=L508),0),0))</f>
        <v/>
      </c>
      <c r="N508">
        <f>IF(B508="","",IFERROR(MATCH(B508,Equipamentos!$P$2:$P$61,0),""))</f>
        <v/>
      </c>
      <c r="O508">
        <f>IF(N508="","",IF(M508=0,INDEX(Equipamentos!$U$2:$U$61,N508),L508))</f>
        <v/>
      </c>
      <c r="P508">
        <f>IF(N508="","",IF(M508=0,N(INDEX(Equipamentos!$V$2:$V$61,N508)),N(INDEX(TrocasEquip!$I$2:$I$1000,M508))))</f>
        <v/>
      </c>
      <c r="Q508">
        <f>IF(N508="","",IF(M508=0,INDEX(Equipamentos!$T$2:$T$61,N508),IF(INDEX(TrocasEquip!$H$2:$H$1000,M508)="",INDEX(Equipamentos!$T$2:$T$61,N508),INDEX(TrocasEquip!$H$2:$H$1000,M508))))</f>
        <v/>
      </c>
    </row>
    <row r="509">
      <c r="A509" s="54" t="n"/>
      <c r="B509" s="55" t="n"/>
      <c r="C509">
        <f>IF(B509="","",IF(N509="","posição não encontrada",IF(M509=0,INDEX(Equipamentos!$S$2:$S$61,N509),INDEX(TrocasEquip!$G$2:$G$1000,M509))))</f>
        <v/>
      </c>
      <c r="D509" s="56">
        <f>IF(OR(A509="",N509=""),"",P509+IF(E509="dias",MAX(0,A509-O509),IF(INDEX(Equipamentos!$D$2:$D$61,N509)=2,SUMIFS(Producao!$D:$D,Producao!$A:$A,"&gt;="&amp;O509,Producao!$A:$A,"&lt;"&amp;A509),IF(INDEX(Equipamentos!$D$2:$D$61,N509)=3,SUMIFS(Producao!$E:$E,Producao!$A:$A,"&gt;="&amp;O509,Producao!$A:$A,"&lt;"&amp;A509),SUMIFS(Producao!$B:$B,Producao!$A:$A,"&gt;="&amp;O509,Producao!$A:$A,"&lt;"&amp;A509)))))</f>
        <v/>
      </c>
      <c r="E509">
        <f>IF(N509="","",INDEX(Equipamentos!$C$2:$C$61,N509))</f>
        <v/>
      </c>
      <c r="F509" s="57">
        <f>IF(OR(D509="",N(Q509)&lt;=0),"",D509/Q509)</f>
        <v/>
      </c>
      <c r="G509" s="55" t="n"/>
      <c r="H509" s="58" t="n"/>
      <c r="I509" s="58" t="n"/>
      <c r="J509" s="55" t="n"/>
      <c r="K509" s="55" t="n"/>
      <c r="L509">
        <f>IF(OR(A509="",B509=""),"",_xlfn.MAXIFS(TrocasEquip!$A$2:$A$1000,TrocasEquip!$B$2:$B$1000,B509,TrocasEquip!$A$2:$A$1000,"&lt;"&amp;A509))</f>
        <v/>
      </c>
      <c r="M509">
        <f>IF(N(L509)=0,0,MATCH(1,INDEX((TrocasEquip!$B$2:$B$1000=B509)*(TrocasEquip!$A$2:$A$1000=L509),0),0))</f>
        <v/>
      </c>
      <c r="N509">
        <f>IF(B509="","",IFERROR(MATCH(B509,Equipamentos!$P$2:$P$61,0),""))</f>
        <v/>
      </c>
      <c r="O509">
        <f>IF(N509="","",IF(M509=0,INDEX(Equipamentos!$U$2:$U$61,N509),L509))</f>
        <v/>
      </c>
      <c r="P509">
        <f>IF(N509="","",IF(M509=0,N(INDEX(Equipamentos!$V$2:$V$61,N509)),N(INDEX(TrocasEquip!$I$2:$I$1000,M509))))</f>
        <v/>
      </c>
      <c r="Q509">
        <f>IF(N509="","",IF(M509=0,INDEX(Equipamentos!$T$2:$T$61,N509),IF(INDEX(TrocasEquip!$H$2:$H$1000,M509)="",INDEX(Equipamentos!$T$2:$T$61,N509),INDEX(TrocasEquip!$H$2:$H$1000,M509))))</f>
        <v/>
      </c>
    </row>
    <row r="510">
      <c r="A510" s="54" t="n"/>
      <c r="B510" s="55" t="n"/>
      <c r="C510">
        <f>IF(B510="","",IF(N510="","posição não encontrada",IF(M510=0,INDEX(Equipamentos!$S$2:$S$61,N510),INDEX(TrocasEquip!$G$2:$G$1000,M510))))</f>
        <v/>
      </c>
      <c r="D510" s="56">
        <f>IF(OR(A510="",N510=""),"",P510+IF(E510="dias",MAX(0,A510-O510),IF(INDEX(Equipamentos!$D$2:$D$61,N510)=2,SUMIFS(Producao!$D:$D,Producao!$A:$A,"&gt;="&amp;O510,Producao!$A:$A,"&lt;"&amp;A510),IF(INDEX(Equipamentos!$D$2:$D$61,N510)=3,SUMIFS(Producao!$E:$E,Producao!$A:$A,"&gt;="&amp;O510,Producao!$A:$A,"&lt;"&amp;A510),SUMIFS(Producao!$B:$B,Producao!$A:$A,"&gt;="&amp;O510,Producao!$A:$A,"&lt;"&amp;A510)))))</f>
        <v/>
      </c>
      <c r="E510">
        <f>IF(N510="","",INDEX(Equipamentos!$C$2:$C$61,N510))</f>
        <v/>
      </c>
      <c r="F510" s="57">
        <f>IF(OR(D510="",N(Q510)&lt;=0),"",D510/Q510)</f>
        <v/>
      </c>
      <c r="G510" s="55" t="n"/>
      <c r="H510" s="58" t="n"/>
      <c r="I510" s="58" t="n"/>
      <c r="J510" s="55" t="n"/>
      <c r="K510" s="55" t="n"/>
      <c r="L510">
        <f>IF(OR(A510="",B510=""),"",_xlfn.MAXIFS(TrocasEquip!$A$2:$A$1000,TrocasEquip!$B$2:$B$1000,B510,TrocasEquip!$A$2:$A$1000,"&lt;"&amp;A510))</f>
        <v/>
      </c>
      <c r="M510">
        <f>IF(N(L510)=0,0,MATCH(1,INDEX((TrocasEquip!$B$2:$B$1000=B510)*(TrocasEquip!$A$2:$A$1000=L510),0),0))</f>
        <v/>
      </c>
      <c r="N510">
        <f>IF(B510="","",IFERROR(MATCH(B510,Equipamentos!$P$2:$P$61,0),""))</f>
        <v/>
      </c>
      <c r="O510">
        <f>IF(N510="","",IF(M510=0,INDEX(Equipamentos!$U$2:$U$61,N510),L510))</f>
        <v/>
      </c>
      <c r="P510">
        <f>IF(N510="","",IF(M510=0,N(INDEX(Equipamentos!$V$2:$V$61,N510)),N(INDEX(TrocasEquip!$I$2:$I$1000,M510))))</f>
        <v/>
      </c>
      <c r="Q510">
        <f>IF(N510="","",IF(M510=0,INDEX(Equipamentos!$T$2:$T$61,N510),IF(INDEX(TrocasEquip!$H$2:$H$1000,M510)="",INDEX(Equipamentos!$T$2:$T$61,N510),INDEX(TrocasEquip!$H$2:$H$1000,M510))))</f>
        <v/>
      </c>
    </row>
    <row r="511">
      <c r="A511" s="54" t="n"/>
      <c r="B511" s="55" t="n"/>
      <c r="C511">
        <f>IF(B511="","",IF(N511="","posição não encontrada",IF(M511=0,INDEX(Equipamentos!$S$2:$S$61,N511),INDEX(TrocasEquip!$G$2:$G$1000,M511))))</f>
        <v/>
      </c>
      <c r="D511" s="56">
        <f>IF(OR(A511="",N511=""),"",P511+IF(E511="dias",MAX(0,A511-O511),IF(INDEX(Equipamentos!$D$2:$D$61,N511)=2,SUMIFS(Producao!$D:$D,Producao!$A:$A,"&gt;="&amp;O511,Producao!$A:$A,"&lt;"&amp;A511),IF(INDEX(Equipamentos!$D$2:$D$61,N511)=3,SUMIFS(Producao!$E:$E,Producao!$A:$A,"&gt;="&amp;O511,Producao!$A:$A,"&lt;"&amp;A511),SUMIFS(Producao!$B:$B,Producao!$A:$A,"&gt;="&amp;O511,Producao!$A:$A,"&lt;"&amp;A511)))))</f>
        <v/>
      </c>
      <c r="E511">
        <f>IF(N511="","",INDEX(Equipamentos!$C$2:$C$61,N511))</f>
        <v/>
      </c>
      <c r="F511" s="57">
        <f>IF(OR(D511="",N(Q511)&lt;=0),"",D511/Q511)</f>
        <v/>
      </c>
      <c r="G511" s="55" t="n"/>
      <c r="H511" s="58" t="n"/>
      <c r="I511" s="58" t="n"/>
      <c r="J511" s="55" t="n"/>
      <c r="K511" s="55" t="n"/>
      <c r="L511">
        <f>IF(OR(A511="",B511=""),"",_xlfn.MAXIFS(TrocasEquip!$A$2:$A$1000,TrocasEquip!$B$2:$B$1000,B511,TrocasEquip!$A$2:$A$1000,"&lt;"&amp;A511))</f>
        <v/>
      </c>
      <c r="M511">
        <f>IF(N(L511)=0,0,MATCH(1,INDEX((TrocasEquip!$B$2:$B$1000=B511)*(TrocasEquip!$A$2:$A$1000=L511),0),0))</f>
        <v/>
      </c>
      <c r="N511">
        <f>IF(B511="","",IFERROR(MATCH(B511,Equipamentos!$P$2:$P$61,0),""))</f>
        <v/>
      </c>
      <c r="O511">
        <f>IF(N511="","",IF(M511=0,INDEX(Equipamentos!$U$2:$U$61,N511),L511))</f>
        <v/>
      </c>
      <c r="P511">
        <f>IF(N511="","",IF(M511=0,N(INDEX(Equipamentos!$V$2:$V$61,N511)),N(INDEX(TrocasEquip!$I$2:$I$1000,M511))))</f>
        <v/>
      </c>
      <c r="Q511">
        <f>IF(N511="","",IF(M511=0,INDEX(Equipamentos!$T$2:$T$61,N511),IF(INDEX(TrocasEquip!$H$2:$H$1000,M511)="",INDEX(Equipamentos!$T$2:$T$61,N511),INDEX(TrocasEquip!$H$2:$H$1000,M511))))</f>
        <v/>
      </c>
    </row>
    <row r="512">
      <c r="A512" s="54" t="n"/>
      <c r="B512" s="55" t="n"/>
      <c r="C512">
        <f>IF(B512="","",IF(N512="","posição não encontrada",IF(M512=0,INDEX(Equipamentos!$S$2:$S$61,N512),INDEX(TrocasEquip!$G$2:$G$1000,M512))))</f>
        <v/>
      </c>
      <c r="D512" s="56">
        <f>IF(OR(A512="",N512=""),"",P512+IF(E512="dias",MAX(0,A512-O512),IF(INDEX(Equipamentos!$D$2:$D$61,N512)=2,SUMIFS(Producao!$D:$D,Producao!$A:$A,"&gt;="&amp;O512,Producao!$A:$A,"&lt;"&amp;A512),IF(INDEX(Equipamentos!$D$2:$D$61,N512)=3,SUMIFS(Producao!$E:$E,Producao!$A:$A,"&gt;="&amp;O512,Producao!$A:$A,"&lt;"&amp;A512),SUMIFS(Producao!$B:$B,Producao!$A:$A,"&gt;="&amp;O512,Producao!$A:$A,"&lt;"&amp;A512)))))</f>
        <v/>
      </c>
      <c r="E512">
        <f>IF(N512="","",INDEX(Equipamentos!$C$2:$C$61,N512))</f>
        <v/>
      </c>
      <c r="F512" s="57">
        <f>IF(OR(D512="",N(Q512)&lt;=0),"",D512/Q512)</f>
        <v/>
      </c>
      <c r="G512" s="55" t="n"/>
      <c r="H512" s="58" t="n"/>
      <c r="I512" s="58" t="n"/>
      <c r="J512" s="55" t="n"/>
      <c r="K512" s="55" t="n"/>
      <c r="L512">
        <f>IF(OR(A512="",B512=""),"",_xlfn.MAXIFS(TrocasEquip!$A$2:$A$1000,TrocasEquip!$B$2:$B$1000,B512,TrocasEquip!$A$2:$A$1000,"&lt;"&amp;A512))</f>
        <v/>
      </c>
      <c r="M512">
        <f>IF(N(L512)=0,0,MATCH(1,INDEX((TrocasEquip!$B$2:$B$1000=B512)*(TrocasEquip!$A$2:$A$1000=L512),0),0))</f>
        <v/>
      </c>
      <c r="N512">
        <f>IF(B512="","",IFERROR(MATCH(B512,Equipamentos!$P$2:$P$61,0),""))</f>
        <v/>
      </c>
      <c r="O512">
        <f>IF(N512="","",IF(M512=0,INDEX(Equipamentos!$U$2:$U$61,N512),L512))</f>
        <v/>
      </c>
      <c r="P512">
        <f>IF(N512="","",IF(M512=0,N(INDEX(Equipamentos!$V$2:$V$61,N512)),N(INDEX(TrocasEquip!$I$2:$I$1000,M512))))</f>
        <v/>
      </c>
      <c r="Q512">
        <f>IF(N512="","",IF(M512=0,INDEX(Equipamentos!$T$2:$T$61,N512),IF(INDEX(TrocasEquip!$H$2:$H$1000,M512)="",INDEX(Equipamentos!$T$2:$T$61,N512),INDEX(TrocasEquip!$H$2:$H$1000,M512))))</f>
        <v/>
      </c>
    </row>
    <row r="513">
      <c r="A513" s="54" t="n"/>
      <c r="B513" s="55" t="n"/>
      <c r="C513">
        <f>IF(B513="","",IF(N513="","posição não encontrada",IF(M513=0,INDEX(Equipamentos!$S$2:$S$61,N513),INDEX(TrocasEquip!$G$2:$G$1000,M513))))</f>
        <v/>
      </c>
      <c r="D513" s="56">
        <f>IF(OR(A513="",N513=""),"",P513+IF(E513="dias",MAX(0,A513-O513),IF(INDEX(Equipamentos!$D$2:$D$61,N513)=2,SUMIFS(Producao!$D:$D,Producao!$A:$A,"&gt;="&amp;O513,Producao!$A:$A,"&lt;"&amp;A513),IF(INDEX(Equipamentos!$D$2:$D$61,N513)=3,SUMIFS(Producao!$E:$E,Producao!$A:$A,"&gt;="&amp;O513,Producao!$A:$A,"&lt;"&amp;A513),SUMIFS(Producao!$B:$B,Producao!$A:$A,"&gt;="&amp;O513,Producao!$A:$A,"&lt;"&amp;A513)))))</f>
        <v/>
      </c>
      <c r="E513">
        <f>IF(N513="","",INDEX(Equipamentos!$C$2:$C$61,N513))</f>
        <v/>
      </c>
      <c r="F513" s="57">
        <f>IF(OR(D513="",N(Q513)&lt;=0),"",D513/Q513)</f>
        <v/>
      </c>
      <c r="G513" s="55" t="n"/>
      <c r="H513" s="58" t="n"/>
      <c r="I513" s="58" t="n"/>
      <c r="J513" s="55" t="n"/>
      <c r="K513" s="55" t="n"/>
      <c r="L513">
        <f>IF(OR(A513="",B513=""),"",_xlfn.MAXIFS(TrocasEquip!$A$2:$A$1000,TrocasEquip!$B$2:$B$1000,B513,TrocasEquip!$A$2:$A$1000,"&lt;"&amp;A513))</f>
        <v/>
      </c>
      <c r="M513">
        <f>IF(N(L513)=0,0,MATCH(1,INDEX((TrocasEquip!$B$2:$B$1000=B513)*(TrocasEquip!$A$2:$A$1000=L513),0),0))</f>
        <v/>
      </c>
      <c r="N513">
        <f>IF(B513="","",IFERROR(MATCH(B513,Equipamentos!$P$2:$P$61,0),""))</f>
        <v/>
      </c>
      <c r="O513">
        <f>IF(N513="","",IF(M513=0,INDEX(Equipamentos!$U$2:$U$61,N513),L513))</f>
        <v/>
      </c>
      <c r="P513">
        <f>IF(N513="","",IF(M513=0,N(INDEX(Equipamentos!$V$2:$V$61,N513)),N(INDEX(TrocasEquip!$I$2:$I$1000,M513))))</f>
        <v/>
      </c>
      <c r="Q513">
        <f>IF(N513="","",IF(M513=0,INDEX(Equipamentos!$T$2:$T$61,N513),IF(INDEX(TrocasEquip!$H$2:$H$1000,M513)="",INDEX(Equipamentos!$T$2:$T$61,N513),INDEX(TrocasEquip!$H$2:$H$1000,M513))))</f>
        <v/>
      </c>
    </row>
    <row r="514">
      <c r="A514" s="54" t="n"/>
      <c r="B514" s="55" t="n"/>
      <c r="C514">
        <f>IF(B514="","",IF(N514="","posição não encontrada",IF(M514=0,INDEX(Equipamentos!$S$2:$S$61,N514),INDEX(TrocasEquip!$G$2:$G$1000,M514))))</f>
        <v/>
      </c>
      <c r="D514" s="56">
        <f>IF(OR(A514="",N514=""),"",P514+IF(E514="dias",MAX(0,A514-O514),IF(INDEX(Equipamentos!$D$2:$D$61,N514)=2,SUMIFS(Producao!$D:$D,Producao!$A:$A,"&gt;="&amp;O514,Producao!$A:$A,"&lt;"&amp;A514),IF(INDEX(Equipamentos!$D$2:$D$61,N514)=3,SUMIFS(Producao!$E:$E,Producao!$A:$A,"&gt;="&amp;O514,Producao!$A:$A,"&lt;"&amp;A514),SUMIFS(Producao!$B:$B,Producao!$A:$A,"&gt;="&amp;O514,Producao!$A:$A,"&lt;"&amp;A514)))))</f>
        <v/>
      </c>
      <c r="E514">
        <f>IF(N514="","",INDEX(Equipamentos!$C$2:$C$61,N514))</f>
        <v/>
      </c>
      <c r="F514" s="57">
        <f>IF(OR(D514="",N(Q514)&lt;=0),"",D514/Q514)</f>
        <v/>
      </c>
      <c r="G514" s="55" t="n"/>
      <c r="H514" s="58" t="n"/>
      <c r="I514" s="58" t="n"/>
      <c r="J514" s="55" t="n"/>
      <c r="K514" s="55" t="n"/>
      <c r="L514">
        <f>IF(OR(A514="",B514=""),"",_xlfn.MAXIFS(TrocasEquip!$A$2:$A$1000,TrocasEquip!$B$2:$B$1000,B514,TrocasEquip!$A$2:$A$1000,"&lt;"&amp;A514))</f>
        <v/>
      </c>
      <c r="M514">
        <f>IF(N(L514)=0,0,MATCH(1,INDEX((TrocasEquip!$B$2:$B$1000=B514)*(TrocasEquip!$A$2:$A$1000=L514),0),0))</f>
        <v/>
      </c>
      <c r="N514">
        <f>IF(B514="","",IFERROR(MATCH(B514,Equipamentos!$P$2:$P$61,0),""))</f>
        <v/>
      </c>
      <c r="O514">
        <f>IF(N514="","",IF(M514=0,INDEX(Equipamentos!$U$2:$U$61,N514),L514))</f>
        <v/>
      </c>
      <c r="P514">
        <f>IF(N514="","",IF(M514=0,N(INDEX(Equipamentos!$V$2:$V$61,N514)),N(INDEX(TrocasEquip!$I$2:$I$1000,M514))))</f>
        <v/>
      </c>
      <c r="Q514">
        <f>IF(N514="","",IF(M514=0,INDEX(Equipamentos!$T$2:$T$61,N514),IF(INDEX(TrocasEquip!$H$2:$H$1000,M514)="",INDEX(Equipamentos!$T$2:$T$61,N514),INDEX(TrocasEquip!$H$2:$H$1000,M514))))</f>
        <v/>
      </c>
    </row>
    <row r="515">
      <c r="A515" s="54" t="n"/>
      <c r="B515" s="55" t="n"/>
      <c r="C515">
        <f>IF(B515="","",IF(N515="","posição não encontrada",IF(M515=0,INDEX(Equipamentos!$S$2:$S$61,N515),INDEX(TrocasEquip!$G$2:$G$1000,M515))))</f>
        <v/>
      </c>
      <c r="D515" s="56">
        <f>IF(OR(A515="",N515=""),"",P515+IF(E515="dias",MAX(0,A515-O515),IF(INDEX(Equipamentos!$D$2:$D$61,N515)=2,SUMIFS(Producao!$D:$D,Producao!$A:$A,"&gt;="&amp;O515,Producao!$A:$A,"&lt;"&amp;A515),IF(INDEX(Equipamentos!$D$2:$D$61,N515)=3,SUMIFS(Producao!$E:$E,Producao!$A:$A,"&gt;="&amp;O515,Producao!$A:$A,"&lt;"&amp;A515),SUMIFS(Producao!$B:$B,Producao!$A:$A,"&gt;="&amp;O515,Producao!$A:$A,"&lt;"&amp;A515)))))</f>
        <v/>
      </c>
      <c r="E515">
        <f>IF(N515="","",INDEX(Equipamentos!$C$2:$C$61,N515))</f>
        <v/>
      </c>
      <c r="F515" s="57">
        <f>IF(OR(D515="",N(Q515)&lt;=0),"",D515/Q515)</f>
        <v/>
      </c>
      <c r="G515" s="55" t="n"/>
      <c r="H515" s="58" t="n"/>
      <c r="I515" s="58" t="n"/>
      <c r="J515" s="55" t="n"/>
      <c r="K515" s="55" t="n"/>
      <c r="L515">
        <f>IF(OR(A515="",B515=""),"",_xlfn.MAXIFS(TrocasEquip!$A$2:$A$1000,TrocasEquip!$B$2:$B$1000,B515,TrocasEquip!$A$2:$A$1000,"&lt;"&amp;A515))</f>
        <v/>
      </c>
      <c r="M515">
        <f>IF(N(L515)=0,0,MATCH(1,INDEX((TrocasEquip!$B$2:$B$1000=B515)*(TrocasEquip!$A$2:$A$1000=L515),0),0))</f>
        <v/>
      </c>
      <c r="N515">
        <f>IF(B515="","",IFERROR(MATCH(B515,Equipamentos!$P$2:$P$61,0),""))</f>
        <v/>
      </c>
      <c r="O515">
        <f>IF(N515="","",IF(M515=0,INDEX(Equipamentos!$U$2:$U$61,N515),L515))</f>
        <v/>
      </c>
      <c r="P515">
        <f>IF(N515="","",IF(M515=0,N(INDEX(Equipamentos!$V$2:$V$61,N515)),N(INDEX(TrocasEquip!$I$2:$I$1000,M515))))</f>
        <v/>
      </c>
      <c r="Q515">
        <f>IF(N515="","",IF(M515=0,INDEX(Equipamentos!$T$2:$T$61,N515),IF(INDEX(TrocasEquip!$H$2:$H$1000,M515)="",INDEX(Equipamentos!$T$2:$T$61,N515),INDEX(TrocasEquip!$H$2:$H$1000,M515))))</f>
        <v/>
      </c>
    </row>
    <row r="516">
      <c r="A516" s="54" t="n"/>
      <c r="B516" s="55" t="n"/>
      <c r="C516">
        <f>IF(B516="","",IF(N516="","posição não encontrada",IF(M516=0,INDEX(Equipamentos!$S$2:$S$61,N516),INDEX(TrocasEquip!$G$2:$G$1000,M516))))</f>
        <v/>
      </c>
      <c r="D516" s="56">
        <f>IF(OR(A516="",N516=""),"",P516+IF(E516="dias",MAX(0,A516-O516),IF(INDEX(Equipamentos!$D$2:$D$61,N516)=2,SUMIFS(Producao!$D:$D,Producao!$A:$A,"&gt;="&amp;O516,Producao!$A:$A,"&lt;"&amp;A516),IF(INDEX(Equipamentos!$D$2:$D$61,N516)=3,SUMIFS(Producao!$E:$E,Producao!$A:$A,"&gt;="&amp;O516,Producao!$A:$A,"&lt;"&amp;A516),SUMIFS(Producao!$B:$B,Producao!$A:$A,"&gt;="&amp;O516,Producao!$A:$A,"&lt;"&amp;A516)))))</f>
        <v/>
      </c>
      <c r="E516">
        <f>IF(N516="","",INDEX(Equipamentos!$C$2:$C$61,N516))</f>
        <v/>
      </c>
      <c r="F516" s="57">
        <f>IF(OR(D516="",N(Q516)&lt;=0),"",D516/Q516)</f>
        <v/>
      </c>
      <c r="G516" s="55" t="n"/>
      <c r="H516" s="58" t="n"/>
      <c r="I516" s="58" t="n"/>
      <c r="J516" s="55" t="n"/>
      <c r="K516" s="55" t="n"/>
      <c r="L516">
        <f>IF(OR(A516="",B516=""),"",_xlfn.MAXIFS(TrocasEquip!$A$2:$A$1000,TrocasEquip!$B$2:$B$1000,B516,TrocasEquip!$A$2:$A$1000,"&lt;"&amp;A516))</f>
        <v/>
      </c>
      <c r="M516">
        <f>IF(N(L516)=0,0,MATCH(1,INDEX((TrocasEquip!$B$2:$B$1000=B516)*(TrocasEquip!$A$2:$A$1000=L516),0),0))</f>
        <v/>
      </c>
      <c r="N516">
        <f>IF(B516="","",IFERROR(MATCH(B516,Equipamentos!$P$2:$P$61,0),""))</f>
        <v/>
      </c>
      <c r="O516">
        <f>IF(N516="","",IF(M516=0,INDEX(Equipamentos!$U$2:$U$61,N516),L516))</f>
        <v/>
      </c>
      <c r="P516">
        <f>IF(N516="","",IF(M516=0,N(INDEX(Equipamentos!$V$2:$V$61,N516)),N(INDEX(TrocasEquip!$I$2:$I$1000,M516))))</f>
        <v/>
      </c>
      <c r="Q516">
        <f>IF(N516="","",IF(M516=0,INDEX(Equipamentos!$T$2:$T$61,N516),IF(INDEX(TrocasEquip!$H$2:$H$1000,M516)="",INDEX(Equipamentos!$T$2:$T$61,N516),INDEX(TrocasEquip!$H$2:$H$1000,M516))))</f>
        <v/>
      </c>
    </row>
    <row r="517">
      <c r="A517" s="54" t="n"/>
      <c r="B517" s="55" t="n"/>
      <c r="C517">
        <f>IF(B517="","",IF(N517="","posição não encontrada",IF(M517=0,INDEX(Equipamentos!$S$2:$S$61,N517),INDEX(TrocasEquip!$G$2:$G$1000,M517))))</f>
        <v/>
      </c>
      <c r="D517" s="56">
        <f>IF(OR(A517="",N517=""),"",P517+IF(E517="dias",MAX(0,A517-O517),IF(INDEX(Equipamentos!$D$2:$D$61,N517)=2,SUMIFS(Producao!$D:$D,Producao!$A:$A,"&gt;="&amp;O517,Producao!$A:$A,"&lt;"&amp;A517),IF(INDEX(Equipamentos!$D$2:$D$61,N517)=3,SUMIFS(Producao!$E:$E,Producao!$A:$A,"&gt;="&amp;O517,Producao!$A:$A,"&lt;"&amp;A517),SUMIFS(Producao!$B:$B,Producao!$A:$A,"&gt;="&amp;O517,Producao!$A:$A,"&lt;"&amp;A517)))))</f>
        <v/>
      </c>
      <c r="E517">
        <f>IF(N517="","",INDEX(Equipamentos!$C$2:$C$61,N517))</f>
        <v/>
      </c>
      <c r="F517" s="57">
        <f>IF(OR(D517="",N(Q517)&lt;=0),"",D517/Q517)</f>
        <v/>
      </c>
      <c r="G517" s="55" t="n"/>
      <c r="H517" s="58" t="n"/>
      <c r="I517" s="58" t="n"/>
      <c r="J517" s="55" t="n"/>
      <c r="K517" s="55" t="n"/>
      <c r="L517">
        <f>IF(OR(A517="",B517=""),"",_xlfn.MAXIFS(TrocasEquip!$A$2:$A$1000,TrocasEquip!$B$2:$B$1000,B517,TrocasEquip!$A$2:$A$1000,"&lt;"&amp;A517))</f>
        <v/>
      </c>
      <c r="M517">
        <f>IF(N(L517)=0,0,MATCH(1,INDEX((TrocasEquip!$B$2:$B$1000=B517)*(TrocasEquip!$A$2:$A$1000=L517),0),0))</f>
        <v/>
      </c>
      <c r="N517">
        <f>IF(B517="","",IFERROR(MATCH(B517,Equipamentos!$P$2:$P$61,0),""))</f>
        <v/>
      </c>
      <c r="O517">
        <f>IF(N517="","",IF(M517=0,INDEX(Equipamentos!$U$2:$U$61,N517),L517))</f>
        <v/>
      </c>
      <c r="P517">
        <f>IF(N517="","",IF(M517=0,N(INDEX(Equipamentos!$V$2:$V$61,N517)),N(INDEX(TrocasEquip!$I$2:$I$1000,M517))))</f>
        <v/>
      </c>
      <c r="Q517">
        <f>IF(N517="","",IF(M517=0,INDEX(Equipamentos!$T$2:$T$61,N517),IF(INDEX(TrocasEquip!$H$2:$H$1000,M517)="",INDEX(Equipamentos!$T$2:$T$61,N517),INDEX(TrocasEquip!$H$2:$H$1000,M517))))</f>
        <v/>
      </c>
    </row>
    <row r="518">
      <c r="A518" s="54" t="n"/>
      <c r="B518" s="55" t="n"/>
      <c r="C518">
        <f>IF(B518="","",IF(N518="","posição não encontrada",IF(M518=0,INDEX(Equipamentos!$S$2:$S$61,N518),INDEX(TrocasEquip!$G$2:$G$1000,M518))))</f>
        <v/>
      </c>
      <c r="D518" s="56">
        <f>IF(OR(A518="",N518=""),"",P518+IF(E518="dias",MAX(0,A518-O518),IF(INDEX(Equipamentos!$D$2:$D$61,N518)=2,SUMIFS(Producao!$D:$D,Producao!$A:$A,"&gt;="&amp;O518,Producao!$A:$A,"&lt;"&amp;A518),IF(INDEX(Equipamentos!$D$2:$D$61,N518)=3,SUMIFS(Producao!$E:$E,Producao!$A:$A,"&gt;="&amp;O518,Producao!$A:$A,"&lt;"&amp;A518),SUMIFS(Producao!$B:$B,Producao!$A:$A,"&gt;="&amp;O518,Producao!$A:$A,"&lt;"&amp;A518)))))</f>
        <v/>
      </c>
      <c r="E518">
        <f>IF(N518="","",INDEX(Equipamentos!$C$2:$C$61,N518))</f>
        <v/>
      </c>
      <c r="F518" s="57">
        <f>IF(OR(D518="",N(Q518)&lt;=0),"",D518/Q518)</f>
        <v/>
      </c>
      <c r="G518" s="55" t="n"/>
      <c r="H518" s="58" t="n"/>
      <c r="I518" s="58" t="n"/>
      <c r="J518" s="55" t="n"/>
      <c r="K518" s="55" t="n"/>
      <c r="L518">
        <f>IF(OR(A518="",B518=""),"",_xlfn.MAXIFS(TrocasEquip!$A$2:$A$1000,TrocasEquip!$B$2:$B$1000,B518,TrocasEquip!$A$2:$A$1000,"&lt;"&amp;A518))</f>
        <v/>
      </c>
      <c r="M518">
        <f>IF(N(L518)=0,0,MATCH(1,INDEX((TrocasEquip!$B$2:$B$1000=B518)*(TrocasEquip!$A$2:$A$1000=L518),0),0))</f>
        <v/>
      </c>
      <c r="N518">
        <f>IF(B518="","",IFERROR(MATCH(B518,Equipamentos!$P$2:$P$61,0),""))</f>
        <v/>
      </c>
      <c r="O518">
        <f>IF(N518="","",IF(M518=0,INDEX(Equipamentos!$U$2:$U$61,N518),L518))</f>
        <v/>
      </c>
      <c r="P518">
        <f>IF(N518="","",IF(M518=0,N(INDEX(Equipamentos!$V$2:$V$61,N518)),N(INDEX(TrocasEquip!$I$2:$I$1000,M518))))</f>
        <v/>
      </c>
      <c r="Q518">
        <f>IF(N518="","",IF(M518=0,INDEX(Equipamentos!$T$2:$T$61,N518),IF(INDEX(TrocasEquip!$H$2:$H$1000,M518)="",INDEX(Equipamentos!$T$2:$T$61,N518),INDEX(TrocasEquip!$H$2:$H$1000,M518))))</f>
        <v/>
      </c>
    </row>
    <row r="519">
      <c r="A519" s="54" t="n"/>
      <c r="B519" s="55" t="n"/>
      <c r="C519">
        <f>IF(B519="","",IF(N519="","posição não encontrada",IF(M519=0,INDEX(Equipamentos!$S$2:$S$61,N519),INDEX(TrocasEquip!$G$2:$G$1000,M519))))</f>
        <v/>
      </c>
      <c r="D519" s="56">
        <f>IF(OR(A519="",N519=""),"",P519+IF(E519="dias",MAX(0,A519-O519),IF(INDEX(Equipamentos!$D$2:$D$61,N519)=2,SUMIFS(Producao!$D:$D,Producao!$A:$A,"&gt;="&amp;O519,Producao!$A:$A,"&lt;"&amp;A519),IF(INDEX(Equipamentos!$D$2:$D$61,N519)=3,SUMIFS(Producao!$E:$E,Producao!$A:$A,"&gt;="&amp;O519,Producao!$A:$A,"&lt;"&amp;A519),SUMIFS(Producao!$B:$B,Producao!$A:$A,"&gt;="&amp;O519,Producao!$A:$A,"&lt;"&amp;A519)))))</f>
        <v/>
      </c>
      <c r="E519">
        <f>IF(N519="","",INDEX(Equipamentos!$C$2:$C$61,N519))</f>
        <v/>
      </c>
      <c r="F519" s="57">
        <f>IF(OR(D519="",N(Q519)&lt;=0),"",D519/Q519)</f>
        <v/>
      </c>
      <c r="G519" s="55" t="n"/>
      <c r="H519" s="58" t="n"/>
      <c r="I519" s="58" t="n"/>
      <c r="J519" s="55" t="n"/>
      <c r="K519" s="55" t="n"/>
      <c r="L519">
        <f>IF(OR(A519="",B519=""),"",_xlfn.MAXIFS(TrocasEquip!$A$2:$A$1000,TrocasEquip!$B$2:$B$1000,B519,TrocasEquip!$A$2:$A$1000,"&lt;"&amp;A519))</f>
        <v/>
      </c>
      <c r="M519">
        <f>IF(N(L519)=0,0,MATCH(1,INDEX((TrocasEquip!$B$2:$B$1000=B519)*(TrocasEquip!$A$2:$A$1000=L519),0),0))</f>
        <v/>
      </c>
      <c r="N519">
        <f>IF(B519="","",IFERROR(MATCH(B519,Equipamentos!$P$2:$P$61,0),""))</f>
        <v/>
      </c>
      <c r="O519">
        <f>IF(N519="","",IF(M519=0,INDEX(Equipamentos!$U$2:$U$61,N519),L519))</f>
        <v/>
      </c>
      <c r="P519">
        <f>IF(N519="","",IF(M519=0,N(INDEX(Equipamentos!$V$2:$V$61,N519)),N(INDEX(TrocasEquip!$I$2:$I$1000,M519))))</f>
        <v/>
      </c>
      <c r="Q519">
        <f>IF(N519="","",IF(M519=0,INDEX(Equipamentos!$T$2:$T$61,N519),IF(INDEX(TrocasEquip!$H$2:$H$1000,M519)="",INDEX(Equipamentos!$T$2:$T$61,N519),INDEX(TrocasEquip!$H$2:$H$1000,M519))))</f>
        <v/>
      </c>
    </row>
    <row r="520">
      <c r="A520" s="54" t="n"/>
      <c r="B520" s="55" t="n"/>
      <c r="C520">
        <f>IF(B520="","",IF(N520="","posição não encontrada",IF(M520=0,INDEX(Equipamentos!$S$2:$S$61,N520),INDEX(TrocasEquip!$G$2:$G$1000,M520))))</f>
        <v/>
      </c>
      <c r="D520" s="56">
        <f>IF(OR(A520="",N520=""),"",P520+IF(E520="dias",MAX(0,A520-O520),IF(INDEX(Equipamentos!$D$2:$D$61,N520)=2,SUMIFS(Producao!$D:$D,Producao!$A:$A,"&gt;="&amp;O520,Producao!$A:$A,"&lt;"&amp;A520),IF(INDEX(Equipamentos!$D$2:$D$61,N520)=3,SUMIFS(Producao!$E:$E,Producao!$A:$A,"&gt;="&amp;O520,Producao!$A:$A,"&lt;"&amp;A520),SUMIFS(Producao!$B:$B,Producao!$A:$A,"&gt;="&amp;O520,Producao!$A:$A,"&lt;"&amp;A520)))))</f>
        <v/>
      </c>
      <c r="E520">
        <f>IF(N520="","",INDEX(Equipamentos!$C$2:$C$61,N520))</f>
        <v/>
      </c>
      <c r="F520" s="57">
        <f>IF(OR(D520="",N(Q520)&lt;=0),"",D520/Q520)</f>
        <v/>
      </c>
      <c r="G520" s="55" t="n"/>
      <c r="H520" s="58" t="n"/>
      <c r="I520" s="58" t="n"/>
      <c r="J520" s="55" t="n"/>
      <c r="K520" s="55" t="n"/>
      <c r="L520">
        <f>IF(OR(A520="",B520=""),"",_xlfn.MAXIFS(TrocasEquip!$A$2:$A$1000,TrocasEquip!$B$2:$B$1000,B520,TrocasEquip!$A$2:$A$1000,"&lt;"&amp;A520))</f>
        <v/>
      </c>
      <c r="M520">
        <f>IF(N(L520)=0,0,MATCH(1,INDEX((TrocasEquip!$B$2:$B$1000=B520)*(TrocasEquip!$A$2:$A$1000=L520),0),0))</f>
        <v/>
      </c>
      <c r="N520">
        <f>IF(B520="","",IFERROR(MATCH(B520,Equipamentos!$P$2:$P$61,0),""))</f>
        <v/>
      </c>
      <c r="O520">
        <f>IF(N520="","",IF(M520=0,INDEX(Equipamentos!$U$2:$U$61,N520),L520))</f>
        <v/>
      </c>
      <c r="P520">
        <f>IF(N520="","",IF(M520=0,N(INDEX(Equipamentos!$V$2:$V$61,N520)),N(INDEX(TrocasEquip!$I$2:$I$1000,M520))))</f>
        <v/>
      </c>
      <c r="Q520">
        <f>IF(N520="","",IF(M520=0,INDEX(Equipamentos!$T$2:$T$61,N520),IF(INDEX(TrocasEquip!$H$2:$H$1000,M520)="",INDEX(Equipamentos!$T$2:$T$61,N520),INDEX(TrocasEquip!$H$2:$H$1000,M520))))</f>
        <v/>
      </c>
    </row>
    <row r="521">
      <c r="A521" s="54" t="n"/>
      <c r="B521" s="55" t="n"/>
      <c r="C521">
        <f>IF(B521="","",IF(N521="","posição não encontrada",IF(M521=0,INDEX(Equipamentos!$S$2:$S$61,N521),INDEX(TrocasEquip!$G$2:$G$1000,M521))))</f>
        <v/>
      </c>
      <c r="D521" s="56">
        <f>IF(OR(A521="",N521=""),"",P521+IF(E521="dias",MAX(0,A521-O521),IF(INDEX(Equipamentos!$D$2:$D$61,N521)=2,SUMIFS(Producao!$D:$D,Producao!$A:$A,"&gt;="&amp;O521,Producao!$A:$A,"&lt;"&amp;A521),IF(INDEX(Equipamentos!$D$2:$D$61,N521)=3,SUMIFS(Producao!$E:$E,Producao!$A:$A,"&gt;="&amp;O521,Producao!$A:$A,"&lt;"&amp;A521),SUMIFS(Producao!$B:$B,Producao!$A:$A,"&gt;="&amp;O521,Producao!$A:$A,"&lt;"&amp;A521)))))</f>
        <v/>
      </c>
      <c r="E521">
        <f>IF(N521="","",INDEX(Equipamentos!$C$2:$C$61,N521))</f>
        <v/>
      </c>
      <c r="F521" s="57">
        <f>IF(OR(D521="",N(Q521)&lt;=0),"",D521/Q521)</f>
        <v/>
      </c>
      <c r="G521" s="55" t="n"/>
      <c r="H521" s="58" t="n"/>
      <c r="I521" s="58" t="n"/>
      <c r="J521" s="55" t="n"/>
      <c r="K521" s="55" t="n"/>
      <c r="L521">
        <f>IF(OR(A521="",B521=""),"",_xlfn.MAXIFS(TrocasEquip!$A$2:$A$1000,TrocasEquip!$B$2:$B$1000,B521,TrocasEquip!$A$2:$A$1000,"&lt;"&amp;A521))</f>
        <v/>
      </c>
      <c r="M521">
        <f>IF(N(L521)=0,0,MATCH(1,INDEX((TrocasEquip!$B$2:$B$1000=B521)*(TrocasEquip!$A$2:$A$1000=L521),0),0))</f>
        <v/>
      </c>
      <c r="N521">
        <f>IF(B521="","",IFERROR(MATCH(B521,Equipamentos!$P$2:$P$61,0),""))</f>
        <v/>
      </c>
      <c r="O521">
        <f>IF(N521="","",IF(M521=0,INDEX(Equipamentos!$U$2:$U$61,N521),L521))</f>
        <v/>
      </c>
      <c r="P521">
        <f>IF(N521="","",IF(M521=0,N(INDEX(Equipamentos!$V$2:$V$61,N521)),N(INDEX(TrocasEquip!$I$2:$I$1000,M521))))</f>
        <v/>
      </c>
      <c r="Q521">
        <f>IF(N521="","",IF(M521=0,INDEX(Equipamentos!$T$2:$T$61,N521),IF(INDEX(TrocasEquip!$H$2:$H$1000,M521)="",INDEX(Equipamentos!$T$2:$T$61,N521),INDEX(TrocasEquip!$H$2:$H$1000,M521))))</f>
        <v/>
      </c>
    </row>
    <row r="522">
      <c r="A522" s="54" t="n"/>
      <c r="B522" s="55" t="n"/>
      <c r="C522">
        <f>IF(B522="","",IF(N522="","posição não encontrada",IF(M522=0,INDEX(Equipamentos!$S$2:$S$61,N522),INDEX(TrocasEquip!$G$2:$G$1000,M522))))</f>
        <v/>
      </c>
      <c r="D522" s="56">
        <f>IF(OR(A522="",N522=""),"",P522+IF(E522="dias",MAX(0,A522-O522),IF(INDEX(Equipamentos!$D$2:$D$61,N522)=2,SUMIFS(Producao!$D:$D,Producao!$A:$A,"&gt;="&amp;O522,Producao!$A:$A,"&lt;"&amp;A522),IF(INDEX(Equipamentos!$D$2:$D$61,N522)=3,SUMIFS(Producao!$E:$E,Producao!$A:$A,"&gt;="&amp;O522,Producao!$A:$A,"&lt;"&amp;A522),SUMIFS(Producao!$B:$B,Producao!$A:$A,"&gt;="&amp;O522,Producao!$A:$A,"&lt;"&amp;A522)))))</f>
        <v/>
      </c>
      <c r="E522">
        <f>IF(N522="","",INDEX(Equipamentos!$C$2:$C$61,N522))</f>
        <v/>
      </c>
      <c r="F522" s="57">
        <f>IF(OR(D522="",N(Q522)&lt;=0),"",D522/Q522)</f>
        <v/>
      </c>
      <c r="G522" s="55" t="n"/>
      <c r="H522" s="58" t="n"/>
      <c r="I522" s="58" t="n"/>
      <c r="J522" s="55" t="n"/>
      <c r="K522" s="55" t="n"/>
      <c r="L522">
        <f>IF(OR(A522="",B522=""),"",_xlfn.MAXIFS(TrocasEquip!$A$2:$A$1000,TrocasEquip!$B$2:$B$1000,B522,TrocasEquip!$A$2:$A$1000,"&lt;"&amp;A522))</f>
        <v/>
      </c>
      <c r="M522">
        <f>IF(N(L522)=0,0,MATCH(1,INDEX((TrocasEquip!$B$2:$B$1000=B522)*(TrocasEquip!$A$2:$A$1000=L522),0),0))</f>
        <v/>
      </c>
      <c r="N522">
        <f>IF(B522="","",IFERROR(MATCH(B522,Equipamentos!$P$2:$P$61,0),""))</f>
        <v/>
      </c>
      <c r="O522">
        <f>IF(N522="","",IF(M522=0,INDEX(Equipamentos!$U$2:$U$61,N522),L522))</f>
        <v/>
      </c>
      <c r="P522">
        <f>IF(N522="","",IF(M522=0,N(INDEX(Equipamentos!$V$2:$V$61,N522)),N(INDEX(TrocasEquip!$I$2:$I$1000,M522))))</f>
        <v/>
      </c>
      <c r="Q522">
        <f>IF(N522="","",IF(M522=0,INDEX(Equipamentos!$T$2:$T$61,N522),IF(INDEX(TrocasEquip!$H$2:$H$1000,M522)="",INDEX(Equipamentos!$T$2:$T$61,N522),INDEX(TrocasEquip!$H$2:$H$1000,M522))))</f>
        <v/>
      </c>
    </row>
    <row r="523">
      <c r="A523" s="54" t="n"/>
      <c r="B523" s="55" t="n"/>
      <c r="C523">
        <f>IF(B523="","",IF(N523="","posição não encontrada",IF(M523=0,INDEX(Equipamentos!$S$2:$S$61,N523),INDEX(TrocasEquip!$G$2:$G$1000,M523))))</f>
        <v/>
      </c>
      <c r="D523" s="56">
        <f>IF(OR(A523="",N523=""),"",P523+IF(E523="dias",MAX(0,A523-O523),IF(INDEX(Equipamentos!$D$2:$D$61,N523)=2,SUMIFS(Producao!$D:$D,Producao!$A:$A,"&gt;="&amp;O523,Producao!$A:$A,"&lt;"&amp;A523),IF(INDEX(Equipamentos!$D$2:$D$61,N523)=3,SUMIFS(Producao!$E:$E,Producao!$A:$A,"&gt;="&amp;O523,Producao!$A:$A,"&lt;"&amp;A523),SUMIFS(Producao!$B:$B,Producao!$A:$A,"&gt;="&amp;O523,Producao!$A:$A,"&lt;"&amp;A523)))))</f>
        <v/>
      </c>
      <c r="E523">
        <f>IF(N523="","",INDEX(Equipamentos!$C$2:$C$61,N523))</f>
        <v/>
      </c>
      <c r="F523" s="57">
        <f>IF(OR(D523="",N(Q523)&lt;=0),"",D523/Q523)</f>
        <v/>
      </c>
      <c r="G523" s="55" t="n"/>
      <c r="H523" s="58" t="n"/>
      <c r="I523" s="58" t="n"/>
      <c r="J523" s="55" t="n"/>
      <c r="K523" s="55" t="n"/>
      <c r="L523">
        <f>IF(OR(A523="",B523=""),"",_xlfn.MAXIFS(TrocasEquip!$A$2:$A$1000,TrocasEquip!$B$2:$B$1000,B523,TrocasEquip!$A$2:$A$1000,"&lt;"&amp;A523))</f>
        <v/>
      </c>
      <c r="M523">
        <f>IF(N(L523)=0,0,MATCH(1,INDEX((TrocasEquip!$B$2:$B$1000=B523)*(TrocasEquip!$A$2:$A$1000=L523),0),0))</f>
        <v/>
      </c>
      <c r="N523">
        <f>IF(B523="","",IFERROR(MATCH(B523,Equipamentos!$P$2:$P$61,0),""))</f>
        <v/>
      </c>
      <c r="O523">
        <f>IF(N523="","",IF(M523=0,INDEX(Equipamentos!$U$2:$U$61,N523),L523))</f>
        <v/>
      </c>
      <c r="P523">
        <f>IF(N523="","",IF(M523=0,N(INDEX(Equipamentos!$V$2:$V$61,N523)),N(INDEX(TrocasEquip!$I$2:$I$1000,M523))))</f>
        <v/>
      </c>
      <c r="Q523">
        <f>IF(N523="","",IF(M523=0,INDEX(Equipamentos!$T$2:$T$61,N523),IF(INDEX(TrocasEquip!$H$2:$H$1000,M523)="",INDEX(Equipamentos!$T$2:$T$61,N523),INDEX(TrocasEquip!$H$2:$H$1000,M523))))</f>
        <v/>
      </c>
    </row>
    <row r="524">
      <c r="A524" s="54" t="n"/>
      <c r="B524" s="55" t="n"/>
      <c r="C524">
        <f>IF(B524="","",IF(N524="","posição não encontrada",IF(M524=0,INDEX(Equipamentos!$S$2:$S$61,N524),INDEX(TrocasEquip!$G$2:$G$1000,M524))))</f>
        <v/>
      </c>
      <c r="D524" s="56">
        <f>IF(OR(A524="",N524=""),"",P524+IF(E524="dias",MAX(0,A524-O524),IF(INDEX(Equipamentos!$D$2:$D$61,N524)=2,SUMIFS(Producao!$D:$D,Producao!$A:$A,"&gt;="&amp;O524,Producao!$A:$A,"&lt;"&amp;A524),IF(INDEX(Equipamentos!$D$2:$D$61,N524)=3,SUMIFS(Producao!$E:$E,Producao!$A:$A,"&gt;="&amp;O524,Producao!$A:$A,"&lt;"&amp;A524),SUMIFS(Producao!$B:$B,Producao!$A:$A,"&gt;="&amp;O524,Producao!$A:$A,"&lt;"&amp;A524)))))</f>
        <v/>
      </c>
      <c r="E524">
        <f>IF(N524="","",INDEX(Equipamentos!$C$2:$C$61,N524))</f>
        <v/>
      </c>
      <c r="F524" s="57">
        <f>IF(OR(D524="",N(Q524)&lt;=0),"",D524/Q524)</f>
        <v/>
      </c>
      <c r="G524" s="55" t="n"/>
      <c r="H524" s="58" t="n"/>
      <c r="I524" s="58" t="n"/>
      <c r="J524" s="55" t="n"/>
      <c r="K524" s="55" t="n"/>
      <c r="L524">
        <f>IF(OR(A524="",B524=""),"",_xlfn.MAXIFS(TrocasEquip!$A$2:$A$1000,TrocasEquip!$B$2:$B$1000,B524,TrocasEquip!$A$2:$A$1000,"&lt;"&amp;A524))</f>
        <v/>
      </c>
      <c r="M524">
        <f>IF(N(L524)=0,0,MATCH(1,INDEX((TrocasEquip!$B$2:$B$1000=B524)*(TrocasEquip!$A$2:$A$1000=L524),0),0))</f>
        <v/>
      </c>
      <c r="N524">
        <f>IF(B524="","",IFERROR(MATCH(B524,Equipamentos!$P$2:$P$61,0),""))</f>
        <v/>
      </c>
      <c r="O524">
        <f>IF(N524="","",IF(M524=0,INDEX(Equipamentos!$U$2:$U$61,N524),L524))</f>
        <v/>
      </c>
      <c r="P524">
        <f>IF(N524="","",IF(M524=0,N(INDEX(Equipamentos!$V$2:$V$61,N524)),N(INDEX(TrocasEquip!$I$2:$I$1000,M524))))</f>
        <v/>
      </c>
      <c r="Q524">
        <f>IF(N524="","",IF(M524=0,INDEX(Equipamentos!$T$2:$T$61,N524),IF(INDEX(TrocasEquip!$H$2:$H$1000,M524)="",INDEX(Equipamentos!$T$2:$T$61,N524),INDEX(TrocasEquip!$H$2:$H$1000,M524))))</f>
        <v/>
      </c>
    </row>
    <row r="525">
      <c r="A525" s="54" t="n"/>
      <c r="B525" s="55" t="n"/>
      <c r="C525">
        <f>IF(B525="","",IF(N525="","posição não encontrada",IF(M525=0,INDEX(Equipamentos!$S$2:$S$61,N525),INDEX(TrocasEquip!$G$2:$G$1000,M525))))</f>
        <v/>
      </c>
      <c r="D525" s="56">
        <f>IF(OR(A525="",N525=""),"",P525+IF(E525="dias",MAX(0,A525-O525),IF(INDEX(Equipamentos!$D$2:$D$61,N525)=2,SUMIFS(Producao!$D:$D,Producao!$A:$A,"&gt;="&amp;O525,Producao!$A:$A,"&lt;"&amp;A525),IF(INDEX(Equipamentos!$D$2:$D$61,N525)=3,SUMIFS(Producao!$E:$E,Producao!$A:$A,"&gt;="&amp;O525,Producao!$A:$A,"&lt;"&amp;A525),SUMIFS(Producao!$B:$B,Producao!$A:$A,"&gt;="&amp;O525,Producao!$A:$A,"&lt;"&amp;A525)))))</f>
        <v/>
      </c>
      <c r="E525">
        <f>IF(N525="","",INDEX(Equipamentos!$C$2:$C$61,N525))</f>
        <v/>
      </c>
      <c r="F525" s="57">
        <f>IF(OR(D525="",N(Q525)&lt;=0),"",D525/Q525)</f>
        <v/>
      </c>
      <c r="G525" s="55" t="n"/>
      <c r="H525" s="58" t="n"/>
      <c r="I525" s="58" t="n"/>
      <c r="J525" s="55" t="n"/>
      <c r="K525" s="55" t="n"/>
      <c r="L525">
        <f>IF(OR(A525="",B525=""),"",_xlfn.MAXIFS(TrocasEquip!$A$2:$A$1000,TrocasEquip!$B$2:$B$1000,B525,TrocasEquip!$A$2:$A$1000,"&lt;"&amp;A525))</f>
        <v/>
      </c>
      <c r="M525">
        <f>IF(N(L525)=0,0,MATCH(1,INDEX((TrocasEquip!$B$2:$B$1000=B525)*(TrocasEquip!$A$2:$A$1000=L525),0),0))</f>
        <v/>
      </c>
      <c r="N525">
        <f>IF(B525="","",IFERROR(MATCH(B525,Equipamentos!$P$2:$P$61,0),""))</f>
        <v/>
      </c>
      <c r="O525">
        <f>IF(N525="","",IF(M525=0,INDEX(Equipamentos!$U$2:$U$61,N525),L525))</f>
        <v/>
      </c>
      <c r="P525">
        <f>IF(N525="","",IF(M525=0,N(INDEX(Equipamentos!$V$2:$V$61,N525)),N(INDEX(TrocasEquip!$I$2:$I$1000,M525))))</f>
        <v/>
      </c>
      <c r="Q525">
        <f>IF(N525="","",IF(M525=0,INDEX(Equipamentos!$T$2:$T$61,N525),IF(INDEX(TrocasEquip!$H$2:$H$1000,M525)="",INDEX(Equipamentos!$T$2:$T$61,N525),INDEX(TrocasEquip!$H$2:$H$1000,M525))))</f>
        <v/>
      </c>
    </row>
    <row r="526">
      <c r="A526" s="54" t="n"/>
      <c r="B526" s="55" t="n"/>
      <c r="C526">
        <f>IF(B526="","",IF(N526="","posição não encontrada",IF(M526=0,INDEX(Equipamentos!$S$2:$S$61,N526),INDEX(TrocasEquip!$G$2:$G$1000,M526))))</f>
        <v/>
      </c>
      <c r="D526" s="56">
        <f>IF(OR(A526="",N526=""),"",P526+IF(E526="dias",MAX(0,A526-O526),IF(INDEX(Equipamentos!$D$2:$D$61,N526)=2,SUMIFS(Producao!$D:$D,Producao!$A:$A,"&gt;="&amp;O526,Producao!$A:$A,"&lt;"&amp;A526),IF(INDEX(Equipamentos!$D$2:$D$61,N526)=3,SUMIFS(Producao!$E:$E,Producao!$A:$A,"&gt;="&amp;O526,Producao!$A:$A,"&lt;"&amp;A526),SUMIFS(Producao!$B:$B,Producao!$A:$A,"&gt;="&amp;O526,Producao!$A:$A,"&lt;"&amp;A526)))))</f>
        <v/>
      </c>
      <c r="E526">
        <f>IF(N526="","",INDEX(Equipamentos!$C$2:$C$61,N526))</f>
        <v/>
      </c>
      <c r="F526" s="57">
        <f>IF(OR(D526="",N(Q526)&lt;=0),"",D526/Q526)</f>
        <v/>
      </c>
      <c r="G526" s="55" t="n"/>
      <c r="H526" s="58" t="n"/>
      <c r="I526" s="58" t="n"/>
      <c r="J526" s="55" t="n"/>
      <c r="K526" s="55" t="n"/>
      <c r="L526">
        <f>IF(OR(A526="",B526=""),"",_xlfn.MAXIFS(TrocasEquip!$A$2:$A$1000,TrocasEquip!$B$2:$B$1000,B526,TrocasEquip!$A$2:$A$1000,"&lt;"&amp;A526))</f>
        <v/>
      </c>
      <c r="M526">
        <f>IF(N(L526)=0,0,MATCH(1,INDEX((TrocasEquip!$B$2:$B$1000=B526)*(TrocasEquip!$A$2:$A$1000=L526),0),0))</f>
        <v/>
      </c>
      <c r="N526">
        <f>IF(B526="","",IFERROR(MATCH(B526,Equipamentos!$P$2:$P$61,0),""))</f>
        <v/>
      </c>
      <c r="O526">
        <f>IF(N526="","",IF(M526=0,INDEX(Equipamentos!$U$2:$U$61,N526),L526))</f>
        <v/>
      </c>
      <c r="P526">
        <f>IF(N526="","",IF(M526=0,N(INDEX(Equipamentos!$V$2:$V$61,N526)),N(INDEX(TrocasEquip!$I$2:$I$1000,M526))))</f>
        <v/>
      </c>
      <c r="Q526">
        <f>IF(N526="","",IF(M526=0,INDEX(Equipamentos!$T$2:$T$61,N526),IF(INDEX(TrocasEquip!$H$2:$H$1000,M526)="",INDEX(Equipamentos!$T$2:$T$61,N526),INDEX(TrocasEquip!$H$2:$H$1000,M526))))</f>
        <v/>
      </c>
    </row>
    <row r="527">
      <c r="A527" s="54" t="n"/>
      <c r="B527" s="55" t="n"/>
      <c r="C527">
        <f>IF(B527="","",IF(N527="","posição não encontrada",IF(M527=0,INDEX(Equipamentos!$S$2:$S$61,N527),INDEX(TrocasEquip!$G$2:$G$1000,M527))))</f>
        <v/>
      </c>
      <c r="D527" s="56">
        <f>IF(OR(A527="",N527=""),"",P527+IF(E527="dias",MAX(0,A527-O527),IF(INDEX(Equipamentos!$D$2:$D$61,N527)=2,SUMIFS(Producao!$D:$D,Producao!$A:$A,"&gt;="&amp;O527,Producao!$A:$A,"&lt;"&amp;A527),IF(INDEX(Equipamentos!$D$2:$D$61,N527)=3,SUMIFS(Producao!$E:$E,Producao!$A:$A,"&gt;="&amp;O527,Producao!$A:$A,"&lt;"&amp;A527),SUMIFS(Producao!$B:$B,Producao!$A:$A,"&gt;="&amp;O527,Producao!$A:$A,"&lt;"&amp;A527)))))</f>
        <v/>
      </c>
      <c r="E527">
        <f>IF(N527="","",INDEX(Equipamentos!$C$2:$C$61,N527))</f>
        <v/>
      </c>
      <c r="F527" s="57">
        <f>IF(OR(D527="",N(Q527)&lt;=0),"",D527/Q527)</f>
        <v/>
      </c>
      <c r="G527" s="55" t="n"/>
      <c r="H527" s="58" t="n"/>
      <c r="I527" s="58" t="n"/>
      <c r="J527" s="55" t="n"/>
      <c r="K527" s="55" t="n"/>
      <c r="L527">
        <f>IF(OR(A527="",B527=""),"",_xlfn.MAXIFS(TrocasEquip!$A$2:$A$1000,TrocasEquip!$B$2:$B$1000,B527,TrocasEquip!$A$2:$A$1000,"&lt;"&amp;A527))</f>
        <v/>
      </c>
      <c r="M527">
        <f>IF(N(L527)=0,0,MATCH(1,INDEX((TrocasEquip!$B$2:$B$1000=B527)*(TrocasEquip!$A$2:$A$1000=L527),0),0))</f>
        <v/>
      </c>
      <c r="N527">
        <f>IF(B527="","",IFERROR(MATCH(B527,Equipamentos!$P$2:$P$61,0),""))</f>
        <v/>
      </c>
      <c r="O527">
        <f>IF(N527="","",IF(M527=0,INDEX(Equipamentos!$U$2:$U$61,N527),L527))</f>
        <v/>
      </c>
      <c r="P527">
        <f>IF(N527="","",IF(M527=0,N(INDEX(Equipamentos!$V$2:$V$61,N527)),N(INDEX(TrocasEquip!$I$2:$I$1000,M527))))</f>
        <v/>
      </c>
      <c r="Q527">
        <f>IF(N527="","",IF(M527=0,INDEX(Equipamentos!$T$2:$T$61,N527),IF(INDEX(TrocasEquip!$H$2:$H$1000,M527)="",INDEX(Equipamentos!$T$2:$T$61,N527),INDEX(TrocasEquip!$H$2:$H$1000,M527))))</f>
        <v/>
      </c>
    </row>
    <row r="528">
      <c r="A528" s="54" t="n"/>
      <c r="B528" s="55" t="n"/>
      <c r="C528">
        <f>IF(B528="","",IF(N528="","posição não encontrada",IF(M528=0,INDEX(Equipamentos!$S$2:$S$61,N528),INDEX(TrocasEquip!$G$2:$G$1000,M528))))</f>
        <v/>
      </c>
      <c r="D528" s="56">
        <f>IF(OR(A528="",N528=""),"",P528+IF(E528="dias",MAX(0,A528-O528),IF(INDEX(Equipamentos!$D$2:$D$61,N528)=2,SUMIFS(Producao!$D:$D,Producao!$A:$A,"&gt;="&amp;O528,Producao!$A:$A,"&lt;"&amp;A528),IF(INDEX(Equipamentos!$D$2:$D$61,N528)=3,SUMIFS(Producao!$E:$E,Producao!$A:$A,"&gt;="&amp;O528,Producao!$A:$A,"&lt;"&amp;A528),SUMIFS(Producao!$B:$B,Producao!$A:$A,"&gt;="&amp;O528,Producao!$A:$A,"&lt;"&amp;A528)))))</f>
        <v/>
      </c>
      <c r="E528">
        <f>IF(N528="","",INDEX(Equipamentos!$C$2:$C$61,N528))</f>
        <v/>
      </c>
      <c r="F528" s="57">
        <f>IF(OR(D528="",N(Q528)&lt;=0),"",D528/Q528)</f>
        <v/>
      </c>
      <c r="G528" s="55" t="n"/>
      <c r="H528" s="58" t="n"/>
      <c r="I528" s="58" t="n"/>
      <c r="J528" s="55" t="n"/>
      <c r="K528" s="55" t="n"/>
      <c r="L528">
        <f>IF(OR(A528="",B528=""),"",_xlfn.MAXIFS(TrocasEquip!$A$2:$A$1000,TrocasEquip!$B$2:$B$1000,B528,TrocasEquip!$A$2:$A$1000,"&lt;"&amp;A528))</f>
        <v/>
      </c>
      <c r="M528">
        <f>IF(N(L528)=0,0,MATCH(1,INDEX((TrocasEquip!$B$2:$B$1000=B528)*(TrocasEquip!$A$2:$A$1000=L528),0),0))</f>
        <v/>
      </c>
      <c r="N528">
        <f>IF(B528="","",IFERROR(MATCH(B528,Equipamentos!$P$2:$P$61,0),""))</f>
        <v/>
      </c>
      <c r="O528">
        <f>IF(N528="","",IF(M528=0,INDEX(Equipamentos!$U$2:$U$61,N528),L528))</f>
        <v/>
      </c>
      <c r="P528">
        <f>IF(N528="","",IF(M528=0,N(INDEX(Equipamentos!$V$2:$V$61,N528)),N(INDEX(TrocasEquip!$I$2:$I$1000,M528))))</f>
        <v/>
      </c>
      <c r="Q528">
        <f>IF(N528="","",IF(M528=0,INDEX(Equipamentos!$T$2:$T$61,N528),IF(INDEX(TrocasEquip!$H$2:$H$1000,M528)="",INDEX(Equipamentos!$T$2:$T$61,N528),INDEX(TrocasEquip!$H$2:$H$1000,M528))))</f>
        <v/>
      </c>
    </row>
    <row r="529">
      <c r="A529" s="54" t="n"/>
      <c r="B529" s="55" t="n"/>
      <c r="C529">
        <f>IF(B529="","",IF(N529="","posição não encontrada",IF(M529=0,INDEX(Equipamentos!$S$2:$S$61,N529),INDEX(TrocasEquip!$G$2:$G$1000,M529))))</f>
        <v/>
      </c>
      <c r="D529" s="56">
        <f>IF(OR(A529="",N529=""),"",P529+IF(E529="dias",MAX(0,A529-O529),IF(INDEX(Equipamentos!$D$2:$D$61,N529)=2,SUMIFS(Producao!$D:$D,Producao!$A:$A,"&gt;="&amp;O529,Producao!$A:$A,"&lt;"&amp;A529),IF(INDEX(Equipamentos!$D$2:$D$61,N529)=3,SUMIFS(Producao!$E:$E,Producao!$A:$A,"&gt;="&amp;O529,Producao!$A:$A,"&lt;"&amp;A529),SUMIFS(Producao!$B:$B,Producao!$A:$A,"&gt;="&amp;O529,Producao!$A:$A,"&lt;"&amp;A529)))))</f>
        <v/>
      </c>
      <c r="E529">
        <f>IF(N529="","",INDEX(Equipamentos!$C$2:$C$61,N529))</f>
        <v/>
      </c>
      <c r="F529" s="57">
        <f>IF(OR(D529="",N(Q529)&lt;=0),"",D529/Q529)</f>
        <v/>
      </c>
      <c r="G529" s="55" t="n"/>
      <c r="H529" s="58" t="n"/>
      <c r="I529" s="58" t="n"/>
      <c r="J529" s="55" t="n"/>
      <c r="K529" s="55" t="n"/>
      <c r="L529">
        <f>IF(OR(A529="",B529=""),"",_xlfn.MAXIFS(TrocasEquip!$A$2:$A$1000,TrocasEquip!$B$2:$B$1000,B529,TrocasEquip!$A$2:$A$1000,"&lt;"&amp;A529))</f>
        <v/>
      </c>
      <c r="M529">
        <f>IF(N(L529)=0,0,MATCH(1,INDEX((TrocasEquip!$B$2:$B$1000=B529)*(TrocasEquip!$A$2:$A$1000=L529),0),0))</f>
        <v/>
      </c>
      <c r="N529">
        <f>IF(B529="","",IFERROR(MATCH(B529,Equipamentos!$P$2:$P$61,0),""))</f>
        <v/>
      </c>
      <c r="O529">
        <f>IF(N529="","",IF(M529=0,INDEX(Equipamentos!$U$2:$U$61,N529),L529))</f>
        <v/>
      </c>
      <c r="P529">
        <f>IF(N529="","",IF(M529=0,N(INDEX(Equipamentos!$V$2:$V$61,N529)),N(INDEX(TrocasEquip!$I$2:$I$1000,M529))))</f>
        <v/>
      </c>
      <c r="Q529">
        <f>IF(N529="","",IF(M529=0,INDEX(Equipamentos!$T$2:$T$61,N529),IF(INDEX(TrocasEquip!$H$2:$H$1000,M529)="",INDEX(Equipamentos!$T$2:$T$61,N529),INDEX(TrocasEquip!$H$2:$H$1000,M529))))</f>
        <v/>
      </c>
    </row>
    <row r="530">
      <c r="A530" s="54" t="n"/>
      <c r="B530" s="55" t="n"/>
      <c r="C530">
        <f>IF(B530="","",IF(N530="","posição não encontrada",IF(M530=0,INDEX(Equipamentos!$S$2:$S$61,N530),INDEX(TrocasEquip!$G$2:$G$1000,M530))))</f>
        <v/>
      </c>
      <c r="D530" s="56">
        <f>IF(OR(A530="",N530=""),"",P530+IF(E530="dias",MAX(0,A530-O530),IF(INDEX(Equipamentos!$D$2:$D$61,N530)=2,SUMIFS(Producao!$D:$D,Producao!$A:$A,"&gt;="&amp;O530,Producao!$A:$A,"&lt;"&amp;A530),IF(INDEX(Equipamentos!$D$2:$D$61,N530)=3,SUMIFS(Producao!$E:$E,Producao!$A:$A,"&gt;="&amp;O530,Producao!$A:$A,"&lt;"&amp;A530),SUMIFS(Producao!$B:$B,Producao!$A:$A,"&gt;="&amp;O530,Producao!$A:$A,"&lt;"&amp;A530)))))</f>
        <v/>
      </c>
      <c r="E530">
        <f>IF(N530="","",INDEX(Equipamentos!$C$2:$C$61,N530))</f>
        <v/>
      </c>
      <c r="F530" s="57">
        <f>IF(OR(D530="",N(Q530)&lt;=0),"",D530/Q530)</f>
        <v/>
      </c>
      <c r="G530" s="55" t="n"/>
      <c r="H530" s="58" t="n"/>
      <c r="I530" s="58" t="n"/>
      <c r="J530" s="55" t="n"/>
      <c r="K530" s="55" t="n"/>
      <c r="L530">
        <f>IF(OR(A530="",B530=""),"",_xlfn.MAXIFS(TrocasEquip!$A$2:$A$1000,TrocasEquip!$B$2:$B$1000,B530,TrocasEquip!$A$2:$A$1000,"&lt;"&amp;A530))</f>
        <v/>
      </c>
      <c r="M530">
        <f>IF(N(L530)=0,0,MATCH(1,INDEX((TrocasEquip!$B$2:$B$1000=B530)*(TrocasEquip!$A$2:$A$1000=L530),0),0))</f>
        <v/>
      </c>
      <c r="N530">
        <f>IF(B530="","",IFERROR(MATCH(B530,Equipamentos!$P$2:$P$61,0),""))</f>
        <v/>
      </c>
      <c r="O530">
        <f>IF(N530="","",IF(M530=0,INDEX(Equipamentos!$U$2:$U$61,N530),L530))</f>
        <v/>
      </c>
      <c r="P530">
        <f>IF(N530="","",IF(M530=0,N(INDEX(Equipamentos!$V$2:$V$61,N530)),N(INDEX(TrocasEquip!$I$2:$I$1000,M530))))</f>
        <v/>
      </c>
      <c r="Q530">
        <f>IF(N530="","",IF(M530=0,INDEX(Equipamentos!$T$2:$T$61,N530),IF(INDEX(TrocasEquip!$H$2:$H$1000,M530)="",INDEX(Equipamentos!$T$2:$T$61,N530),INDEX(TrocasEquip!$H$2:$H$1000,M530))))</f>
        <v/>
      </c>
    </row>
    <row r="531">
      <c r="A531" s="54" t="n"/>
      <c r="B531" s="55" t="n"/>
      <c r="C531">
        <f>IF(B531="","",IF(N531="","posição não encontrada",IF(M531=0,INDEX(Equipamentos!$S$2:$S$61,N531),INDEX(TrocasEquip!$G$2:$G$1000,M531))))</f>
        <v/>
      </c>
      <c r="D531" s="56">
        <f>IF(OR(A531="",N531=""),"",P531+IF(E531="dias",MAX(0,A531-O531),IF(INDEX(Equipamentos!$D$2:$D$61,N531)=2,SUMIFS(Producao!$D:$D,Producao!$A:$A,"&gt;="&amp;O531,Producao!$A:$A,"&lt;"&amp;A531),IF(INDEX(Equipamentos!$D$2:$D$61,N531)=3,SUMIFS(Producao!$E:$E,Producao!$A:$A,"&gt;="&amp;O531,Producao!$A:$A,"&lt;"&amp;A531),SUMIFS(Producao!$B:$B,Producao!$A:$A,"&gt;="&amp;O531,Producao!$A:$A,"&lt;"&amp;A531)))))</f>
        <v/>
      </c>
      <c r="E531">
        <f>IF(N531="","",INDEX(Equipamentos!$C$2:$C$61,N531))</f>
        <v/>
      </c>
      <c r="F531" s="57">
        <f>IF(OR(D531="",N(Q531)&lt;=0),"",D531/Q531)</f>
        <v/>
      </c>
      <c r="G531" s="55" t="n"/>
      <c r="H531" s="58" t="n"/>
      <c r="I531" s="58" t="n"/>
      <c r="J531" s="55" t="n"/>
      <c r="K531" s="55" t="n"/>
      <c r="L531">
        <f>IF(OR(A531="",B531=""),"",_xlfn.MAXIFS(TrocasEquip!$A$2:$A$1000,TrocasEquip!$B$2:$B$1000,B531,TrocasEquip!$A$2:$A$1000,"&lt;"&amp;A531))</f>
        <v/>
      </c>
      <c r="M531">
        <f>IF(N(L531)=0,0,MATCH(1,INDEX((TrocasEquip!$B$2:$B$1000=B531)*(TrocasEquip!$A$2:$A$1000=L531),0),0))</f>
        <v/>
      </c>
      <c r="N531">
        <f>IF(B531="","",IFERROR(MATCH(B531,Equipamentos!$P$2:$P$61,0),""))</f>
        <v/>
      </c>
      <c r="O531">
        <f>IF(N531="","",IF(M531=0,INDEX(Equipamentos!$U$2:$U$61,N531),L531))</f>
        <v/>
      </c>
      <c r="P531">
        <f>IF(N531="","",IF(M531=0,N(INDEX(Equipamentos!$V$2:$V$61,N531)),N(INDEX(TrocasEquip!$I$2:$I$1000,M531))))</f>
        <v/>
      </c>
      <c r="Q531">
        <f>IF(N531="","",IF(M531=0,INDEX(Equipamentos!$T$2:$T$61,N531),IF(INDEX(TrocasEquip!$H$2:$H$1000,M531)="",INDEX(Equipamentos!$T$2:$T$61,N531),INDEX(TrocasEquip!$H$2:$H$1000,M531))))</f>
        <v/>
      </c>
    </row>
    <row r="532">
      <c r="A532" s="54" t="n"/>
      <c r="B532" s="55" t="n"/>
      <c r="C532">
        <f>IF(B532="","",IF(N532="","posição não encontrada",IF(M532=0,INDEX(Equipamentos!$S$2:$S$61,N532),INDEX(TrocasEquip!$G$2:$G$1000,M532))))</f>
        <v/>
      </c>
      <c r="D532" s="56">
        <f>IF(OR(A532="",N532=""),"",P532+IF(E532="dias",MAX(0,A532-O532),IF(INDEX(Equipamentos!$D$2:$D$61,N532)=2,SUMIFS(Producao!$D:$D,Producao!$A:$A,"&gt;="&amp;O532,Producao!$A:$A,"&lt;"&amp;A532),IF(INDEX(Equipamentos!$D$2:$D$61,N532)=3,SUMIFS(Producao!$E:$E,Producao!$A:$A,"&gt;="&amp;O532,Producao!$A:$A,"&lt;"&amp;A532),SUMIFS(Producao!$B:$B,Producao!$A:$A,"&gt;="&amp;O532,Producao!$A:$A,"&lt;"&amp;A532)))))</f>
        <v/>
      </c>
      <c r="E532">
        <f>IF(N532="","",INDEX(Equipamentos!$C$2:$C$61,N532))</f>
        <v/>
      </c>
      <c r="F532" s="57">
        <f>IF(OR(D532="",N(Q532)&lt;=0),"",D532/Q532)</f>
        <v/>
      </c>
      <c r="G532" s="55" t="n"/>
      <c r="H532" s="58" t="n"/>
      <c r="I532" s="58" t="n"/>
      <c r="J532" s="55" t="n"/>
      <c r="K532" s="55" t="n"/>
      <c r="L532">
        <f>IF(OR(A532="",B532=""),"",_xlfn.MAXIFS(TrocasEquip!$A$2:$A$1000,TrocasEquip!$B$2:$B$1000,B532,TrocasEquip!$A$2:$A$1000,"&lt;"&amp;A532))</f>
        <v/>
      </c>
      <c r="M532">
        <f>IF(N(L532)=0,0,MATCH(1,INDEX((TrocasEquip!$B$2:$B$1000=B532)*(TrocasEquip!$A$2:$A$1000=L532),0),0))</f>
        <v/>
      </c>
      <c r="N532">
        <f>IF(B532="","",IFERROR(MATCH(B532,Equipamentos!$P$2:$P$61,0),""))</f>
        <v/>
      </c>
      <c r="O532">
        <f>IF(N532="","",IF(M532=0,INDEX(Equipamentos!$U$2:$U$61,N532),L532))</f>
        <v/>
      </c>
      <c r="P532">
        <f>IF(N532="","",IF(M532=0,N(INDEX(Equipamentos!$V$2:$V$61,N532)),N(INDEX(TrocasEquip!$I$2:$I$1000,M532))))</f>
        <v/>
      </c>
      <c r="Q532">
        <f>IF(N532="","",IF(M532=0,INDEX(Equipamentos!$T$2:$T$61,N532),IF(INDEX(TrocasEquip!$H$2:$H$1000,M532)="",INDEX(Equipamentos!$T$2:$T$61,N532),INDEX(TrocasEquip!$H$2:$H$1000,M532))))</f>
        <v/>
      </c>
    </row>
    <row r="533">
      <c r="A533" s="54" t="n"/>
      <c r="B533" s="55" t="n"/>
      <c r="C533">
        <f>IF(B533="","",IF(N533="","posição não encontrada",IF(M533=0,INDEX(Equipamentos!$S$2:$S$61,N533),INDEX(TrocasEquip!$G$2:$G$1000,M533))))</f>
        <v/>
      </c>
      <c r="D533" s="56">
        <f>IF(OR(A533="",N533=""),"",P533+IF(E533="dias",MAX(0,A533-O533),IF(INDEX(Equipamentos!$D$2:$D$61,N533)=2,SUMIFS(Producao!$D:$D,Producao!$A:$A,"&gt;="&amp;O533,Producao!$A:$A,"&lt;"&amp;A533),IF(INDEX(Equipamentos!$D$2:$D$61,N533)=3,SUMIFS(Producao!$E:$E,Producao!$A:$A,"&gt;="&amp;O533,Producao!$A:$A,"&lt;"&amp;A533),SUMIFS(Producao!$B:$B,Producao!$A:$A,"&gt;="&amp;O533,Producao!$A:$A,"&lt;"&amp;A533)))))</f>
        <v/>
      </c>
      <c r="E533">
        <f>IF(N533="","",INDEX(Equipamentos!$C$2:$C$61,N533))</f>
        <v/>
      </c>
      <c r="F533" s="57">
        <f>IF(OR(D533="",N(Q533)&lt;=0),"",D533/Q533)</f>
        <v/>
      </c>
      <c r="G533" s="55" t="n"/>
      <c r="H533" s="58" t="n"/>
      <c r="I533" s="58" t="n"/>
      <c r="J533" s="55" t="n"/>
      <c r="K533" s="55" t="n"/>
      <c r="L533">
        <f>IF(OR(A533="",B533=""),"",_xlfn.MAXIFS(TrocasEquip!$A$2:$A$1000,TrocasEquip!$B$2:$B$1000,B533,TrocasEquip!$A$2:$A$1000,"&lt;"&amp;A533))</f>
        <v/>
      </c>
      <c r="M533">
        <f>IF(N(L533)=0,0,MATCH(1,INDEX((TrocasEquip!$B$2:$B$1000=B533)*(TrocasEquip!$A$2:$A$1000=L533),0),0))</f>
        <v/>
      </c>
      <c r="N533">
        <f>IF(B533="","",IFERROR(MATCH(B533,Equipamentos!$P$2:$P$61,0),""))</f>
        <v/>
      </c>
      <c r="O533">
        <f>IF(N533="","",IF(M533=0,INDEX(Equipamentos!$U$2:$U$61,N533),L533))</f>
        <v/>
      </c>
      <c r="P533">
        <f>IF(N533="","",IF(M533=0,N(INDEX(Equipamentos!$V$2:$V$61,N533)),N(INDEX(TrocasEquip!$I$2:$I$1000,M533))))</f>
        <v/>
      </c>
      <c r="Q533">
        <f>IF(N533="","",IF(M533=0,INDEX(Equipamentos!$T$2:$T$61,N533),IF(INDEX(TrocasEquip!$H$2:$H$1000,M533)="",INDEX(Equipamentos!$T$2:$T$61,N533),INDEX(TrocasEquip!$H$2:$H$1000,M533))))</f>
        <v/>
      </c>
    </row>
    <row r="534">
      <c r="A534" s="54" t="n"/>
      <c r="B534" s="55" t="n"/>
      <c r="C534">
        <f>IF(B534="","",IF(N534="","posição não encontrada",IF(M534=0,INDEX(Equipamentos!$S$2:$S$61,N534),INDEX(TrocasEquip!$G$2:$G$1000,M534))))</f>
        <v/>
      </c>
      <c r="D534" s="56">
        <f>IF(OR(A534="",N534=""),"",P534+IF(E534="dias",MAX(0,A534-O534),IF(INDEX(Equipamentos!$D$2:$D$61,N534)=2,SUMIFS(Producao!$D:$D,Producao!$A:$A,"&gt;="&amp;O534,Producao!$A:$A,"&lt;"&amp;A534),IF(INDEX(Equipamentos!$D$2:$D$61,N534)=3,SUMIFS(Producao!$E:$E,Producao!$A:$A,"&gt;="&amp;O534,Producao!$A:$A,"&lt;"&amp;A534),SUMIFS(Producao!$B:$B,Producao!$A:$A,"&gt;="&amp;O534,Producao!$A:$A,"&lt;"&amp;A534)))))</f>
        <v/>
      </c>
      <c r="E534">
        <f>IF(N534="","",INDEX(Equipamentos!$C$2:$C$61,N534))</f>
        <v/>
      </c>
      <c r="F534" s="57">
        <f>IF(OR(D534="",N(Q534)&lt;=0),"",D534/Q534)</f>
        <v/>
      </c>
      <c r="G534" s="55" t="n"/>
      <c r="H534" s="58" t="n"/>
      <c r="I534" s="58" t="n"/>
      <c r="J534" s="55" t="n"/>
      <c r="K534" s="55" t="n"/>
      <c r="L534">
        <f>IF(OR(A534="",B534=""),"",_xlfn.MAXIFS(TrocasEquip!$A$2:$A$1000,TrocasEquip!$B$2:$B$1000,B534,TrocasEquip!$A$2:$A$1000,"&lt;"&amp;A534))</f>
        <v/>
      </c>
      <c r="M534">
        <f>IF(N(L534)=0,0,MATCH(1,INDEX((TrocasEquip!$B$2:$B$1000=B534)*(TrocasEquip!$A$2:$A$1000=L534),0),0))</f>
        <v/>
      </c>
      <c r="N534">
        <f>IF(B534="","",IFERROR(MATCH(B534,Equipamentos!$P$2:$P$61,0),""))</f>
        <v/>
      </c>
      <c r="O534">
        <f>IF(N534="","",IF(M534=0,INDEX(Equipamentos!$U$2:$U$61,N534),L534))</f>
        <v/>
      </c>
      <c r="P534">
        <f>IF(N534="","",IF(M534=0,N(INDEX(Equipamentos!$V$2:$V$61,N534)),N(INDEX(TrocasEquip!$I$2:$I$1000,M534))))</f>
        <v/>
      </c>
      <c r="Q534">
        <f>IF(N534="","",IF(M534=0,INDEX(Equipamentos!$T$2:$T$61,N534),IF(INDEX(TrocasEquip!$H$2:$H$1000,M534)="",INDEX(Equipamentos!$T$2:$T$61,N534),INDEX(TrocasEquip!$H$2:$H$1000,M534))))</f>
        <v/>
      </c>
    </row>
    <row r="535">
      <c r="A535" s="54" t="n"/>
      <c r="B535" s="55" t="n"/>
      <c r="C535">
        <f>IF(B535="","",IF(N535="","posição não encontrada",IF(M535=0,INDEX(Equipamentos!$S$2:$S$61,N535),INDEX(TrocasEquip!$G$2:$G$1000,M535))))</f>
        <v/>
      </c>
      <c r="D535" s="56">
        <f>IF(OR(A535="",N535=""),"",P535+IF(E535="dias",MAX(0,A535-O535),IF(INDEX(Equipamentos!$D$2:$D$61,N535)=2,SUMIFS(Producao!$D:$D,Producao!$A:$A,"&gt;="&amp;O535,Producao!$A:$A,"&lt;"&amp;A535),IF(INDEX(Equipamentos!$D$2:$D$61,N535)=3,SUMIFS(Producao!$E:$E,Producao!$A:$A,"&gt;="&amp;O535,Producao!$A:$A,"&lt;"&amp;A535),SUMIFS(Producao!$B:$B,Producao!$A:$A,"&gt;="&amp;O535,Producao!$A:$A,"&lt;"&amp;A535)))))</f>
        <v/>
      </c>
      <c r="E535">
        <f>IF(N535="","",INDEX(Equipamentos!$C$2:$C$61,N535))</f>
        <v/>
      </c>
      <c r="F535" s="57">
        <f>IF(OR(D535="",N(Q535)&lt;=0),"",D535/Q535)</f>
        <v/>
      </c>
      <c r="G535" s="55" t="n"/>
      <c r="H535" s="58" t="n"/>
      <c r="I535" s="58" t="n"/>
      <c r="J535" s="55" t="n"/>
      <c r="K535" s="55" t="n"/>
      <c r="L535">
        <f>IF(OR(A535="",B535=""),"",_xlfn.MAXIFS(TrocasEquip!$A$2:$A$1000,TrocasEquip!$B$2:$B$1000,B535,TrocasEquip!$A$2:$A$1000,"&lt;"&amp;A535))</f>
        <v/>
      </c>
      <c r="M535">
        <f>IF(N(L535)=0,0,MATCH(1,INDEX((TrocasEquip!$B$2:$B$1000=B535)*(TrocasEquip!$A$2:$A$1000=L535),0),0))</f>
        <v/>
      </c>
      <c r="N535">
        <f>IF(B535="","",IFERROR(MATCH(B535,Equipamentos!$P$2:$P$61,0),""))</f>
        <v/>
      </c>
      <c r="O535">
        <f>IF(N535="","",IF(M535=0,INDEX(Equipamentos!$U$2:$U$61,N535),L535))</f>
        <v/>
      </c>
      <c r="P535">
        <f>IF(N535="","",IF(M535=0,N(INDEX(Equipamentos!$V$2:$V$61,N535)),N(INDEX(TrocasEquip!$I$2:$I$1000,M535))))</f>
        <v/>
      </c>
      <c r="Q535">
        <f>IF(N535="","",IF(M535=0,INDEX(Equipamentos!$T$2:$T$61,N535),IF(INDEX(TrocasEquip!$H$2:$H$1000,M535)="",INDEX(Equipamentos!$T$2:$T$61,N535),INDEX(TrocasEquip!$H$2:$H$1000,M535))))</f>
        <v/>
      </c>
    </row>
    <row r="536">
      <c r="A536" s="54" t="n"/>
      <c r="B536" s="55" t="n"/>
      <c r="C536">
        <f>IF(B536="","",IF(N536="","posição não encontrada",IF(M536=0,INDEX(Equipamentos!$S$2:$S$61,N536),INDEX(TrocasEquip!$G$2:$G$1000,M536))))</f>
        <v/>
      </c>
      <c r="D536" s="56">
        <f>IF(OR(A536="",N536=""),"",P536+IF(E536="dias",MAX(0,A536-O536),IF(INDEX(Equipamentos!$D$2:$D$61,N536)=2,SUMIFS(Producao!$D:$D,Producao!$A:$A,"&gt;="&amp;O536,Producao!$A:$A,"&lt;"&amp;A536),IF(INDEX(Equipamentos!$D$2:$D$61,N536)=3,SUMIFS(Producao!$E:$E,Producao!$A:$A,"&gt;="&amp;O536,Producao!$A:$A,"&lt;"&amp;A536),SUMIFS(Producao!$B:$B,Producao!$A:$A,"&gt;="&amp;O536,Producao!$A:$A,"&lt;"&amp;A536)))))</f>
        <v/>
      </c>
      <c r="E536">
        <f>IF(N536="","",INDEX(Equipamentos!$C$2:$C$61,N536))</f>
        <v/>
      </c>
      <c r="F536" s="57">
        <f>IF(OR(D536="",N(Q536)&lt;=0),"",D536/Q536)</f>
        <v/>
      </c>
      <c r="G536" s="55" t="n"/>
      <c r="H536" s="58" t="n"/>
      <c r="I536" s="58" t="n"/>
      <c r="J536" s="55" t="n"/>
      <c r="K536" s="55" t="n"/>
      <c r="L536">
        <f>IF(OR(A536="",B536=""),"",_xlfn.MAXIFS(TrocasEquip!$A$2:$A$1000,TrocasEquip!$B$2:$B$1000,B536,TrocasEquip!$A$2:$A$1000,"&lt;"&amp;A536))</f>
        <v/>
      </c>
      <c r="M536">
        <f>IF(N(L536)=0,0,MATCH(1,INDEX((TrocasEquip!$B$2:$B$1000=B536)*(TrocasEquip!$A$2:$A$1000=L536),0),0))</f>
        <v/>
      </c>
      <c r="N536">
        <f>IF(B536="","",IFERROR(MATCH(B536,Equipamentos!$P$2:$P$61,0),""))</f>
        <v/>
      </c>
      <c r="O536">
        <f>IF(N536="","",IF(M536=0,INDEX(Equipamentos!$U$2:$U$61,N536),L536))</f>
        <v/>
      </c>
      <c r="P536">
        <f>IF(N536="","",IF(M536=0,N(INDEX(Equipamentos!$V$2:$V$61,N536)),N(INDEX(TrocasEquip!$I$2:$I$1000,M536))))</f>
        <v/>
      </c>
      <c r="Q536">
        <f>IF(N536="","",IF(M536=0,INDEX(Equipamentos!$T$2:$T$61,N536),IF(INDEX(TrocasEquip!$H$2:$H$1000,M536)="",INDEX(Equipamentos!$T$2:$T$61,N536),INDEX(TrocasEquip!$H$2:$H$1000,M536))))</f>
        <v/>
      </c>
    </row>
    <row r="537">
      <c r="A537" s="54" t="n"/>
      <c r="B537" s="55" t="n"/>
      <c r="C537">
        <f>IF(B537="","",IF(N537="","posição não encontrada",IF(M537=0,INDEX(Equipamentos!$S$2:$S$61,N537),INDEX(TrocasEquip!$G$2:$G$1000,M537))))</f>
        <v/>
      </c>
      <c r="D537" s="56">
        <f>IF(OR(A537="",N537=""),"",P537+IF(E537="dias",MAX(0,A537-O537),IF(INDEX(Equipamentos!$D$2:$D$61,N537)=2,SUMIFS(Producao!$D:$D,Producao!$A:$A,"&gt;="&amp;O537,Producao!$A:$A,"&lt;"&amp;A537),IF(INDEX(Equipamentos!$D$2:$D$61,N537)=3,SUMIFS(Producao!$E:$E,Producao!$A:$A,"&gt;="&amp;O537,Producao!$A:$A,"&lt;"&amp;A537),SUMIFS(Producao!$B:$B,Producao!$A:$A,"&gt;="&amp;O537,Producao!$A:$A,"&lt;"&amp;A537)))))</f>
        <v/>
      </c>
      <c r="E537">
        <f>IF(N537="","",INDEX(Equipamentos!$C$2:$C$61,N537))</f>
        <v/>
      </c>
      <c r="F537" s="57">
        <f>IF(OR(D537="",N(Q537)&lt;=0),"",D537/Q537)</f>
        <v/>
      </c>
      <c r="G537" s="55" t="n"/>
      <c r="H537" s="58" t="n"/>
      <c r="I537" s="58" t="n"/>
      <c r="J537" s="55" t="n"/>
      <c r="K537" s="55" t="n"/>
      <c r="L537">
        <f>IF(OR(A537="",B537=""),"",_xlfn.MAXIFS(TrocasEquip!$A$2:$A$1000,TrocasEquip!$B$2:$B$1000,B537,TrocasEquip!$A$2:$A$1000,"&lt;"&amp;A537))</f>
        <v/>
      </c>
      <c r="M537">
        <f>IF(N(L537)=0,0,MATCH(1,INDEX((TrocasEquip!$B$2:$B$1000=B537)*(TrocasEquip!$A$2:$A$1000=L537),0),0))</f>
        <v/>
      </c>
      <c r="N537">
        <f>IF(B537="","",IFERROR(MATCH(B537,Equipamentos!$P$2:$P$61,0),""))</f>
        <v/>
      </c>
      <c r="O537">
        <f>IF(N537="","",IF(M537=0,INDEX(Equipamentos!$U$2:$U$61,N537),L537))</f>
        <v/>
      </c>
      <c r="P537">
        <f>IF(N537="","",IF(M537=0,N(INDEX(Equipamentos!$V$2:$V$61,N537)),N(INDEX(TrocasEquip!$I$2:$I$1000,M537))))</f>
        <v/>
      </c>
      <c r="Q537">
        <f>IF(N537="","",IF(M537=0,INDEX(Equipamentos!$T$2:$T$61,N537),IF(INDEX(TrocasEquip!$H$2:$H$1000,M537)="",INDEX(Equipamentos!$T$2:$T$61,N537),INDEX(TrocasEquip!$H$2:$H$1000,M537))))</f>
        <v/>
      </c>
    </row>
    <row r="538">
      <c r="A538" s="54" t="n"/>
      <c r="B538" s="55" t="n"/>
      <c r="C538">
        <f>IF(B538="","",IF(N538="","posição não encontrada",IF(M538=0,INDEX(Equipamentos!$S$2:$S$61,N538),INDEX(TrocasEquip!$G$2:$G$1000,M538))))</f>
        <v/>
      </c>
      <c r="D538" s="56">
        <f>IF(OR(A538="",N538=""),"",P538+IF(E538="dias",MAX(0,A538-O538),IF(INDEX(Equipamentos!$D$2:$D$61,N538)=2,SUMIFS(Producao!$D:$D,Producao!$A:$A,"&gt;="&amp;O538,Producao!$A:$A,"&lt;"&amp;A538),IF(INDEX(Equipamentos!$D$2:$D$61,N538)=3,SUMIFS(Producao!$E:$E,Producao!$A:$A,"&gt;="&amp;O538,Producao!$A:$A,"&lt;"&amp;A538),SUMIFS(Producao!$B:$B,Producao!$A:$A,"&gt;="&amp;O538,Producao!$A:$A,"&lt;"&amp;A538)))))</f>
        <v/>
      </c>
      <c r="E538">
        <f>IF(N538="","",INDEX(Equipamentos!$C$2:$C$61,N538))</f>
        <v/>
      </c>
      <c r="F538" s="57">
        <f>IF(OR(D538="",N(Q538)&lt;=0),"",D538/Q538)</f>
        <v/>
      </c>
      <c r="G538" s="55" t="n"/>
      <c r="H538" s="58" t="n"/>
      <c r="I538" s="58" t="n"/>
      <c r="J538" s="55" t="n"/>
      <c r="K538" s="55" t="n"/>
      <c r="L538">
        <f>IF(OR(A538="",B538=""),"",_xlfn.MAXIFS(TrocasEquip!$A$2:$A$1000,TrocasEquip!$B$2:$B$1000,B538,TrocasEquip!$A$2:$A$1000,"&lt;"&amp;A538))</f>
        <v/>
      </c>
      <c r="M538">
        <f>IF(N(L538)=0,0,MATCH(1,INDEX((TrocasEquip!$B$2:$B$1000=B538)*(TrocasEquip!$A$2:$A$1000=L538),0),0))</f>
        <v/>
      </c>
      <c r="N538">
        <f>IF(B538="","",IFERROR(MATCH(B538,Equipamentos!$P$2:$P$61,0),""))</f>
        <v/>
      </c>
      <c r="O538">
        <f>IF(N538="","",IF(M538=0,INDEX(Equipamentos!$U$2:$U$61,N538),L538))</f>
        <v/>
      </c>
      <c r="P538">
        <f>IF(N538="","",IF(M538=0,N(INDEX(Equipamentos!$V$2:$V$61,N538)),N(INDEX(TrocasEquip!$I$2:$I$1000,M538))))</f>
        <v/>
      </c>
      <c r="Q538">
        <f>IF(N538="","",IF(M538=0,INDEX(Equipamentos!$T$2:$T$61,N538),IF(INDEX(TrocasEquip!$H$2:$H$1000,M538)="",INDEX(Equipamentos!$T$2:$T$61,N538),INDEX(TrocasEquip!$H$2:$H$1000,M538))))</f>
        <v/>
      </c>
    </row>
    <row r="539">
      <c r="A539" s="54" t="n"/>
      <c r="B539" s="55" t="n"/>
      <c r="C539">
        <f>IF(B539="","",IF(N539="","posição não encontrada",IF(M539=0,INDEX(Equipamentos!$S$2:$S$61,N539),INDEX(TrocasEquip!$G$2:$G$1000,M539))))</f>
        <v/>
      </c>
      <c r="D539" s="56">
        <f>IF(OR(A539="",N539=""),"",P539+IF(E539="dias",MAX(0,A539-O539),IF(INDEX(Equipamentos!$D$2:$D$61,N539)=2,SUMIFS(Producao!$D:$D,Producao!$A:$A,"&gt;="&amp;O539,Producao!$A:$A,"&lt;"&amp;A539),IF(INDEX(Equipamentos!$D$2:$D$61,N539)=3,SUMIFS(Producao!$E:$E,Producao!$A:$A,"&gt;="&amp;O539,Producao!$A:$A,"&lt;"&amp;A539),SUMIFS(Producao!$B:$B,Producao!$A:$A,"&gt;="&amp;O539,Producao!$A:$A,"&lt;"&amp;A539)))))</f>
        <v/>
      </c>
      <c r="E539">
        <f>IF(N539="","",INDEX(Equipamentos!$C$2:$C$61,N539))</f>
        <v/>
      </c>
      <c r="F539" s="57">
        <f>IF(OR(D539="",N(Q539)&lt;=0),"",D539/Q539)</f>
        <v/>
      </c>
      <c r="G539" s="55" t="n"/>
      <c r="H539" s="58" t="n"/>
      <c r="I539" s="58" t="n"/>
      <c r="J539" s="55" t="n"/>
      <c r="K539" s="55" t="n"/>
      <c r="L539">
        <f>IF(OR(A539="",B539=""),"",_xlfn.MAXIFS(TrocasEquip!$A$2:$A$1000,TrocasEquip!$B$2:$B$1000,B539,TrocasEquip!$A$2:$A$1000,"&lt;"&amp;A539))</f>
        <v/>
      </c>
      <c r="M539">
        <f>IF(N(L539)=0,0,MATCH(1,INDEX((TrocasEquip!$B$2:$B$1000=B539)*(TrocasEquip!$A$2:$A$1000=L539),0),0))</f>
        <v/>
      </c>
      <c r="N539">
        <f>IF(B539="","",IFERROR(MATCH(B539,Equipamentos!$P$2:$P$61,0),""))</f>
        <v/>
      </c>
      <c r="O539">
        <f>IF(N539="","",IF(M539=0,INDEX(Equipamentos!$U$2:$U$61,N539),L539))</f>
        <v/>
      </c>
      <c r="P539">
        <f>IF(N539="","",IF(M539=0,N(INDEX(Equipamentos!$V$2:$V$61,N539)),N(INDEX(TrocasEquip!$I$2:$I$1000,M539))))</f>
        <v/>
      </c>
      <c r="Q539">
        <f>IF(N539="","",IF(M539=0,INDEX(Equipamentos!$T$2:$T$61,N539),IF(INDEX(TrocasEquip!$H$2:$H$1000,M539)="",INDEX(Equipamentos!$T$2:$T$61,N539),INDEX(TrocasEquip!$H$2:$H$1000,M539))))</f>
        <v/>
      </c>
    </row>
    <row r="540">
      <c r="A540" s="54" t="n"/>
      <c r="B540" s="55" t="n"/>
      <c r="C540">
        <f>IF(B540="","",IF(N540="","posição não encontrada",IF(M540=0,INDEX(Equipamentos!$S$2:$S$61,N540),INDEX(TrocasEquip!$G$2:$G$1000,M540))))</f>
        <v/>
      </c>
      <c r="D540" s="56">
        <f>IF(OR(A540="",N540=""),"",P540+IF(E540="dias",MAX(0,A540-O540),IF(INDEX(Equipamentos!$D$2:$D$61,N540)=2,SUMIFS(Producao!$D:$D,Producao!$A:$A,"&gt;="&amp;O540,Producao!$A:$A,"&lt;"&amp;A540),IF(INDEX(Equipamentos!$D$2:$D$61,N540)=3,SUMIFS(Producao!$E:$E,Producao!$A:$A,"&gt;="&amp;O540,Producao!$A:$A,"&lt;"&amp;A540),SUMIFS(Producao!$B:$B,Producao!$A:$A,"&gt;="&amp;O540,Producao!$A:$A,"&lt;"&amp;A540)))))</f>
        <v/>
      </c>
      <c r="E540">
        <f>IF(N540="","",INDEX(Equipamentos!$C$2:$C$61,N540))</f>
        <v/>
      </c>
      <c r="F540" s="57">
        <f>IF(OR(D540="",N(Q540)&lt;=0),"",D540/Q540)</f>
        <v/>
      </c>
      <c r="G540" s="55" t="n"/>
      <c r="H540" s="58" t="n"/>
      <c r="I540" s="58" t="n"/>
      <c r="J540" s="55" t="n"/>
      <c r="K540" s="55" t="n"/>
      <c r="L540">
        <f>IF(OR(A540="",B540=""),"",_xlfn.MAXIFS(TrocasEquip!$A$2:$A$1000,TrocasEquip!$B$2:$B$1000,B540,TrocasEquip!$A$2:$A$1000,"&lt;"&amp;A540))</f>
        <v/>
      </c>
      <c r="M540">
        <f>IF(N(L540)=0,0,MATCH(1,INDEX((TrocasEquip!$B$2:$B$1000=B540)*(TrocasEquip!$A$2:$A$1000=L540),0),0))</f>
        <v/>
      </c>
      <c r="N540">
        <f>IF(B540="","",IFERROR(MATCH(B540,Equipamentos!$P$2:$P$61,0),""))</f>
        <v/>
      </c>
      <c r="O540">
        <f>IF(N540="","",IF(M540=0,INDEX(Equipamentos!$U$2:$U$61,N540),L540))</f>
        <v/>
      </c>
      <c r="P540">
        <f>IF(N540="","",IF(M540=0,N(INDEX(Equipamentos!$V$2:$V$61,N540)),N(INDEX(TrocasEquip!$I$2:$I$1000,M540))))</f>
        <v/>
      </c>
      <c r="Q540">
        <f>IF(N540="","",IF(M540=0,INDEX(Equipamentos!$T$2:$T$61,N540),IF(INDEX(TrocasEquip!$H$2:$H$1000,M540)="",INDEX(Equipamentos!$T$2:$T$61,N540),INDEX(TrocasEquip!$H$2:$H$1000,M540))))</f>
        <v/>
      </c>
    </row>
    <row r="541">
      <c r="A541" s="54" t="n"/>
      <c r="B541" s="55" t="n"/>
      <c r="C541">
        <f>IF(B541="","",IF(N541="","posição não encontrada",IF(M541=0,INDEX(Equipamentos!$S$2:$S$61,N541),INDEX(TrocasEquip!$G$2:$G$1000,M541))))</f>
        <v/>
      </c>
      <c r="D541" s="56">
        <f>IF(OR(A541="",N541=""),"",P541+IF(E541="dias",MAX(0,A541-O541),IF(INDEX(Equipamentos!$D$2:$D$61,N541)=2,SUMIFS(Producao!$D:$D,Producao!$A:$A,"&gt;="&amp;O541,Producao!$A:$A,"&lt;"&amp;A541),IF(INDEX(Equipamentos!$D$2:$D$61,N541)=3,SUMIFS(Producao!$E:$E,Producao!$A:$A,"&gt;="&amp;O541,Producao!$A:$A,"&lt;"&amp;A541),SUMIFS(Producao!$B:$B,Producao!$A:$A,"&gt;="&amp;O541,Producao!$A:$A,"&lt;"&amp;A541)))))</f>
        <v/>
      </c>
      <c r="E541">
        <f>IF(N541="","",INDEX(Equipamentos!$C$2:$C$61,N541))</f>
        <v/>
      </c>
      <c r="F541" s="57">
        <f>IF(OR(D541="",N(Q541)&lt;=0),"",D541/Q541)</f>
        <v/>
      </c>
      <c r="G541" s="55" t="n"/>
      <c r="H541" s="58" t="n"/>
      <c r="I541" s="58" t="n"/>
      <c r="J541" s="55" t="n"/>
      <c r="K541" s="55" t="n"/>
      <c r="L541">
        <f>IF(OR(A541="",B541=""),"",_xlfn.MAXIFS(TrocasEquip!$A$2:$A$1000,TrocasEquip!$B$2:$B$1000,B541,TrocasEquip!$A$2:$A$1000,"&lt;"&amp;A541))</f>
        <v/>
      </c>
      <c r="M541">
        <f>IF(N(L541)=0,0,MATCH(1,INDEX((TrocasEquip!$B$2:$B$1000=B541)*(TrocasEquip!$A$2:$A$1000=L541),0),0))</f>
        <v/>
      </c>
      <c r="N541">
        <f>IF(B541="","",IFERROR(MATCH(B541,Equipamentos!$P$2:$P$61,0),""))</f>
        <v/>
      </c>
      <c r="O541">
        <f>IF(N541="","",IF(M541=0,INDEX(Equipamentos!$U$2:$U$61,N541),L541))</f>
        <v/>
      </c>
      <c r="P541">
        <f>IF(N541="","",IF(M541=0,N(INDEX(Equipamentos!$V$2:$V$61,N541)),N(INDEX(TrocasEquip!$I$2:$I$1000,M541))))</f>
        <v/>
      </c>
      <c r="Q541">
        <f>IF(N541="","",IF(M541=0,INDEX(Equipamentos!$T$2:$T$61,N541),IF(INDEX(TrocasEquip!$H$2:$H$1000,M541)="",INDEX(Equipamentos!$T$2:$T$61,N541),INDEX(TrocasEquip!$H$2:$H$1000,M541))))</f>
        <v/>
      </c>
    </row>
    <row r="542">
      <c r="A542" s="54" t="n"/>
      <c r="B542" s="55" t="n"/>
      <c r="C542">
        <f>IF(B542="","",IF(N542="","posição não encontrada",IF(M542=0,INDEX(Equipamentos!$S$2:$S$61,N542),INDEX(TrocasEquip!$G$2:$G$1000,M542))))</f>
        <v/>
      </c>
      <c r="D542" s="56">
        <f>IF(OR(A542="",N542=""),"",P542+IF(E542="dias",MAX(0,A542-O542),IF(INDEX(Equipamentos!$D$2:$D$61,N542)=2,SUMIFS(Producao!$D:$D,Producao!$A:$A,"&gt;="&amp;O542,Producao!$A:$A,"&lt;"&amp;A542),IF(INDEX(Equipamentos!$D$2:$D$61,N542)=3,SUMIFS(Producao!$E:$E,Producao!$A:$A,"&gt;="&amp;O542,Producao!$A:$A,"&lt;"&amp;A542),SUMIFS(Producao!$B:$B,Producao!$A:$A,"&gt;="&amp;O542,Producao!$A:$A,"&lt;"&amp;A542)))))</f>
        <v/>
      </c>
      <c r="E542">
        <f>IF(N542="","",INDEX(Equipamentos!$C$2:$C$61,N542))</f>
        <v/>
      </c>
      <c r="F542" s="57">
        <f>IF(OR(D542="",N(Q542)&lt;=0),"",D542/Q542)</f>
        <v/>
      </c>
      <c r="G542" s="55" t="n"/>
      <c r="H542" s="58" t="n"/>
      <c r="I542" s="58" t="n"/>
      <c r="J542" s="55" t="n"/>
      <c r="K542" s="55" t="n"/>
      <c r="L542">
        <f>IF(OR(A542="",B542=""),"",_xlfn.MAXIFS(TrocasEquip!$A$2:$A$1000,TrocasEquip!$B$2:$B$1000,B542,TrocasEquip!$A$2:$A$1000,"&lt;"&amp;A542))</f>
        <v/>
      </c>
      <c r="M542">
        <f>IF(N(L542)=0,0,MATCH(1,INDEX((TrocasEquip!$B$2:$B$1000=B542)*(TrocasEquip!$A$2:$A$1000=L542),0),0))</f>
        <v/>
      </c>
      <c r="N542">
        <f>IF(B542="","",IFERROR(MATCH(B542,Equipamentos!$P$2:$P$61,0),""))</f>
        <v/>
      </c>
      <c r="O542">
        <f>IF(N542="","",IF(M542=0,INDEX(Equipamentos!$U$2:$U$61,N542),L542))</f>
        <v/>
      </c>
      <c r="P542">
        <f>IF(N542="","",IF(M542=0,N(INDEX(Equipamentos!$V$2:$V$61,N542)),N(INDEX(TrocasEquip!$I$2:$I$1000,M542))))</f>
        <v/>
      </c>
      <c r="Q542">
        <f>IF(N542="","",IF(M542=0,INDEX(Equipamentos!$T$2:$T$61,N542),IF(INDEX(TrocasEquip!$H$2:$H$1000,M542)="",INDEX(Equipamentos!$T$2:$T$61,N542),INDEX(TrocasEquip!$H$2:$H$1000,M542))))</f>
        <v/>
      </c>
    </row>
    <row r="543">
      <c r="A543" s="54" t="n"/>
      <c r="B543" s="55" t="n"/>
      <c r="C543">
        <f>IF(B543="","",IF(N543="","posição não encontrada",IF(M543=0,INDEX(Equipamentos!$S$2:$S$61,N543),INDEX(TrocasEquip!$G$2:$G$1000,M543))))</f>
        <v/>
      </c>
      <c r="D543" s="56">
        <f>IF(OR(A543="",N543=""),"",P543+IF(E543="dias",MAX(0,A543-O543),IF(INDEX(Equipamentos!$D$2:$D$61,N543)=2,SUMIFS(Producao!$D:$D,Producao!$A:$A,"&gt;="&amp;O543,Producao!$A:$A,"&lt;"&amp;A543),IF(INDEX(Equipamentos!$D$2:$D$61,N543)=3,SUMIFS(Producao!$E:$E,Producao!$A:$A,"&gt;="&amp;O543,Producao!$A:$A,"&lt;"&amp;A543),SUMIFS(Producao!$B:$B,Producao!$A:$A,"&gt;="&amp;O543,Producao!$A:$A,"&lt;"&amp;A543)))))</f>
        <v/>
      </c>
      <c r="E543">
        <f>IF(N543="","",INDEX(Equipamentos!$C$2:$C$61,N543))</f>
        <v/>
      </c>
      <c r="F543" s="57">
        <f>IF(OR(D543="",N(Q543)&lt;=0),"",D543/Q543)</f>
        <v/>
      </c>
      <c r="G543" s="55" t="n"/>
      <c r="H543" s="58" t="n"/>
      <c r="I543" s="58" t="n"/>
      <c r="J543" s="55" t="n"/>
      <c r="K543" s="55" t="n"/>
      <c r="L543">
        <f>IF(OR(A543="",B543=""),"",_xlfn.MAXIFS(TrocasEquip!$A$2:$A$1000,TrocasEquip!$B$2:$B$1000,B543,TrocasEquip!$A$2:$A$1000,"&lt;"&amp;A543))</f>
        <v/>
      </c>
      <c r="M543">
        <f>IF(N(L543)=0,0,MATCH(1,INDEX((TrocasEquip!$B$2:$B$1000=B543)*(TrocasEquip!$A$2:$A$1000=L543),0),0))</f>
        <v/>
      </c>
      <c r="N543">
        <f>IF(B543="","",IFERROR(MATCH(B543,Equipamentos!$P$2:$P$61,0),""))</f>
        <v/>
      </c>
      <c r="O543">
        <f>IF(N543="","",IF(M543=0,INDEX(Equipamentos!$U$2:$U$61,N543),L543))</f>
        <v/>
      </c>
      <c r="P543">
        <f>IF(N543="","",IF(M543=0,N(INDEX(Equipamentos!$V$2:$V$61,N543)),N(INDEX(TrocasEquip!$I$2:$I$1000,M543))))</f>
        <v/>
      </c>
      <c r="Q543">
        <f>IF(N543="","",IF(M543=0,INDEX(Equipamentos!$T$2:$T$61,N543),IF(INDEX(TrocasEquip!$H$2:$H$1000,M543)="",INDEX(Equipamentos!$T$2:$T$61,N543),INDEX(TrocasEquip!$H$2:$H$1000,M543))))</f>
        <v/>
      </c>
    </row>
    <row r="544">
      <c r="A544" s="54" t="n"/>
      <c r="B544" s="55" t="n"/>
      <c r="C544">
        <f>IF(B544="","",IF(N544="","posição não encontrada",IF(M544=0,INDEX(Equipamentos!$S$2:$S$61,N544),INDEX(TrocasEquip!$G$2:$G$1000,M544))))</f>
        <v/>
      </c>
      <c r="D544" s="56">
        <f>IF(OR(A544="",N544=""),"",P544+IF(E544="dias",MAX(0,A544-O544),IF(INDEX(Equipamentos!$D$2:$D$61,N544)=2,SUMIFS(Producao!$D:$D,Producao!$A:$A,"&gt;="&amp;O544,Producao!$A:$A,"&lt;"&amp;A544),IF(INDEX(Equipamentos!$D$2:$D$61,N544)=3,SUMIFS(Producao!$E:$E,Producao!$A:$A,"&gt;="&amp;O544,Producao!$A:$A,"&lt;"&amp;A544),SUMIFS(Producao!$B:$B,Producao!$A:$A,"&gt;="&amp;O544,Producao!$A:$A,"&lt;"&amp;A544)))))</f>
        <v/>
      </c>
      <c r="E544">
        <f>IF(N544="","",INDEX(Equipamentos!$C$2:$C$61,N544))</f>
        <v/>
      </c>
      <c r="F544" s="57">
        <f>IF(OR(D544="",N(Q544)&lt;=0),"",D544/Q544)</f>
        <v/>
      </c>
      <c r="G544" s="55" t="n"/>
      <c r="H544" s="58" t="n"/>
      <c r="I544" s="58" t="n"/>
      <c r="J544" s="55" t="n"/>
      <c r="K544" s="55" t="n"/>
      <c r="L544">
        <f>IF(OR(A544="",B544=""),"",_xlfn.MAXIFS(TrocasEquip!$A$2:$A$1000,TrocasEquip!$B$2:$B$1000,B544,TrocasEquip!$A$2:$A$1000,"&lt;"&amp;A544))</f>
        <v/>
      </c>
      <c r="M544">
        <f>IF(N(L544)=0,0,MATCH(1,INDEX((TrocasEquip!$B$2:$B$1000=B544)*(TrocasEquip!$A$2:$A$1000=L544),0),0))</f>
        <v/>
      </c>
      <c r="N544">
        <f>IF(B544="","",IFERROR(MATCH(B544,Equipamentos!$P$2:$P$61,0),""))</f>
        <v/>
      </c>
      <c r="O544">
        <f>IF(N544="","",IF(M544=0,INDEX(Equipamentos!$U$2:$U$61,N544),L544))</f>
        <v/>
      </c>
      <c r="P544">
        <f>IF(N544="","",IF(M544=0,N(INDEX(Equipamentos!$V$2:$V$61,N544)),N(INDEX(TrocasEquip!$I$2:$I$1000,M544))))</f>
        <v/>
      </c>
      <c r="Q544">
        <f>IF(N544="","",IF(M544=0,INDEX(Equipamentos!$T$2:$T$61,N544),IF(INDEX(TrocasEquip!$H$2:$H$1000,M544)="",INDEX(Equipamentos!$T$2:$T$61,N544),INDEX(TrocasEquip!$H$2:$H$1000,M544))))</f>
        <v/>
      </c>
    </row>
    <row r="545">
      <c r="A545" s="54" t="n"/>
      <c r="B545" s="55" t="n"/>
      <c r="C545">
        <f>IF(B545="","",IF(N545="","posição não encontrada",IF(M545=0,INDEX(Equipamentos!$S$2:$S$61,N545),INDEX(TrocasEquip!$G$2:$G$1000,M545))))</f>
        <v/>
      </c>
      <c r="D545" s="56">
        <f>IF(OR(A545="",N545=""),"",P545+IF(E545="dias",MAX(0,A545-O545),IF(INDEX(Equipamentos!$D$2:$D$61,N545)=2,SUMIFS(Producao!$D:$D,Producao!$A:$A,"&gt;="&amp;O545,Producao!$A:$A,"&lt;"&amp;A545),IF(INDEX(Equipamentos!$D$2:$D$61,N545)=3,SUMIFS(Producao!$E:$E,Producao!$A:$A,"&gt;="&amp;O545,Producao!$A:$A,"&lt;"&amp;A545),SUMIFS(Producao!$B:$B,Producao!$A:$A,"&gt;="&amp;O545,Producao!$A:$A,"&lt;"&amp;A545)))))</f>
        <v/>
      </c>
      <c r="E545">
        <f>IF(N545="","",INDEX(Equipamentos!$C$2:$C$61,N545))</f>
        <v/>
      </c>
      <c r="F545" s="57">
        <f>IF(OR(D545="",N(Q545)&lt;=0),"",D545/Q545)</f>
        <v/>
      </c>
      <c r="G545" s="55" t="n"/>
      <c r="H545" s="58" t="n"/>
      <c r="I545" s="58" t="n"/>
      <c r="J545" s="55" t="n"/>
      <c r="K545" s="55" t="n"/>
      <c r="L545">
        <f>IF(OR(A545="",B545=""),"",_xlfn.MAXIFS(TrocasEquip!$A$2:$A$1000,TrocasEquip!$B$2:$B$1000,B545,TrocasEquip!$A$2:$A$1000,"&lt;"&amp;A545))</f>
        <v/>
      </c>
      <c r="M545">
        <f>IF(N(L545)=0,0,MATCH(1,INDEX((TrocasEquip!$B$2:$B$1000=B545)*(TrocasEquip!$A$2:$A$1000=L545),0),0))</f>
        <v/>
      </c>
      <c r="N545">
        <f>IF(B545="","",IFERROR(MATCH(B545,Equipamentos!$P$2:$P$61,0),""))</f>
        <v/>
      </c>
      <c r="O545">
        <f>IF(N545="","",IF(M545=0,INDEX(Equipamentos!$U$2:$U$61,N545),L545))</f>
        <v/>
      </c>
      <c r="P545">
        <f>IF(N545="","",IF(M545=0,N(INDEX(Equipamentos!$V$2:$V$61,N545)),N(INDEX(TrocasEquip!$I$2:$I$1000,M545))))</f>
        <v/>
      </c>
      <c r="Q545">
        <f>IF(N545="","",IF(M545=0,INDEX(Equipamentos!$T$2:$T$61,N545),IF(INDEX(TrocasEquip!$H$2:$H$1000,M545)="",INDEX(Equipamentos!$T$2:$T$61,N545),INDEX(TrocasEquip!$H$2:$H$1000,M545))))</f>
        <v/>
      </c>
    </row>
    <row r="546">
      <c r="A546" s="54" t="n"/>
      <c r="B546" s="55" t="n"/>
      <c r="C546">
        <f>IF(B546="","",IF(N546="","posição não encontrada",IF(M546=0,INDEX(Equipamentos!$S$2:$S$61,N546),INDEX(TrocasEquip!$G$2:$G$1000,M546))))</f>
        <v/>
      </c>
      <c r="D546" s="56">
        <f>IF(OR(A546="",N546=""),"",P546+IF(E546="dias",MAX(0,A546-O546),IF(INDEX(Equipamentos!$D$2:$D$61,N546)=2,SUMIFS(Producao!$D:$D,Producao!$A:$A,"&gt;="&amp;O546,Producao!$A:$A,"&lt;"&amp;A546),IF(INDEX(Equipamentos!$D$2:$D$61,N546)=3,SUMIFS(Producao!$E:$E,Producao!$A:$A,"&gt;="&amp;O546,Producao!$A:$A,"&lt;"&amp;A546),SUMIFS(Producao!$B:$B,Producao!$A:$A,"&gt;="&amp;O546,Producao!$A:$A,"&lt;"&amp;A546)))))</f>
        <v/>
      </c>
      <c r="E546">
        <f>IF(N546="","",INDEX(Equipamentos!$C$2:$C$61,N546))</f>
        <v/>
      </c>
      <c r="F546" s="57">
        <f>IF(OR(D546="",N(Q546)&lt;=0),"",D546/Q546)</f>
        <v/>
      </c>
      <c r="G546" s="55" t="n"/>
      <c r="H546" s="58" t="n"/>
      <c r="I546" s="58" t="n"/>
      <c r="J546" s="55" t="n"/>
      <c r="K546" s="55" t="n"/>
      <c r="L546">
        <f>IF(OR(A546="",B546=""),"",_xlfn.MAXIFS(TrocasEquip!$A$2:$A$1000,TrocasEquip!$B$2:$B$1000,B546,TrocasEquip!$A$2:$A$1000,"&lt;"&amp;A546))</f>
        <v/>
      </c>
      <c r="M546">
        <f>IF(N(L546)=0,0,MATCH(1,INDEX((TrocasEquip!$B$2:$B$1000=B546)*(TrocasEquip!$A$2:$A$1000=L546),0),0))</f>
        <v/>
      </c>
      <c r="N546">
        <f>IF(B546="","",IFERROR(MATCH(B546,Equipamentos!$P$2:$P$61,0),""))</f>
        <v/>
      </c>
      <c r="O546">
        <f>IF(N546="","",IF(M546=0,INDEX(Equipamentos!$U$2:$U$61,N546),L546))</f>
        <v/>
      </c>
      <c r="P546">
        <f>IF(N546="","",IF(M546=0,N(INDEX(Equipamentos!$V$2:$V$61,N546)),N(INDEX(TrocasEquip!$I$2:$I$1000,M546))))</f>
        <v/>
      </c>
      <c r="Q546">
        <f>IF(N546="","",IF(M546=0,INDEX(Equipamentos!$T$2:$T$61,N546),IF(INDEX(TrocasEquip!$H$2:$H$1000,M546)="",INDEX(Equipamentos!$T$2:$T$61,N546),INDEX(TrocasEquip!$H$2:$H$1000,M546))))</f>
        <v/>
      </c>
    </row>
    <row r="547">
      <c r="A547" s="54" t="n"/>
      <c r="B547" s="55" t="n"/>
      <c r="C547">
        <f>IF(B547="","",IF(N547="","posição não encontrada",IF(M547=0,INDEX(Equipamentos!$S$2:$S$61,N547),INDEX(TrocasEquip!$G$2:$G$1000,M547))))</f>
        <v/>
      </c>
      <c r="D547" s="56">
        <f>IF(OR(A547="",N547=""),"",P547+IF(E547="dias",MAX(0,A547-O547),IF(INDEX(Equipamentos!$D$2:$D$61,N547)=2,SUMIFS(Producao!$D:$D,Producao!$A:$A,"&gt;="&amp;O547,Producao!$A:$A,"&lt;"&amp;A547),IF(INDEX(Equipamentos!$D$2:$D$61,N547)=3,SUMIFS(Producao!$E:$E,Producao!$A:$A,"&gt;="&amp;O547,Producao!$A:$A,"&lt;"&amp;A547),SUMIFS(Producao!$B:$B,Producao!$A:$A,"&gt;="&amp;O547,Producao!$A:$A,"&lt;"&amp;A547)))))</f>
        <v/>
      </c>
      <c r="E547">
        <f>IF(N547="","",INDEX(Equipamentos!$C$2:$C$61,N547))</f>
        <v/>
      </c>
      <c r="F547" s="57">
        <f>IF(OR(D547="",N(Q547)&lt;=0),"",D547/Q547)</f>
        <v/>
      </c>
      <c r="G547" s="55" t="n"/>
      <c r="H547" s="58" t="n"/>
      <c r="I547" s="58" t="n"/>
      <c r="J547" s="55" t="n"/>
      <c r="K547" s="55" t="n"/>
      <c r="L547">
        <f>IF(OR(A547="",B547=""),"",_xlfn.MAXIFS(TrocasEquip!$A$2:$A$1000,TrocasEquip!$B$2:$B$1000,B547,TrocasEquip!$A$2:$A$1000,"&lt;"&amp;A547))</f>
        <v/>
      </c>
      <c r="M547">
        <f>IF(N(L547)=0,0,MATCH(1,INDEX((TrocasEquip!$B$2:$B$1000=B547)*(TrocasEquip!$A$2:$A$1000=L547),0),0))</f>
        <v/>
      </c>
      <c r="N547">
        <f>IF(B547="","",IFERROR(MATCH(B547,Equipamentos!$P$2:$P$61,0),""))</f>
        <v/>
      </c>
      <c r="O547">
        <f>IF(N547="","",IF(M547=0,INDEX(Equipamentos!$U$2:$U$61,N547),L547))</f>
        <v/>
      </c>
      <c r="P547">
        <f>IF(N547="","",IF(M547=0,N(INDEX(Equipamentos!$V$2:$V$61,N547)),N(INDEX(TrocasEquip!$I$2:$I$1000,M547))))</f>
        <v/>
      </c>
      <c r="Q547">
        <f>IF(N547="","",IF(M547=0,INDEX(Equipamentos!$T$2:$T$61,N547),IF(INDEX(TrocasEquip!$H$2:$H$1000,M547)="",INDEX(Equipamentos!$T$2:$T$61,N547),INDEX(TrocasEquip!$H$2:$H$1000,M547))))</f>
        <v/>
      </c>
    </row>
    <row r="548">
      <c r="A548" s="54" t="n"/>
      <c r="B548" s="55" t="n"/>
      <c r="C548">
        <f>IF(B548="","",IF(N548="","posição não encontrada",IF(M548=0,INDEX(Equipamentos!$S$2:$S$61,N548),INDEX(TrocasEquip!$G$2:$G$1000,M548))))</f>
        <v/>
      </c>
      <c r="D548" s="56">
        <f>IF(OR(A548="",N548=""),"",P548+IF(E548="dias",MAX(0,A548-O548),IF(INDEX(Equipamentos!$D$2:$D$61,N548)=2,SUMIFS(Producao!$D:$D,Producao!$A:$A,"&gt;="&amp;O548,Producao!$A:$A,"&lt;"&amp;A548),IF(INDEX(Equipamentos!$D$2:$D$61,N548)=3,SUMIFS(Producao!$E:$E,Producao!$A:$A,"&gt;="&amp;O548,Producao!$A:$A,"&lt;"&amp;A548),SUMIFS(Producao!$B:$B,Producao!$A:$A,"&gt;="&amp;O548,Producao!$A:$A,"&lt;"&amp;A548)))))</f>
        <v/>
      </c>
      <c r="E548">
        <f>IF(N548="","",INDEX(Equipamentos!$C$2:$C$61,N548))</f>
        <v/>
      </c>
      <c r="F548" s="57">
        <f>IF(OR(D548="",N(Q548)&lt;=0),"",D548/Q548)</f>
        <v/>
      </c>
      <c r="G548" s="55" t="n"/>
      <c r="H548" s="58" t="n"/>
      <c r="I548" s="58" t="n"/>
      <c r="J548" s="55" t="n"/>
      <c r="K548" s="55" t="n"/>
      <c r="L548">
        <f>IF(OR(A548="",B548=""),"",_xlfn.MAXIFS(TrocasEquip!$A$2:$A$1000,TrocasEquip!$B$2:$B$1000,B548,TrocasEquip!$A$2:$A$1000,"&lt;"&amp;A548))</f>
        <v/>
      </c>
      <c r="M548">
        <f>IF(N(L548)=0,0,MATCH(1,INDEX((TrocasEquip!$B$2:$B$1000=B548)*(TrocasEquip!$A$2:$A$1000=L548),0),0))</f>
        <v/>
      </c>
      <c r="N548">
        <f>IF(B548="","",IFERROR(MATCH(B548,Equipamentos!$P$2:$P$61,0),""))</f>
        <v/>
      </c>
      <c r="O548">
        <f>IF(N548="","",IF(M548=0,INDEX(Equipamentos!$U$2:$U$61,N548),L548))</f>
        <v/>
      </c>
      <c r="P548">
        <f>IF(N548="","",IF(M548=0,N(INDEX(Equipamentos!$V$2:$V$61,N548)),N(INDEX(TrocasEquip!$I$2:$I$1000,M548))))</f>
        <v/>
      </c>
      <c r="Q548">
        <f>IF(N548="","",IF(M548=0,INDEX(Equipamentos!$T$2:$T$61,N548),IF(INDEX(TrocasEquip!$H$2:$H$1000,M548)="",INDEX(Equipamentos!$T$2:$T$61,N548),INDEX(TrocasEquip!$H$2:$H$1000,M548))))</f>
        <v/>
      </c>
    </row>
    <row r="549">
      <c r="A549" s="54" t="n"/>
      <c r="B549" s="55" t="n"/>
      <c r="C549">
        <f>IF(B549="","",IF(N549="","posição não encontrada",IF(M549=0,INDEX(Equipamentos!$S$2:$S$61,N549),INDEX(TrocasEquip!$G$2:$G$1000,M549))))</f>
        <v/>
      </c>
      <c r="D549" s="56">
        <f>IF(OR(A549="",N549=""),"",P549+IF(E549="dias",MAX(0,A549-O549),IF(INDEX(Equipamentos!$D$2:$D$61,N549)=2,SUMIFS(Producao!$D:$D,Producao!$A:$A,"&gt;="&amp;O549,Producao!$A:$A,"&lt;"&amp;A549),IF(INDEX(Equipamentos!$D$2:$D$61,N549)=3,SUMIFS(Producao!$E:$E,Producao!$A:$A,"&gt;="&amp;O549,Producao!$A:$A,"&lt;"&amp;A549),SUMIFS(Producao!$B:$B,Producao!$A:$A,"&gt;="&amp;O549,Producao!$A:$A,"&lt;"&amp;A549)))))</f>
        <v/>
      </c>
      <c r="E549">
        <f>IF(N549="","",INDEX(Equipamentos!$C$2:$C$61,N549))</f>
        <v/>
      </c>
      <c r="F549" s="57">
        <f>IF(OR(D549="",N(Q549)&lt;=0),"",D549/Q549)</f>
        <v/>
      </c>
      <c r="G549" s="55" t="n"/>
      <c r="H549" s="58" t="n"/>
      <c r="I549" s="58" t="n"/>
      <c r="J549" s="55" t="n"/>
      <c r="K549" s="55" t="n"/>
      <c r="L549">
        <f>IF(OR(A549="",B549=""),"",_xlfn.MAXIFS(TrocasEquip!$A$2:$A$1000,TrocasEquip!$B$2:$B$1000,B549,TrocasEquip!$A$2:$A$1000,"&lt;"&amp;A549))</f>
        <v/>
      </c>
      <c r="M549">
        <f>IF(N(L549)=0,0,MATCH(1,INDEX((TrocasEquip!$B$2:$B$1000=B549)*(TrocasEquip!$A$2:$A$1000=L549),0),0))</f>
        <v/>
      </c>
      <c r="N549">
        <f>IF(B549="","",IFERROR(MATCH(B549,Equipamentos!$P$2:$P$61,0),""))</f>
        <v/>
      </c>
      <c r="O549">
        <f>IF(N549="","",IF(M549=0,INDEX(Equipamentos!$U$2:$U$61,N549),L549))</f>
        <v/>
      </c>
      <c r="P549">
        <f>IF(N549="","",IF(M549=0,N(INDEX(Equipamentos!$V$2:$V$61,N549)),N(INDEX(TrocasEquip!$I$2:$I$1000,M549))))</f>
        <v/>
      </c>
      <c r="Q549">
        <f>IF(N549="","",IF(M549=0,INDEX(Equipamentos!$T$2:$T$61,N549),IF(INDEX(TrocasEquip!$H$2:$H$1000,M549)="",INDEX(Equipamentos!$T$2:$T$61,N549),INDEX(TrocasEquip!$H$2:$H$1000,M549))))</f>
        <v/>
      </c>
    </row>
    <row r="550">
      <c r="A550" s="54" t="n"/>
      <c r="B550" s="55" t="n"/>
      <c r="C550">
        <f>IF(B550="","",IF(N550="","posição não encontrada",IF(M550=0,INDEX(Equipamentos!$S$2:$S$61,N550),INDEX(TrocasEquip!$G$2:$G$1000,M550))))</f>
        <v/>
      </c>
      <c r="D550" s="56">
        <f>IF(OR(A550="",N550=""),"",P550+IF(E550="dias",MAX(0,A550-O550),IF(INDEX(Equipamentos!$D$2:$D$61,N550)=2,SUMIFS(Producao!$D:$D,Producao!$A:$A,"&gt;="&amp;O550,Producao!$A:$A,"&lt;"&amp;A550),IF(INDEX(Equipamentos!$D$2:$D$61,N550)=3,SUMIFS(Producao!$E:$E,Producao!$A:$A,"&gt;="&amp;O550,Producao!$A:$A,"&lt;"&amp;A550),SUMIFS(Producao!$B:$B,Producao!$A:$A,"&gt;="&amp;O550,Producao!$A:$A,"&lt;"&amp;A550)))))</f>
        <v/>
      </c>
      <c r="E550">
        <f>IF(N550="","",INDEX(Equipamentos!$C$2:$C$61,N550))</f>
        <v/>
      </c>
      <c r="F550" s="57">
        <f>IF(OR(D550="",N(Q550)&lt;=0),"",D550/Q550)</f>
        <v/>
      </c>
      <c r="G550" s="55" t="n"/>
      <c r="H550" s="58" t="n"/>
      <c r="I550" s="58" t="n"/>
      <c r="J550" s="55" t="n"/>
      <c r="K550" s="55" t="n"/>
      <c r="L550">
        <f>IF(OR(A550="",B550=""),"",_xlfn.MAXIFS(TrocasEquip!$A$2:$A$1000,TrocasEquip!$B$2:$B$1000,B550,TrocasEquip!$A$2:$A$1000,"&lt;"&amp;A550))</f>
        <v/>
      </c>
      <c r="M550">
        <f>IF(N(L550)=0,0,MATCH(1,INDEX((TrocasEquip!$B$2:$B$1000=B550)*(TrocasEquip!$A$2:$A$1000=L550),0),0))</f>
        <v/>
      </c>
      <c r="N550">
        <f>IF(B550="","",IFERROR(MATCH(B550,Equipamentos!$P$2:$P$61,0),""))</f>
        <v/>
      </c>
      <c r="O550">
        <f>IF(N550="","",IF(M550=0,INDEX(Equipamentos!$U$2:$U$61,N550),L550))</f>
        <v/>
      </c>
      <c r="P550">
        <f>IF(N550="","",IF(M550=0,N(INDEX(Equipamentos!$V$2:$V$61,N550)),N(INDEX(TrocasEquip!$I$2:$I$1000,M550))))</f>
        <v/>
      </c>
      <c r="Q550">
        <f>IF(N550="","",IF(M550=0,INDEX(Equipamentos!$T$2:$T$61,N550),IF(INDEX(TrocasEquip!$H$2:$H$1000,M550)="",INDEX(Equipamentos!$T$2:$T$61,N550),INDEX(TrocasEquip!$H$2:$H$1000,M550))))</f>
        <v/>
      </c>
    </row>
    <row r="551">
      <c r="A551" s="54" t="n"/>
      <c r="B551" s="55" t="n"/>
      <c r="C551">
        <f>IF(B551="","",IF(N551="","posição não encontrada",IF(M551=0,INDEX(Equipamentos!$S$2:$S$61,N551),INDEX(TrocasEquip!$G$2:$G$1000,M551))))</f>
        <v/>
      </c>
      <c r="D551" s="56">
        <f>IF(OR(A551="",N551=""),"",P551+IF(E551="dias",MAX(0,A551-O551),IF(INDEX(Equipamentos!$D$2:$D$61,N551)=2,SUMIFS(Producao!$D:$D,Producao!$A:$A,"&gt;="&amp;O551,Producao!$A:$A,"&lt;"&amp;A551),IF(INDEX(Equipamentos!$D$2:$D$61,N551)=3,SUMIFS(Producao!$E:$E,Producao!$A:$A,"&gt;="&amp;O551,Producao!$A:$A,"&lt;"&amp;A551),SUMIFS(Producao!$B:$B,Producao!$A:$A,"&gt;="&amp;O551,Producao!$A:$A,"&lt;"&amp;A551)))))</f>
        <v/>
      </c>
      <c r="E551">
        <f>IF(N551="","",INDEX(Equipamentos!$C$2:$C$61,N551))</f>
        <v/>
      </c>
      <c r="F551" s="57">
        <f>IF(OR(D551="",N(Q551)&lt;=0),"",D551/Q551)</f>
        <v/>
      </c>
      <c r="G551" s="55" t="n"/>
      <c r="H551" s="58" t="n"/>
      <c r="I551" s="58" t="n"/>
      <c r="J551" s="55" t="n"/>
      <c r="K551" s="55" t="n"/>
      <c r="L551">
        <f>IF(OR(A551="",B551=""),"",_xlfn.MAXIFS(TrocasEquip!$A$2:$A$1000,TrocasEquip!$B$2:$B$1000,B551,TrocasEquip!$A$2:$A$1000,"&lt;"&amp;A551))</f>
        <v/>
      </c>
      <c r="M551">
        <f>IF(N(L551)=0,0,MATCH(1,INDEX((TrocasEquip!$B$2:$B$1000=B551)*(TrocasEquip!$A$2:$A$1000=L551),0),0))</f>
        <v/>
      </c>
      <c r="N551">
        <f>IF(B551="","",IFERROR(MATCH(B551,Equipamentos!$P$2:$P$61,0),""))</f>
        <v/>
      </c>
      <c r="O551">
        <f>IF(N551="","",IF(M551=0,INDEX(Equipamentos!$U$2:$U$61,N551),L551))</f>
        <v/>
      </c>
      <c r="P551">
        <f>IF(N551="","",IF(M551=0,N(INDEX(Equipamentos!$V$2:$V$61,N551)),N(INDEX(TrocasEquip!$I$2:$I$1000,M551))))</f>
        <v/>
      </c>
      <c r="Q551">
        <f>IF(N551="","",IF(M551=0,INDEX(Equipamentos!$T$2:$T$61,N551),IF(INDEX(TrocasEquip!$H$2:$H$1000,M551)="",INDEX(Equipamentos!$T$2:$T$61,N551),INDEX(TrocasEquip!$H$2:$H$1000,M551))))</f>
        <v/>
      </c>
    </row>
    <row r="552">
      <c r="A552" s="54" t="n"/>
      <c r="B552" s="55" t="n"/>
      <c r="C552">
        <f>IF(B552="","",IF(N552="","posição não encontrada",IF(M552=0,INDEX(Equipamentos!$S$2:$S$61,N552),INDEX(TrocasEquip!$G$2:$G$1000,M552))))</f>
        <v/>
      </c>
      <c r="D552" s="56">
        <f>IF(OR(A552="",N552=""),"",P552+IF(E552="dias",MAX(0,A552-O552),IF(INDEX(Equipamentos!$D$2:$D$61,N552)=2,SUMIFS(Producao!$D:$D,Producao!$A:$A,"&gt;="&amp;O552,Producao!$A:$A,"&lt;"&amp;A552),IF(INDEX(Equipamentos!$D$2:$D$61,N552)=3,SUMIFS(Producao!$E:$E,Producao!$A:$A,"&gt;="&amp;O552,Producao!$A:$A,"&lt;"&amp;A552),SUMIFS(Producao!$B:$B,Producao!$A:$A,"&gt;="&amp;O552,Producao!$A:$A,"&lt;"&amp;A552)))))</f>
        <v/>
      </c>
      <c r="E552">
        <f>IF(N552="","",INDEX(Equipamentos!$C$2:$C$61,N552))</f>
        <v/>
      </c>
      <c r="F552" s="57">
        <f>IF(OR(D552="",N(Q552)&lt;=0),"",D552/Q552)</f>
        <v/>
      </c>
      <c r="G552" s="55" t="n"/>
      <c r="H552" s="58" t="n"/>
      <c r="I552" s="58" t="n"/>
      <c r="J552" s="55" t="n"/>
      <c r="K552" s="55" t="n"/>
      <c r="L552">
        <f>IF(OR(A552="",B552=""),"",_xlfn.MAXIFS(TrocasEquip!$A$2:$A$1000,TrocasEquip!$B$2:$B$1000,B552,TrocasEquip!$A$2:$A$1000,"&lt;"&amp;A552))</f>
        <v/>
      </c>
      <c r="M552">
        <f>IF(N(L552)=0,0,MATCH(1,INDEX((TrocasEquip!$B$2:$B$1000=B552)*(TrocasEquip!$A$2:$A$1000=L552),0),0))</f>
        <v/>
      </c>
      <c r="N552">
        <f>IF(B552="","",IFERROR(MATCH(B552,Equipamentos!$P$2:$P$61,0),""))</f>
        <v/>
      </c>
      <c r="O552">
        <f>IF(N552="","",IF(M552=0,INDEX(Equipamentos!$U$2:$U$61,N552),L552))</f>
        <v/>
      </c>
      <c r="P552">
        <f>IF(N552="","",IF(M552=0,N(INDEX(Equipamentos!$V$2:$V$61,N552)),N(INDEX(TrocasEquip!$I$2:$I$1000,M552))))</f>
        <v/>
      </c>
      <c r="Q552">
        <f>IF(N552="","",IF(M552=0,INDEX(Equipamentos!$T$2:$T$61,N552),IF(INDEX(TrocasEquip!$H$2:$H$1000,M552)="",INDEX(Equipamentos!$T$2:$T$61,N552),INDEX(TrocasEquip!$H$2:$H$1000,M552))))</f>
        <v/>
      </c>
    </row>
    <row r="553">
      <c r="A553" s="54" t="n"/>
      <c r="B553" s="55" t="n"/>
      <c r="C553">
        <f>IF(B553="","",IF(N553="","posição não encontrada",IF(M553=0,INDEX(Equipamentos!$S$2:$S$61,N553),INDEX(TrocasEquip!$G$2:$G$1000,M553))))</f>
        <v/>
      </c>
      <c r="D553" s="56">
        <f>IF(OR(A553="",N553=""),"",P553+IF(E553="dias",MAX(0,A553-O553),IF(INDEX(Equipamentos!$D$2:$D$61,N553)=2,SUMIFS(Producao!$D:$D,Producao!$A:$A,"&gt;="&amp;O553,Producao!$A:$A,"&lt;"&amp;A553),IF(INDEX(Equipamentos!$D$2:$D$61,N553)=3,SUMIFS(Producao!$E:$E,Producao!$A:$A,"&gt;="&amp;O553,Producao!$A:$A,"&lt;"&amp;A553),SUMIFS(Producao!$B:$B,Producao!$A:$A,"&gt;="&amp;O553,Producao!$A:$A,"&lt;"&amp;A553)))))</f>
        <v/>
      </c>
      <c r="E553">
        <f>IF(N553="","",INDEX(Equipamentos!$C$2:$C$61,N553))</f>
        <v/>
      </c>
      <c r="F553" s="57">
        <f>IF(OR(D553="",N(Q553)&lt;=0),"",D553/Q553)</f>
        <v/>
      </c>
      <c r="G553" s="55" t="n"/>
      <c r="H553" s="58" t="n"/>
      <c r="I553" s="58" t="n"/>
      <c r="J553" s="55" t="n"/>
      <c r="K553" s="55" t="n"/>
      <c r="L553">
        <f>IF(OR(A553="",B553=""),"",_xlfn.MAXIFS(TrocasEquip!$A$2:$A$1000,TrocasEquip!$B$2:$B$1000,B553,TrocasEquip!$A$2:$A$1000,"&lt;"&amp;A553))</f>
        <v/>
      </c>
      <c r="M553">
        <f>IF(N(L553)=0,0,MATCH(1,INDEX((TrocasEquip!$B$2:$B$1000=B553)*(TrocasEquip!$A$2:$A$1000=L553),0),0))</f>
        <v/>
      </c>
      <c r="N553">
        <f>IF(B553="","",IFERROR(MATCH(B553,Equipamentos!$P$2:$P$61,0),""))</f>
        <v/>
      </c>
      <c r="O553">
        <f>IF(N553="","",IF(M553=0,INDEX(Equipamentos!$U$2:$U$61,N553),L553))</f>
        <v/>
      </c>
      <c r="P553">
        <f>IF(N553="","",IF(M553=0,N(INDEX(Equipamentos!$V$2:$V$61,N553)),N(INDEX(TrocasEquip!$I$2:$I$1000,M553))))</f>
        <v/>
      </c>
      <c r="Q553">
        <f>IF(N553="","",IF(M553=0,INDEX(Equipamentos!$T$2:$T$61,N553),IF(INDEX(TrocasEquip!$H$2:$H$1000,M553)="",INDEX(Equipamentos!$T$2:$T$61,N553),INDEX(TrocasEquip!$H$2:$H$1000,M553))))</f>
        <v/>
      </c>
    </row>
    <row r="554">
      <c r="A554" s="54" t="n"/>
      <c r="B554" s="55" t="n"/>
      <c r="C554">
        <f>IF(B554="","",IF(N554="","posição não encontrada",IF(M554=0,INDEX(Equipamentos!$S$2:$S$61,N554),INDEX(TrocasEquip!$G$2:$G$1000,M554))))</f>
        <v/>
      </c>
      <c r="D554" s="56">
        <f>IF(OR(A554="",N554=""),"",P554+IF(E554="dias",MAX(0,A554-O554),IF(INDEX(Equipamentos!$D$2:$D$61,N554)=2,SUMIFS(Producao!$D:$D,Producao!$A:$A,"&gt;="&amp;O554,Producao!$A:$A,"&lt;"&amp;A554),IF(INDEX(Equipamentos!$D$2:$D$61,N554)=3,SUMIFS(Producao!$E:$E,Producao!$A:$A,"&gt;="&amp;O554,Producao!$A:$A,"&lt;"&amp;A554),SUMIFS(Producao!$B:$B,Producao!$A:$A,"&gt;="&amp;O554,Producao!$A:$A,"&lt;"&amp;A554)))))</f>
        <v/>
      </c>
      <c r="E554">
        <f>IF(N554="","",INDEX(Equipamentos!$C$2:$C$61,N554))</f>
        <v/>
      </c>
      <c r="F554" s="57">
        <f>IF(OR(D554="",N(Q554)&lt;=0),"",D554/Q554)</f>
        <v/>
      </c>
      <c r="G554" s="55" t="n"/>
      <c r="H554" s="58" t="n"/>
      <c r="I554" s="58" t="n"/>
      <c r="J554" s="55" t="n"/>
      <c r="K554" s="55" t="n"/>
      <c r="L554">
        <f>IF(OR(A554="",B554=""),"",_xlfn.MAXIFS(TrocasEquip!$A$2:$A$1000,TrocasEquip!$B$2:$B$1000,B554,TrocasEquip!$A$2:$A$1000,"&lt;"&amp;A554))</f>
        <v/>
      </c>
      <c r="M554">
        <f>IF(N(L554)=0,0,MATCH(1,INDEX((TrocasEquip!$B$2:$B$1000=B554)*(TrocasEquip!$A$2:$A$1000=L554),0),0))</f>
        <v/>
      </c>
      <c r="N554">
        <f>IF(B554="","",IFERROR(MATCH(B554,Equipamentos!$P$2:$P$61,0),""))</f>
        <v/>
      </c>
      <c r="O554">
        <f>IF(N554="","",IF(M554=0,INDEX(Equipamentos!$U$2:$U$61,N554),L554))</f>
        <v/>
      </c>
      <c r="P554">
        <f>IF(N554="","",IF(M554=0,N(INDEX(Equipamentos!$V$2:$V$61,N554)),N(INDEX(TrocasEquip!$I$2:$I$1000,M554))))</f>
        <v/>
      </c>
      <c r="Q554">
        <f>IF(N554="","",IF(M554=0,INDEX(Equipamentos!$T$2:$T$61,N554),IF(INDEX(TrocasEquip!$H$2:$H$1000,M554)="",INDEX(Equipamentos!$T$2:$T$61,N554),INDEX(TrocasEquip!$H$2:$H$1000,M554))))</f>
        <v/>
      </c>
    </row>
    <row r="555">
      <c r="A555" s="54" t="n"/>
      <c r="B555" s="55" t="n"/>
      <c r="C555">
        <f>IF(B555="","",IF(N555="","posição não encontrada",IF(M555=0,INDEX(Equipamentos!$S$2:$S$61,N555),INDEX(TrocasEquip!$G$2:$G$1000,M555))))</f>
        <v/>
      </c>
      <c r="D555" s="56">
        <f>IF(OR(A555="",N555=""),"",P555+IF(E555="dias",MAX(0,A555-O555),IF(INDEX(Equipamentos!$D$2:$D$61,N555)=2,SUMIFS(Producao!$D:$D,Producao!$A:$A,"&gt;="&amp;O555,Producao!$A:$A,"&lt;"&amp;A555),IF(INDEX(Equipamentos!$D$2:$D$61,N555)=3,SUMIFS(Producao!$E:$E,Producao!$A:$A,"&gt;="&amp;O555,Producao!$A:$A,"&lt;"&amp;A555),SUMIFS(Producao!$B:$B,Producao!$A:$A,"&gt;="&amp;O555,Producao!$A:$A,"&lt;"&amp;A555)))))</f>
        <v/>
      </c>
      <c r="E555">
        <f>IF(N555="","",INDEX(Equipamentos!$C$2:$C$61,N555))</f>
        <v/>
      </c>
      <c r="F555" s="57">
        <f>IF(OR(D555="",N(Q555)&lt;=0),"",D555/Q555)</f>
        <v/>
      </c>
      <c r="G555" s="55" t="n"/>
      <c r="H555" s="58" t="n"/>
      <c r="I555" s="58" t="n"/>
      <c r="J555" s="55" t="n"/>
      <c r="K555" s="55" t="n"/>
      <c r="L555">
        <f>IF(OR(A555="",B555=""),"",_xlfn.MAXIFS(TrocasEquip!$A$2:$A$1000,TrocasEquip!$B$2:$B$1000,B555,TrocasEquip!$A$2:$A$1000,"&lt;"&amp;A555))</f>
        <v/>
      </c>
      <c r="M555">
        <f>IF(N(L555)=0,0,MATCH(1,INDEX((TrocasEquip!$B$2:$B$1000=B555)*(TrocasEquip!$A$2:$A$1000=L555),0),0))</f>
        <v/>
      </c>
      <c r="N555">
        <f>IF(B555="","",IFERROR(MATCH(B555,Equipamentos!$P$2:$P$61,0),""))</f>
        <v/>
      </c>
      <c r="O555">
        <f>IF(N555="","",IF(M555=0,INDEX(Equipamentos!$U$2:$U$61,N555),L555))</f>
        <v/>
      </c>
      <c r="P555">
        <f>IF(N555="","",IF(M555=0,N(INDEX(Equipamentos!$V$2:$V$61,N555)),N(INDEX(TrocasEquip!$I$2:$I$1000,M555))))</f>
        <v/>
      </c>
      <c r="Q555">
        <f>IF(N555="","",IF(M555=0,INDEX(Equipamentos!$T$2:$T$61,N555),IF(INDEX(TrocasEquip!$H$2:$H$1000,M555)="",INDEX(Equipamentos!$T$2:$T$61,N555),INDEX(TrocasEquip!$H$2:$H$1000,M555))))</f>
        <v/>
      </c>
    </row>
    <row r="556">
      <c r="A556" s="54" t="n"/>
      <c r="B556" s="55" t="n"/>
      <c r="C556">
        <f>IF(B556="","",IF(N556="","posição não encontrada",IF(M556=0,INDEX(Equipamentos!$S$2:$S$61,N556),INDEX(TrocasEquip!$G$2:$G$1000,M556))))</f>
        <v/>
      </c>
      <c r="D556" s="56">
        <f>IF(OR(A556="",N556=""),"",P556+IF(E556="dias",MAX(0,A556-O556),IF(INDEX(Equipamentos!$D$2:$D$61,N556)=2,SUMIFS(Producao!$D:$D,Producao!$A:$A,"&gt;="&amp;O556,Producao!$A:$A,"&lt;"&amp;A556),IF(INDEX(Equipamentos!$D$2:$D$61,N556)=3,SUMIFS(Producao!$E:$E,Producao!$A:$A,"&gt;="&amp;O556,Producao!$A:$A,"&lt;"&amp;A556),SUMIFS(Producao!$B:$B,Producao!$A:$A,"&gt;="&amp;O556,Producao!$A:$A,"&lt;"&amp;A556)))))</f>
        <v/>
      </c>
      <c r="E556">
        <f>IF(N556="","",INDEX(Equipamentos!$C$2:$C$61,N556))</f>
        <v/>
      </c>
      <c r="F556" s="57">
        <f>IF(OR(D556="",N(Q556)&lt;=0),"",D556/Q556)</f>
        <v/>
      </c>
      <c r="G556" s="55" t="n"/>
      <c r="H556" s="58" t="n"/>
      <c r="I556" s="58" t="n"/>
      <c r="J556" s="55" t="n"/>
      <c r="K556" s="55" t="n"/>
      <c r="L556">
        <f>IF(OR(A556="",B556=""),"",_xlfn.MAXIFS(TrocasEquip!$A$2:$A$1000,TrocasEquip!$B$2:$B$1000,B556,TrocasEquip!$A$2:$A$1000,"&lt;"&amp;A556))</f>
        <v/>
      </c>
      <c r="M556">
        <f>IF(N(L556)=0,0,MATCH(1,INDEX((TrocasEquip!$B$2:$B$1000=B556)*(TrocasEquip!$A$2:$A$1000=L556),0),0))</f>
        <v/>
      </c>
      <c r="N556">
        <f>IF(B556="","",IFERROR(MATCH(B556,Equipamentos!$P$2:$P$61,0),""))</f>
        <v/>
      </c>
      <c r="O556">
        <f>IF(N556="","",IF(M556=0,INDEX(Equipamentos!$U$2:$U$61,N556),L556))</f>
        <v/>
      </c>
      <c r="P556">
        <f>IF(N556="","",IF(M556=0,N(INDEX(Equipamentos!$V$2:$V$61,N556)),N(INDEX(TrocasEquip!$I$2:$I$1000,M556))))</f>
        <v/>
      </c>
      <c r="Q556">
        <f>IF(N556="","",IF(M556=0,INDEX(Equipamentos!$T$2:$T$61,N556),IF(INDEX(TrocasEquip!$H$2:$H$1000,M556)="",INDEX(Equipamentos!$T$2:$T$61,N556),INDEX(TrocasEquip!$H$2:$H$1000,M556))))</f>
        <v/>
      </c>
    </row>
    <row r="557">
      <c r="A557" s="54" t="n"/>
      <c r="B557" s="55" t="n"/>
      <c r="C557">
        <f>IF(B557="","",IF(N557="","posição não encontrada",IF(M557=0,INDEX(Equipamentos!$S$2:$S$61,N557),INDEX(TrocasEquip!$G$2:$G$1000,M557))))</f>
        <v/>
      </c>
      <c r="D557" s="56">
        <f>IF(OR(A557="",N557=""),"",P557+IF(E557="dias",MAX(0,A557-O557),IF(INDEX(Equipamentos!$D$2:$D$61,N557)=2,SUMIFS(Producao!$D:$D,Producao!$A:$A,"&gt;="&amp;O557,Producao!$A:$A,"&lt;"&amp;A557),IF(INDEX(Equipamentos!$D$2:$D$61,N557)=3,SUMIFS(Producao!$E:$E,Producao!$A:$A,"&gt;="&amp;O557,Producao!$A:$A,"&lt;"&amp;A557),SUMIFS(Producao!$B:$B,Producao!$A:$A,"&gt;="&amp;O557,Producao!$A:$A,"&lt;"&amp;A557)))))</f>
        <v/>
      </c>
      <c r="E557">
        <f>IF(N557="","",INDEX(Equipamentos!$C$2:$C$61,N557))</f>
        <v/>
      </c>
      <c r="F557" s="57">
        <f>IF(OR(D557="",N(Q557)&lt;=0),"",D557/Q557)</f>
        <v/>
      </c>
      <c r="G557" s="55" t="n"/>
      <c r="H557" s="58" t="n"/>
      <c r="I557" s="58" t="n"/>
      <c r="J557" s="55" t="n"/>
      <c r="K557" s="55" t="n"/>
      <c r="L557">
        <f>IF(OR(A557="",B557=""),"",_xlfn.MAXIFS(TrocasEquip!$A$2:$A$1000,TrocasEquip!$B$2:$B$1000,B557,TrocasEquip!$A$2:$A$1000,"&lt;"&amp;A557))</f>
        <v/>
      </c>
      <c r="M557">
        <f>IF(N(L557)=0,0,MATCH(1,INDEX((TrocasEquip!$B$2:$B$1000=B557)*(TrocasEquip!$A$2:$A$1000=L557),0),0))</f>
        <v/>
      </c>
      <c r="N557">
        <f>IF(B557="","",IFERROR(MATCH(B557,Equipamentos!$P$2:$P$61,0),""))</f>
        <v/>
      </c>
      <c r="O557">
        <f>IF(N557="","",IF(M557=0,INDEX(Equipamentos!$U$2:$U$61,N557),L557))</f>
        <v/>
      </c>
      <c r="P557">
        <f>IF(N557="","",IF(M557=0,N(INDEX(Equipamentos!$V$2:$V$61,N557)),N(INDEX(TrocasEquip!$I$2:$I$1000,M557))))</f>
        <v/>
      </c>
      <c r="Q557">
        <f>IF(N557="","",IF(M557=0,INDEX(Equipamentos!$T$2:$T$61,N557),IF(INDEX(TrocasEquip!$H$2:$H$1000,M557)="",INDEX(Equipamentos!$T$2:$T$61,N557),INDEX(TrocasEquip!$H$2:$H$1000,M557))))</f>
        <v/>
      </c>
    </row>
    <row r="558">
      <c r="A558" s="54" t="n"/>
      <c r="B558" s="55" t="n"/>
      <c r="C558">
        <f>IF(B558="","",IF(N558="","posição não encontrada",IF(M558=0,INDEX(Equipamentos!$S$2:$S$61,N558),INDEX(TrocasEquip!$G$2:$G$1000,M558))))</f>
        <v/>
      </c>
      <c r="D558" s="56">
        <f>IF(OR(A558="",N558=""),"",P558+IF(E558="dias",MAX(0,A558-O558),IF(INDEX(Equipamentos!$D$2:$D$61,N558)=2,SUMIFS(Producao!$D:$D,Producao!$A:$A,"&gt;="&amp;O558,Producao!$A:$A,"&lt;"&amp;A558),IF(INDEX(Equipamentos!$D$2:$D$61,N558)=3,SUMIFS(Producao!$E:$E,Producao!$A:$A,"&gt;="&amp;O558,Producao!$A:$A,"&lt;"&amp;A558),SUMIFS(Producao!$B:$B,Producao!$A:$A,"&gt;="&amp;O558,Producao!$A:$A,"&lt;"&amp;A558)))))</f>
        <v/>
      </c>
      <c r="E558">
        <f>IF(N558="","",INDEX(Equipamentos!$C$2:$C$61,N558))</f>
        <v/>
      </c>
      <c r="F558" s="57">
        <f>IF(OR(D558="",N(Q558)&lt;=0),"",D558/Q558)</f>
        <v/>
      </c>
      <c r="G558" s="55" t="n"/>
      <c r="H558" s="58" t="n"/>
      <c r="I558" s="58" t="n"/>
      <c r="J558" s="55" t="n"/>
      <c r="K558" s="55" t="n"/>
      <c r="L558">
        <f>IF(OR(A558="",B558=""),"",_xlfn.MAXIFS(TrocasEquip!$A$2:$A$1000,TrocasEquip!$B$2:$B$1000,B558,TrocasEquip!$A$2:$A$1000,"&lt;"&amp;A558))</f>
        <v/>
      </c>
      <c r="M558">
        <f>IF(N(L558)=0,0,MATCH(1,INDEX((TrocasEquip!$B$2:$B$1000=B558)*(TrocasEquip!$A$2:$A$1000=L558),0),0))</f>
        <v/>
      </c>
      <c r="N558">
        <f>IF(B558="","",IFERROR(MATCH(B558,Equipamentos!$P$2:$P$61,0),""))</f>
        <v/>
      </c>
      <c r="O558">
        <f>IF(N558="","",IF(M558=0,INDEX(Equipamentos!$U$2:$U$61,N558),L558))</f>
        <v/>
      </c>
      <c r="P558">
        <f>IF(N558="","",IF(M558=0,N(INDEX(Equipamentos!$V$2:$V$61,N558)),N(INDEX(TrocasEquip!$I$2:$I$1000,M558))))</f>
        <v/>
      </c>
      <c r="Q558">
        <f>IF(N558="","",IF(M558=0,INDEX(Equipamentos!$T$2:$T$61,N558),IF(INDEX(TrocasEquip!$H$2:$H$1000,M558)="",INDEX(Equipamentos!$T$2:$T$61,N558),INDEX(TrocasEquip!$H$2:$H$1000,M558))))</f>
        <v/>
      </c>
    </row>
    <row r="559">
      <c r="A559" s="54" t="n"/>
      <c r="B559" s="55" t="n"/>
      <c r="C559">
        <f>IF(B559="","",IF(N559="","posição não encontrada",IF(M559=0,INDEX(Equipamentos!$S$2:$S$61,N559),INDEX(TrocasEquip!$G$2:$G$1000,M559))))</f>
        <v/>
      </c>
      <c r="D559" s="56">
        <f>IF(OR(A559="",N559=""),"",P559+IF(E559="dias",MAX(0,A559-O559),IF(INDEX(Equipamentos!$D$2:$D$61,N559)=2,SUMIFS(Producao!$D:$D,Producao!$A:$A,"&gt;="&amp;O559,Producao!$A:$A,"&lt;"&amp;A559),IF(INDEX(Equipamentos!$D$2:$D$61,N559)=3,SUMIFS(Producao!$E:$E,Producao!$A:$A,"&gt;="&amp;O559,Producao!$A:$A,"&lt;"&amp;A559),SUMIFS(Producao!$B:$B,Producao!$A:$A,"&gt;="&amp;O559,Producao!$A:$A,"&lt;"&amp;A559)))))</f>
        <v/>
      </c>
      <c r="E559">
        <f>IF(N559="","",INDEX(Equipamentos!$C$2:$C$61,N559))</f>
        <v/>
      </c>
      <c r="F559" s="57">
        <f>IF(OR(D559="",N(Q559)&lt;=0),"",D559/Q559)</f>
        <v/>
      </c>
      <c r="G559" s="55" t="n"/>
      <c r="H559" s="58" t="n"/>
      <c r="I559" s="58" t="n"/>
      <c r="J559" s="55" t="n"/>
      <c r="K559" s="55" t="n"/>
      <c r="L559">
        <f>IF(OR(A559="",B559=""),"",_xlfn.MAXIFS(TrocasEquip!$A$2:$A$1000,TrocasEquip!$B$2:$B$1000,B559,TrocasEquip!$A$2:$A$1000,"&lt;"&amp;A559))</f>
        <v/>
      </c>
      <c r="M559">
        <f>IF(N(L559)=0,0,MATCH(1,INDEX((TrocasEquip!$B$2:$B$1000=B559)*(TrocasEquip!$A$2:$A$1000=L559),0),0))</f>
        <v/>
      </c>
      <c r="N559">
        <f>IF(B559="","",IFERROR(MATCH(B559,Equipamentos!$P$2:$P$61,0),""))</f>
        <v/>
      </c>
      <c r="O559">
        <f>IF(N559="","",IF(M559=0,INDEX(Equipamentos!$U$2:$U$61,N559),L559))</f>
        <v/>
      </c>
      <c r="P559">
        <f>IF(N559="","",IF(M559=0,N(INDEX(Equipamentos!$V$2:$V$61,N559)),N(INDEX(TrocasEquip!$I$2:$I$1000,M559))))</f>
        <v/>
      </c>
      <c r="Q559">
        <f>IF(N559="","",IF(M559=0,INDEX(Equipamentos!$T$2:$T$61,N559),IF(INDEX(TrocasEquip!$H$2:$H$1000,M559)="",INDEX(Equipamentos!$T$2:$T$61,N559),INDEX(TrocasEquip!$H$2:$H$1000,M559))))</f>
        <v/>
      </c>
    </row>
    <row r="560">
      <c r="A560" s="54" t="n"/>
      <c r="B560" s="55" t="n"/>
      <c r="C560">
        <f>IF(B560="","",IF(N560="","posição não encontrada",IF(M560=0,INDEX(Equipamentos!$S$2:$S$61,N560),INDEX(TrocasEquip!$G$2:$G$1000,M560))))</f>
        <v/>
      </c>
      <c r="D560" s="56">
        <f>IF(OR(A560="",N560=""),"",P560+IF(E560="dias",MAX(0,A560-O560),IF(INDEX(Equipamentos!$D$2:$D$61,N560)=2,SUMIFS(Producao!$D:$D,Producao!$A:$A,"&gt;="&amp;O560,Producao!$A:$A,"&lt;"&amp;A560),IF(INDEX(Equipamentos!$D$2:$D$61,N560)=3,SUMIFS(Producao!$E:$E,Producao!$A:$A,"&gt;="&amp;O560,Producao!$A:$A,"&lt;"&amp;A560),SUMIFS(Producao!$B:$B,Producao!$A:$A,"&gt;="&amp;O560,Producao!$A:$A,"&lt;"&amp;A560)))))</f>
        <v/>
      </c>
      <c r="E560">
        <f>IF(N560="","",INDEX(Equipamentos!$C$2:$C$61,N560))</f>
        <v/>
      </c>
      <c r="F560" s="57">
        <f>IF(OR(D560="",N(Q560)&lt;=0),"",D560/Q560)</f>
        <v/>
      </c>
      <c r="G560" s="55" t="n"/>
      <c r="H560" s="58" t="n"/>
      <c r="I560" s="58" t="n"/>
      <c r="J560" s="55" t="n"/>
      <c r="K560" s="55" t="n"/>
      <c r="L560">
        <f>IF(OR(A560="",B560=""),"",_xlfn.MAXIFS(TrocasEquip!$A$2:$A$1000,TrocasEquip!$B$2:$B$1000,B560,TrocasEquip!$A$2:$A$1000,"&lt;"&amp;A560))</f>
        <v/>
      </c>
      <c r="M560">
        <f>IF(N(L560)=0,0,MATCH(1,INDEX((TrocasEquip!$B$2:$B$1000=B560)*(TrocasEquip!$A$2:$A$1000=L560),0),0))</f>
        <v/>
      </c>
      <c r="N560">
        <f>IF(B560="","",IFERROR(MATCH(B560,Equipamentos!$P$2:$P$61,0),""))</f>
        <v/>
      </c>
      <c r="O560">
        <f>IF(N560="","",IF(M560=0,INDEX(Equipamentos!$U$2:$U$61,N560),L560))</f>
        <v/>
      </c>
      <c r="P560">
        <f>IF(N560="","",IF(M560=0,N(INDEX(Equipamentos!$V$2:$V$61,N560)),N(INDEX(TrocasEquip!$I$2:$I$1000,M560))))</f>
        <v/>
      </c>
      <c r="Q560">
        <f>IF(N560="","",IF(M560=0,INDEX(Equipamentos!$T$2:$T$61,N560),IF(INDEX(TrocasEquip!$H$2:$H$1000,M560)="",INDEX(Equipamentos!$T$2:$T$61,N560),INDEX(TrocasEquip!$H$2:$H$1000,M560))))</f>
        <v/>
      </c>
    </row>
    <row r="561">
      <c r="A561" s="54" t="n"/>
      <c r="B561" s="55" t="n"/>
      <c r="C561">
        <f>IF(B561="","",IF(N561="","posição não encontrada",IF(M561=0,INDEX(Equipamentos!$S$2:$S$61,N561),INDEX(TrocasEquip!$G$2:$G$1000,M561))))</f>
        <v/>
      </c>
      <c r="D561" s="56">
        <f>IF(OR(A561="",N561=""),"",P561+IF(E561="dias",MAX(0,A561-O561),IF(INDEX(Equipamentos!$D$2:$D$61,N561)=2,SUMIFS(Producao!$D:$D,Producao!$A:$A,"&gt;="&amp;O561,Producao!$A:$A,"&lt;"&amp;A561),IF(INDEX(Equipamentos!$D$2:$D$61,N561)=3,SUMIFS(Producao!$E:$E,Producao!$A:$A,"&gt;="&amp;O561,Producao!$A:$A,"&lt;"&amp;A561),SUMIFS(Producao!$B:$B,Producao!$A:$A,"&gt;="&amp;O561,Producao!$A:$A,"&lt;"&amp;A561)))))</f>
        <v/>
      </c>
      <c r="E561">
        <f>IF(N561="","",INDEX(Equipamentos!$C$2:$C$61,N561))</f>
        <v/>
      </c>
      <c r="F561" s="57">
        <f>IF(OR(D561="",N(Q561)&lt;=0),"",D561/Q561)</f>
        <v/>
      </c>
      <c r="G561" s="55" t="n"/>
      <c r="H561" s="58" t="n"/>
      <c r="I561" s="58" t="n"/>
      <c r="J561" s="55" t="n"/>
      <c r="K561" s="55" t="n"/>
      <c r="L561">
        <f>IF(OR(A561="",B561=""),"",_xlfn.MAXIFS(TrocasEquip!$A$2:$A$1000,TrocasEquip!$B$2:$B$1000,B561,TrocasEquip!$A$2:$A$1000,"&lt;"&amp;A561))</f>
        <v/>
      </c>
      <c r="M561">
        <f>IF(N(L561)=0,0,MATCH(1,INDEX((TrocasEquip!$B$2:$B$1000=B561)*(TrocasEquip!$A$2:$A$1000=L561),0),0))</f>
        <v/>
      </c>
      <c r="N561">
        <f>IF(B561="","",IFERROR(MATCH(B561,Equipamentos!$P$2:$P$61,0),""))</f>
        <v/>
      </c>
      <c r="O561">
        <f>IF(N561="","",IF(M561=0,INDEX(Equipamentos!$U$2:$U$61,N561),L561))</f>
        <v/>
      </c>
      <c r="P561">
        <f>IF(N561="","",IF(M561=0,N(INDEX(Equipamentos!$V$2:$V$61,N561)),N(INDEX(TrocasEquip!$I$2:$I$1000,M561))))</f>
        <v/>
      </c>
      <c r="Q561">
        <f>IF(N561="","",IF(M561=0,INDEX(Equipamentos!$T$2:$T$61,N561),IF(INDEX(TrocasEquip!$H$2:$H$1000,M561)="",INDEX(Equipamentos!$T$2:$T$61,N561),INDEX(TrocasEquip!$H$2:$H$1000,M561))))</f>
        <v/>
      </c>
    </row>
    <row r="562">
      <c r="A562" s="54" t="n"/>
      <c r="B562" s="55" t="n"/>
      <c r="C562">
        <f>IF(B562="","",IF(N562="","posição não encontrada",IF(M562=0,INDEX(Equipamentos!$S$2:$S$61,N562),INDEX(TrocasEquip!$G$2:$G$1000,M562))))</f>
        <v/>
      </c>
      <c r="D562" s="56">
        <f>IF(OR(A562="",N562=""),"",P562+IF(E562="dias",MAX(0,A562-O562),IF(INDEX(Equipamentos!$D$2:$D$61,N562)=2,SUMIFS(Producao!$D:$D,Producao!$A:$A,"&gt;="&amp;O562,Producao!$A:$A,"&lt;"&amp;A562),IF(INDEX(Equipamentos!$D$2:$D$61,N562)=3,SUMIFS(Producao!$E:$E,Producao!$A:$A,"&gt;="&amp;O562,Producao!$A:$A,"&lt;"&amp;A562),SUMIFS(Producao!$B:$B,Producao!$A:$A,"&gt;="&amp;O562,Producao!$A:$A,"&lt;"&amp;A562)))))</f>
        <v/>
      </c>
      <c r="E562">
        <f>IF(N562="","",INDEX(Equipamentos!$C$2:$C$61,N562))</f>
        <v/>
      </c>
      <c r="F562" s="57">
        <f>IF(OR(D562="",N(Q562)&lt;=0),"",D562/Q562)</f>
        <v/>
      </c>
      <c r="G562" s="55" t="n"/>
      <c r="H562" s="58" t="n"/>
      <c r="I562" s="58" t="n"/>
      <c r="J562" s="55" t="n"/>
      <c r="K562" s="55" t="n"/>
      <c r="L562">
        <f>IF(OR(A562="",B562=""),"",_xlfn.MAXIFS(TrocasEquip!$A$2:$A$1000,TrocasEquip!$B$2:$B$1000,B562,TrocasEquip!$A$2:$A$1000,"&lt;"&amp;A562))</f>
        <v/>
      </c>
      <c r="M562">
        <f>IF(N(L562)=0,0,MATCH(1,INDEX((TrocasEquip!$B$2:$B$1000=B562)*(TrocasEquip!$A$2:$A$1000=L562),0),0))</f>
        <v/>
      </c>
      <c r="N562">
        <f>IF(B562="","",IFERROR(MATCH(B562,Equipamentos!$P$2:$P$61,0),""))</f>
        <v/>
      </c>
      <c r="O562">
        <f>IF(N562="","",IF(M562=0,INDEX(Equipamentos!$U$2:$U$61,N562),L562))</f>
        <v/>
      </c>
      <c r="P562">
        <f>IF(N562="","",IF(M562=0,N(INDEX(Equipamentos!$V$2:$V$61,N562)),N(INDEX(TrocasEquip!$I$2:$I$1000,M562))))</f>
        <v/>
      </c>
      <c r="Q562">
        <f>IF(N562="","",IF(M562=0,INDEX(Equipamentos!$T$2:$T$61,N562),IF(INDEX(TrocasEquip!$H$2:$H$1000,M562)="",INDEX(Equipamentos!$T$2:$T$61,N562),INDEX(TrocasEquip!$H$2:$H$1000,M562))))</f>
        <v/>
      </c>
    </row>
    <row r="563">
      <c r="A563" s="54" t="n"/>
      <c r="B563" s="55" t="n"/>
      <c r="C563">
        <f>IF(B563="","",IF(N563="","posição não encontrada",IF(M563=0,INDEX(Equipamentos!$S$2:$S$61,N563),INDEX(TrocasEquip!$G$2:$G$1000,M563))))</f>
        <v/>
      </c>
      <c r="D563" s="56">
        <f>IF(OR(A563="",N563=""),"",P563+IF(E563="dias",MAX(0,A563-O563),IF(INDEX(Equipamentos!$D$2:$D$61,N563)=2,SUMIFS(Producao!$D:$D,Producao!$A:$A,"&gt;="&amp;O563,Producao!$A:$A,"&lt;"&amp;A563),IF(INDEX(Equipamentos!$D$2:$D$61,N563)=3,SUMIFS(Producao!$E:$E,Producao!$A:$A,"&gt;="&amp;O563,Producao!$A:$A,"&lt;"&amp;A563),SUMIFS(Producao!$B:$B,Producao!$A:$A,"&gt;="&amp;O563,Producao!$A:$A,"&lt;"&amp;A563)))))</f>
        <v/>
      </c>
      <c r="E563">
        <f>IF(N563="","",INDEX(Equipamentos!$C$2:$C$61,N563))</f>
        <v/>
      </c>
      <c r="F563" s="57">
        <f>IF(OR(D563="",N(Q563)&lt;=0),"",D563/Q563)</f>
        <v/>
      </c>
      <c r="G563" s="55" t="n"/>
      <c r="H563" s="58" t="n"/>
      <c r="I563" s="58" t="n"/>
      <c r="J563" s="55" t="n"/>
      <c r="K563" s="55" t="n"/>
      <c r="L563">
        <f>IF(OR(A563="",B563=""),"",_xlfn.MAXIFS(TrocasEquip!$A$2:$A$1000,TrocasEquip!$B$2:$B$1000,B563,TrocasEquip!$A$2:$A$1000,"&lt;"&amp;A563))</f>
        <v/>
      </c>
      <c r="M563">
        <f>IF(N(L563)=0,0,MATCH(1,INDEX((TrocasEquip!$B$2:$B$1000=B563)*(TrocasEquip!$A$2:$A$1000=L563),0),0))</f>
        <v/>
      </c>
      <c r="N563">
        <f>IF(B563="","",IFERROR(MATCH(B563,Equipamentos!$P$2:$P$61,0),""))</f>
        <v/>
      </c>
      <c r="O563">
        <f>IF(N563="","",IF(M563=0,INDEX(Equipamentos!$U$2:$U$61,N563),L563))</f>
        <v/>
      </c>
      <c r="P563">
        <f>IF(N563="","",IF(M563=0,N(INDEX(Equipamentos!$V$2:$V$61,N563)),N(INDEX(TrocasEquip!$I$2:$I$1000,M563))))</f>
        <v/>
      </c>
      <c r="Q563">
        <f>IF(N563="","",IF(M563=0,INDEX(Equipamentos!$T$2:$T$61,N563),IF(INDEX(TrocasEquip!$H$2:$H$1000,M563)="",INDEX(Equipamentos!$T$2:$T$61,N563),INDEX(TrocasEquip!$H$2:$H$1000,M563))))</f>
        <v/>
      </c>
    </row>
    <row r="564">
      <c r="A564" s="54" t="n"/>
      <c r="B564" s="55" t="n"/>
      <c r="C564">
        <f>IF(B564="","",IF(N564="","posição não encontrada",IF(M564=0,INDEX(Equipamentos!$S$2:$S$61,N564),INDEX(TrocasEquip!$G$2:$G$1000,M564))))</f>
        <v/>
      </c>
      <c r="D564" s="56">
        <f>IF(OR(A564="",N564=""),"",P564+IF(E564="dias",MAX(0,A564-O564),IF(INDEX(Equipamentos!$D$2:$D$61,N564)=2,SUMIFS(Producao!$D:$D,Producao!$A:$A,"&gt;="&amp;O564,Producao!$A:$A,"&lt;"&amp;A564),IF(INDEX(Equipamentos!$D$2:$D$61,N564)=3,SUMIFS(Producao!$E:$E,Producao!$A:$A,"&gt;="&amp;O564,Producao!$A:$A,"&lt;"&amp;A564),SUMIFS(Producao!$B:$B,Producao!$A:$A,"&gt;="&amp;O564,Producao!$A:$A,"&lt;"&amp;A564)))))</f>
        <v/>
      </c>
      <c r="E564">
        <f>IF(N564="","",INDEX(Equipamentos!$C$2:$C$61,N564))</f>
        <v/>
      </c>
      <c r="F564" s="57">
        <f>IF(OR(D564="",N(Q564)&lt;=0),"",D564/Q564)</f>
        <v/>
      </c>
      <c r="G564" s="55" t="n"/>
      <c r="H564" s="58" t="n"/>
      <c r="I564" s="58" t="n"/>
      <c r="J564" s="55" t="n"/>
      <c r="K564" s="55" t="n"/>
      <c r="L564">
        <f>IF(OR(A564="",B564=""),"",_xlfn.MAXIFS(TrocasEquip!$A$2:$A$1000,TrocasEquip!$B$2:$B$1000,B564,TrocasEquip!$A$2:$A$1000,"&lt;"&amp;A564))</f>
        <v/>
      </c>
      <c r="M564">
        <f>IF(N(L564)=0,0,MATCH(1,INDEX((TrocasEquip!$B$2:$B$1000=B564)*(TrocasEquip!$A$2:$A$1000=L564),0),0))</f>
        <v/>
      </c>
      <c r="N564">
        <f>IF(B564="","",IFERROR(MATCH(B564,Equipamentos!$P$2:$P$61,0),""))</f>
        <v/>
      </c>
      <c r="O564">
        <f>IF(N564="","",IF(M564=0,INDEX(Equipamentos!$U$2:$U$61,N564),L564))</f>
        <v/>
      </c>
      <c r="P564">
        <f>IF(N564="","",IF(M564=0,N(INDEX(Equipamentos!$V$2:$V$61,N564)),N(INDEX(TrocasEquip!$I$2:$I$1000,M564))))</f>
        <v/>
      </c>
      <c r="Q564">
        <f>IF(N564="","",IF(M564=0,INDEX(Equipamentos!$T$2:$T$61,N564),IF(INDEX(TrocasEquip!$H$2:$H$1000,M564)="",INDEX(Equipamentos!$T$2:$T$61,N564),INDEX(TrocasEquip!$H$2:$H$1000,M564))))</f>
        <v/>
      </c>
    </row>
    <row r="565">
      <c r="A565" s="54" t="n"/>
      <c r="B565" s="55" t="n"/>
      <c r="C565">
        <f>IF(B565="","",IF(N565="","posição não encontrada",IF(M565=0,INDEX(Equipamentos!$S$2:$S$61,N565),INDEX(TrocasEquip!$G$2:$G$1000,M565))))</f>
        <v/>
      </c>
      <c r="D565" s="56">
        <f>IF(OR(A565="",N565=""),"",P565+IF(E565="dias",MAX(0,A565-O565),IF(INDEX(Equipamentos!$D$2:$D$61,N565)=2,SUMIFS(Producao!$D:$D,Producao!$A:$A,"&gt;="&amp;O565,Producao!$A:$A,"&lt;"&amp;A565),IF(INDEX(Equipamentos!$D$2:$D$61,N565)=3,SUMIFS(Producao!$E:$E,Producao!$A:$A,"&gt;="&amp;O565,Producao!$A:$A,"&lt;"&amp;A565),SUMIFS(Producao!$B:$B,Producao!$A:$A,"&gt;="&amp;O565,Producao!$A:$A,"&lt;"&amp;A565)))))</f>
        <v/>
      </c>
      <c r="E565">
        <f>IF(N565="","",INDEX(Equipamentos!$C$2:$C$61,N565))</f>
        <v/>
      </c>
      <c r="F565" s="57">
        <f>IF(OR(D565="",N(Q565)&lt;=0),"",D565/Q565)</f>
        <v/>
      </c>
      <c r="G565" s="55" t="n"/>
      <c r="H565" s="58" t="n"/>
      <c r="I565" s="58" t="n"/>
      <c r="J565" s="55" t="n"/>
      <c r="K565" s="55" t="n"/>
      <c r="L565">
        <f>IF(OR(A565="",B565=""),"",_xlfn.MAXIFS(TrocasEquip!$A$2:$A$1000,TrocasEquip!$B$2:$B$1000,B565,TrocasEquip!$A$2:$A$1000,"&lt;"&amp;A565))</f>
        <v/>
      </c>
      <c r="M565">
        <f>IF(N(L565)=0,0,MATCH(1,INDEX((TrocasEquip!$B$2:$B$1000=B565)*(TrocasEquip!$A$2:$A$1000=L565),0),0))</f>
        <v/>
      </c>
      <c r="N565">
        <f>IF(B565="","",IFERROR(MATCH(B565,Equipamentos!$P$2:$P$61,0),""))</f>
        <v/>
      </c>
      <c r="O565">
        <f>IF(N565="","",IF(M565=0,INDEX(Equipamentos!$U$2:$U$61,N565),L565))</f>
        <v/>
      </c>
      <c r="P565">
        <f>IF(N565="","",IF(M565=0,N(INDEX(Equipamentos!$V$2:$V$61,N565)),N(INDEX(TrocasEquip!$I$2:$I$1000,M565))))</f>
        <v/>
      </c>
      <c r="Q565">
        <f>IF(N565="","",IF(M565=0,INDEX(Equipamentos!$T$2:$T$61,N565),IF(INDEX(TrocasEquip!$H$2:$H$1000,M565)="",INDEX(Equipamentos!$T$2:$T$61,N565),INDEX(TrocasEquip!$H$2:$H$1000,M565))))</f>
        <v/>
      </c>
    </row>
    <row r="566">
      <c r="A566" s="54" t="n"/>
      <c r="B566" s="55" t="n"/>
      <c r="C566">
        <f>IF(B566="","",IF(N566="","posição não encontrada",IF(M566=0,INDEX(Equipamentos!$S$2:$S$61,N566),INDEX(TrocasEquip!$G$2:$G$1000,M566))))</f>
        <v/>
      </c>
      <c r="D566" s="56">
        <f>IF(OR(A566="",N566=""),"",P566+IF(E566="dias",MAX(0,A566-O566),IF(INDEX(Equipamentos!$D$2:$D$61,N566)=2,SUMIFS(Producao!$D:$D,Producao!$A:$A,"&gt;="&amp;O566,Producao!$A:$A,"&lt;"&amp;A566),IF(INDEX(Equipamentos!$D$2:$D$61,N566)=3,SUMIFS(Producao!$E:$E,Producao!$A:$A,"&gt;="&amp;O566,Producao!$A:$A,"&lt;"&amp;A566),SUMIFS(Producao!$B:$B,Producao!$A:$A,"&gt;="&amp;O566,Producao!$A:$A,"&lt;"&amp;A566)))))</f>
        <v/>
      </c>
      <c r="E566">
        <f>IF(N566="","",INDEX(Equipamentos!$C$2:$C$61,N566))</f>
        <v/>
      </c>
      <c r="F566" s="57">
        <f>IF(OR(D566="",N(Q566)&lt;=0),"",D566/Q566)</f>
        <v/>
      </c>
      <c r="G566" s="55" t="n"/>
      <c r="H566" s="58" t="n"/>
      <c r="I566" s="58" t="n"/>
      <c r="J566" s="55" t="n"/>
      <c r="K566" s="55" t="n"/>
      <c r="L566">
        <f>IF(OR(A566="",B566=""),"",_xlfn.MAXIFS(TrocasEquip!$A$2:$A$1000,TrocasEquip!$B$2:$B$1000,B566,TrocasEquip!$A$2:$A$1000,"&lt;"&amp;A566))</f>
        <v/>
      </c>
      <c r="M566">
        <f>IF(N(L566)=0,0,MATCH(1,INDEX((TrocasEquip!$B$2:$B$1000=B566)*(TrocasEquip!$A$2:$A$1000=L566),0),0))</f>
        <v/>
      </c>
      <c r="N566">
        <f>IF(B566="","",IFERROR(MATCH(B566,Equipamentos!$P$2:$P$61,0),""))</f>
        <v/>
      </c>
      <c r="O566">
        <f>IF(N566="","",IF(M566=0,INDEX(Equipamentos!$U$2:$U$61,N566),L566))</f>
        <v/>
      </c>
      <c r="P566">
        <f>IF(N566="","",IF(M566=0,N(INDEX(Equipamentos!$V$2:$V$61,N566)),N(INDEX(TrocasEquip!$I$2:$I$1000,M566))))</f>
        <v/>
      </c>
      <c r="Q566">
        <f>IF(N566="","",IF(M566=0,INDEX(Equipamentos!$T$2:$T$61,N566),IF(INDEX(TrocasEquip!$H$2:$H$1000,M566)="",INDEX(Equipamentos!$T$2:$T$61,N566),INDEX(TrocasEquip!$H$2:$H$1000,M566))))</f>
        <v/>
      </c>
    </row>
    <row r="567">
      <c r="A567" s="54" t="n"/>
      <c r="B567" s="55" t="n"/>
      <c r="C567">
        <f>IF(B567="","",IF(N567="","posição não encontrada",IF(M567=0,INDEX(Equipamentos!$S$2:$S$61,N567),INDEX(TrocasEquip!$G$2:$G$1000,M567))))</f>
        <v/>
      </c>
      <c r="D567" s="56">
        <f>IF(OR(A567="",N567=""),"",P567+IF(E567="dias",MAX(0,A567-O567),IF(INDEX(Equipamentos!$D$2:$D$61,N567)=2,SUMIFS(Producao!$D:$D,Producao!$A:$A,"&gt;="&amp;O567,Producao!$A:$A,"&lt;"&amp;A567),IF(INDEX(Equipamentos!$D$2:$D$61,N567)=3,SUMIFS(Producao!$E:$E,Producao!$A:$A,"&gt;="&amp;O567,Producao!$A:$A,"&lt;"&amp;A567),SUMIFS(Producao!$B:$B,Producao!$A:$A,"&gt;="&amp;O567,Producao!$A:$A,"&lt;"&amp;A567)))))</f>
        <v/>
      </c>
      <c r="E567">
        <f>IF(N567="","",INDEX(Equipamentos!$C$2:$C$61,N567))</f>
        <v/>
      </c>
      <c r="F567" s="57">
        <f>IF(OR(D567="",N(Q567)&lt;=0),"",D567/Q567)</f>
        <v/>
      </c>
      <c r="G567" s="55" t="n"/>
      <c r="H567" s="58" t="n"/>
      <c r="I567" s="58" t="n"/>
      <c r="J567" s="55" t="n"/>
      <c r="K567" s="55" t="n"/>
      <c r="L567">
        <f>IF(OR(A567="",B567=""),"",_xlfn.MAXIFS(TrocasEquip!$A$2:$A$1000,TrocasEquip!$B$2:$B$1000,B567,TrocasEquip!$A$2:$A$1000,"&lt;"&amp;A567))</f>
        <v/>
      </c>
      <c r="M567">
        <f>IF(N(L567)=0,0,MATCH(1,INDEX((TrocasEquip!$B$2:$B$1000=B567)*(TrocasEquip!$A$2:$A$1000=L567),0),0))</f>
        <v/>
      </c>
      <c r="N567">
        <f>IF(B567="","",IFERROR(MATCH(B567,Equipamentos!$P$2:$P$61,0),""))</f>
        <v/>
      </c>
      <c r="O567">
        <f>IF(N567="","",IF(M567=0,INDEX(Equipamentos!$U$2:$U$61,N567),L567))</f>
        <v/>
      </c>
      <c r="P567">
        <f>IF(N567="","",IF(M567=0,N(INDEX(Equipamentos!$V$2:$V$61,N567)),N(INDEX(TrocasEquip!$I$2:$I$1000,M567))))</f>
        <v/>
      </c>
      <c r="Q567">
        <f>IF(N567="","",IF(M567=0,INDEX(Equipamentos!$T$2:$T$61,N567),IF(INDEX(TrocasEquip!$H$2:$H$1000,M567)="",INDEX(Equipamentos!$T$2:$T$61,N567),INDEX(TrocasEquip!$H$2:$H$1000,M567))))</f>
        <v/>
      </c>
    </row>
    <row r="568">
      <c r="A568" s="54" t="n"/>
      <c r="B568" s="55" t="n"/>
      <c r="C568">
        <f>IF(B568="","",IF(N568="","posição não encontrada",IF(M568=0,INDEX(Equipamentos!$S$2:$S$61,N568),INDEX(TrocasEquip!$G$2:$G$1000,M568))))</f>
        <v/>
      </c>
      <c r="D568" s="56">
        <f>IF(OR(A568="",N568=""),"",P568+IF(E568="dias",MAX(0,A568-O568),IF(INDEX(Equipamentos!$D$2:$D$61,N568)=2,SUMIFS(Producao!$D:$D,Producao!$A:$A,"&gt;="&amp;O568,Producao!$A:$A,"&lt;"&amp;A568),IF(INDEX(Equipamentos!$D$2:$D$61,N568)=3,SUMIFS(Producao!$E:$E,Producao!$A:$A,"&gt;="&amp;O568,Producao!$A:$A,"&lt;"&amp;A568),SUMIFS(Producao!$B:$B,Producao!$A:$A,"&gt;="&amp;O568,Producao!$A:$A,"&lt;"&amp;A568)))))</f>
        <v/>
      </c>
      <c r="E568">
        <f>IF(N568="","",INDEX(Equipamentos!$C$2:$C$61,N568))</f>
        <v/>
      </c>
      <c r="F568" s="57">
        <f>IF(OR(D568="",N(Q568)&lt;=0),"",D568/Q568)</f>
        <v/>
      </c>
      <c r="G568" s="55" t="n"/>
      <c r="H568" s="58" t="n"/>
      <c r="I568" s="58" t="n"/>
      <c r="J568" s="55" t="n"/>
      <c r="K568" s="55" t="n"/>
      <c r="L568">
        <f>IF(OR(A568="",B568=""),"",_xlfn.MAXIFS(TrocasEquip!$A$2:$A$1000,TrocasEquip!$B$2:$B$1000,B568,TrocasEquip!$A$2:$A$1000,"&lt;"&amp;A568))</f>
        <v/>
      </c>
      <c r="M568">
        <f>IF(N(L568)=0,0,MATCH(1,INDEX((TrocasEquip!$B$2:$B$1000=B568)*(TrocasEquip!$A$2:$A$1000=L568),0),0))</f>
        <v/>
      </c>
      <c r="N568">
        <f>IF(B568="","",IFERROR(MATCH(B568,Equipamentos!$P$2:$P$61,0),""))</f>
        <v/>
      </c>
      <c r="O568">
        <f>IF(N568="","",IF(M568=0,INDEX(Equipamentos!$U$2:$U$61,N568),L568))</f>
        <v/>
      </c>
      <c r="P568">
        <f>IF(N568="","",IF(M568=0,N(INDEX(Equipamentos!$V$2:$V$61,N568)),N(INDEX(TrocasEquip!$I$2:$I$1000,M568))))</f>
        <v/>
      </c>
      <c r="Q568">
        <f>IF(N568="","",IF(M568=0,INDEX(Equipamentos!$T$2:$T$61,N568),IF(INDEX(TrocasEquip!$H$2:$H$1000,M568)="",INDEX(Equipamentos!$T$2:$T$61,N568),INDEX(TrocasEquip!$H$2:$H$1000,M568))))</f>
        <v/>
      </c>
    </row>
    <row r="569">
      <c r="A569" s="54" t="n"/>
      <c r="B569" s="55" t="n"/>
      <c r="C569">
        <f>IF(B569="","",IF(N569="","posição não encontrada",IF(M569=0,INDEX(Equipamentos!$S$2:$S$61,N569),INDEX(TrocasEquip!$G$2:$G$1000,M569))))</f>
        <v/>
      </c>
      <c r="D569" s="56">
        <f>IF(OR(A569="",N569=""),"",P569+IF(E569="dias",MAX(0,A569-O569),IF(INDEX(Equipamentos!$D$2:$D$61,N569)=2,SUMIFS(Producao!$D:$D,Producao!$A:$A,"&gt;="&amp;O569,Producao!$A:$A,"&lt;"&amp;A569),IF(INDEX(Equipamentos!$D$2:$D$61,N569)=3,SUMIFS(Producao!$E:$E,Producao!$A:$A,"&gt;="&amp;O569,Producao!$A:$A,"&lt;"&amp;A569),SUMIFS(Producao!$B:$B,Producao!$A:$A,"&gt;="&amp;O569,Producao!$A:$A,"&lt;"&amp;A569)))))</f>
        <v/>
      </c>
      <c r="E569">
        <f>IF(N569="","",INDEX(Equipamentos!$C$2:$C$61,N569))</f>
        <v/>
      </c>
      <c r="F569" s="57">
        <f>IF(OR(D569="",N(Q569)&lt;=0),"",D569/Q569)</f>
        <v/>
      </c>
      <c r="G569" s="55" t="n"/>
      <c r="H569" s="58" t="n"/>
      <c r="I569" s="58" t="n"/>
      <c r="J569" s="55" t="n"/>
      <c r="K569" s="55" t="n"/>
      <c r="L569">
        <f>IF(OR(A569="",B569=""),"",_xlfn.MAXIFS(TrocasEquip!$A$2:$A$1000,TrocasEquip!$B$2:$B$1000,B569,TrocasEquip!$A$2:$A$1000,"&lt;"&amp;A569))</f>
        <v/>
      </c>
      <c r="M569">
        <f>IF(N(L569)=0,0,MATCH(1,INDEX((TrocasEquip!$B$2:$B$1000=B569)*(TrocasEquip!$A$2:$A$1000=L569),0),0))</f>
        <v/>
      </c>
      <c r="N569">
        <f>IF(B569="","",IFERROR(MATCH(B569,Equipamentos!$P$2:$P$61,0),""))</f>
        <v/>
      </c>
      <c r="O569">
        <f>IF(N569="","",IF(M569=0,INDEX(Equipamentos!$U$2:$U$61,N569),L569))</f>
        <v/>
      </c>
      <c r="P569">
        <f>IF(N569="","",IF(M569=0,N(INDEX(Equipamentos!$V$2:$V$61,N569)),N(INDEX(TrocasEquip!$I$2:$I$1000,M569))))</f>
        <v/>
      </c>
      <c r="Q569">
        <f>IF(N569="","",IF(M569=0,INDEX(Equipamentos!$T$2:$T$61,N569),IF(INDEX(TrocasEquip!$H$2:$H$1000,M569)="",INDEX(Equipamentos!$T$2:$T$61,N569),INDEX(TrocasEquip!$H$2:$H$1000,M569))))</f>
        <v/>
      </c>
    </row>
    <row r="570">
      <c r="A570" s="54" t="n"/>
      <c r="B570" s="55" t="n"/>
      <c r="C570">
        <f>IF(B570="","",IF(N570="","posição não encontrada",IF(M570=0,INDEX(Equipamentos!$S$2:$S$61,N570),INDEX(TrocasEquip!$G$2:$G$1000,M570))))</f>
        <v/>
      </c>
      <c r="D570" s="56">
        <f>IF(OR(A570="",N570=""),"",P570+IF(E570="dias",MAX(0,A570-O570),IF(INDEX(Equipamentos!$D$2:$D$61,N570)=2,SUMIFS(Producao!$D:$D,Producao!$A:$A,"&gt;="&amp;O570,Producao!$A:$A,"&lt;"&amp;A570),IF(INDEX(Equipamentos!$D$2:$D$61,N570)=3,SUMIFS(Producao!$E:$E,Producao!$A:$A,"&gt;="&amp;O570,Producao!$A:$A,"&lt;"&amp;A570),SUMIFS(Producao!$B:$B,Producao!$A:$A,"&gt;="&amp;O570,Producao!$A:$A,"&lt;"&amp;A570)))))</f>
        <v/>
      </c>
      <c r="E570">
        <f>IF(N570="","",INDEX(Equipamentos!$C$2:$C$61,N570))</f>
        <v/>
      </c>
      <c r="F570" s="57">
        <f>IF(OR(D570="",N(Q570)&lt;=0),"",D570/Q570)</f>
        <v/>
      </c>
      <c r="G570" s="55" t="n"/>
      <c r="H570" s="58" t="n"/>
      <c r="I570" s="58" t="n"/>
      <c r="J570" s="55" t="n"/>
      <c r="K570" s="55" t="n"/>
      <c r="L570">
        <f>IF(OR(A570="",B570=""),"",_xlfn.MAXIFS(TrocasEquip!$A$2:$A$1000,TrocasEquip!$B$2:$B$1000,B570,TrocasEquip!$A$2:$A$1000,"&lt;"&amp;A570))</f>
        <v/>
      </c>
      <c r="M570">
        <f>IF(N(L570)=0,0,MATCH(1,INDEX((TrocasEquip!$B$2:$B$1000=B570)*(TrocasEquip!$A$2:$A$1000=L570),0),0))</f>
        <v/>
      </c>
      <c r="N570">
        <f>IF(B570="","",IFERROR(MATCH(B570,Equipamentos!$P$2:$P$61,0),""))</f>
        <v/>
      </c>
      <c r="O570">
        <f>IF(N570="","",IF(M570=0,INDEX(Equipamentos!$U$2:$U$61,N570),L570))</f>
        <v/>
      </c>
      <c r="P570">
        <f>IF(N570="","",IF(M570=0,N(INDEX(Equipamentos!$V$2:$V$61,N570)),N(INDEX(TrocasEquip!$I$2:$I$1000,M570))))</f>
        <v/>
      </c>
      <c r="Q570">
        <f>IF(N570="","",IF(M570=0,INDEX(Equipamentos!$T$2:$T$61,N570),IF(INDEX(TrocasEquip!$H$2:$H$1000,M570)="",INDEX(Equipamentos!$T$2:$T$61,N570),INDEX(TrocasEquip!$H$2:$H$1000,M570))))</f>
        <v/>
      </c>
    </row>
    <row r="571">
      <c r="A571" s="54" t="n"/>
      <c r="B571" s="55" t="n"/>
      <c r="C571">
        <f>IF(B571="","",IF(N571="","posição não encontrada",IF(M571=0,INDEX(Equipamentos!$S$2:$S$61,N571),INDEX(TrocasEquip!$G$2:$G$1000,M571))))</f>
        <v/>
      </c>
      <c r="D571" s="56">
        <f>IF(OR(A571="",N571=""),"",P571+IF(E571="dias",MAX(0,A571-O571),IF(INDEX(Equipamentos!$D$2:$D$61,N571)=2,SUMIFS(Producao!$D:$D,Producao!$A:$A,"&gt;="&amp;O571,Producao!$A:$A,"&lt;"&amp;A571),IF(INDEX(Equipamentos!$D$2:$D$61,N571)=3,SUMIFS(Producao!$E:$E,Producao!$A:$A,"&gt;="&amp;O571,Producao!$A:$A,"&lt;"&amp;A571),SUMIFS(Producao!$B:$B,Producao!$A:$A,"&gt;="&amp;O571,Producao!$A:$A,"&lt;"&amp;A571)))))</f>
        <v/>
      </c>
      <c r="E571">
        <f>IF(N571="","",INDEX(Equipamentos!$C$2:$C$61,N571))</f>
        <v/>
      </c>
      <c r="F571" s="57">
        <f>IF(OR(D571="",N(Q571)&lt;=0),"",D571/Q571)</f>
        <v/>
      </c>
      <c r="G571" s="55" t="n"/>
      <c r="H571" s="58" t="n"/>
      <c r="I571" s="58" t="n"/>
      <c r="J571" s="55" t="n"/>
      <c r="K571" s="55" t="n"/>
      <c r="L571">
        <f>IF(OR(A571="",B571=""),"",_xlfn.MAXIFS(TrocasEquip!$A$2:$A$1000,TrocasEquip!$B$2:$B$1000,B571,TrocasEquip!$A$2:$A$1000,"&lt;"&amp;A571))</f>
        <v/>
      </c>
      <c r="M571">
        <f>IF(N(L571)=0,0,MATCH(1,INDEX((TrocasEquip!$B$2:$B$1000=B571)*(TrocasEquip!$A$2:$A$1000=L571),0),0))</f>
        <v/>
      </c>
      <c r="N571">
        <f>IF(B571="","",IFERROR(MATCH(B571,Equipamentos!$P$2:$P$61,0),""))</f>
        <v/>
      </c>
      <c r="O571">
        <f>IF(N571="","",IF(M571=0,INDEX(Equipamentos!$U$2:$U$61,N571),L571))</f>
        <v/>
      </c>
      <c r="P571">
        <f>IF(N571="","",IF(M571=0,N(INDEX(Equipamentos!$V$2:$V$61,N571)),N(INDEX(TrocasEquip!$I$2:$I$1000,M571))))</f>
        <v/>
      </c>
      <c r="Q571">
        <f>IF(N571="","",IF(M571=0,INDEX(Equipamentos!$T$2:$T$61,N571),IF(INDEX(TrocasEquip!$H$2:$H$1000,M571)="",INDEX(Equipamentos!$T$2:$T$61,N571),INDEX(TrocasEquip!$H$2:$H$1000,M571))))</f>
        <v/>
      </c>
    </row>
    <row r="572">
      <c r="A572" s="54" t="n"/>
      <c r="B572" s="55" t="n"/>
      <c r="C572">
        <f>IF(B572="","",IF(N572="","posição não encontrada",IF(M572=0,INDEX(Equipamentos!$S$2:$S$61,N572),INDEX(TrocasEquip!$G$2:$G$1000,M572))))</f>
        <v/>
      </c>
      <c r="D572" s="56">
        <f>IF(OR(A572="",N572=""),"",P572+IF(E572="dias",MAX(0,A572-O572),IF(INDEX(Equipamentos!$D$2:$D$61,N572)=2,SUMIFS(Producao!$D:$D,Producao!$A:$A,"&gt;="&amp;O572,Producao!$A:$A,"&lt;"&amp;A572),IF(INDEX(Equipamentos!$D$2:$D$61,N572)=3,SUMIFS(Producao!$E:$E,Producao!$A:$A,"&gt;="&amp;O572,Producao!$A:$A,"&lt;"&amp;A572),SUMIFS(Producao!$B:$B,Producao!$A:$A,"&gt;="&amp;O572,Producao!$A:$A,"&lt;"&amp;A572)))))</f>
        <v/>
      </c>
      <c r="E572">
        <f>IF(N572="","",INDEX(Equipamentos!$C$2:$C$61,N572))</f>
        <v/>
      </c>
      <c r="F572" s="57">
        <f>IF(OR(D572="",N(Q572)&lt;=0),"",D572/Q572)</f>
        <v/>
      </c>
      <c r="G572" s="55" t="n"/>
      <c r="H572" s="58" t="n"/>
      <c r="I572" s="58" t="n"/>
      <c r="J572" s="55" t="n"/>
      <c r="K572" s="55" t="n"/>
      <c r="L572">
        <f>IF(OR(A572="",B572=""),"",_xlfn.MAXIFS(TrocasEquip!$A$2:$A$1000,TrocasEquip!$B$2:$B$1000,B572,TrocasEquip!$A$2:$A$1000,"&lt;"&amp;A572))</f>
        <v/>
      </c>
      <c r="M572">
        <f>IF(N(L572)=0,0,MATCH(1,INDEX((TrocasEquip!$B$2:$B$1000=B572)*(TrocasEquip!$A$2:$A$1000=L572),0),0))</f>
        <v/>
      </c>
      <c r="N572">
        <f>IF(B572="","",IFERROR(MATCH(B572,Equipamentos!$P$2:$P$61,0),""))</f>
        <v/>
      </c>
      <c r="O572">
        <f>IF(N572="","",IF(M572=0,INDEX(Equipamentos!$U$2:$U$61,N572),L572))</f>
        <v/>
      </c>
      <c r="P572">
        <f>IF(N572="","",IF(M572=0,N(INDEX(Equipamentos!$V$2:$V$61,N572)),N(INDEX(TrocasEquip!$I$2:$I$1000,M572))))</f>
        <v/>
      </c>
      <c r="Q572">
        <f>IF(N572="","",IF(M572=0,INDEX(Equipamentos!$T$2:$T$61,N572),IF(INDEX(TrocasEquip!$H$2:$H$1000,M572)="",INDEX(Equipamentos!$T$2:$T$61,N572),INDEX(TrocasEquip!$H$2:$H$1000,M572))))</f>
        <v/>
      </c>
    </row>
    <row r="573">
      <c r="A573" s="54" t="n"/>
      <c r="B573" s="55" t="n"/>
      <c r="C573">
        <f>IF(B573="","",IF(N573="","posição não encontrada",IF(M573=0,INDEX(Equipamentos!$S$2:$S$61,N573),INDEX(TrocasEquip!$G$2:$G$1000,M573))))</f>
        <v/>
      </c>
      <c r="D573" s="56">
        <f>IF(OR(A573="",N573=""),"",P573+IF(E573="dias",MAX(0,A573-O573),IF(INDEX(Equipamentos!$D$2:$D$61,N573)=2,SUMIFS(Producao!$D:$D,Producao!$A:$A,"&gt;="&amp;O573,Producao!$A:$A,"&lt;"&amp;A573),IF(INDEX(Equipamentos!$D$2:$D$61,N573)=3,SUMIFS(Producao!$E:$E,Producao!$A:$A,"&gt;="&amp;O573,Producao!$A:$A,"&lt;"&amp;A573),SUMIFS(Producao!$B:$B,Producao!$A:$A,"&gt;="&amp;O573,Producao!$A:$A,"&lt;"&amp;A573)))))</f>
        <v/>
      </c>
      <c r="E573">
        <f>IF(N573="","",INDEX(Equipamentos!$C$2:$C$61,N573))</f>
        <v/>
      </c>
      <c r="F573" s="57">
        <f>IF(OR(D573="",N(Q573)&lt;=0),"",D573/Q573)</f>
        <v/>
      </c>
      <c r="G573" s="55" t="n"/>
      <c r="H573" s="58" t="n"/>
      <c r="I573" s="58" t="n"/>
      <c r="J573" s="55" t="n"/>
      <c r="K573" s="55" t="n"/>
      <c r="L573">
        <f>IF(OR(A573="",B573=""),"",_xlfn.MAXIFS(TrocasEquip!$A$2:$A$1000,TrocasEquip!$B$2:$B$1000,B573,TrocasEquip!$A$2:$A$1000,"&lt;"&amp;A573))</f>
        <v/>
      </c>
      <c r="M573">
        <f>IF(N(L573)=0,0,MATCH(1,INDEX((TrocasEquip!$B$2:$B$1000=B573)*(TrocasEquip!$A$2:$A$1000=L573),0),0))</f>
        <v/>
      </c>
      <c r="N573">
        <f>IF(B573="","",IFERROR(MATCH(B573,Equipamentos!$P$2:$P$61,0),""))</f>
        <v/>
      </c>
      <c r="O573">
        <f>IF(N573="","",IF(M573=0,INDEX(Equipamentos!$U$2:$U$61,N573),L573))</f>
        <v/>
      </c>
      <c r="P573">
        <f>IF(N573="","",IF(M573=0,N(INDEX(Equipamentos!$V$2:$V$61,N573)),N(INDEX(TrocasEquip!$I$2:$I$1000,M573))))</f>
        <v/>
      </c>
      <c r="Q573">
        <f>IF(N573="","",IF(M573=0,INDEX(Equipamentos!$T$2:$T$61,N573),IF(INDEX(TrocasEquip!$H$2:$H$1000,M573)="",INDEX(Equipamentos!$T$2:$T$61,N573),INDEX(TrocasEquip!$H$2:$H$1000,M573))))</f>
        <v/>
      </c>
    </row>
    <row r="574">
      <c r="A574" s="54" t="n"/>
      <c r="B574" s="55" t="n"/>
      <c r="C574">
        <f>IF(B574="","",IF(N574="","posição não encontrada",IF(M574=0,INDEX(Equipamentos!$S$2:$S$61,N574),INDEX(TrocasEquip!$G$2:$G$1000,M574))))</f>
        <v/>
      </c>
      <c r="D574" s="56">
        <f>IF(OR(A574="",N574=""),"",P574+IF(E574="dias",MAX(0,A574-O574),IF(INDEX(Equipamentos!$D$2:$D$61,N574)=2,SUMIFS(Producao!$D:$D,Producao!$A:$A,"&gt;="&amp;O574,Producao!$A:$A,"&lt;"&amp;A574),IF(INDEX(Equipamentos!$D$2:$D$61,N574)=3,SUMIFS(Producao!$E:$E,Producao!$A:$A,"&gt;="&amp;O574,Producao!$A:$A,"&lt;"&amp;A574),SUMIFS(Producao!$B:$B,Producao!$A:$A,"&gt;="&amp;O574,Producao!$A:$A,"&lt;"&amp;A574)))))</f>
        <v/>
      </c>
      <c r="E574">
        <f>IF(N574="","",INDEX(Equipamentos!$C$2:$C$61,N574))</f>
        <v/>
      </c>
      <c r="F574" s="57">
        <f>IF(OR(D574="",N(Q574)&lt;=0),"",D574/Q574)</f>
        <v/>
      </c>
      <c r="G574" s="55" t="n"/>
      <c r="H574" s="58" t="n"/>
      <c r="I574" s="58" t="n"/>
      <c r="J574" s="55" t="n"/>
      <c r="K574" s="55" t="n"/>
      <c r="L574">
        <f>IF(OR(A574="",B574=""),"",_xlfn.MAXIFS(TrocasEquip!$A$2:$A$1000,TrocasEquip!$B$2:$B$1000,B574,TrocasEquip!$A$2:$A$1000,"&lt;"&amp;A574))</f>
        <v/>
      </c>
      <c r="M574">
        <f>IF(N(L574)=0,0,MATCH(1,INDEX((TrocasEquip!$B$2:$B$1000=B574)*(TrocasEquip!$A$2:$A$1000=L574),0),0))</f>
        <v/>
      </c>
      <c r="N574">
        <f>IF(B574="","",IFERROR(MATCH(B574,Equipamentos!$P$2:$P$61,0),""))</f>
        <v/>
      </c>
      <c r="O574">
        <f>IF(N574="","",IF(M574=0,INDEX(Equipamentos!$U$2:$U$61,N574),L574))</f>
        <v/>
      </c>
      <c r="P574">
        <f>IF(N574="","",IF(M574=0,N(INDEX(Equipamentos!$V$2:$V$61,N574)),N(INDEX(TrocasEquip!$I$2:$I$1000,M574))))</f>
        <v/>
      </c>
      <c r="Q574">
        <f>IF(N574="","",IF(M574=0,INDEX(Equipamentos!$T$2:$T$61,N574),IF(INDEX(TrocasEquip!$H$2:$H$1000,M574)="",INDEX(Equipamentos!$T$2:$T$61,N574),INDEX(TrocasEquip!$H$2:$H$1000,M574))))</f>
        <v/>
      </c>
    </row>
    <row r="575">
      <c r="A575" s="54" t="n"/>
      <c r="B575" s="55" t="n"/>
      <c r="C575">
        <f>IF(B575="","",IF(N575="","posição não encontrada",IF(M575=0,INDEX(Equipamentos!$S$2:$S$61,N575),INDEX(TrocasEquip!$G$2:$G$1000,M575))))</f>
        <v/>
      </c>
      <c r="D575" s="56">
        <f>IF(OR(A575="",N575=""),"",P575+IF(E575="dias",MAX(0,A575-O575),IF(INDEX(Equipamentos!$D$2:$D$61,N575)=2,SUMIFS(Producao!$D:$D,Producao!$A:$A,"&gt;="&amp;O575,Producao!$A:$A,"&lt;"&amp;A575),IF(INDEX(Equipamentos!$D$2:$D$61,N575)=3,SUMIFS(Producao!$E:$E,Producao!$A:$A,"&gt;="&amp;O575,Producao!$A:$A,"&lt;"&amp;A575),SUMIFS(Producao!$B:$B,Producao!$A:$A,"&gt;="&amp;O575,Producao!$A:$A,"&lt;"&amp;A575)))))</f>
        <v/>
      </c>
      <c r="E575">
        <f>IF(N575="","",INDEX(Equipamentos!$C$2:$C$61,N575))</f>
        <v/>
      </c>
      <c r="F575" s="57">
        <f>IF(OR(D575="",N(Q575)&lt;=0),"",D575/Q575)</f>
        <v/>
      </c>
      <c r="G575" s="55" t="n"/>
      <c r="H575" s="58" t="n"/>
      <c r="I575" s="58" t="n"/>
      <c r="J575" s="55" t="n"/>
      <c r="K575" s="55" t="n"/>
      <c r="L575">
        <f>IF(OR(A575="",B575=""),"",_xlfn.MAXIFS(TrocasEquip!$A$2:$A$1000,TrocasEquip!$B$2:$B$1000,B575,TrocasEquip!$A$2:$A$1000,"&lt;"&amp;A575))</f>
        <v/>
      </c>
      <c r="M575">
        <f>IF(N(L575)=0,0,MATCH(1,INDEX((TrocasEquip!$B$2:$B$1000=B575)*(TrocasEquip!$A$2:$A$1000=L575),0),0))</f>
        <v/>
      </c>
      <c r="N575">
        <f>IF(B575="","",IFERROR(MATCH(B575,Equipamentos!$P$2:$P$61,0),""))</f>
        <v/>
      </c>
      <c r="O575">
        <f>IF(N575="","",IF(M575=0,INDEX(Equipamentos!$U$2:$U$61,N575),L575))</f>
        <v/>
      </c>
      <c r="P575">
        <f>IF(N575="","",IF(M575=0,N(INDEX(Equipamentos!$V$2:$V$61,N575)),N(INDEX(TrocasEquip!$I$2:$I$1000,M575))))</f>
        <v/>
      </c>
      <c r="Q575">
        <f>IF(N575="","",IF(M575=0,INDEX(Equipamentos!$T$2:$T$61,N575),IF(INDEX(TrocasEquip!$H$2:$H$1000,M575)="",INDEX(Equipamentos!$T$2:$T$61,N575),INDEX(TrocasEquip!$H$2:$H$1000,M575))))</f>
        <v/>
      </c>
    </row>
    <row r="576">
      <c r="A576" s="54" t="n"/>
      <c r="B576" s="55" t="n"/>
      <c r="C576">
        <f>IF(B576="","",IF(N576="","posição não encontrada",IF(M576=0,INDEX(Equipamentos!$S$2:$S$61,N576),INDEX(TrocasEquip!$G$2:$G$1000,M576))))</f>
        <v/>
      </c>
      <c r="D576" s="56">
        <f>IF(OR(A576="",N576=""),"",P576+IF(E576="dias",MAX(0,A576-O576),IF(INDEX(Equipamentos!$D$2:$D$61,N576)=2,SUMIFS(Producao!$D:$D,Producao!$A:$A,"&gt;="&amp;O576,Producao!$A:$A,"&lt;"&amp;A576),IF(INDEX(Equipamentos!$D$2:$D$61,N576)=3,SUMIFS(Producao!$E:$E,Producao!$A:$A,"&gt;="&amp;O576,Producao!$A:$A,"&lt;"&amp;A576),SUMIFS(Producao!$B:$B,Producao!$A:$A,"&gt;="&amp;O576,Producao!$A:$A,"&lt;"&amp;A576)))))</f>
        <v/>
      </c>
      <c r="E576">
        <f>IF(N576="","",INDEX(Equipamentos!$C$2:$C$61,N576))</f>
        <v/>
      </c>
      <c r="F576" s="57">
        <f>IF(OR(D576="",N(Q576)&lt;=0),"",D576/Q576)</f>
        <v/>
      </c>
      <c r="G576" s="55" t="n"/>
      <c r="H576" s="58" t="n"/>
      <c r="I576" s="58" t="n"/>
      <c r="J576" s="55" t="n"/>
      <c r="K576" s="55" t="n"/>
      <c r="L576">
        <f>IF(OR(A576="",B576=""),"",_xlfn.MAXIFS(TrocasEquip!$A$2:$A$1000,TrocasEquip!$B$2:$B$1000,B576,TrocasEquip!$A$2:$A$1000,"&lt;"&amp;A576))</f>
        <v/>
      </c>
      <c r="M576">
        <f>IF(N(L576)=0,0,MATCH(1,INDEX((TrocasEquip!$B$2:$B$1000=B576)*(TrocasEquip!$A$2:$A$1000=L576),0),0))</f>
        <v/>
      </c>
      <c r="N576">
        <f>IF(B576="","",IFERROR(MATCH(B576,Equipamentos!$P$2:$P$61,0),""))</f>
        <v/>
      </c>
      <c r="O576">
        <f>IF(N576="","",IF(M576=0,INDEX(Equipamentos!$U$2:$U$61,N576),L576))</f>
        <v/>
      </c>
      <c r="P576">
        <f>IF(N576="","",IF(M576=0,N(INDEX(Equipamentos!$V$2:$V$61,N576)),N(INDEX(TrocasEquip!$I$2:$I$1000,M576))))</f>
        <v/>
      </c>
      <c r="Q576">
        <f>IF(N576="","",IF(M576=0,INDEX(Equipamentos!$T$2:$T$61,N576),IF(INDEX(TrocasEquip!$H$2:$H$1000,M576)="",INDEX(Equipamentos!$T$2:$T$61,N576),INDEX(TrocasEquip!$H$2:$H$1000,M576))))</f>
        <v/>
      </c>
    </row>
    <row r="577">
      <c r="A577" s="54" t="n"/>
      <c r="B577" s="55" t="n"/>
      <c r="C577">
        <f>IF(B577="","",IF(N577="","posição não encontrada",IF(M577=0,INDEX(Equipamentos!$S$2:$S$61,N577),INDEX(TrocasEquip!$G$2:$G$1000,M577))))</f>
        <v/>
      </c>
      <c r="D577" s="56">
        <f>IF(OR(A577="",N577=""),"",P577+IF(E577="dias",MAX(0,A577-O577),IF(INDEX(Equipamentos!$D$2:$D$61,N577)=2,SUMIFS(Producao!$D:$D,Producao!$A:$A,"&gt;="&amp;O577,Producao!$A:$A,"&lt;"&amp;A577),IF(INDEX(Equipamentos!$D$2:$D$61,N577)=3,SUMIFS(Producao!$E:$E,Producao!$A:$A,"&gt;="&amp;O577,Producao!$A:$A,"&lt;"&amp;A577),SUMIFS(Producao!$B:$B,Producao!$A:$A,"&gt;="&amp;O577,Producao!$A:$A,"&lt;"&amp;A577)))))</f>
        <v/>
      </c>
      <c r="E577">
        <f>IF(N577="","",INDEX(Equipamentos!$C$2:$C$61,N577))</f>
        <v/>
      </c>
      <c r="F577" s="57">
        <f>IF(OR(D577="",N(Q577)&lt;=0),"",D577/Q577)</f>
        <v/>
      </c>
      <c r="G577" s="55" t="n"/>
      <c r="H577" s="58" t="n"/>
      <c r="I577" s="58" t="n"/>
      <c r="J577" s="55" t="n"/>
      <c r="K577" s="55" t="n"/>
      <c r="L577">
        <f>IF(OR(A577="",B577=""),"",_xlfn.MAXIFS(TrocasEquip!$A$2:$A$1000,TrocasEquip!$B$2:$B$1000,B577,TrocasEquip!$A$2:$A$1000,"&lt;"&amp;A577))</f>
        <v/>
      </c>
      <c r="M577">
        <f>IF(N(L577)=0,0,MATCH(1,INDEX((TrocasEquip!$B$2:$B$1000=B577)*(TrocasEquip!$A$2:$A$1000=L577),0),0))</f>
        <v/>
      </c>
      <c r="N577">
        <f>IF(B577="","",IFERROR(MATCH(B577,Equipamentos!$P$2:$P$61,0),""))</f>
        <v/>
      </c>
      <c r="O577">
        <f>IF(N577="","",IF(M577=0,INDEX(Equipamentos!$U$2:$U$61,N577),L577))</f>
        <v/>
      </c>
      <c r="P577">
        <f>IF(N577="","",IF(M577=0,N(INDEX(Equipamentos!$V$2:$V$61,N577)),N(INDEX(TrocasEquip!$I$2:$I$1000,M577))))</f>
        <v/>
      </c>
      <c r="Q577">
        <f>IF(N577="","",IF(M577=0,INDEX(Equipamentos!$T$2:$T$61,N577),IF(INDEX(TrocasEquip!$H$2:$H$1000,M577)="",INDEX(Equipamentos!$T$2:$T$61,N577),INDEX(TrocasEquip!$H$2:$H$1000,M577))))</f>
        <v/>
      </c>
    </row>
    <row r="578">
      <c r="A578" s="54" t="n"/>
      <c r="B578" s="55" t="n"/>
      <c r="C578">
        <f>IF(B578="","",IF(N578="","posição não encontrada",IF(M578=0,INDEX(Equipamentos!$S$2:$S$61,N578),INDEX(TrocasEquip!$G$2:$G$1000,M578))))</f>
        <v/>
      </c>
      <c r="D578" s="56">
        <f>IF(OR(A578="",N578=""),"",P578+IF(E578="dias",MAX(0,A578-O578),IF(INDEX(Equipamentos!$D$2:$D$61,N578)=2,SUMIFS(Producao!$D:$D,Producao!$A:$A,"&gt;="&amp;O578,Producao!$A:$A,"&lt;"&amp;A578),IF(INDEX(Equipamentos!$D$2:$D$61,N578)=3,SUMIFS(Producao!$E:$E,Producao!$A:$A,"&gt;="&amp;O578,Producao!$A:$A,"&lt;"&amp;A578),SUMIFS(Producao!$B:$B,Producao!$A:$A,"&gt;="&amp;O578,Producao!$A:$A,"&lt;"&amp;A578)))))</f>
        <v/>
      </c>
      <c r="E578">
        <f>IF(N578="","",INDEX(Equipamentos!$C$2:$C$61,N578))</f>
        <v/>
      </c>
      <c r="F578" s="57">
        <f>IF(OR(D578="",N(Q578)&lt;=0),"",D578/Q578)</f>
        <v/>
      </c>
      <c r="G578" s="55" t="n"/>
      <c r="H578" s="58" t="n"/>
      <c r="I578" s="58" t="n"/>
      <c r="J578" s="55" t="n"/>
      <c r="K578" s="55" t="n"/>
      <c r="L578">
        <f>IF(OR(A578="",B578=""),"",_xlfn.MAXIFS(TrocasEquip!$A$2:$A$1000,TrocasEquip!$B$2:$B$1000,B578,TrocasEquip!$A$2:$A$1000,"&lt;"&amp;A578))</f>
        <v/>
      </c>
      <c r="M578">
        <f>IF(N(L578)=0,0,MATCH(1,INDEX((TrocasEquip!$B$2:$B$1000=B578)*(TrocasEquip!$A$2:$A$1000=L578),0),0))</f>
        <v/>
      </c>
      <c r="N578">
        <f>IF(B578="","",IFERROR(MATCH(B578,Equipamentos!$P$2:$P$61,0),""))</f>
        <v/>
      </c>
      <c r="O578">
        <f>IF(N578="","",IF(M578=0,INDEX(Equipamentos!$U$2:$U$61,N578),L578))</f>
        <v/>
      </c>
      <c r="P578">
        <f>IF(N578="","",IF(M578=0,N(INDEX(Equipamentos!$V$2:$V$61,N578)),N(INDEX(TrocasEquip!$I$2:$I$1000,M578))))</f>
        <v/>
      </c>
      <c r="Q578">
        <f>IF(N578="","",IF(M578=0,INDEX(Equipamentos!$T$2:$T$61,N578),IF(INDEX(TrocasEquip!$H$2:$H$1000,M578)="",INDEX(Equipamentos!$T$2:$T$61,N578),INDEX(TrocasEquip!$H$2:$H$1000,M578))))</f>
        <v/>
      </c>
    </row>
    <row r="579">
      <c r="A579" s="54" t="n"/>
      <c r="B579" s="55" t="n"/>
      <c r="C579">
        <f>IF(B579="","",IF(N579="","posição não encontrada",IF(M579=0,INDEX(Equipamentos!$S$2:$S$61,N579),INDEX(TrocasEquip!$G$2:$G$1000,M579))))</f>
        <v/>
      </c>
      <c r="D579" s="56">
        <f>IF(OR(A579="",N579=""),"",P579+IF(E579="dias",MAX(0,A579-O579),IF(INDEX(Equipamentos!$D$2:$D$61,N579)=2,SUMIFS(Producao!$D:$D,Producao!$A:$A,"&gt;="&amp;O579,Producao!$A:$A,"&lt;"&amp;A579),IF(INDEX(Equipamentos!$D$2:$D$61,N579)=3,SUMIFS(Producao!$E:$E,Producao!$A:$A,"&gt;="&amp;O579,Producao!$A:$A,"&lt;"&amp;A579),SUMIFS(Producao!$B:$B,Producao!$A:$A,"&gt;="&amp;O579,Producao!$A:$A,"&lt;"&amp;A579)))))</f>
        <v/>
      </c>
      <c r="E579">
        <f>IF(N579="","",INDEX(Equipamentos!$C$2:$C$61,N579))</f>
        <v/>
      </c>
      <c r="F579" s="57">
        <f>IF(OR(D579="",N(Q579)&lt;=0),"",D579/Q579)</f>
        <v/>
      </c>
      <c r="G579" s="55" t="n"/>
      <c r="H579" s="58" t="n"/>
      <c r="I579" s="58" t="n"/>
      <c r="J579" s="55" t="n"/>
      <c r="K579" s="55" t="n"/>
      <c r="L579">
        <f>IF(OR(A579="",B579=""),"",_xlfn.MAXIFS(TrocasEquip!$A$2:$A$1000,TrocasEquip!$B$2:$B$1000,B579,TrocasEquip!$A$2:$A$1000,"&lt;"&amp;A579))</f>
        <v/>
      </c>
      <c r="M579">
        <f>IF(N(L579)=0,0,MATCH(1,INDEX((TrocasEquip!$B$2:$B$1000=B579)*(TrocasEquip!$A$2:$A$1000=L579),0),0))</f>
        <v/>
      </c>
      <c r="N579">
        <f>IF(B579="","",IFERROR(MATCH(B579,Equipamentos!$P$2:$P$61,0),""))</f>
        <v/>
      </c>
      <c r="O579">
        <f>IF(N579="","",IF(M579=0,INDEX(Equipamentos!$U$2:$U$61,N579),L579))</f>
        <v/>
      </c>
      <c r="P579">
        <f>IF(N579="","",IF(M579=0,N(INDEX(Equipamentos!$V$2:$V$61,N579)),N(INDEX(TrocasEquip!$I$2:$I$1000,M579))))</f>
        <v/>
      </c>
      <c r="Q579">
        <f>IF(N579="","",IF(M579=0,INDEX(Equipamentos!$T$2:$T$61,N579),IF(INDEX(TrocasEquip!$H$2:$H$1000,M579)="",INDEX(Equipamentos!$T$2:$T$61,N579),INDEX(TrocasEquip!$H$2:$H$1000,M579))))</f>
        <v/>
      </c>
    </row>
    <row r="580">
      <c r="A580" s="54" t="n"/>
      <c r="B580" s="55" t="n"/>
      <c r="C580">
        <f>IF(B580="","",IF(N580="","posição não encontrada",IF(M580=0,INDEX(Equipamentos!$S$2:$S$61,N580),INDEX(TrocasEquip!$G$2:$G$1000,M580))))</f>
        <v/>
      </c>
      <c r="D580" s="56">
        <f>IF(OR(A580="",N580=""),"",P580+IF(E580="dias",MAX(0,A580-O580),IF(INDEX(Equipamentos!$D$2:$D$61,N580)=2,SUMIFS(Producao!$D:$D,Producao!$A:$A,"&gt;="&amp;O580,Producao!$A:$A,"&lt;"&amp;A580),IF(INDEX(Equipamentos!$D$2:$D$61,N580)=3,SUMIFS(Producao!$E:$E,Producao!$A:$A,"&gt;="&amp;O580,Producao!$A:$A,"&lt;"&amp;A580),SUMIFS(Producao!$B:$B,Producao!$A:$A,"&gt;="&amp;O580,Producao!$A:$A,"&lt;"&amp;A580)))))</f>
        <v/>
      </c>
      <c r="E580">
        <f>IF(N580="","",INDEX(Equipamentos!$C$2:$C$61,N580))</f>
        <v/>
      </c>
      <c r="F580" s="57">
        <f>IF(OR(D580="",N(Q580)&lt;=0),"",D580/Q580)</f>
        <v/>
      </c>
      <c r="G580" s="55" t="n"/>
      <c r="H580" s="58" t="n"/>
      <c r="I580" s="58" t="n"/>
      <c r="J580" s="55" t="n"/>
      <c r="K580" s="55" t="n"/>
      <c r="L580">
        <f>IF(OR(A580="",B580=""),"",_xlfn.MAXIFS(TrocasEquip!$A$2:$A$1000,TrocasEquip!$B$2:$B$1000,B580,TrocasEquip!$A$2:$A$1000,"&lt;"&amp;A580))</f>
        <v/>
      </c>
      <c r="M580">
        <f>IF(N(L580)=0,0,MATCH(1,INDEX((TrocasEquip!$B$2:$B$1000=B580)*(TrocasEquip!$A$2:$A$1000=L580),0),0))</f>
        <v/>
      </c>
      <c r="N580">
        <f>IF(B580="","",IFERROR(MATCH(B580,Equipamentos!$P$2:$P$61,0),""))</f>
        <v/>
      </c>
      <c r="O580">
        <f>IF(N580="","",IF(M580=0,INDEX(Equipamentos!$U$2:$U$61,N580),L580))</f>
        <v/>
      </c>
      <c r="P580">
        <f>IF(N580="","",IF(M580=0,N(INDEX(Equipamentos!$V$2:$V$61,N580)),N(INDEX(TrocasEquip!$I$2:$I$1000,M580))))</f>
        <v/>
      </c>
      <c r="Q580">
        <f>IF(N580="","",IF(M580=0,INDEX(Equipamentos!$T$2:$T$61,N580),IF(INDEX(TrocasEquip!$H$2:$H$1000,M580)="",INDEX(Equipamentos!$T$2:$T$61,N580),INDEX(TrocasEquip!$H$2:$H$1000,M580))))</f>
        <v/>
      </c>
    </row>
    <row r="581">
      <c r="A581" s="54" t="n"/>
      <c r="B581" s="55" t="n"/>
      <c r="C581">
        <f>IF(B581="","",IF(N581="","posição não encontrada",IF(M581=0,INDEX(Equipamentos!$S$2:$S$61,N581),INDEX(TrocasEquip!$G$2:$G$1000,M581))))</f>
        <v/>
      </c>
      <c r="D581" s="56">
        <f>IF(OR(A581="",N581=""),"",P581+IF(E581="dias",MAX(0,A581-O581),IF(INDEX(Equipamentos!$D$2:$D$61,N581)=2,SUMIFS(Producao!$D:$D,Producao!$A:$A,"&gt;="&amp;O581,Producao!$A:$A,"&lt;"&amp;A581),IF(INDEX(Equipamentos!$D$2:$D$61,N581)=3,SUMIFS(Producao!$E:$E,Producao!$A:$A,"&gt;="&amp;O581,Producao!$A:$A,"&lt;"&amp;A581),SUMIFS(Producao!$B:$B,Producao!$A:$A,"&gt;="&amp;O581,Producao!$A:$A,"&lt;"&amp;A581)))))</f>
        <v/>
      </c>
      <c r="E581">
        <f>IF(N581="","",INDEX(Equipamentos!$C$2:$C$61,N581))</f>
        <v/>
      </c>
      <c r="F581" s="57">
        <f>IF(OR(D581="",N(Q581)&lt;=0),"",D581/Q581)</f>
        <v/>
      </c>
      <c r="G581" s="55" t="n"/>
      <c r="H581" s="58" t="n"/>
      <c r="I581" s="58" t="n"/>
      <c r="J581" s="55" t="n"/>
      <c r="K581" s="55" t="n"/>
      <c r="L581">
        <f>IF(OR(A581="",B581=""),"",_xlfn.MAXIFS(TrocasEquip!$A$2:$A$1000,TrocasEquip!$B$2:$B$1000,B581,TrocasEquip!$A$2:$A$1000,"&lt;"&amp;A581))</f>
        <v/>
      </c>
      <c r="M581">
        <f>IF(N(L581)=0,0,MATCH(1,INDEX((TrocasEquip!$B$2:$B$1000=B581)*(TrocasEquip!$A$2:$A$1000=L581),0),0))</f>
        <v/>
      </c>
      <c r="N581">
        <f>IF(B581="","",IFERROR(MATCH(B581,Equipamentos!$P$2:$P$61,0),""))</f>
        <v/>
      </c>
      <c r="O581">
        <f>IF(N581="","",IF(M581=0,INDEX(Equipamentos!$U$2:$U$61,N581),L581))</f>
        <v/>
      </c>
      <c r="P581">
        <f>IF(N581="","",IF(M581=0,N(INDEX(Equipamentos!$V$2:$V$61,N581)),N(INDEX(TrocasEquip!$I$2:$I$1000,M581))))</f>
        <v/>
      </c>
      <c r="Q581">
        <f>IF(N581="","",IF(M581=0,INDEX(Equipamentos!$T$2:$T$61,N581),IF(INDEX(TrocasEquip!$H$2:$H$1000,M581)="",INDEX(Equipamentos!$T$2:$T$61,N581),INDEX(TrocasEquip!$H$2:$H$1000,M581))))</f>
        <v/>
      </c>
    </row>
    <row r="582">
      <c r="A582" s="54" t="n"/>
      <c r="B582" s="55" t="n"/>
      <c r="C582">
        <f>IF(B582="","",IF(N582="","posição não encontrada",IF(M582=0,INDEX(Equipamentos!$S$2:$S$61,N582),INDEX(TrocasEquip!$G$2:$G$1000,M582))))</f>
        <v/>
      </c>
      <c r="D582" s="56">
        <f>IF(OR(A582="",N582=""),"",P582+IF(E582="dias",MAX(0,A582-O582),IF(INDEX(Equipamentos!$D$2:$D$61,N582)=2,SUMIFS(Producao!$D:$D,Producao!$A:$A,"&gt;="&amp;O582,Producao!$A:$A,"&lt;"&amp;A582),IF(INDEX(Equipamentos!$D$2:$D$61,N582)=3,SUMIFS(Producao!$E:$E,Producao!$A:$A,"&gt;="&amp;O582,Producao!$A:$A,"&lt;"&amp;A582),SUMIFS(Producao!$B:$B,Producao!$A:$A,"&gt;="&amp;O582,Producao!$A:$A,"&lt;"&amp;A582)))))</f>
        <v/>
      </c>
      <c r="E582">
        <f>IF(N582="","",INDEX(Equipamentos!$C$2:$C$61,N582))</f>
        <v/>
      </c>
      <c r="F582" s="57">
        <f>IF(OR(D582="",N(Q582)&lt;=0),"",D582/Q582)</f>
        <v/>
      </c>
      <c r="G582" s="55" t="n"/>
      <c r="H582" s="58" t="n"/>
      <c r="I582" s="58" t="n"/>
      <c r="J582" s="55" t="n"/>
      <c r="K582" s="55" t="n"/>
      <c r="L582">
        <f>IF(OR(A582="",B582=""),"",_xlfn.MAXIFS(TrocasEquip!$A$2:$A$1000,TrocasEquip!$B$2:$B$1000,B582,TrocasEquip!$A$2:$A$1000,"&lt;"&amp;A582))</f>
        <v/>
      </c>
      <c r="M582">
        <f>IF(N(L582)=0,0,MATCH(1,INDEX((TrocasEquip!$B$2:$B$1000=B582)*(TrocasEquip!$A$2:$A$1000=L582),0),0))</f>
        <v/>
      </c>
      <c r="N582">
        <f>IF(B582="","",IFERROR(MATCH(B582,Equipamentos!$P$2:$P$61,0),""))</f>
        <v/>
      </c>
      <c r="O582">
        <f>IF(N582="","",IF(M582=0,INDEX(Equipamentos!$U$2:$U$61,N582),L582))</f>
        <v/>
      </c>
      <c r="P582">
        <f>IF(N582="","",IF(M582=0,N(INDEX(Equipamentos!$V$2:$V$61,N582)),N(INDEX(TrocasEquip!$I$2:$I$1000,M582))))</f>
        <v/>
      </c>
      <c r="Q582">
        <f>IF(N582="","",IF(M582=0,INDEX(Equipamentos!$T$2:$T$61,N582),IF(INDEX(TrocasEquip!$H$2:$H$1000,M582)="",INDEX(Equipamentos!$T$2:$T$61,N582),INDEX(TrocasEquip!$H$2:$H$1000,M582))))</f>
        <v/>
      </c>
    </row>
    <row r="583">
      <c r="A583" s="54" t="n"/>
      <c r="B583" s="55" t="n"/>
      <c r="C583">
        <f>IF(B583="","",IF(N583="","posição não encontrada",IF(M583=0,INDEX(Equipamentos!$S$2:$S$61,N583),INDEX(TrocasEquip!$G$2:$G$1000,M583))))</f>
        <v/>
      </c>
      <c r="D583" s="56">
        <f>IF(OR(A583="",N583=""),"",P583+IF(E583="dias",MAX(0,A583-O583),IF(INDEX(Equipamentos!$D$2:$D$61,N583)=2,SUMIFS(Producao!$D:$D,Producao!$A:$A,"&gt;="&amp;O583,Producao!$A:$A,"&lt;"&amp;A583),IF(INDEX(Equipamentos!$D$2:$D$61,N583)=3,SUMIFS(Producao!$E:$E,Producao!$A:$A,"&gt;="&amp;O583,Producao!$A:$A,"&lt;"&amp;A583),SUMIFS(Producao!$B:$B,Producao!$A:$A,"&gt;="&amp;O583,Producao!$A:$A,"&lt;"&amp;A583)))))</f>
        <v/>
      </c>
      <c r="E583">
        <f>IF(N583="","",INDEX(Equipamentos!$C$2:$C$61,N583))</f>
        <v/>
      </c>
      <c r="F583" s="57">
        <f>IF(OR(D583="",N(Q583)&lt;=0),"",D583/Q583)</f>
        <v/>
      </c>
      <c r="G583" s="55" t="n"/>
      <c r="H583" s="58" t="n"/>
      <c r="I583" s="58" t="n"/>
      <c r="J583" s="55" t="n"/>
      <c r="K583" s="55" t="n"/>
      <c r="L583">
        <f>IF(OR(A583="",B583=""),"",_xlfn.MAXIFS(TrocasEquip!$A$2:$A$1000,TrocasEquip!$B$2:$B$1000,B583,TrocasEquip!$A$2:$A$1000,"&lt;"&amp;A583))</f>
        <v/>
      </c>
      <c r="M583">
        <f>IF(N(L583)=0,0,MATCH(1,INDEX((TrocasEquip!$B$2:$B$1000=B583)*(TrocasEquip!$A$2:$A$1000=L583),0),0))</f>
        <v/>
      </c>
      <c r="N583">
        <f>IF(B583="","",IFERROR(MATCH(B583,Equipamentos!$P$2:$P$61,0),""))</f>
        <v/>
      </c>
      <c r="O583">
        <f>IF(N583="","",IF(M583=0,INDEX(Equipamentos!$U$2:$U$61,N583),L583))</f>
        <v/>
      </c>
      <c r="P583">
        <f>IF(N583="","",IF(M583=0,N(INDEX(Equipamentos!$V$2:$V$61,N583)),N(INDEX(TrocasEquip!$I$2:$I$1000,M583))))</f>
        <v/>
      </c>
      <c r="Q583">
        <f>IF(N583="","",IF(M583=0,INDEX(Equipamentos!$T$2:$T$61,N583),IF(INDEX(TrocasEquip!$H$2:$H$1000,M583)="",INDEX(Equipamentos!$T$2:$T$61,N583),INDEX(TrocasEquip!$H$2:$H$1000,M583))))</f>
        <v/>
      </c>
    </row>
    <row r="584">
      <c r="A584" s="54" t="n"/>
      <c r="B584" s="55" t="n"/>
      <c r="C584">
        <f>IF(B584="","",IF(N584="","posição não encontrada",IF(M584=0,INDEX(Equipamentos!$S$2:$S$61,N584),INDEX(TrocasEquip!$G$2:$G$1000,M584))))</f>
        <v/>
      </c>
      <c r="D584" s="56">
        <f>IF(OR(A584="",N584=""),"",P584+IF(E584="dias",MAX(0,A584-O584),IF(INDEX(Equipamentos!$D$2:$D$61,N584)=2,SUMIFS(Producao!$D:$D,Producao!$A:$A,"&gt;="&amp;O584,Producao!$A:$A,"&lt;"&amp;A584),IF(INDEX(Equipamentos!$D$2:$D$61,N584)=3,SUMIFS(Producao!$E:$E,Producao!$A:$A,"&gt;="&amp;O584,Producao!$A:$A,"&lt;"&amp;A584),SUMIFS(Producao!$B:$B,Producao!$A:$A,"&gt;="&amp;O584,Producao!$A:$A,"&lt;"&amp;A584)))))</f>
        <v/>
      </c>
      <c r="E584">
        <f>IF(N584="","",INDEX(Equipamentos!$C$2:$C$61,N584))</f>
        <v/>
      </c>
      <c r="F584" s="57">
        <f>IF(OR(D584="",N(Q584)&lt;=0),"",D584/Q584)</f>
        <v/>
      </c>
      <c r="G584" s="55" t="n"/>
      <c r="H584" s="58" t="n"/>
      <c r="I584" s="58" t="n"/>
      <c r="J584" s="55" t="n"/>
      <c r="K584" s="55" t="n"/>
      <c r="L584">
        <f>IF(OR(A584="",B584=""),"",_xlfn.MAXIFS(TrocasEquip!$A$2:$A$1000,TrocasEquip!$B$2:$B$1000,B584,TrocasEquip!$A$2:$A$1000,"&lt;"&amp;A584))</f>
        <v/>
      </c>
      <c r="M584">
        <f>IF(N(L584)=0,0,MATCH(1,INDEX((TrocasEquip!$B$2:$B$1000=B584)*(TrocasEquip!$A$2:$A$1000=L584),0),0))</f>
        <v/>
      </c>
      <c r="N584">
        <f>IF(B584="","",IFERROR(MATCH(B584,Equipamentos!$P$2:$P$61,0),""))</f>
        <v/>
      </c>
      <c r="O584">
        <f>IF(N584="","",IF(M584=0,INDEX(Equipamentos!$U$2:$U$61,N584),L584))</f>
        <v/>
      </c>
      <c r="P584">
        <f>IF(N584="","",IF(M584=0,N(INDEX(Equipamentos!$V$2:$V$61,N584)),N(INDEX(TrocasEquip!$I$2:$I$1000,M584))))</f>
        <v/>
      </c>
      <c r="Q584">
        <f>IF(N584="","",IF(M584=0,INDEX(Equipamentos!$T$2:$T$61,N584),IF(INDEX(TrocasEquip!$H$2:$H$1000,M584)="",INDEX(Equipamentos!$T$2:$T$61,N584),INDEX(TrocasEquip!$H$2:$H$1000,M584))))</f>
        <v/>
      </c>
    </row>
    <row r="585">
      <c r="A585" s="54" t="n"/>
      <c r="B585" s="55" t="n"/>
      <c r="C585">
        <f>IF(B585="","",IF(N585="","posição não encontrada",IF(M585=0,INDEX(Equipamentos!$S$2:$S$61,N585),INDEX(TrocasEquip!$G$2:$G$1000,M585))))</f>
        <v/>
      </c>
      <c r="D585" s="56">
        <f>IF(OR(A585="",N585=""),"",P585+IF(E585="dias",MAX(0,A585-O585),IF(INDEX(Equipamentos!$D$2:$D$61,N585)=2,SUMIFS(Producao!$D:$D,Producao!$A:$A,"&gt;="&amp;O585,Producao!$A:$A,"&lt;"&amp;A585),IF(INDEX(Equipamentos!$D$2:$D$61,N585)=3,SUMIFS(Producao!$E:$E,Producao!$A:$A,"&gt;="&amp;O585,Producao!$A:$A,"&lt;"&amp;A585),SUMIFS(Producao!$B:$B,Producao!$A:$A,"&gt;="&amp;O585,Producao!$A:$A,"&lt;"&amp;A585)))))</f>
        <v/>
      </c>
      <c r="E585">
        <f>IF(N585="","",INDEX(Equipamentos!$C$2:$C$61,N585))</f>
        <v/>
      </c>
      <c r="F585" s="57">
        <f>IF(OR(D585="",N(Q585)&lt;=0),"",D585/Q585)</f>
        <v/>
      </c>
      <c r="G585" s="55" t="n"/>
      <c r="H585" s="58" t="n"/>
      <c r="I585" s="58" t="n"/>
      <c r="J585" s="55" t="n"/>
      <c r="K585" s="55" t="n"/>
      <c r="L585">
        <f>IF(OR(A585="",B585=""),"",_xlfn.MAXIFS(TrocasEquip!$A$2:$A$1000,TrocasEquip!$B$2:$B$1000,B585,TrocasEquip!$A$2:$A$1000,"&lt;"&amp;A585))</f>
        <v/>
      </c>
      <c r="M585">
        <f>IF(N(L585)=0,0,MATCH(1,INDEX((TrocasEquip!$B$2:$B$1000=B585)*(TrocasEquip!$A$2:$A$1000=L585),0),0))</f>
        <v/>
      </c>
      <c r="N585">
        <f>IF(B585="","",IFERROR(MATCH(B585,Equipamentos!$P$2:$P$61,0),""))</f>
        <v/>
      </c>
      <c r="O585">
        <f>IF(N585="","",IF(M585=0,INDEX(Equipamentos!$U$2:$U$61,N585),L585))</f>
        <v/>
      </c>
      <c r="P585">
        <f>IF(N585="","",IF(M585=0,N(INDEX(Equipamentos!$V$2:$V$61,N585)),N(INDEX(TrocasEquip!$I$2:$I$1000,M585))))</f>
        <v/>
      </c>
      <c r="Q585">
        <f>IF(N585="","",IF(M585=0,INDEX(Equipamentos!$T$2:$T$61,N585),IF(INDEX(TrocasEquip!$H$2:$H$1000,M585)="",INDEX(Equipamentos!$T$2:$T$61,N585),INDEX(TrocasEquip!$H$2:$H$1000,M585))))</f>
        <v/>
      </c>
    </row>
    <row r="586">
      <c r="A586" s="54" t="n"/>
      <c r="B586" s="55" t="n"/>
      <c r="C586">
        <f>IF(B586="","",IF(N586="","posição não encontrada",IF(M586=0,INDEX(Equipamentos!$S$2:$S$61,N586),INDEX(TrocasEquip!$G$2:$G$1000,M586))))</f>
        <v/>
      </c>
      <c r="D586" s="56">
        <f>IF(OR(A586="",N586=""),"",P586+IF(E586="dias",MAX(0,A586-O586),IF(INDEX(Equipamentos!$D$2:$D$61,N586)=2,SUMIFS(Producao!$D:$D,Producao!$A:$A,"&gt;="&amp;O586,Producao!$A:$A,"&lt;"&amp;A586),IF(INDEX(Equipamentos!$D$2:$D$61,N586)=3,SUMIFS(Producao!$E:$E,Producao!$A:$A,"&gt;="&amp;O586,Producao!$A:$A,"&lt;"&amp;A586),SUMIFS(Producao!$B:$B,Producao!$A:$A,"&gt;="&amp;O586,Producao!$A:$A,"&lt;"&amp;A586)))))</f>
        <v/>
      </c>
      <c r="E586">
        <f>IF(N586="","",INDEX(Equipamentos!$C$2:$C$61,N586))</f>
        <v/>
      </c>
      <c r="F586" s="57">
        <f>IF(OR(D586="",N(Q586)&lt;=0),"",D586/Q586)</f>
        <v/>
      </c>
      <c r="G586" s="55" t="n"/>
      <c r="H586" s="58" t="n"/>
      <c r="I586" s="58" t="n"/>
      <c r="J586" s="55" t="n"/>
      <c r="K586" s="55" t="n"/>
      <c r="L586">
        <f>IF(OR(A586="",B586=""),"",_xlfn.MAXIFS(TrocasEquip!$A$2:$A$1000,TrocasEquip!$B$2:$B$1000,B586,TrocasEquip!$A$2:$A$1000,"&lt;"&amp;A586))</f>
        <v/>
      </c>
      <c r="M586">
        <f>IF(N(L586)=0,0,MATCH(1,INDEX((TrocasEquip!$B$2:$B$1000=B586)*(TrocasEquip!$A$2:$A$1000=L586),0),0))</f>
        <v/>
      </c>
      <c r="N586">
        <f>IF(B586="","",IFERROR(MATCH(B586,Equipamentos!$P$2:$P$61,0),""))</f>
        <v/>
      </c>
      <c r="O586">
        <f>IF(N586="","",IF(M586=0,INDEX(Equipamentos!$U$2:$U$61,N586),L586))</f>
        <v/>
      </c>
      <c r="P586">
        <f>IF(N586="","",IF(M586=0,N(INDEX(Equipamentos!$V$2:$V$61,N586)),N(INDEX(TrocasEquip!$I$2:$I$1000,M586))))</f>
        <v/>
      </c>
      <c r="Q586">
        <f>IF(N586="","",IF(M586=0,INDEX(Equipamentos!$T$2:$T$61,N586),IF(INDEX(TrocasEquip!$H$2:$H$1000,M586)="",INDEX(Equipamentos!$T$2:$T$61,N586),INDEX(TrocasEquip!$H$2:$H$1000,M586))))</f>
        <v/>
      </c>
    </row>
    <row r="587">
      <c r="A587" s="54" t="n"/>
      <c r="B587" s="55" t="n"/>
      <c r="C587">
        <f>IF(B587="","",IF(N587="","posição não encontrada",IF(M587=0,INDEX(Equipamentos!$S$2:$S$61,N587),INDEX(TrocasEquip!$G$2:$G$1000,M587))))</f>
        <v/>
      </c>
      <c r="D587" s="56">
        <f>IF(OR(A587="",N587=""),"",P587+IF(E587="dias",MAX(0,A587-O587),IF(INDEX(Equipamentos!$D$2:$D$61,N587)=2,SUMIFS(Producao!$D:$D,Producao!$A:$A,"&gt;="&amp;O587,Producao!$A:$A,"&lt;"&amp;A587),IF(INDEX(Equipamentos!$D$2:$D$61,N587)=3,SUMIFS(Producao!$E:$E,Producao!$A:$A,"&gt;="&amp;O587,Producao!$A:$A,"&lt;"&amp;A587),SUMIFS(Producao!$B:$B,Producao!$A:$A,"&gt;="&amp;O587,Producao!$A:$A,"&lt;"&amp;A587)))))</f>
        <v/>
      </c>
      <c r="E587">
        <f>IF(N587="","",INDEX(Equipamentos!$C$2:$C$61,N587))</f>
        <v/>
      </c>
      <c r="F587" s="57">
        <f>IF(OR(D587="",N(Q587)&lt;=0),"",D587/Q587)</f>
        <v/>
      </c>
      <c r="G587" s="55" t="n"/>
      <c r="H587" s="58" t="n"/>
      <c r="I587" s="58" t="n"/>
      <c r="J587" s="55" t="n"/>
      <c r="K587" s="55" t="n"/>
      <c r="L587">
        <f>IF(OR(A587="",B587=""),"",_xlfn.MAXIFS(TrocasEquip!$A$2:$A$1000,TrocasEquip!$B$2:$B$1000,B587,TrocasEquip!$A$2:$A$1000,"&lt;"&amp;A587))</f>
        <v/>
      </c>
      <c r="M587">
        <f>IF(N(L587)=0,0,MATCH(1,INDEX((TrocasEquip!$B$2:$B$1000=B587)*(TrocasEquip!$A$2:$A$1000=L587),0),0))</f>
        <v/>
      </c>
      <c r="N587">
        <f>IF(B587="","",IFERROR(MATCH(B587,Equipamentos!$P$2:$P$61,0),""))</f>
        <v/>
      </c>
      <c r="O587">
        <f>IF(N587="","",IF(M587=0,INDEX(Equipamentos!$U$2:$U$61,N587),L587))</f>
        <v/>
      </c>
      <c r="P587">
        <f>IF(N587="","",IF(M587=0,N(INDEX(Equipamentos!$V$2:$V$61,N587)),N(INDEX(TrocasEquip!$I$2:$I$1000,M587))))</f>
        <v/>
      </c>
      <c r="Q587">
        <f>IF(N587="","",IF(M587=0,INDEX(Equipamentos!$T$2:$T$61,N587),IF(INDEX(TrocasEquip!$H$2:$H$1000,M587)="",INDEX(Equipamentos!$T$2:$T$61,N587),INDEX(TrocasEquip!$H$2:$H$1000,M587))))</f>
        <v/>
      </c>
    </row>
    <row r="588">
      <c r="A588" s="54" t="n"/>
      <c r="B588" s="55" t="n"/>
      <c r="C588">
        <f>IF(B588="","",IF(N588="","posição não encontrada",IF(M588=0,INDEX(Equipamentos!$S$2:$S$61,N588),INDEX(TrocasEquip!$G$2:$G$1000,M588))))</f>
        <v/>
      </c>
      <c r="D588" s="56">
        <f>IF(OR(A588="",N588=""),"",P588+IF(E588="dias",MAX(0,A588-O588),IF(INDEX(Equipamentos!$D$2:$D$61,N588)=2,SUMIFS(Producao!$D:$D,Producao!$A:$A,"&gt;="&amp;O588,Producao!$A:$A,"&lt;"&amp;A588),IF(INDEX(Equipamentos!$D$2:$D$61,N588)=3,SUMIFS(Producao!$E:$E,Producao!$A:$A,"&gt;="&amp;O588,Producao!$A:$A,"&lt;"&amp;A588),SUMIFS(Producao!$B:$B,Producao!$A:$A,"&gt;="&amp;O588,Producao!$A:$A,"&lt;"&amp;A588)))))</f>
        <v/>
      </c>
      <c r="E588">
        <f>IF(N588="","",INDEX(Equipamentos!$C$2:$C$61,N588))</f>
        <v/>
      </c>
      <c r="F588" s="57">
        <f>IF(OR(D588="",N(Q588)&lt;=0),"",D588/Q588)</f>
        <v/>
      </c>
      <c r="G588" s="55" t="n"/>
      <c r="H588" s="58" t="n"/>
      <c r="I588" s="58" t="n"/>
      <c r="J588" s="55" t="n"/>
      <c r="K588" s="55" t="n"/>
      <c r="L588">
        <f>IF(OR(A588="",B588=""),"",_xlfn.MAXIFS(TrocasEquip!$A$2:$A$1000,TrocasEquip!$B$2:$B$1000,B588,TrocasEquip!$A$2:$A$1000,"&lt;"&amp;A588))</f>
        <v/>
      </c>
      <c r="M588">
        <f>IF(N(L588)=0,0,MATCH(1,INDEX((TrocasEquip!$B$2:$B$1000=B588)*(TrocasEquip!$A$2:$A$1000=L588),0),0))</f>
        <v/>
      </c>
      <c r="N588">
        <f>IF(B588="","",IFERROR(MATCH(B588,Equipamentos!$P$2:$P$61,0),""))</f>
        <v/>
      </c>
      <c r="O588">
        <f>IF(N588="","",IF(M588=0,INDEX(Equipamentos!$U$2:$U$61,N588),L588))</f>
        <v/>
      </c>
      <c r="P588">
        <f>IF(N588="","",IF(M588=0,N(INDEX(Equipamentos!$V$2:$V$61,N588)),N(INDEX(TrocasEquip!$I$2:$I$1000,M588))))</f>
        <v/>
      </c>
      <c r="Q588">
        <f>IF(N588="","",IF(M588=0,INDEX(Equipamentos!$T$2:$T$61,N588),IF(INDEX(TrocasEquip!$H$2:$H$1000,M588)="",INDEX(Equipamentos!$T$2:$T$61,N588),INDEX(TrocasEquip!$H$2:$H$1000,M588))))</f>
        <v/>
      </c>
    </row>
    <row r="589">
      <c r="A589" s="54" t="n"/>
      <c r="B589" s="55" t="n"/>
      <c r="C589">
        <f>IF(B589="","",IF(N589="","posição não encontrada",IF(M589=0,INDEX(Equipamentos!$S$2:$S$61,N589),INDEX(TrocasEquip!$G$2:$G$1000,M589))))</f>
        <v/>
      </c>
      <c r="D589" s="56">
        <f>IF(OR(A589="",N589=""),"",P589+IF(E589="dias",MAX(0,A589-O589),IF(INDEX(Equipamentos!$D$2:$D$61,N589)=2,SUMIFS(Producao!$D:$D,Producao!$A:$A,"&gt;="&amp;O589,Producao!$A:$A,"&lt;"&amp;A589),IF(INDEX(Equipamentos!$D$2:$D$61,N589)=3,SUMIFS(Producao!$E:$E,Producao!$A:$A,"&gt;="&amp;O589,Producao!$A:$A,"&lt;"&amp;A589),SUMIFS(Producao!$B:$B,Producao!$A:$A,"&gt;="&amp;O589,Producao!$A:$A,"&lt;"&amp;A589)))))</f>
        <v/>
      </c>
      <c r="E589">
        <f>IF(N589="","",INDEX(Equipamentos!$C$2:$C$61,N589))</f>
        <v/>
      </c>
      <c r="F589" s="57">
        <f>IF(OR(D589="",N(Q589)&lt;=0),"",D589/Q589)</f>
        <v/>
      </c>
      <c r="G589" s="55" t="n"/>
      <c r="H589" s="58" t="n"/>
      <c r="I589" s="58" t="n"/>
      <c r="J589" s="55" t="n"/>
      <c r="K589" s="55" t="n"/>
      <c r="L589">
        <f>IF(OR(A589="",B589=""),"",_xlfn.MAXIFS(TrocasEquip!$A$2:$A$1000,TrocasEquip!$B$2:$B$1000,B589,TrocasEquip!$A$2:$A$1000,"&lt;"&amp;A589))</f>
        <v/>
      </c>
      <c r="M589">
        <f>IF(N(L589)=0,0,MATCH(1,INDEX((TrocasEquip!$B$2:$B$1000=B589)*(TrocasEquip!$A$2:$A$1000=L589),0),0))</f>
        <v/>
      </c>
      <c r="N589">
        <f>IF(B589="","",IFERROR(MATCH(B589,Equipamentos!$P$2:$P$61,0),""))</f>
        <v/>
      </c>
      <c r="O589">
        <f>IF(N589="","",IF(M589=0,INDEX(Equipamentos!$U$2:$U$61,N589),L589))</f>
        <v/>
      </c>
      <c r="P589">
        <f>IF(N589="","",IF(M589=0,N(INDEX(Equipamentos!$V$2:$V$61,N589)),N(INDEX(TrocasEquip!$I$2:$I$1000,M589))))</f>
        <v/>
      </c>
      <c r="Q589">
        <f>IF(N589="","",IF(M589=0,INDEX(Equipamentos!$T$2:$T$61,N589),IF(INDEX(TrocasEquip!$H$2:$H$1000,M589)="",INDEX(Equipamentos!$T$2:$T$61,N589),INDEX(TrocasEquip!$H$2:$H$1000,M589))))</f>
        <v/>
      </c>
    </row>
    <row r="590">
      <c r="A590" s="54" t="n"/>
      <c r="B590" s="55" t="n"/>
      <c r="C590">
        <f>IF(B590="","",IF(N590="","posição não encontrada",IF(M590=0,INDEX(Equipamentos!$S$2:$S$61,N590),INDEX(TrocasEquip!$G$2:$G$1000,M590))))</f>
        <v/>
      </c>
      <c r="D590" s="56">
        <f>IF(OR(A590="",N590=""),"",P590+IF(E590="dias",MAX(0,A590-O590),IF(INDEX(Equipamentos!$D$2:$D$61,N590)=2,SUMIFS(Producao!$D:$D,Producao!$A:$A,"&gt;="&amp;O590,Producao!$A:$A,"&lt;"&amp;A590),IF(INDEX(Equipamentos!$D$2:$D$61,N590)=3,SUMIFS(Producao!$E:$E,Producao!$A:$A,"&gt;="&amp;O590,Producao!$A:$A,"&lt;"&amp;A590),SUMIFS(Producao!$B:$B,Producao!$A:$A,"&gt;="&amp;O590,Producao!$A:$A,"&lt;"&amp;A590)))))</f>
        <v/>
      </c>
      <c r="E590">
        <f>IF(N590="","",INDEX(Equipamentos!$C$2:$C$61,N590))</f>
        <v/>
      </c>
      <c r="F590" s="57">
        <f>IF(OR(D590="",N(Q590)&lt;=0),"",D590/Q590)</f>
        <v/>
      </c>
      <c r="G590" s="55" t="n"/>
      <c r="H590" s="58" t="n"/>
      <c r="I590" s="58" t="n"/>
      <c r="J590" s="55" t="n"/>
      <c r="K590" s="55" t="n"/>
      <c r="L590">
        <f>IF(OR(A590="",B590=""),"",_xlfn.MAXIFS(TrocasEquip!$A$2:$A$1000,TrocasEquip!$B$2:$B$1000,B590,TrocasEquip!$A$2:$A$1000,"&lt;"&amp;A590))</f>
        <v/>
      </c>
      <c r="M590">
        <f>IF(N(L590)=0,0,MATCH(1,INDEX((TrocasEquip!$B$2:$B$1000=B590)*(TrocasEquip!$A$2:$A$1000=L590),0),0))</f>
        <v/>
      </c>
      <c r="N590">
        <f>IF(B590="","",IFERROR(MATCH(B590,Equipamentos!$P$2:$P$61,0),""))</f>
        <v/>
      </c>
      <c r="O590">
        <f>IF(N590="","",IF(M590=0,INDEX(Equipamentos!$U$2:$U$61,N590),L590))</f>
        <v/>
      </c>
      <c r="P590">
        <f>IF(N590="","",IF(M590=0,N(INDEX(Equipamentos!$V$2:$V$61,N590)),N(INDEX(TrocasEquip!$I$2:$I$1000,M590))))</f>
        <v/>
      </c>
      <c r="Q590">
        <f>IF(N590="","",IF(M590=0,INDEX(Equipamentos!$T$2:$T$61,N590),IF(INDEX(TrocasEquip!$H$2:$H$1000,M590)="",INDEX(Equipamentos!$T$2:$T$61,N590),INDEX(TrocasEquip!$H$2:$H$1000,M590))))</f>
        <v/>
      </c>
    </row>
    <row r="591">
      <c r="A591" s="54" t="n"/>
      <c r="B591" s="55" t="n"/>
      <c r="C591">
        <f>IF(B591="","",IF(N591="","posição não encontrada",IF(M591=0,INDEX(Equipamentos!$S$2:$S$61,N591),INDEX(TrocasEquip!$G$2:$G$1000,M591))))</f>
        <v/>
      </c>
      <c r="D591" s="56">
        <f>IF(OR(A591="",N591=""),"",P591+IF(E591="dias",MAX(0,A591-O591),IF(INDEX(Equipamentos!$D$2:$D$61,N591)=2,SUMIFS(Producao!$D:$D,Producao!$A:$A,"&gt;="&amp;O591,Producao!$A:$A,"&lt;"&amp;A591),IF(INDEX(Equipamentos!$D$2:$D$61,N591)=3,SUMIFS(Producao!$E:$E,Producao!$A:$A,"&gt;="&amp;O591,Producao!$A:$A,"&lt;"&amp;A591),SUMIFS(Producao!$B:$B,Producao!$A:$A,"&gt;="&amp;O591,Producao!$A:$A,"&lt;"&amp;A591)))))</f>
        <v/>
      </c>
      <c r="E591">
        <f>IF(N591="","",INDEX(Equipamentos!$C$2:$C$61,N591))</f>
        <v/>
      </c>
      <c r="F591" s="57">
        <f>IF(OR(D591="",N(Q591)&lt;=0),"",D591/Q591)</f>
        <v/>
      </c>
      <c r="G591" s="55" t="n"/>
      <c r="H591" s="58" t="n"/>
      <c r="I591" s="58" t="n"/>
      <c r="J591" s="55" t="n"/>
      <c r="K591" s="55" t="n"/>
      <c r="L591">
        <f>IF(OR(A591="",B591=""),"",_xlfn.MAXIFS(TrocasEquip!$A$2:$A$1000,TrocasEquip!$B$2:$B$1000,B591,TrocasEquip!$A$2:$A$1000,"&lt;"&amp;A591))</f>
        <v/>
      </c>
      <c r="M591">
        <f>IF(N(L591)=0,0,MATCH(1,INDEX((TrocasEquip!$B$2:$B$1000=B591)*(TrocasEquip!$A$2:$A$1000=L591),0),0))</f>
        <v/>
      </c>
      <c r="N591">
        <f>IF(B591="","",IFERROR(MATCH(B591,Equipamentos!$P$2:$P$61,0),""))</f>
        <v/>
      </c>
      <c r="O591">
        <f>IF(N591="","",IF(M591=0,INDEX(Equipamentos!$U$2:$U$61,N591),L591))</f>
        <v/>
      </c>
      <c r="P591">
        <f>IF(N591="","",IF(M591=0,N(INDEX(Equipamentos!$V$2:$V$61,N591)),N(INDEX(TrocasEquip!$I$2:$I$1000,M591))))</f>
        <v/>
      </c>
      <c r="Q591">
        <f>IF(N591="","",IF(M591=0,INDEX(Equipamentos!$T$2:$T$61,N591),IF(INDEX(TrocasEquip!$H$2:$H$1000,M591)="",INDEX(Equipamentos!$T$2:$T$61,N591),INDEX(TrocasEquip!$H$2:$H$1000,M591))))</f>
        <v/>
      </c>
    </row>
    <row r="592">
      <c r="A592" s="54" t="n"/>
      <c r="B592" s="55" t="n"/>
      <c r="C592">
        <f>IF(B592="","",IF(N592="","posição não encontrada",IF(M592=0,INDEX(Equipamentos!$S$2:$S$61,N592),INDEX(TrocasEquip!$G$2:$G$1000,M592))))</f>
        <v/>
      </c>
      <c r="D592" s="56">
        <f>IF(OR(A592="",N592=""),"",P592+IF(E592="dias",MAX(0,A592-O592),IF(INDEX(Equipamentos!$D$2:$D$61,N592)=2,SUMIFS(Producao!$D:$D,Producao!$A:$A,"&gt;="&amp;O592,Producao!$A:$A,"&lt;"&amp;A592),IF(INDEX(Equipamentos!$D$2:$D$61,N592)=3,SUMIFS(Producao!$E:$E,Producao!$A:$A,"&gt;="&amp;O592,Producao!$A:$A,"&lt;"&amp;A592),SUMIFS(Producao!$B:$B,Producao!$A:$A,"&gt;="&amp;O592,Producao!$A:$A,"&lt;"&amp;A592)))))</f>
        <v/>
      </c>
      <c r="E592">
        <f>IF(N592="","",INDEX(Equipamentos!$C$2:$C$61,N592))</f>
        <v/>
      </c>
      <c r="F592" s="57">
        <f>IF(OR(D592="",N(Q592)&lt;=0),"",D592/Q592)</f>
        <v/>
      </c>
      <c r="G592" s="55" t="n"/>
      <c r="H592" s="58" t="n"/>
      <c r="I592" s="58" t="n"/>
      <c r="J592" s="55" t="n"/>
      <c r="K592" s="55" t="n"/>
      <c r="L592">
        <f>IF(OR(A592="",B592=""),"",_xlfn.MAXIFS(TrocasEquip!$A$2:$A$1000,TrocasEquip!$B$2:$B$1000,B592,TrocasEquip!$A$2:$A$1000,"&lt;"&amp;A592))</f>
        <v/>
      </c>
      <c r="M592">
        <f>IF(N(L592)=0,0,MATCH(1,INDEX((TrocasEquip!$B$2:$B$1000=B592)*(TrocasEquip!$A$2:$A$1000=L592),0),0))</f>
        <v/>
      </c>
      <c r="N592">
        <f>IF(B592="","",IFERROR(MATCH(B592,Equipamentos!$P$2:$P$61,0),""))</f>
        <v/>
      </c>
      <c r="O592">
        <f>IF(N592="","",IF(M592=0,INDEX(Equipamentos!$U$2:$U$61,N592),L592))</f>
        <v/>
      </c>
      <c r="P592">
        <f>IF(N592="","",IF(M592=0,N(INDEX(Equipamentos!$V$2:$V$61,N592)),N(INDEX(TrocasEquip!$I$2:$I$1000,M592))))</f>
        <v/>
      </c>
      <c r="Q592">
        <f>IF(N592="","",IF(M592=0,INDEX(Equipamentos!$T$2:$T$61,N592),IF(INDEX(TrocasEquip!$H$2:$H$1000,M592)="",INDEX(Equipamentos!$T$2:$T$61,N592),INDEX(TrocasEquip!$H$2:$H$1000,M592))))</f>
        <v/>
      </c>
    </row>
    <row r="593">
      <c r="A593" s="54" t="n"/>
      <c r="B593" s="55" t="n"/>
      <c r="C593">
        <f>IF(B593="","",IF(N593="","posição não encontrada",IF(M593=0,INDEX(Equipamentos!$S$2:$S$61,N593),INDEX(TrocasEquip!$G$2:$G$1000,M593))))</f>
        <v/>
      </c>
      <c r="D593" s="56">
        <f>IF(OR(A593="",N593=""),"",P593+IF(E593="dias",MAX(0,A593-O593),IF(INDEX(Equipamentos!$D$2:$D$61,N593)=2,SUMIFS(Producao!$D:$D,Producao!$A:$A,"&gt;="&amp;O593,Producao!$A:$A,"&lt;"&amp;A593),IF(INDEX(Equipamentos!$D$2:$D$61,N593)=3,SUMIFS(Producao!$E:$E,Producao!$A:$A,"&gt;="&amp;O593,Producao!$A:$A,"&lt;"&amp;A593),SUMIFS(Producao!$B:$B,Producao!$A:$A,"&gt;="&amp;O593,Producao!$A:$A,"&lt;"&amp;A593)))))</f>
        <v/>
      </c>
      <c r="E593">
        <f>IF(N593="","",INDEX(Equipamentos!$C$2:$C$61,N593))</f>
        <v/>
      </c>
      <c r="F593" s="57">
        <f>IF(OR(D593="",N(Q593)&lt;=0),"",D593/Q593)</f>
        <v/>
      </c>
      <c r="G593" s="55" t="n"/>
      <c r="H593" s="58" t="n"/>
      <c r="I593" s="58" t="n"/>
      <c r="J593" s="55" t="n"/>
      <c r="K593" s="55" t="n"/>
      <c r="L593">
        <f>IF(OR(A593="",B593=""),"",_xlfn.MAXIFS(TrocasEquip!$A$2:$A$1000,TrocasEquip!$B$2:$B$1000,B593,TrocasEquip!$A$2:$A$1000,"&lt;"&amp;A593))</f>
        <v/>
      </c>
      <c r="M593">
        <f>IF(N(L593)=0,0,MATCH(1,INDEX((TrocasEquip!$B$2:$B$1000=B593)*(TrocasEquip!$A$2:$A$1000=L593),0),0))</f>
        <v/>
      </c>
      <c r="N593">
        <f>IF(B593="","",IFERROR(MATCH(B593,Equipamentos!$P$2:$P$61,0),""))</f>
        <v/>
      </c>
      <c r="O593">
        <f>IF(N593="","",IF(M593=0,INDEX(Equipamentos!$U$2:$U$61,N593),L593))</f>
        <v/>
      </c>
      <c r="P593">
        <f>IF(N593="","",IF(M593=0,N(INDEX(Equipamentos!$V$2:$V$61,N593)),N(INDEX(TrocasEquip!$I$2:$I$1000,M593))))</f>
        <v/>
      </c>
      <c r="Q593">
        <f>IF(N593="","",IF(M593=0,INDEX(Equipamentos!$T$2:$T$61,N593),IF(INDEX(TrocasEquip!$H$2:$H$1000,M593)="",INDEX(Equipamentos!$T$2:$T$61,N593),INDEX(TrocasEquip!$H$2:$H$1000,M593))))</f>
        <v/>
      </c>
    </row>
    <row r="594">
      <c r="A594" s="54" t="n"/>
      <c r="B594" s="55" t="n"/>
      <c r="C594">
        <f>IF(B594="","",IF(N594="","posição não encontrada",IF(M594=0,INDEX(Equipamentos!$S$2:$S$61,N594),INDEX(TrocasEquip!$G$2:$G$1000,M594))))</f>
        <v/>
      </c>
      <c r="D594" s="56">
        <f>IF(OR(A594="",N594=""),"",P594+IF(E594="dias",MAX(0,A594-O594),IF(INDEX(Equipamentos!$D$2:$D$61,N594)=2,SUMIFS(Producao!$D:$D,Producao!$A:$A,"&gt;="&amp;O594,Producao!$A:$A,"&lt;"&amp;A594),IF(INDEX(Equipamentos!$D$2:$D$61,N594)=3,SUMIFS(Producao!$E:$E,Producao!$A:$A,"&gt;="&amp;O594,Producao!$A:$A,"&lt;"&amp;A594),SUMIFS(Producao!$B:$B,Producao!$A:$A,"&gt;="&amp;O594,Producao!$A:$A,"&lt;"&amp;A594)))))</f>
        <v/>
      </c>
      <c r="E594">
        <f>IF(N594="","",INDEX(Equipamentos!$C$2:$C$61,N594))</f>
        <v/>
      </c>
      <c r="F594" s="57">
        <f>IF(OR(D594="",N(Q594)&lt;=0),"",D594/Q594)</f>
        <v/>
      </c>
      <c r="G594" s="55" t="n"/>
      <c r="H594" s="58" t="n"/>
      <c r="I594" s="58" t="n"/>
      <c r="J594" s="55" t="n"/>
      <c r="K594" s="55" t="n"/>
      <c r="L594">
        <f>IF(OR(A594="",B594=""),"",_xlfn.MAXIFS(TrocasEquip!$A$2:$A$1000,TrocasEquip!$B$2:$B$1000,B594,TrocasEquip!$A$2:$A$1000,"&lt;"&amp;A594))</f>
        <v/>
      </c>
      <c r="M594">
        <f>IF(N(L594)=0,0,MATCH(1,INDEX((TrocasEquip!$B$2:$B$1000=B594)*(TrocasEquip!$A$2:$A$1000=L594),0),0))</f>
        <v/>
      </c>
      <c r="N594">
        <f>IF(B594="","",IFERROR(MATCH(B594,Equipamentos!$P$2:$P$61,0),""))</f>
        <v/>
      </c>
      <c r="O594">
        <f>IF(N594="","",IF(M594=0,INDEX(Equipamentos!$U$2:$U$61,N594),L594))</f>
        <v/>
      </c>
      <c r="P594">
        <f>IF(N594="","",IF(M594=0,N(INDEX(Equipamentos!$V$2:$V$61,N594)),N(INDEX(TrocasEquip!$I$2:$I$1000,M594))))</f>
        <v/>
      </c>
      <c r="Q594">
        <f>IF(N594="","",IF(M594=0,INDEX(Equipamentos!$T$2:$T$61,N594),IF(INDEX(TrocasEquip!$H$2:$H$1000,M594)="",INDEX(Equipamentos!$T$2:$T$61,N594),INDEX(TrocasEquip!$H$2:$H$1000,M594))))</f>
        <v/>
      </c>
    </row>
    <row r="595">
      <c r="A595" s="54" t="n"/>
      <c r="B595" s="55" t="n"/>
      <c r="C595">
        <f>IF(B595="","",IF(N595="","posição não encontrada",IF(M595=0,INDEX(Equipamentos!$S$2:$S$61,N595),INDEX(TrocasEquip!$G$2:$G$1000,M595))))</f>
        <v/>
      </c>
      <c r="D595" s="56">
        <f>IF(OR(A595="",N595=""),"",P595+IF(E595="dias",MAX(0,A595-O595),IF(INDEX(Equipamentos!$D$2:$D$61,N595)=2,SUMIFS(Producao!$D:$D,Producao!$A:$A,"&gt;="&amp;O595,Producao!$A:$A,"&lt;"&amp;A595),IF(INDEX(Equipamentos!$D$2:$D$61,N595)=3,SUMIFS(Producao!$E:$E,Producao!$A:$A,"&gt;="&amp;O595,Producao!$A:$A,"&lt;"&amp;A595),SUMIFS(Producao!$B:$B,Producao!$A:$A,"&gt;="&amp;O595,Producao!$A:$A,"&lt;"&amp;A595)))))</f>
        <v/>
      </c>
      <c r="E595">
        <f>IF(N595="","",INDEX(Equipamentos!$C$2:$C$61,N595))</f>
        <v/>
      </c>
      <c r="F595" s="57">
        <f>IF(OR(D595="",N(Q595)&lt;=0),"",D595/Q595)</f>
        <v/>
      </c>
      <c r="G595" s="55" t="n"/>
      <c r="H595" s="58" t="n"/>
      <c r="I595" s="58" t="n"/>
      <c r="J595" s="55" t="n"/>
      <c r="K595" s="55" t="n"/>
      <c r="L595">
        <f>IF(OR(A595="",B595=""),"",_xlfn.MAXIFS(TrocasEquip!$A$2:$A$1000,TrocasEquip!$B$2:$B$1000,B595,TrocasEquip!$A$2:$A$1000,"&lt;"&amp;A595))</f>
        <v/>
      </c>
      <c r="M595">
        <f>IF(N(L595)=0,0,MATCH(1,INDEX((TrocasEquip!$B$2:$B$1000=B595)*(TrocasEquip!$A$2:$A$1000=L595),0),0))</f>
        <v/>
      </c>
      <c r="N595">
        <f>IF(B595="","",IFERROR(MATCH(B595,Equipamentos!$P$2:$P$61,0),""))</f>
        <v/>
      </c>
      <c r="O595">
        <f>IF(N595="","",IF(M595=0,INDEX(Equipamentos!$U$2:$U$61,N595),L595))</f>
        <v/>
      </c>
      <c r="P595">
        <f>IF(N595="","",IF(M595=0,N(INDEX(Equipamentos!$V$2:$V$61,N595)),N(INDEX(TrocasEquip!$I$2:$I$1000,M595))))</f>
        <v/>
      </c>
      <c r="Q595">
        <f>IF(N595="","",IF(M595=0,INDEX(Equipamentos!$T$2:$T$61,N595),IF(INDEX(TrocasEquip!$H$2:$H$1000,M595)="",INDEX(Equipamentos!$T$2:$T$61,N595),INDEX(TrocasEquip!$H$2:$H$1000,M595))))</f>
        <v/>
      </c>
    </row>
    <row r="596">
      <c r="A596" s="54" t="n"/>
      <c r="B596" s="55" t="n"/>
      <c r="C596">
        <f>IF(B596="","",IF(N596="","posição não encontrada",IF(M596=0,INDEX(Equipamentos!$S$2:$S$61,N596),INDEX(TrocasEquip!$G$2:$G$1000,M596))))</f>
        <v/>
      </c>
      <c r="D596" s="56">
        <f>IF(OR(A596="",N596=""),"",P596+IF(E596="dias",MAX(0,A596-O596),IF(INDEX(Equipamentos!$D$2:$D$61,N596)=2,SUMIFS(Producao!$D:$D,Producao!$A:$A,"&gt;="&amp;O596,Producao!$A:$A,"&lt;"&amp;A596),IF(INDEX(Equipamentos!$D$2:$D$61,N596)=3,SUMIFS(Producao!$E:$E,Producao!$A:$A,"&gt;="&amp;O596,Producao!$A:$A,"&lt;"&amp;A596),SUMIFS(Producao!$B:$B,Producao!$A:$A,"&gt;="&amp;O596,Producao!$A:$A,"&lt;"&amp;A596)))))</f>
        <v/>
      </c>
      <c r="E596">
        <f>IF(N596="","",INDEX(Equipamentos!$C$2:$C$61,N596))</f>
        <v/>
      </c>
      <c r="F596" s="57">
        <f>IF(OR(D596="",N(Q596)&lt;=0),"",D596/Q596)</f>
        <v/>
      </c>
      <c r="G596" s="55" t="n"/>
      <c r="H596" s="58" t="n"/>
      <c r="I596" s="58" t="n"/>
      <c r="J596" s="55" t="n"/>
      <c r="K596" s="55" t="n"/>
      <c r="L596">
        <f>IF(OR(A596="",B596=""),"",_xlfn.MAXIFS(TrocasEquip!$A$2:$A$1000,TrocasEquip!$B$2:$B$1000,B596,TrocasEquip!$A$2:$A$1000,"&lt;"&amp;A596))</f>
        <v/>
      </c>
      <c r="M596">
        <f>IF(N(L596)=0,0,MATCH(1,INDEX((TrocasEquip!$B$2:$B$1000=B596)*(TrocasEquip!$A$2:$A$1000=L596),0),0))</f>
        <v/>
      </c>
      <c r="N596">
        <f>IF(B596="","",IFERROR(MATCH(B596,Equipamentos!$P$2:$P$61,0),""))</f>
        <v/>
      </c>
      <c r="O596">
        <f>IF(N596="","",IF(M596=0,INDEX(Equipamentos!$U$2:$U$61,N596),L596))</f>
        <v/>
      </c>
      <c r="P596">
        <f>IF(N596="","",IF(M596=0,N(INDEX(Equipamentos!$V$2:$V$61,N596)),N(INDEX(TrocasEquip!$I$2:$I$1000,M596))))</f>
        <v/>
      </c>
      <c r="Q596">
        <f>IF(N596="","",IF(M596=0,INDEX(Equipamentos!$T$2:$T$61,N596),IF(INDEX(TrocasEquip!$H$2:$H$1000,M596)="",INDEX(Equipamentos!$T$2:$T$61,N596),INDEX(TrocasEquip!$H$2:$H$1000,M596))))</f>
        <v/>
      </c>
    </row>
    <row r="597">
      <c r="A597" s="54" t="n"/>
      <c r="B597" s="55" t="n"/>
      <c r="C597">
        <f>IF(B597="","",IF(N597="","posição não encontrada",IF(M597=0,INDEX(Equipamentos!$S$2:$S$61,N597),INDEX(TrocasEquip!$G$2:$G$1000,M597))))</f>
        <v/>
      </c>
      <c r="D597" s="56">
        <f>IF(OR(A597="",N597=""),"",P597+IF(E597="dias",MAX(0,A597-O597),IF(INDEX(Equipamentos!$D$2:$D$61,N597)=2,SUMIFS(Producao!$D:$D,Producao!$A:$A,"&gt;="&amp;O597,Producao!$A:$A,"&lt;"&amp;A597),IF(INDEX(Equipamentos!$D$2:$D$61,N597)=3,SUMIFS(Producao!$E:$E,Producao!$A:$A,"&gt;="&amp;O597,Producao!$A:$A,"&lt;"&amp;A597),SUMIFS(Producao!$B:$B,Producao!$A:$A,"&gt;="&amp;O597,Producao!$A:$A,"&lt;"&amp;A597)))))</f>
        <v/>
      </c>
      <c r="E597">
        <f>IF(N597="","",INDEX(Equipamentos!$C$2:$C$61,N597))</f>
        <v/>
      </c>
      <c r="F597" s="57">
        <f>IF(OR(D597="",N(Q597)&lt;=0),"",D597/Q597)</f>
        <v/>
      </c>
      <c r="G597" s="55" t="n"/>
      <c r="H597" s="58" t="n"/>
      <c r="I597" s="58" t="n"/>
      <c r="J597" s="55" t="n"/>
      <c r="K597" s="55" t="n"/>
      <c r="L597">
        <f>IF(OR(A597="",B597=""),"",_xlfn.MAXIFS(TrocasEquip!$A$2:$A$1000,TrocasEquip!$B$2:$B$1000,B597,TrocasEquip!$A$2:$A$1000,"&lt;"&amp;A597))</f>
        <v/>
      </c>
      <c r="M597">
        <f>IF(N(L597)=0,0,MATCH(1,INDEX((TrocasEquip!$B$2:$B$1000=B597)*(TrocasEquip!$A$2:$A$1000=L597),0),0))</f>
        <v/>
      </c>
      <c r="N597">
        <f>IF(B597="","",IFERROR(MATCH(B597,Equipamentos!$P$2:$P$61,0),""))</f>
        <v/>
      </c>
      <c r="O597">
        <f>IF(N597="","",IF(M597=0,INDEX(Equipamentos!$U$2:$U$61,N597),L597))</f>
        <v/>
      </c>
      <c r="P597">
        <f>IF(N597="","",IF(M597=0,N(INDEX(Equipamentos!$V$2:$V$61,N597)),N(INDEX(TrocasEquip!$I$2:$I$1000,M597))))</f>
        <v/>
      </c>
      <c r="Q597">
        <f>IF(N597="","",IF(M597=0,INDEX(Equipamentos!$T$2:$T$61,N597),IF(INDEX(TrocasEquip!$H$2:$H$1000,M597)="",INDEX(Equipamentos!$T$2:$T$61,N597),INDEX(TrocasEquip!$H$2:$H$1000,M597))))</f>
        <v/>
      </c>
    </row>
    <row r="598">
      <c r="A598" s="54" t="n"/>
      <c r="B598" s="55" t="n"/>
      <c r="C598">
        <f>IF(B598="","",IF(N598="","posição não encontrada",IF(M598=0,INDEX(Equipamentos!$S$2:$S$61,N598),INDEX(TrocasEquip!$G$2:$G$1000,M598))))</f>
        <v/>
      </c>
      <c r="D598" s="56">
        <f>IF(OR(A598="",N598=""),"",P598+IF(E598="dias",MAX(0,A598-O598),IF(INDEX(Equipamentos!$D$2:$D$61,N598)=2,SUMIFS(Producao!$D:$D,Producao!$A:$A,"&gt;="&amp;O598,Producao!$A:$A,"&lt;"&amp;A598),IF(INDEX(Equipamentos!$D$2:$D$61,N598)=3,SUMIFS(Producao!$E:$E,Producao!$A:$A,"&gt;="&amp;O598,Producao!$A:$A,"&lt;"&amp;A598),SUMIFS(Producao!$B:$B,Producao!$A:$A,"&gt;="&amp;O598,Producao!$A:$A,"&lt;"&amp;A598)))))</f>
        <v/>
      </c>
      <c r="E598">
        <f>IF(N598="","",INDEX(Equipamentos!$C$2:$C$61,N598))</f>
        <v/>
      </c>
      <c r="F598" s="57">
        <f>IF(OR(D598="",N(Q598)&lt;=0),"",D598/Q598)</f>
        <v/>
      </c>
      <c r="G598" s="55" t="n"/>
      <c r="H598" s="58" t="n"/>
      <c r="I598" s="58" t="n"/>
      <c r="J598" s="55" t="n"/>
      <c r="K598" s="55" t="n"/>
      <c r="L598">
        <f>IF(OR(A598="",B598=""),"",_xlfn.MAXIFS(TrocasEquip!$A$2:$A$1000,TrocasEquip!$B$2:$B$1000,B598,TrocasEquip!$A$2:$A$1000,"&lt;"&amp;A598))</f>
        <v/>
      </c>
      <c r="M598">
        <f>IF(N(L598)=0,0,MATCH(1,INDEX((TrocasEquip!$B$2:$B$1000=B598)*(TrocasEquip!$A$2:$A$1000=L598),0),0))</f>
        <v/>
      </c>
      <c r="N598">
        <f>IF(B598="","",IFERROR(MATCH(B598,Equipamentos!$P$2:$P$61,0),""))</f>
        <v/>
      </c>
      <c r="O598">
        <f>IF(N598="","",IF(M598=0,INDEX(Equipamentos!$U$2:$U$61,N598),L598))</f>
        <v/>
      </c>
      <c r="P598">
        <f>IF(N598="","",IF(M598=0,N(INDEX(Equipamentos!$V$2:$V$61,N598)),N(INDEX(TrocasEquip!$I$2:$I$1000,M598))))</f>
        <v/>
      </c>
      <c r="Q598">
        <f>IF(N598="","",IF(M598=0,INDEX(Equipamentos!$T$2:$T$61,N598),IF(INDEX(TrocasEquip!$H$2:$H$1000,M598)="",INDEX(Equipamentos!$T$2:$T$61,N598),INDEX(TrocasEquip!$H$2:$H$1000,M598))))</f>
        <v/>
      </c>
    </row>
    <row r="599">
      <c r="A599" s="54" t="n"/>
      <c r="B599" s="55" t="n"/>
      <c r="C599">
        <f>IF(B599="","",IF(N599="","posição não encontrada",IF(M599=0,INDEX(Equipamentos!$S$2:$S$61,N599),INDEX(TrocasEquip!$G$2:$G$1000,M599))))</f>
        <v/>
      </c>
      <c r="D599" s="56">
        <f>IF(OR(A599="",N599=""),"",P599+IF(E599="dias",MAX(0,A599-O599),IF(INDEX(Equipamentos!$D$2:$D$61,N599)=2,SUMIFS(Producao!$D:$D,Producao!$A:$A,"&gt;="&amp;O599,Producao!$A:$A,"&lt;"&amp;A599),IF(INDEX(Equipamentos!$D$2:$D$61,N599)=3,SUMIFS(Producao!$E:$E,Producao!$A:$A,"&gt;="&amp;O599,Producao!$A:$A,"&lt;"&amp;A599),SUMIFS(Producao!$B:$B,Producao!$A:$A,"&gt;="&amp;O599,Producao!$A:$A,"&lt;"&amp;A599)))))</f>
        <v/>
      </c>
      <c r="E599">
        <f>IF(N599="","",INDEX(Equipamentos!$C$2:$C$61,N599))</f>
        <v/>
      </c>
      <c r="F599" s="57">
        <f>IF(OR(D599="",N(Q599)&lt;=0),"",D599/Q599)</f>
        <v/>
      </c>
      <c r="G599" s="55" t="n"/>
      <c r="H599" s="58" t="n"/>
      <c r="I599" s="58" t="n"/>
      <c r="J599" s="55" t="n"/>
      <c r="K599" s="55" t="n"/>
      <c r="L599">
        <f>IF(OR(A599="",B599=""),"",_xlfn.MAXIFS(TrocasEquip!$A$2:$A$1000,TrocasEquip!$B$2:$B$1000,B599,TrocasEquip!$A$2:$A$1000,"&lt;"&amp;A599))</f>
        <v/>
      </c>
      <c r="M599">
        <f>IF(N(L599)=0,0,MATCH(1,INDEX((TrocasEquip!$B$2:$B$1000=B599)*(TrocasEquip!$A$2:$A$1000=L599),0),0))</f>
        <v/>
      </c>
      <c r="N599">
        <f>IF(B599="","",IFERROR(MATCH(B599,Equipamentos!$P$2:$P$61,0),""))</f>
        <v/>
      </c>
      <c r="O599">
        <f>IF(N599="","",IF(M599=0,INDEX(Equipamentos!$U$2:$U$61,N599),L599))</f>
        <v/>
      </c>
      <c r="P599">
        <f>IF(N599="","",IF(M599=0,N(INDEX(Equipamentos!$V$2:$V$61,N599)),N(INDEX(TrocasEquip!$I$2:$I$1000,M599))))</f>
        <v/>
      </c>
      <c r="Q599">
        <f>IF(N599="","",IF(M599=0,INDEX(Equipamentos!$T$2:$T$61,N599),IF(INDEX(TrocasEquip!$H$2:$H$1000,M599)="",INDEX(Equipamentos!$T$2:$T$61,N599),INDEX(TrocasEquip!$H$2:$H$1000,M599))))</f>
        <v/>
      </c>
    </row>
    <row r="600">
      <c r="A600" s="54" t="n"/>
      <c r="B600" s="55" t="n"/>
      <c r="C600">
        <f>IF(B600="","",IF(N600="","posição não encontrada",IF(M600=0,INDEX(Equipamentos!$S$2:$S$61,N600),INDEX(TrocasEquip!$G$2:$G$1000,M600))))</f>
        <v/>
      </c>
      <c r="D600" s="56">
        <f>IF(OR(A600="",N600=""),"",P600+IF(E600="dias",MAX(0,A600-O600),IF(INDEX(Equipamentos!$D$2:$D$61,N600)=2,SUMIFS(Producao!$D:$D,Producao!$A:$A,"&gt;="&amp;O600,Producao!$A:$A,"&lt;"&amp;A600),IF(INDEX(Equipamentos!$D$2:$D$61,N600)=3,SUMIFS(Producao!$E:$E,Producao!$A:$A,"&gt;="&amp;O600,Producao!$A:$A,"&lt;"&amp;A600),SUMIFS(Producao!$B:$B,Producao!$A:$A,"&gt;="&amp;O600,Producao!$A:$A,"&lt;"&amp;A600)))))</f>
        <v/>
      </c>
      <c r="E600">
        <f>IF(N600="","",INDEX(Equipamentos!$C$2:$C$61,N600))</f>
        <v/>
      </c>
      <c r="F600" s="57">
        <f>IF(OR(D600="",N(Q600)&lt;=0),"",D600/Q600)</f>
        <v/>
      </c>
      <c r="G600" s="55" t="n"/>
      <c r="H600" s="58" t="n"/>
      <c r="I600" s="58" t="n"/>
      <c r="J600" s="55" t="n"/>
      <c r="K600" s="55" t="n"/>
      <c r="L600">
        <f>IF(OR(A600="",B600=""),"",_xlfn.MAXIFS(TrocasEquip!$A$2:$A$1000,TrocasEquip!$B$2:$B$1000,B600,TrocasEquip!$A$2:$A$1000,"&lt;"&amp;A600))</f>
        <v/>
      </c>
      <c r="M600">
        <f>IF(N(L600)=0,0,MATCH(1,INDEX((TrocasEquip!$B$2:$B$1000=B600)*(TrocasEquip!$A$2:$A$1000=L600),0),0))</f>
        <v/>
      </c>
      <c r="N600">
        <f>IF(B600="","",IFERROR(MATCH(B600,Equipamentos!$P$2:$P$61,0),""))</f>
        <v/>
      </c>
      <c r="O600">
        <f>IF(N600="","",IF(M600=0,INDEX(Equipamentos!$U$2:$U$61,N600),L600))</f>
        <v/>
      </c>
      <c r="P600">
        <f>IF(N600="","",IF(M600=0,N(INDEX(Equipamentos!$V$2:$V$61,N600)),N(INDEX(TrocasEquip!$I$2:$I$1000,M600))))</f>
        <v/>
      </c>
      <c r="Q600">
        <f>IF(N600="","",IF(M600=0,INDEX(Equipamentos!$T$2:$T$61,N600),IF(INDEX(TrocasEquip!$H$2:$H$1000,M600)="",INDEX(Equipamentos!$T$2:$T$61,N600),INDEX(TrocasEquip!$H$2:$H$1000,M600))))</f>
        <v/>
      </c>
    </row>
    <row r="601">
      <c r="A601" s="54" t="n"/>
      <c r="B601" s="55" t="n"/>
      <c r="C601">
        <f>IF(B601="","",IF(N601="","posição não encontrada",IF(M601=0,INDEX(Equipamentos!$S$2:$S$61,N601),INDEX(TrocasEquip!$G$2:$G$1000,M601))))</f>
        <v/>
      </c>
      <c r="D601" s="56">
        <f>IF(OR(A601="",N601=""),"",P601+IF(E601="dias",MAX(0,A601-O601),IF(INDEX(Equipamentos!$D$2:$D$61,N601)=2,SUMIFS(Producao!$D:$D,Producao!$A:$A,"&gt;="&amp;O601,Producao!$A:$A,"&lt;"&amp;A601),IF(INDEX(Equipamentos!$D$2:$D$61,N601)=3,SUMIFS(Producao!$E:$E,Producao!$A:$A,"&gt;="&amp;O601,Producao!$A:$A,"&lt;"&amp;A601),SUMIFS(Producao!$B:$B,Producao!$A:$A,"&gt;="&amp;O601,Producao!$A:$A,"&lt;"&amp;A601)))))</f>
        <v/>
      </c>
      <c r="E601">
        <f>IF(N601="","",INDEX(Equipamentos!$C$2:$C$61,N601))</f>
        <v/>
      </c>
      <c r="F601" s="57">
        <f>IF(OR(D601="",N(Q601)&lt;=0),"",D601/Q601)</f>
        <v/>
      </c>
      <c r="G601" s="55" t="n"/>
      <c r="H601" s="58" t="n"/>
      <c r="I601" s="58" t="n"/>
      <c r="J601" s="55" t="n"/>
      <c r="K601" s="55" t="n"/>
      <c r="L601">
        <f>IF(OR(A601="",B601=""),"",_xlfn.MAXIFS(TrocasEquip!$A$2:$A$1000,TrocasEquip!$B$2:$B$1000,B601,TrocasEquip!$A$2:$A$1000,"&lt;"&amp;A601))</f>
        <v/>
      </c>
      <c r="M601">
        <f>IF(N(L601)=0,0,MATCH(1,INDEX((TrocasEquip!$B$2:$B$1000=B601)*(TrocasEquip!$A$2:$A$1000=L601),0),0))</f>
        <v/>
      </c>
      <c r="N601">
        <f>IF(B601="","",IFERROR(MATCH(B601,Equipamentos!$P$2:$P$61,0),""))</f>
        <v/>
      </c>
      <c r="O601">
        <f>IF(N601="","",IF(M601=0,INDEX(Equipamentos!$U$2:$U$61,N601),L601))</f>
        <v/>
      </c>
      <c r="P601">
        <f>IF(N601="","",IF(M601=0,N(INDEX(Equipamentos!$V$2:$V$61,N601)),N(INDEX(TrocasEquip!$I$2:$I$1000,M601))))</f>
        <v/>
      </c>
      <c r="Q601">
        <f>IF(N601="","",IF(M601=0,INDEX(Equipamentos!$T$2:$T$61,N601),IF(INDEX(TrocasEquip!$H$2:$H$1000,M601)="",INDEX(Equipamentos!$T$2:$T$61,N601),INDEX(TrocasEquip!$H$2:$H$1000,M601))))</f>
        <v/>
      </c>
    </row>
    <row r="602">
      <c r="A602" s="54" t="n"/>
      <c r="B602" s="55" t="n"/>
      <c r="C602">
        <f>IF(B602="","",IF(N602="","posição não encontrada",IF(M602=0,INDEX(Equipamentos!$S$2:$S$61,N602),INDEX(TrocasEquip!$G$2:$G$1000,M602))))</f>
        <v/>
      </c>
      <c r="D602" s="56">
        <f>IF(OR(A602="",N602=""),"",P602+IF(E602="dias",MAX(0,A602-O602),IF(INDEX(Equipamentos!$D$2:$D$61,N602)=2,SUMIFS(Producao!$D:$D,Producao!$A:$A,"&gt;="&amp;O602,Producao!$A:$A,"&lt;"&amp;A602),IF(INDEX(Equipamentos!$D$2:$D$61,N602)=3,SUMIFS(Producao!$E:$E,Producao!$A:$A,"&gt;="&amp;O602,Producao!$A:$A,"&lt;"&amp;A602),SUMIFS(Producao!$B:$B,Producao!$A:$A,"&gt;="&amp;O602,Producao!$A:$A,"&lt;"&amp;A602)))))</f>
        <v/>
      </c>
      <c r="E602">
        <f>IF(N602="","",INDEX(Equipamentos!$C$2:$C$61,N602))</f>
        <v/>
      </c>
      <c r="F602" s="57">
        <f>IF(OR(D602="",N(Q602)&lt;=0),"",D602/Q602)</f>
        <v/>
      </c>
      <c r="G602" s="55" t="n"/>
      <c r="H602" s="58" t="n"/>
      <c r="I602" s="58" t="n"/>
      <c r="J602" s="55" t="n"/>
      <c r="K602" s="55" t="n"/>
      <c r="L602">
        <f>IF(OR(A602="",B602=""),"",_xlfn.MAXIFS(TrocasEquip!$A$2:$A$1000,TrocasEquip!$B$2:$B$1000,B602,TrocasEquip!$A$2:$A$1000,"&lt;"&amp;A602))</f>
        <v/>
      </c>
      <c r="M602">
        <f>IF(N(L602)=0,0,MATCH(1,INDEX((TrocasEquip!$B$2:$B$1000=B602)*(TrocasEquip!$A$2:$A$1000=L602),0),0))</f>
        <v/>
      </c>
      <c r="N602">
        <f>IF(B602="","",IFERROR(MATCH(B602,Equipamentos!$P$2:$P$61,0),""))</f>
        <v/>
      </c>
      <c r="O602">
        <f>IF(N602="","",IF(M602=0,INDEX(Equipamentos!$U$2:$U$61,N602),L602))</f>
        <v/>
      </c>
      <c r="P602">
        <f>IF(N602="","",IF(M602=0,N(INDEX(Equipamentos!$V$2:$V$61,N602)),N(INDEX(TrocasEquip!$I$2:$I$1000,M602))))</f>
        <v/>
      </c>
      <c r="Q602">
        <f>IF(N602="","",IF(M602=0,INDEX(Equipamentos!$T$2:$T$61,N602),IF(INDEX(TrocasEquip!$H$2:$H$1000,M602)="",INDEX(Equipamentos!$T$2:$T$61,N602),INDEX(TrocasEquip!$H$2:$H$1000,M602))))</f>
        <v/>
      </c>
    </row>
    <row r="603">
      <c r="A603" s="54" t="n"/>
      <c r="B603" s="55" t="n"/>
      <c r="C603">
        <f>IF(B603="","",IF(N603="","posição não encontrada",IF(M603=0,INDEX(Equipamentos!$S$2:$S$61,N603),INDEX(TrocasEquip!$G$2:$G$1000,M603))))</f>
        <v/>
      </c>
      <c r="D603" s="56">
        <f>IF(OR(A603="",N603=""),"",P603+IF(E603="dias",MAX(0,A603-O603),IF(INDEX(Equipamentos!$D$2:$D$61,N603)=2,SUMIFS(Producao!$D:$D,Producao!$A:$A,"&gt;="&amp;O603,Producao!$A:$A,"&lt;"&amp;A603),IF(INDEX(Equipamentos!$D$2:$D$61,N603)=3,SUMIFS(Producao!$E:$E,Producao!$A:$A,"&gt;="&amp;O603,Producao!$A:$A,"&lt;"&amp;A603),SUMIFS(Producao!$B:$B,Producao!$A:$A,"&gt;="&amp;O603,Producao!$A:$A,"&lt;"&amp;A603)))))</f>
        <v/>
      </c>
      <c r="E603">
        <f>IF(N603="","",INDEX(Equipamentos!$C$2:$C$61,N603))</f>
        <v/>
      </c>
      <c r="F603" s="57">
        <f>IF(OR(D603="",N(Q603)&lt;=0),"",D603/Q603)</f>
        <v/>
      </c>
      <c r="G603" s="55" t="n"/>
      <c r="H603" s="58" t="n"/>
      <c r="I603" s="58" t="n"/>
      <c r="J603" s="55" t="n"/>
      <c r="K603" s="55" t="n"/>
      <c r="L603">
        <f>IF(OR(A603="",B603=""),"",_xlfn.MAXIFS(TrocasEquip!$A$2:$A$1000,TrocasEquip!$B$2:$B$1000,B603,TrocasEquip!$A$2:$A$1000,"&lt;"&amp;A603))</f>
        <v/>
      </c>
      <c r="M603">
        <f>IF(N(L603)=0,0,MATCH(1,INDEX((TrocasEquip!$B$2:$B$1000=B603)*(TrocasEquip!$A$2:$A$1000=L603),0),0))</f>
        <v/>
      </c>
      <c r="N603">
        <f>IF(B603="","",IFERROR(MATCH(B603,Equipamentos!$P$2:$P$61,0),""))</f>
        <v/>
      </c>
      <c r="O603">
        <f>IF(N603="","",IF(M603=0,INDEX(Equipamentos!$U$2:$U$61,N603),L603))</f>
        <v/>
      </c>
      <c r="P603">
        <f>IF(N603="","",IF(M603=0,N(INDEX(Equipamentos!$V$2:$V$61,N603)),N(INDEX(TrocasEquip!$I$2:$I$1000,M603))))</f>
        <v/>
      </c>
      <c r="Q603">
        <f>IF(N603="","",IF(M603=0,INDEX(Equipamentos!$T$2:$T$61,N603),IF(INDEX(TrocasEquip!$H$2:$H$1000,M603)="",INDEX(Equipamentos!$T$2:$T$61,N603),INDEX(TrocasEquip!$H$2:$H$1000,M603))))</f>
        <v/>
      </c>
    </row>
    <row r="604">
      <c r="A604" s="54" t="n"/>
      <c r="B604" s="55" t="n"/>
      <c r="C604">
        <f>IF(B604="","",IF(N604="","posição não encontrada",IF(M604=0,INDEX(Equipamentos!$S$2:$S$61,N604),INDEX(TrocasEquip!$G$2:$G$1000,M604))))</f>
        <v/>
      </c>
      <c r="D604" s="56">
        <f>IF(OR(A604="",N604=""),"",P604+IF(E604="dias",MAX(0,A604-O604),IF(INDEX(Equipamentos!$D$2:$D$61,N604)=2,SUMIFS(Producao!$D:$D,Producao!$A:$A,"&gt;="&amp;O604,Producao!$A:$A,"&lt;"&amp;A604),IF(INDEX(Equipamentos!$D$2:$D$61,N604)=3,SUMIFS(Producao!$E:$E,Producao!$A:$A,"&gt;="&amp;O604,Producao!$A:$A,"&lt;"&amp;A604),SUMIFS(Producao!$B:$B,Producao!$A:$A,"&gt;="&amp;O604,Producao!$A:$A,"&lt;"&amp;A604)))))</f>
        <v/>
      </c>
      <c r="E604">
        <f>IF(N604="","",INDEX(Equipamentos!$C$2:$C$61,N604))</f>
        <v/>
      </c>
      <c r="F604" s="57">
        <f>IF(OR(D604="",N(Q604)&lt;=0),"",D604/Q604)</f>
        <v/>
      </c>
      <c r="G604" s="55" t="n"/>
      <c r="H604" s="58" t="n"/>
      <c r="I604" s="58" t="n"/>
      <c r="J604" s="55" t="n"/>
      <c r="K604" s="55" t="n"/>
      <c r="L604">
        <f>IF(OR(A604="",B604=""),"",_xlfn.MAXIFS(TrocasEquip!$A$2:$A$1000,TrocasEquip!$B$2:$B$1000,B604,TrocasEquip!$A$2:$A$1000,"&lt;"&amp;A604))</f>
        <v/>
      </c>
      <c r="M604">
        <f>IF(N(L604)=0,0,MATCH(1,INDEX((TrocasEquip!$B$2:$B$1000=B604)*(TrocasEquip!$A$2:$A$1000=L604),0),0))</f>
        <v/>
      </c>
      <c r="N604">
        <f>IF(B604="","",IFERROR(MATCH(B604,Equipamentos!$P$2:$P$61,0),""))</f>
        <v/>
      </c>
      <c r="O604">
        <f>IF(N604="","",IF(M604=0,INDEX(Equipamentos!$U$2:$U$61,N604),L604))</f>
        <v/>
      </c>
      <c r="P604">
        <f>IF(N604="","",IF(M604=0,N(INDEX(Equipamentos!$V$2:$V$61,N604)),N(INDEX(TrocasEquip!$I$2:$I$1000,M604))))</f>
        <v/>
      </c>
      <c r="Q604">
        <f>IF(N604="","",IF(M604=0,INDEX(Equipamentos!$T$2:$T$61,N604),IF(INDEX(TrocasEquip!$H$2:$H$1000,M604)="",INDEX(Equipamentos!$T$2:$T$61,N604),INDEX(TrocasEquip!$H$2:$H$1000,M604))))</f>
        <v/>
      </c>
    </row>
    <row r="605">
      <c r="A605" s="54" t="n"/>
      <c r="B605" s="55" t="n"/>
      <c r="C605">
        <f>IF(B605="","",IF(N605="","posição não encontrada",IF(M605=0,INDEX(Equipamentos!$S$2:$S$61,N605),INDEX(TrocasEquip!$G$2:$G$1000,M605))))</f>
        <v/>
      </c>
      <c r="D605" s="56">
        <f>IF(OR(A605="",N605=""),"",P605+IF(E605="dias",MAX(0,A605-O605),IF(INDEX(Equipamentos!$D$2:$D$61,N605)=2,SUMIFS(Producao!$D:$D,Producao!$A:$A,"&gt;="&amp;O605,Producao!$A:$A,"&lt;"&amp;A605),IF(INDEX(Equipamentos!$D$2:$D$61,N605)=3,SUMIFS(Producao!$E:$E,Producao!$A:$A,"&gt;="&amp;O605,Producao!$A:$A,"&lt;"&amp;A605),SUMIFS(Producao!$B:$B,Producao!$A:$A,"&gt;="&amp;O605,Producao!$A:$A,"&lt;"&amp;A605)))))</f>
        <v/>
      </c>
      <c r="E605">
        <f>IF(N605="","",INDEX(Equipamentos!$C$2:$C$61,N605))</f>
        <v/>
      </c>
      <c r="F605" s="57">
        <f>IF(OR(D605="",N(Q605)&lt;=0),"",D605/Q605)</f>
        <v/>
      </c>
      <c r="G605" s="55" t="n"/>
      <c r="H605" s="58" t="n"/>
      <c r="I605" s="58" t="n"/>
      <c r="J605" s="55" t="n"/>
      <c r="K605" s="55" t="n"/>
      <c r="L605">
        <f>IF(OR(A605="",B605=""),"",_xlfn.MAXIFS(TrocasEquip!$A$2:$A$1000,TrocasEquip!$B$2:$B$1000,B605,TrocasEquip!$A$2:$A$1000,"&lt;"&amp;A605))</f>
        <v/>
      </c>
      <c r="M605">
        <f>IF(N(L605)=0,0,MATCH(1,INDEX((TrocasEquip!$B$2:$B$1000=B605)*(TrocasEquip!$A$2:$A$1000=L605),0),0))</f>
        <v/>
      </c>
      <c r="N605">
        <f>IF(B605="","",IFERROR(MATCH(B605,Equipamentos!$P$2:$P$61,0),""))</f>
        <v/>
      </c>
      <c r="O605">
        <f>IF(N605="","",IF(M605=0,INDEX(Equipamentos!$U$2:$U$61,N605),L605))</f>
        <v/>
      </c>
      <c r="P605">
        <f>IF(N605="","",IF(M605=0,N(INDEX(Equipamentos!$V$2:$V$61,N605)),N(INDEX(TrocasEquip!$I$2:$I$1000,M605))))</f>
        <v/>
      </c>
      <c r="Q605">
        <f>IF(N605="","",IF(M605=0,INDEX(Equipamentos!$T$2:$T$61,N605),IF(INDEX(TrocasEquip!$H$2:$H$1000,M605)="",INDEX(Equipamentos!$T$2:$T$61,N605),INDEX(TrocasEquip!$H$2:$H$1000,M605))))</f>
        <v/>
      </c>
    </row>
    <row r="606">
      <c r="A606" s="54" t="n"/>
      <c r="B606" s="55" t="n"/>
      <c r="C606">
        <f>IF(B606="","",IF(N606="","posição não encontrada",IF(M606=0,INDEX(Equipamentos!$S$2:$S$61,N606),INDEX(TrocasEquip!$G$2:$G$1000,M606))))</f>
        <v/>
      </c>
      <c r="D606" s="56">
        <f>IF(OR(A606="",N606=""),"",P606+IF(E606="dias",MAX(0,A606-O606),IF(INDEX(Equipamentos!$D$2:$D$61,N606)=2,SUMIFS(Producao!$D:$D,Producao!$A:$A,"&gt;="&amp;O606,Producao!$A:$A,"&lt;"&amp;A606),IF(INDEX(Equipamentos!$D$2:$D$61,N606)=3,SUMIFS(Producao!$E:$E,Producao!$A:$A,"&gt;="&amp;O606,Producao!$A:$A,"&lt;"&amp;A606),SUMIFS(Producao!$B:$B,Producao!$A:$A,"&gt;="&amp;O606,Producao!$A:$A,"&lt;"&amp;A606)))))</f>
        <v/>
      </c>
      <c r="E606">
        <f>IF(N606="","",INDEX(Equipamentos!$C$2:$C$61,N606))</f>
        <v/>
      </c>
      <c r="F606" s="57">
        <f>IF(OR(D606="",N(Q606)&lt;=0),"",D606/Q606)</f>
        <v/>
      </c>
      <c r="G606" s="55" t="n"/>
      <c r="H606" s="58" t="n"/>
      <c r="I606" s="58" t="n"/>
      <c r="J606" s="55" t="n"/>
      <c r="K606" s="55" t="n"/>
      <c r="L606">
        <f>IF(OR(A606="",B606=""),"",_xlfn.MAXIFS(TrocasEquip!$A$2:$A$1000,TrocasEquip!$B$2:$B$1000,B606,TrocasEquip!$A$2:$A$1000,"&lt;"&amp;A606))</f>
        <v/>
      </c>
      <c r="M606">
        <f>IF(N(L606)=0,0,MATCH(1,INDEX((TrocasEquip!$B$2:$B$1000=B606)*(TrocasEquip!$A$2:$A$1000=L606),0),0))</f>
        <v/>
      </c>
      <c r="N606">
        <f>IF(B606="","",IFERROR(MATCH(B606,Equipamentos!$P$2:$P$61,0),""))</f>
        <v/>
      </c>
      <c r="O606">
        <f>IF(N606="","",IF(M606=0,INDEX(Equipamentos!$U$2:$U$61,N606),L606))</f>
        <v/>
      </c>
      <c r="P606">
        <f>IF(N606="","",IF(M606=0,N(INDEX(Equipamentos!$V$2:$V$61,N606)),N(INDEX(TrocasEquip!$I$2:$I$1000,M606))))</f>
        <v/>
      </c>
      <c r="Q606">
        <f>IF(N606="","",IF(M606=0,INDEX(Equipamentos!$T$2:$T$61,N606),IF(INDEX(TrocasEquip!$H$2:$H$1000,M606)="",INDEX(Equipamentos!$T$2:$T$61,N606),INDEX(TrocasEquip!$H$2:$H$1000,M606))))</f>
        <v/>
      </c>
    </row>
    <row r="607">
      <c r="A607" s="54" t="n"/>
      <c r="B607" s="55" t="n"/>
      <c r="C607">
        <f>IF(B607="","",IF(N607="","posição não encontrada",IF(M607=0,INDEX(Equipamentos!$S$2:$S$61,N607),INDEX(TrocasEquip!$G$2:$G$1000,M607))))</f>
        <v/>
      </c>
      <c r="D607" s="56">
        <f>IF(OR(A607="",N607=""),"",P607+IF(E607="dias",MAX(0,A607-O607),IF(INDEX(Equipamentos!$D$2:$D$61,N607)=2,SUMIFS(Producao!$D:$D,Producao!$A:$A,"&gt;="&amp;O607,Producao!$A:$A,"&lt;"&amp;A607),IF(INDEX(Equipamentos!$D$2:$D$61,N607)=3,SUMIFS(Producao!$E:$E,Producao!$A:$A,"&gt;="&amp;O607,Producao!$A:$A,"&lt;"&amp;A607),SUMIFS(Producao!$B:$B,Producao!$A:$A,"&gt;="&amp;O607,Producao!$A:$A,"&lt;"&amp;A607)))))</f>
        <v/>
      </c>
      <c r="E607">
        <f>IF(N607="","",INDEX(Equipamentos!$C$2:$C$61,N607))</f>
        <v/>
      </c>
      <c r="F607" s="57">
        <f>IF(OR(D607="",N(Q607)&lt;=0),"",D607/Q607)</f>
        <v/>
      </c>
      <c r="G607" s="55" t="n"/>
      <c r="H607" s="58" t="n"/>
      <c r="I607" s="58" t="n"/>
      <c r="J607" s="55" t="n"/>
      <c r="K607" s="55" t="n"/>
      <c r="L607">
        <f>IF(OR(A607="",B607=""),"",_xlfn.MAXIFS(TrocasEquip!$A$2:$A$1000,TrocasEquip!$B$2:$B$1000,B607,TrocasEquip!$A$2:$A$1000,"&lt;"&amp;A607))</f>
        <v/>
      </c>
      <c r="M607">
        <f>IF(N(L607)=0,0,MATCH(1,INDEX((TrocasEquip!$B$2:$B$1000=B607)*(TrocasEquip!$A$2:$A$1000=L607),0),0))</f>
        <v/>
      </c>
      <c r="N607">
        <f>IF(B607="","",IFERROR(MATCH(B607,Equipamentos!$P$2:$P$61,0),""))</f>
        <v/>
      </c>
      <c r="O607">
        <f>IF(N607="","",IF(M607=0,INDEX(Equipamentos!$U$2:$U$61,N607),L607))</f>
        <v/>
      </c>
      <c r="P607">
        <f>IF(N607="","",IF(M607=0,N(INDEX(Equipamentos!$V$2:$V$61,N607)),N(INDEX(TrocasEquip!$I$2:$I$1000,M607))))</f>
        <v/>
      </c>
      <c r="Q607">
        <f>IF(N607="","",IF(M607=0,INDEX(Equipamentos!$T$2:$T$61,N607),IF(INDEX(TrocasEquip!$H$2:$H$1000,M607)="",INDEX(Equipamentos!$T$2:$T$61,N607),INDEX(TrocasEquip!$H$2:$H$1000,M607))))</f>
        <v/>
      </c>
    </row>
    <row r="608">
      <c r="A608" s="54" t="n"/>
      <c r="B608" s="55" t="n"/>
      <c r="C608">
        <f>IF(B608="","",IF(N608="","posição não encontrada",IF(M608=0,INDEX(Equipamentos!$S$2:$S$61,N608),INDEX(TrocasEquip!$G$2:$G$1000,M608))))</f>
        <v/>
      </c>
      <c r="D608" s="56">
        <f>IF(OR(A608="",N608=""),"",P608+IF(E608="dias",MAX(0,A608-O608),IF(INDEX(Equipamentos!$D$2:$D$61,N608)=2,SUMIFS(Producao!$D:$D,Producao!$A:$A,"&gt;="&amp;O608,Producao!$A:$A,"&lt;"&amp;A608),IF(INDEX(Equipamentos!$D$2:$D$61,N608)=3,SUMIFS(Producao!$E:$E,Producao!$A:$A,"&gt;="&amp;O608,Producao!$A:$A,"&lt;"&amp;A608),SUMIFS(Producao!$B:$B,Producao!$A:$A,"&gt;="&amp;O608,Producao!$A:$A,"&lt;"&amp;A608)))))</f>
        <v/>
      </c>
      <c r="E608">
        <f>IF(N608="","",INDEX(Equipamentos!$C$2:$C$61,N608))</f>
        <v/>
      </c>
      <c r="F608" s="57">
        <f>IF(OR(D608="",N(Q608)&lt;=0),"",D608/Q608)</f>
        <v/>
      </c>
      <c r="G608" s="55" t="n"/>
      <c r="H608" s="58" t="n"/>
      <c r="I608" s="58" t="n"/>
      <c r="J608" s="55" t="n"/>
      <c r="K608" s="55" t="n"/>
      <c r="L608">
        <f>IF(OR(A608="",B608=""),"",_xlfn.MAXIFS(TrocasEquip!$A$2:$A$1000,TrocasEquip!$B$2:$B$1000,B608,TrocasEquip!$A$2:$A$1000,"&lt;"&amp;A608))</f>
        <v/>
      </c>
      <c r="M608">
        <f>IF(N(L608)=0,0,MATCH(1,INDEX((TrocasEquip!$B$2:$B$1000=B608)*(TrocasEquip!$A$2:$A$1000=L608),0),0))</f>
        <v/>
      </c>
      <c r="N608">
        <f>IF(B608="","",IFERROR(MATCH(B608,Equipamentos!$P$2:$P$61,0),""))</f>
        <v/>
      </c>
      <c r="O608">
        <f>IF(N608="","",IF(M608=0,INDEX(Equipamentos!$U$2:$U$61,N608),L608))</f>
        <v/>
      </c>
      <c r="P608">
        <f>IF(N608="","",IF(M608=0,N(INDEX(Equipamentos!$V$2:$V$61,N608)),N(INDEX(TrocasEquip!$I$2:$I$1000,M608))))</f>
        <v/>
      </c>
      <c r="Q608">
        <f>IF(N608="","",IF(M608=0,INDEX(Equipamentos!$T$2:$T$61,N608),IF(INDEX(TrocasEquip!$H$2:$H$1000,M608)="",INDEX(Equipamentos!$T$2:$T$61,N608),INDEX(TrocasEquip!$H$2:$H$1000,M608))))</f>
        <v/>
      </c>
    </row>
    <row r="609">
      <c r="A609" s="54" t="n"/>
      <c r="B609" s="55" t="n"/>
      <c r="C609">
        <f>IF(B609="","",IF(N609="","posição não encontrada",IF(M609=0,INDEX(Equipamentos!$S$2:$S$61,N609),INDEX(TrocasEquip!$G$2:$G$1000,M609))))</f>
        <v/>
      </c>
      <c r="D609" s="56">
        <f>IF(OR(A609="",N609=""),"",P609+IF(E609="dias",MAX(0,A609-O609),IF(INDEX(Equipamentos!$D$2:$D$61,N609)=2,SUMIFS(Producao!$D:$D,Producao!$A:$A,"&gt;="&amp;O609,Producao!$A:$A,"&lt;"&amp;A609),IF(INDEX(Equipamentos!$D$2:$D$61,N609)=3,SUMIFS(Producao!$E:$E,Producao!$A:$A,"&gt;="&amp;O609,Producao!$A:$A,"&lt;"&amp;A609),SUMIFS(Producao!$B:$B,Producao!$A:$A,"&gt;="&amp;O609,Producao!$A:$A,"&lt;"&amp;A609)))))</f>
        <v/>
      </c>
      <c r="E609">
        <f>IF(N609="","",INDEX(Equipamentos!$C$2:$C$61,N609))</f>
        <v/>
      </c>
      <c r="F609" s="57">
        <f>IF(OR(D609="",N(Q609)&lt;=0),"",D609/Q609)</f>
        <v/>
      </c>
      <c r="G609" s="55" t="n"/>
      <c r="H609" s="58" t="n"/>
      <c r="I609" s="58" t="n"/>
      <c r="J609" s="55" t="n"/>
      <c r="K609" s="55" t="n"/>
      <c r="L609">
        <f>IF(OR(A609="",B609=""),"",_xlfn.MAXIFS(TrocasEquip!$A$2:$A$1000,TrocasEquip!$B$2:$B$1000,B609,TrocasEquip!$A$2:$A$1000,"&lt;"&amp;A609))</f>
        <v/>
      </c>
      <c r="M609">
        <f>IF(N(L609)=0,0,MATCH(1,INDEX((TrocasEquip!$B$2:$B$1000=B609)*(TrocasEquip!$A$2:$A$1000=L609),0),0))</f>
        <v/>
      </c>
      <c r="N609">
        <f>IF(B609="","",IFERROR(MATCH(B609,Equipamentos!$P$2:$P$61,0),""))</f>
        <v/>
      </c>
      <c r="O609">
        <f>IF(N609="","",IF(M609=0,INDEX(Equipamentos!$U$2:$U$61,N609),L609))</f>
        <v/>
      </c>
      <c r="P609">
        <f>IF(N609="","",IF(M609=0,N(INDEX(Equipamentos!$V$2:$V$61,N609)),N(INDEX(TrocasEquip!$I$2:$I$1000,M609))))</f>
        <v/>
      </c>
      <c r="Q609">
        <f>IF(N609="","",IF(M609=0,INDEX(Equipamentos!$T$2:$T$61,N609),IF(INDEX(TrocasEquip!$H$2:$H$1000,M609)="",INDEX(Equipamentos!$T$2:$T$61,N609),INDEX(TrocasEquip!$H$2:$H$1000,M609))))</f>
        <v/>
      </c>
    </row>
    <row r="610">
      <c r="A610" s="54" t="n"/>
      <c r="B610" s="55" t="n"/>
      <c r="C610">
        <f>IF(B610="","",IF(N610="","posição não encontrada",IF(M610=0,INDEX(Equipamentos!$S$2:$S$61,N610),INDEX(TrocasEquip!$G$2:$G$1000,M610))))</f>
        <v/>
      </c>
      <c r="D610" s="56">
        <f>IF(OR(A610="",N610=""),"",P610+IF(E610="dias",MAX(0,A610-O610),IF(INDEX(Equipamentos!$D$2:$D$61,N610)=2,SUMIFS(Producao!$D:$D,Producao!$A:$A,"&gt;="&amp;O610,Producao!$A:$A,"&lt;"&amp;A610),IF(INDEX(Equipamentos!$D$2:$D$61,N610)=3,SUMIFS(Producao!$E:$E,Producao!$A:$A,"&gt;="&amp;O610,Producao!$A:$A,"&lt;"&amp;A610),SUMIFS(Producao!$B:$B,Producao!$A:$A,"&gt;="&amp;O610,Producao!$A:$A,"&lt;"&amp;A610)))))</f>
        <v/>
      </c>
      <c r="E610">
        <f>IF(N610="","",INDEX(Equipamentos!$C$2:$C$61,N610))</f>
        <v/>
      </c>
      <c r="F610" s="57">
        <f>IF(OR(D610="",N(Q610)&lt;=0),"",D610/Q610)</f>
        <v/>
      </c>
      <c r="G610" s="55" t="n"/>
      <c r="H610" s="58" t="n"/>
      <c r="I610" s="58" t="n"/>
      <c r="J610" s="55" t="n"/>
      <c r="K610" s="55" t="n"/>
      <c r="L610">
        <f>IF(OR(A610="",B610=""),"",_xlfn.MAXIFS(TrocasEquip!$A$2:$A$1000,TrocasEquip!$B$2:$B$1000,B610,TrocasEquip!$A$2:$A$1000,"&lt;"&amp;A610))</f>
        <v/>
      </c>
      <c r="M610">
        <f>IF(N(L610)=0,0,MATCH(1,INDEX((TrocasEquip!$B$2:$B$1000=B610)*(TrocasEquip!$A$2:$A$1000=L610),0),0))</f>
        <v/>
      </c>
      <c r="N610">
        <f>IF(B610="","",IFERROR(MATCH(B610,Equipamentos!$P$2:$P$61,0),""))</f>
        <v/>
      </c>
      <c r="O610">
        <f>IF(N610="","",IF(M610=0,INDEX(Equipamentos!$U$2:$U$61,N610),L610))</f>
        <v/>
      </c>
      <c r="P610">
        <f>IF(N610="","",IF(M610=0,N(INDEX(Equipamentos!$V$2:$V$61,N610)),N(INDEX(TrocasEquip!$I$2:$I$1000,M610))))</f>
        <v/>
      </c>
      <c r="Q610">
        <f>IF(N610="","",IF(M610=0,INDEX(Equipamentos!$T$2:$T$61,N610),IF(INDEX(TrocasEquip!$H$2:$H$1000,M610)="",INDEX(Equipamentos!$T$2:$T$61,N610),INDEX(TrocasEquip!$H$2:$H$1000,M610))))</f>
        <v/>
      </c>
    </row>
    <row r="611">
      <c r="A611" s="54" t="n"/>
      <c r="B611" s="55" t="n"/>
      <c r="C611">
        <f>IF(B611="","",IF(N611="","posição não encontrada",IF(M611=0,INDEX(Equipamentos!$S$2:$S$61,N611),INDEX(TrocasEquip!$G$2:$G$1000,M611))))</f>
        <v/>
      </c>
      <c r="D611" s="56">
        <f>IF(OR(A611="",N611=""),"",P611+IF(E611="dias",MAX(0,A611-O611),IF(INDEX(Equipamentos!$D$2:$D$61,N611)=2,SUMIFS(Producao!$D:$D,Producao!$A:$A,"&gt;="&amp;O611,Producao!$A:$A,"&lt;"&amp;A611),IF(INDEX(Equipamentos!$D$2:$D$61,N611)=3,SUMIFS(Producao!$E:$E,Producao!$A:$A,"&gt;="&amp;O611,Producao!$A:$A,"&lt;"&amp;A611),SUMIFS(Producao!$B:$B,Producao!$A:$A,"&gt;="&amp;O611,Producao!$A:$A,"&lt;"&amp;A611)))))</f>
        <v/>
      </c>
      <c r="E611">
        <f>IF(N611="","",INDEX(Equipamentos!$C$2:$C$61,N611))</f>
        <v/>
      </c>
      <c r="F611" s="57">
        <f>IF(OR(D611="",N(Q611)&lt;=0),"",D611/Q611)</f>
        <v/>
      </c>
      <c r="G611" s="55" t="n"/>
      <c r="H611" s="58" t="n"/>
      <c r="I611" s="58" t="n"/>
      <c r="J611" s="55" t="n"/>
      <c r="K611" s="55" t="n"/>
      <c r="L611">
        <f>IF(OR(A611="",B611=""),"",_xlfn.MAXIFS(TrocasEquip!$A$2:$A$1000,TrocasEquip!$B$2:$B$1000,B611,TrocasEquip!$A$2:$A$1000,"&lt;"&amp;A611))</f>
        <v/>
      </c>
      <c r="M611">
        <f>IF(N(L611)=0,0,MATCH(1,INDEX((TrocasEquip!$B$2:$B$1000=B611)*(TrocasEquip!$A$2:$A$1000=L611),0),0))</f>
        <v/>
      </c>
      <c r="N611">
        <f>IF(B611="","",IFERROR(MATCH(B611,Equipamentos!$P$2:$P$61,0),""))</f>
        <v/>
      </c>
      <c r="O611">
        <f>IF(N611="","",IF(M611=0,INDEX(Equipamentos!$U$2:$U$61,N611),L611))</f>
        <v/>
      </c>
      <c r="P611">
        <f>IF(N611="","",IF(M611=0,N(INDEX(Equipamentos!$V$2:$V$61,N611)),N(INDEX(TrocasEquip!$I$2:$I$1000,M611))))</f>
        <v/>
      </c>
      <c r="Q611">
        <f>IF(N611="","",IF(M611=0,INDEX(Equipamentos!$T$2:$T$61,N611),IF(INDEX(TrocasEquip!$H$2:$H$1000,M611)="",INDEX(Equipamentos!$T$2:$T$61,N611),INDEX(TrocasEquip!$H$2:$H$1000,M611))))</f>
        <v/>
      </c>
    </row>
    <row r="612">
      <c r="A612" s="54" t="n"/>
      <c r="B612" s="55" t="n"/>
      <c r="C612">
        <f>IF(B612="","",IF(N612="","posição não encontrada",IF(M612=0,INDEX(Equipamentos!$S$2:$S$61,N612),INDEX(TrocasEquip!$G$2:$G$1000,M612))))</f>
        <v/>
      </c>
      <c r="D612" s="56">
        <f>IF(OR(A612="",N612=""),"",P612+IF(E612="dias",MAX(0,A612-O612),IF(INDEX(Equipamentos!$D$2:$D$61,N612)=2,SUMIFS(Producao!$D:$D,Producao!$A:$A,"&gt;="&amp;O612,Producao!$A:$A,"&lt;"&amp;A612),IF(INDEX(Equipamentos!$D$2:$D$61,N612)=3,SUMIFS(Producao!$E:$E,Producao!$A:$A,"&gt;="&amp;O612,Producao!$A:$A,"&lt;"&amp;A612),SUMIFS(Producao!$B:$B,Producao!$A:$A,"&gt;="&amp;O612,Producao!$A:$A,"&lt;"&amp;A612)))))</f>
        <v/>
      </c>
      <c r="E612">
        <f>IF(N612="","",INDEX(Equipamentos!$C$2:$C$61,N612))</f>
        <v/>
      </c>
      <c r="F612" s="57">
        <f>IF(OR(D612="",N(Q612)&lt;=0),"",D612/Q612)</f>
        <v/>
      </c>
      <c r="G612" s="55" t="n"/>
      <c r="H612" s="58" t="n"/>
      <c r="I612" s="58" t="n"/>
      <c r="J612" s="55" t="n"/>
      <c r="K612" s="55" t="n"/>
      <c r="L612">
        <f>IF(OR(A612="",B612=""),"",_xlfn.MAXIFS(TrocasEquip!$A$2:$A$1000,TrocasEquip!$B$2:$B$1000,B612,TrocasEquip!$A$2:$A$1000,"&lt;"&amp;A612))</f>
        <v/>
      </c>
      <c r="M612">
        <f>IF(N(L612)=0,0,MATCH(1,INDEX((TrocasEquip!$B$2:$B$1000=B612)*(TrocasEquip!$A$2:$A$1000=L612),0),0))</f>
        <v/>
      </c>
      <c r="N612">
        <f>IF(B612="","",IFERROR(MATCH(B612,Equipamentos!$P$2:$P$61,0),""))</f>
        <v/>
      </c>
      <c r="O612">
        <f>IF(N612="","",IF(M612=0,INDEX(Equipamentos!$U$2:$U$61,N612),L612))</f>
        <v/>
      </c>
      <c r="P612">
        <f>IF(N612="","",IF(M612=0,N(INDEX(Equipamentos!$V$2:$V$61,N612)),N(INDEX(TrocasEquip!$I$2:$I$1000,M612))))</f>
        <v/>
      </c>
      <c r="Q612">
        <f>IF(N612="","",IF(M612=0,INDEX(Equipamentos!$T$2:$T$61,N612),IF(INDEX(TrocasEquip!$H$2:$H$1000,M612)="",INDEX(Equipamentos!$T$2:$T$61,N612),INDEX(TrocasEquip!$H$2:$H$1000,M612))))</f>
        <v/>
      </c>
    </row>
    <row r="613">
      <c r="A613" s="54" t="n"/>
      <c r="B613" s="55" t="n"/>
      <c r="C613">
        <f>IF(B613="","",IF(N613="","posição não encontrada",IF(M613=0,INDEX(Equipamentos!$S$2:$S$61,N613),INDEX(TrocasEquip!$G$2:$G$1000,M613))))</f>
        <v/>
      </c>
      <c r="D613" s="56">
        <f>IF(OR(A613="",N613=""),"",P613+IF(E613="dias",MAX(0,A613-O613),IF(INDEX(Equipamentos!$D$2:$D$61,N613)=2,SUMIFS(Producao!$D:$D,Producao!$A:$A,"&gt;="&amp;O613,Producao!$A:$A,"&lt;"&amp;A613),IF(INDEX(Equipamentos!$D$2:$D$61,N613)=3,SUMIFS(Producao!$E:$E,Producao!$A:$A,"&gt;="&amp;O613,Producao!$A:$A,"&lt;"&amp;A613),SUMIFS(Producao!$B:$B,Producao!$A:$A,"&gt;="&amp;O613,Producao!$A:$A,"&lt;"&amp;A613)))))</f>
        <v/>
      </c>
      <c r="E613">
        <f>IF(N613="","",INDEX(Equipamentos!$C$2:$C$61,N613))</f>
        <v/>
      </c>
      <c r="F613" s="57">
        <f>IF(OR(D613="",N(Q613)&lt;=0),"",D613/Q613)</f>
        <v/>
      </c>
      <c r="G613" s="55" t="n"/>
      <c r="H613" s="58" t="n"/>
      <c r="I613" s="58" t="n"/>
      <c r="J613" s="55" t="n"/>
      <c r="K613" s="55" t="n"/>
      <c r="L613">
        <f>IF(OR(A613="",B613=""),"",_xlfn.MAXIFS(TrocasEquip!$A$2:$A$1000,TrocasEquip!$B$2:$B$1000,B613,TrocasEquip!$A$2:$A$1000,"&lt;"&amp;A613))</f>
        <v/>
      </c>
      <c r="M613">
        <f>IF(N(L613)=0,0,MATCH(1,INDEX((TrocasEquip!$B$2:$B$1000=B613)*(TrocasEquip!$A$2:$A$1000=L613),0),0))</f>
        <v/>
      </c>
      <c r="N613">
        <f>IF(B613="","",IFERROR(MATCH(B613,Equipamentos!$P$2:$P$61,0),""))</f>
        <v/>
      </c>
      <c r="O613">
        <f>IF(N613="","",IF(M613=0,INDEX(Equipamentos!$U$2:$U$61,N613),L613))</f>
        <v/>
      </c>
      <c r="P613">
        <f>IF(N613="","",IF(M613=0,N(INDEX(Equipamentos!$V$2:$V$61,N613)),N(INDEX(TrocasEquip!$I$2:$I$1000,M613))))</f>
        <v/>
      </c>
      <c r="Q613">
        <f>IF(N613="","",IF(M613=0,INDEX(Equipamentos!$T$2:$T$61,N613),IF(INDEX(TrocasEquip!$H$2:$H$1000,M613)="",INDEX(Equipamentos!$T$2:$T$61,N613),INDEX(TrocasEquip!$H$2:$H$1000,M613))))</f>
        <v/>
      </c>
    </row>
    <row r="614">
      <c r="A614" s="54" t="n"/>
      <c r="B614" s="55" t="n"/>
      <c r="C614">
        <f>IF(B614="","",IF(N614="","posição não encontrada",IF(M614=0,INDEX(Equipamentos!$S$2:$S$61,N614),INDEX(TrocasEquip!$G$2:$G$1000,M614))))</f>
        <v/>
      </c>
      <c r="D614" s="56">
        <f>IF(OR(A614="",N614=""),"",P614+IF(E614="dias",MAX(0,A614-O614),IF(INDEX(Equipamentos!$D$2:$D$61,N614)=2,SUMIFS(Producao!$D:$D,Producao!$A:$A,"&gt;="&amp;O614,Producao!$A:$A,"&lt;"&amp;A614),IF(INDEX(Equipamentos!$D$2:$D$61,N614)=3,SUMIFS(Producao!$E:$E,Producao!$A:$A,"&gt;="&amp;O614,Producao!$A:$A,"&lt;"&amp;A614),SUMIFS(Producao!$B:$B,Producao!$A:$A,"&gt;="&amp;O614,Producao!$A:$A,"&lt;"&amp;A614)))))</f>
        <v/>
      </c>
      <c r="E614">
        <f>IF(N614="","",INDEX(Equipamentos!$C$2:$C$61,N614))</f>
        <v/>
      </c>
      <c r="F614" s="57">
        <f>IF(OR(D614="",N(Q614)&lt;=0),"",D614/Q614)</f>
        <v/>
      </c>
      <c r="G614" s="55" t="n"/>
      <c r="H614" s="58" t="n"/>
      <c r="I614" s="58" t="n"/>
      <c r="J614" s="55" t="n"/>
      <c r="K614" s="55" t="n"/>
      <c r="L614">
        <f>IF(OR(A614="",B614=""),"",_xlfn.MAXIFS(TrocasEquip!$A$2:$A$1000,TrocasEquip!$B$2:$B$1000,B614,TrocasEquip!$A$2:$A$1000,"&lt;"&amp;A614))</f>
        <v/>
      </c>
      <c r="M614">
        <f>IF(N(L614)=0,0,MATCH(1,INDEX((TrocasEquip!$B$2:$B$1000=B614)*(TrocasEquip!$A$2:$A$1000=L614),0),0))</f>
        <v/>
      </c>
      <c r="N614">
        <f>IF(B614="","",IFERROR(MATCH(B614,Equipamentos!$P$2:$P$61,0),""))</f>
        <v/>
      </c>
      <c r="O614">
        <f>IF(N614="","",IF(M614=0,INDEX(Equipamentos!$U$2:$U$61,N614),L614))</f>
        <v/>
      </c>
      <c r="P614">
        <f>IF(N614="","",IF(M614=0,N(INDEX(Equipamentos!$V$2:$V$61,N614)),N(INDEX(TrocasEquip!$I$2:$I$1000,M614))))</f>
        <v/>
      </c>
      <c r="Q614">
        <f>IF(N614="","",IF(M614=0,INDEX(Equipamentos!$T$2:$T$61,N614),IF(INDEX(TrocasEquip!$H$2:$H$1000,M614)="",INDEX(Equipamentos!$T$2:$T$61,N614),INDEX(TrocasEquip!$H$2:$H$1000,M614))))</f>
        <v/>
      </c>
    </row>
    <row r="615">
      <c r="A615" s="54" t="n"/>
      <c r="B615" s="55" t="n"/>
      <c r="C615">
        <f>IF(B615="","",IF(N615="","posição não encontrada",IF(M615=0,INDEX(Equipamentos!$S$2:$S$61,N615),INDEX(TrocasEquip!$G$2:$G$1000,M615))))</f>
        <v/>
      </c>
      <c r="D615" s="56">
        <f>IF(OR(A615="",N615=""),"",P615+IF(E615="dias",MAX(0,A615-O615),IF(INDEX(Equipamentos!$D$2:$D$61,N615)=2,SUMIFS(Producao!$D:$D,Producao!$A:$A,"&gt;="&amp;O615,Producao!$A:$A,"&lt;"&amp;A615),IF(INDEX(Equipamentos!$D$2:$D$61,N615)=3,SUMIFS(Producao!$E:$E,Producao!$A:$A,"&gt;="&amp;O615,Producao!$A:$A,"&lt;"&amp;A615),SUMIFS(Producao!$B:$B,Producao!$A:$A,"&gt;="&amp;O615,Producao!$A:$A,"&lt;"&amp;A615)))))</f>
        <v/>
      </c>
      <c r="E615">
        <f>IF(N615="","",INDEX(Equipamentos!$C$2:$C$61,N615))</f>
        <v/>
      </c>
      <c r="F615" s="57">
        <f>IF(OR(D615="",N(Q615)&lt;=0),"",D615/Q615)</f>
        <v/>
      </c>
      <c r="G615" s="55" t="n"/>
      <c r="H615" s="58" t="n"/>
      <c r="I615" s="58" t="n"/>
      <c r="J615" s="55" t="n"/>
      <c r="K615" s="55" t="n"/>
      <c r="L615">
        <f>IF(OR(A615="",B615=""),"",_xlfn.MAXIFS(TrocasEquip!$A$2:$A$1000,TrocasEquip!$B$2:$B$1000,B615,TrocasEquip!$A$2:$A$1000,"&lt;"&amp;A615))</f>
        <v/>
      </c>
      <c r="M615">
        <f>IF(N(L615)=0,0,MATCH(1,INDEX((TrocasEquip!$B$2:$B$1000=B615)*(TrocasEquip!$A$2:$A$1000=L615),0),0))</f>
        <v/>
      </c>
      <c r="N615">
        <f>IF(B615="","",IFERROR(MATCH(B615,Equipamentos!$P$2:$P$61,0),""))</f>
        <v/>
      </c>
      <c r="O615">
        <f>IF(N615="","",IF(M615=0,INDEX(Equipamentos!$U$2:$U$61,N615),L615))</f>
        <v/>
      </c>
      <c r="P615">
        <f>IF(N615="","",IF(M615=0,N(INDEX(Equipamentos!$V$2:$V$61,N615)),N(INDEX(TrocasEquip!$I$2:$I$1000,M615))))</f>
        <v/>
      </c>
      <c r="Q615">
        <f>IF(N615="","",IF(M615=0,INDEX(Equipamentos!$T$2:$T$61,N615),IF(INDEX(TrocasEquip!$H$2:$H$1000,M615)="",INDEX(Equipamentos!$T$2:$T$61,N615),INDEX(TrocasEquip!$H$2:$H$1000,M615))))</f>
        <v/>
      </c>
    </row>
    <row r="616">
      <c r="A616" s="54" t="n"/>
      <c r="B616" s="55" t="n"/>
      <c r="C616">
        <f>IF(B616="","",IF(N616="","posição não encontrada",IF(M616=0,INDEX(Equipamentos!$S$2:$S$61,N616),INDEX(TrocasEquip!$G$2:$G$1000,M616))))</f>
        <v/>
      </c>
      <c r="D616" s="56">
        <f>IF(OR(A616="",N616=""),"",P616+IF(E616="dias",MAX(0,A616-O616),IF(INDEX(Equipamentos!$D$2:$D$61,N616)=2,SUMIFS(Producao!$D:$D,Producao!$A:$A,"&gt;="&amp;O616,Producao!$A:$A,"&lt;"&amp;A616),IF(INDEX(Equipamentos!$D$2:$D$61,N616)=3,SUMIFS(Producao!$E:$E,Producao!$A:$A,"&gt;="&amp;O616,Producao!$A:$A,"&lt;"&amp;A616),SUMIFS(Producao!$B:$B,Producao!$A:$A,"&gt;="&amp;O616,Producao!$A:$A,"&lt;"&amp;A616)))))</f>
        <v/>
      </c>
      <c r="E616">
        <f>IF(N616="","",INDEX(Equipamentos!$C$2:$C$61,N616))</f>
        <v/>
      </c>
      <c r="F616" s="57">
        <f>IF(OR(D616="",N(Q616)&lt;=0),"",D616/Q616)</f>
        <v/>
      </c>
      <c r="G616" s="55" t="n"/>
      <c r="H616" s="58" t="n"/>
      <c r="I616" s="58" t="n"/>
      <c r="J616" s="55" t="n"/>
      <c r="K616" s="55" t="n"/>
      <c r="L616">
        <f>IF(OR(A616="",B616=""),"",_xlfn.MAXIFS(TrocasEquip!$A$2:$A$1000,TrocasEquip!$B$2:$B$1000,B616,TrocasEquip!$A$2:$A$1000,"&lt;"&amp;A616))</f>
        <v/>
      </c>
      <c r="M616">
        <f>IF(N(L616)=0,0,MATCH(1,INDEX((TrocasEquip!$B$2:$B$1000=B616)*(TrocasEquip!$A$2:$A$1000=L616),0),0))</f>
        <v/>
      </c>
      <c r="N616">
        <f>IF(B616="","",IFERROR(MATCH(B616,Equipamentos!$P$2:$P$61,0),""))</f>
        <v/>
      </c>
      <c r="O616">
        <f>IF(N616="","",IF(M616=0,INDEX(Equipamentos!$U$2:$U$61,N616),L616))</f>
        <v/>
      </c>
      <c r="P616">
        <f>IF(N616="","",IF(M616=0,N(INDEX(Equipamentos!$V$2:$V$61,N616)),N(INDEX(TrocasEquip!$I$2:$I$1000,M616))))</f>
        <v/>
      </c>
      <c r="Q616">
        <f>IF(N616="","",IF(M616=0,INDEX(Equipamentos!$T$2:$T$61,N616),IF(INDEX(TrocasEquip!$H$2:$H$1000,M616)="",INDEX(Equipamentos!$T$2:$T$61,N616),INDEX(TrocasEquip!$H$2:$H$1000,M616))))</f>
        <v/>
      </c>
    </row>
    <row r="617">
      <c r="A617" s="54" t="n"/>
      <c r="B617" s="55" t="n"/>
      <c r="C617">
        <f>IF(B617="","",IF(N617="","posição não encontrada",IF(M617=0,INDEX(Equipamentos!$S$2:$S$61,N617),INDEX(TrocasEquip!$G$2:$G$1000,M617))))</f>
        <v/>
      </c>
      <c r="D617" s="56">
        <f>IF(OR(A617="",N617=""),"",P617+IF(E617="dias",MAX(0,A617-O617),IF(INDEX(Equipamentos!$D$2:$D$61,N617)=2,SUMIFS(Producao!$D:$D,Producao!$A:$A,"&gt;="&amp;O617,Producao!$A:$A,"&lt;"&amp;A617),IF(INDEX(Equipamentos!$D$2:$D$61,N617)=3,SUMIFS(Producao!$E:$E,Producao!$A:$A,"&gt;="&amp;O617,Producao!$A:$A,"&lt;"&amp;A617),SUMIFS(Producao!$B:$B,Producao!$A:$A,"&gt;="&amp;O617,Producao!$A:$A,"&lt;"&amp;A617)))))</f>
        <v/>
      </c>
      <c r="E617">
        <f>IF(N617="","",INDEX(Equipamentos!$C$2:$C$61,N617))</f>
        <v/>
      </c>
      <c r="F617" s="57">
        <f>IF(OR(D617="",N(Q617)&lt;=0),"",D617/Q617)</f>
        <v/>
      </c>
      <c r="G617" s="55" t="n"/>
      <c r="H617" s="58" t="n"/>
      <c r="I617" s="58" t="n"/>
      <c r="J617" s="55" t="n"/>
      <c r="K617" s="55" t="n"/>
      <c r="L617">
        <f>IF(OR(A617="",B617=""),"",_xlfn.MAXIFS(TrocasEquip!$A$2:$A$1000,TrocasEquip!$B$2:$B$1000,B617,TrocasEquip!$A$2:$A$1000,"&lt;"&amp;A617))</f>
        <v/>
      </c>
      <c r="M617">
        <f>IF(N(L617)=0,0,MATCH(1,INDEX((TrocasEquip!$B$2:$B$1000=B617)*(TrocasEquip!$A$2:$A$1000=L617),0),0))</f>
        <v/>
      </c>
      <c r="N617">
        <f>IF(B617="","",IFERROR(MATCH(B617,Equipamentos!$P$2:$P$61,0),""))</f>
        <v/>
      </c>
      <c r="O617">
        <f>IF(N617="","",IF(M617=0,INDEX(Equipamentos!$U$2:$U$61,N617),L617))</f>
        <v/>
      </c>
      <c r="P617">
        <f>IF(N617="","",IF(M617=0,N(INDEX(Equipamentos!$V$2:$V$61,N617)),N(INDEX(TrocasEquip!$I$2:$I$1000,M617))))</f>
        <v/>
      </c>
      <c r="Q617">
        <f>IF(N617="","",IF(M617=0,INDEX(Equipamentos!$T$2:$T$61,N617),IF(INDEX(TrocasEquip!$H$2:$H$1000,M617)="",INDEX(Equipamentos!$T$2:$T$61,N617),INDEX(TrocasEquip!$H$2:$H$1000,M617))))</f>
        <v/>
      </c>
    </row>
    <row r="618">
      <c r="A618" s="54" t="n"/>
      <c r="B618" s="55" t="n"/>
      <c r="C618">
        <f>IF(B618="","",IF(N618="","posição não encontrada",IF(M618=0,INDEX(Equipamentos!$S$2:$S$61,N618),INDEX(TrocasEquip!$G$2:$G$1000,M618))))</f>
        <v/>
      </c>
      <c r="D618" s="56">
        <f>IF(OR(A618="",N618=""),"",P618+IF(E618="dias",MAX(0,A618-O618),IF(INDEX(Equipamentos!$D$2:$D$61,N618)=2,SUMIFS(Producao!$D:$D,Producao!$A:$A,"&gt;="&amp;O618,Producao!$A:$A,"&lt;"&amp;A618),IF(INDEX(Equipamentos!$D$2:$D$61,N618)=3,SUMIFS(Producao!$E:$E,Producao!$A:$A,"&gt;="&amp;O618,Producao!$A:$A,"&lt;"&amp;A618),SUMIFS(Producao!$B:$B,Producao!$A:$A,"&gt;="&amp;O618,Producao!$A:$A,"&lt;"&amp;A618)))))</f>
        <v/>
      </c>
      <c r="E618">
        <f>IF(N618="","",INDEX(Equipamentos!$C$2:$C$61,N618))</f>
        <v/>
      </c>
      <c r="F618" s="57">
        <f>IF(OR(D618="",N(Q618)&lt;=0),"",D618/Q618)</f>
        <v/>
      </c>
      <c r="G618" s="55" t="n"/>
      <c r="H618" s="58" t="n"/>
      <c r="I618" s="58" t="n"/>
      <c r="J618" s="55" t="n"/>
      <c r="K618" s="55" t="n"/>
      <c r="L618">
        <f>IF(OR(A618="",B618=""),"",_xlfn.MAXIFS(TrocasEquip!$A$2:$A$1000,TrocasEquip!$B$2:$B$1000,B618,TrocasEquip!$A$2:$A$1000,"&lt;"&amp;A618))</f>
        <v/>
      </c>
      <c r="M618">
        <f>IF(N(L618)=0,0,MATCH(1,INDEX((TrocasEquip!$B$2:$B$1000=B618)*(TrocasEquip!$A$2:$A$1000=L618),0),0))</f>
        <v/>
      </c>
      <c r="N618">
        <f>IF(B618="","",IFERROR(MATCH(B618,Equipamentos!$P$2:$P$61,0),""))</f>
        <v/>
      </c>
      <c r="O618">
        <f>IF(N618="","",IF(M618=0,INDEX(Equipamentos!$U$2:$U$61,N618),L618))</f>
        <v/>
      </c>
      <c r="P618">
        <f>IF(N618="","",IF(M618=0,N(INDEX(Equipamentos!$V$2:$V$61,N618)),N(INDEX(TrocasEquip!$I$2:$I$1000,M618))))</f>
        <v/>
      </c>
      <c r="Q618">
        <f>IF(N618="","",IF(M618=0,INDEX(Equipamentos!$T$2:$T$61,N618),IF(INDEX(TrocasEquip!$H$2:$H$1000,M618)="",INDEX(Equipamentos!$T$2:$T$61,N618),INDEX(TrocasEquip!$H$2:$H$1000,M618))))</f>
        <v/>
      </c>
    </row>
    <row r="619">
      <c r="A619" s="54" t="n"/>
      <c r="B619" s="55" t="n"/>
      <c r="C619">
        <f>IF(B619="","",IF(N619="","posição não encontrada",IF(M619=0,INDEX(Equipamentos!$S$2:$S$61,N619),INDEX(TrocasEquip!$G$2:$G$1000,M619))))</f>
        <v/>
      </c>
      <c r="D619" s="56">
        <f>IF(OR(A619="",N619=""),"",P619+IF(E619="dias",MAX(0,A619-O619),IF(INDEX(Equipamentos!$D$2:$D$61,N619)=2,SUMIFS(Producao!$D:$D,Producao!$A:$A,"&gt;="&amp;O619,Producao!$A:$A,"&lt;"&amp;A619),IF(INDEX(Equipamentos!$D$2:$D$61,N619)=3,SUMIFS(Producao!$E:$E,Producao!$A:$A,"&gt;="&amp;O619,Producao!$A:$A,"&lt;"&amp;A619),SUMIFS(Producao!$B:$B,Producao!$A:$A,"&gt;="&amp;O619,Producao!$A:$A,"&lt;"&amp;A619)))))</f>
        <v/>
      </c>
      <c r="E619">
        <f>IF(N619="","",INDEX(Equipamentos!$C$2:$C$61,N619))</f>
        <v/>
      </c>
      <c r="F619" s="57">
        <f>IF(OR(D619="",N(Q619)&lt;=0),"",D619/Q619)</f>
        <v/>
      </c>
      <c r="G619" s="55" t="n"/>
      <c r="H619" s="58" t="n"/>
      <c r="I619" s="58" t="n"/>
      <c r="J619" s="55" t="n"/>
      <c r="K619" s="55" t="n"/>
      <c r="L619">
        <f>IF(OR(A619="",B619=""),"",_xlfn.MAXIFS(TrocasEquip!$A$2:$A$1000,TrocasEquip!$B$2:$B$1000,B619,TrocasEquip!$A$2:$A$1000,"&lt;"&amp;A619))</f>
        <v/>
      </c>
      <c r="M619">
        <f>IF(N(L619)=0,0,MATCH(1,INDEX((TrocasEquip!$B$2:$B$1000=B619)*(TrocasEquip!$A$2:$A$1000=L619),0),0))</f>
        <v/>
      </c>
      <c r="N619">
        <f>IF(B619="","",IFERROR(MATCH(B619,Equipamentos!$P$2:$P$61,0),""))</f>
        <v/>
      </c>
      <c r="O619">
        <f>IF(N619="","",IF(M619=0,INDEX(Equipamentos!$U$2:$U$61,N619),L619))</f>
        <v/>
      </c>
      <c r="P619">
        <f>IF(N619="","",IF(M619=0,N(INDEX(Equipamentos!$V$2:$V$61,N619)),N(INDEX(TrocasEquip!$I$2:$I$1000,M619))))</f>
        <v/>
      </c>
      <c r="Q619">
        <f>IF(N619="","",IF(M619=0,INDEX(Equipamentos!$T$2:$T$61,N619),IF(INDEX(TrocasEquip!$H$2:$H$1000,M619)="",INDEX(Equipamentos!$T$2:$T$61,N619),INDEX(TrocasEquip!$H$2:$H$1000,M619))))</f>
        <v/>
      </c>
    </row>
    <row r="620">
      <c r="A620" s="54" t="n"/>
      <c r="B620" s="55" t="n"/>
      <c r="C620">
        <f>IF(B620="","",IF(N620="","posição não encontrada",IF(M620=0,INDEX(Equipamentos!$S$2:$S$61,N620),INDEX(TrocasEquip!$G$2:$G$1000,M620))))</f>
        <v/>
      </c>
      <c r="D620" s="56">
        <f>IF(OR(A620="",N620=""),"",P620+IF(E620="dias",MAX(0,A620-O620),IF(INDEX(Equipamentos!$D$2:$D$61,N620)=2,SUMIFS(Producao!$D:$D,Producao!$A:$A,"&gt;="&amp;O620,Producao!$A:$A,"&lt;"&amp;A620),IF(INDEX(Equipamentos!$D$2:$D$61,N620)=3,SUMIFS(Producao!$E:$E,Producao!$A:$A,"&gt;="&amp;O620,Producao!$A:$A,"&lt;"&amp;A620),SUMIFS(Producao!$B:$B,Producao!$A:$A,"&gt;="&amp;O620,Producao!$A:$A,"&lt;"&amp;A620)))))</f>
        <v/>
      </c>
      <c r="E620">
        <f>IF(N620="","",INDEX(Equipamentos!$C$2:$C$61,N620))</f>
        <v/>
      </c>
      <c r="F620" s="57">
        <f>IF(OR(D620="",N(Q620)&lt;=0),"",D620/Q620)</f>
        <v/>
      </c>
      <c r="G620" s="55" t="n"/>
      <c r="H620" s="58" t="n"/>
      <c r="I620" s="58" t="n"/>
      <c r="J620" s="55" t="n"/>
      <c r="K620" s="55" t="n"/>
      <c r="L620">
        <f>IF(OR(A620="",B620=""),"",_xlfn.MAXIFS(TrocasEquip!$A$2:$A$1000,TrocasEquip!$B$2:$B$1000,B620,TrocasEquip!$A$2:$A$1000,"&lt;"&amp;A620))</f>
        <v/>
      </c>
      <c r="M620">
        <f>IF(N(L620)=0,0,MATCH(1,INDEX((TrocasEquip!$B$2:$B$1000=B620)*(TrocasEquip!$A$2:$A$1000=L620),0),0))</f>
        <v/>
      </c>
      <c r="N620">
        <f>IF(B620="","",IFERROR(MATCH(B620,Equipamentos!$P$2:$P$61,0),""))</f>
        <v/>
      </c>
      <c r="O620">
        <f>IF(N620="","",IF(M620=0,INDEX(Equipamentos!$U$2:$U$61,N620),L620))</f>
        <v/>
      </c>
      <c r="P620">
        <f>IF(N620="","",IF(M620=0,N(INDEX(Equipamentos!$V$2:$V$61,N620)),N(INDEX(TrocasEquip!$I$2:$I$1000,M620))))</f>
        <v/>
      </c>
      <c r="Q620">
        <f>IF(N620="","",IF(M620=0,INDEX(Equipamentos!$T$2:$T$61,N620),IF(INDEX(TrocasEquip!$H$2:$H$1000,M620)="",INDEX(Equipamentos!$T$2:$T$61,N620),INDEX(TrocasEquip!$H$2:$H$1000,M620))))</f>
        <v/>
      </c>
    </row>
    <row r="621">
      <c r="A621" s="54" t="n"/>
      <c r="B621" s="55" t="n"/>
      <c r="C621">
        <f>IF(B621="","",IF(N621="","posição não encontrada",IF(M621=0,INDEX(Equipamentos!$S$2:$S$61,N621),INDEX(TrocasEquip!$G$2:$G$1000,M621))))</f>
        <v/>
      </c>
      <c r="D621" s="56">
        <f>IF(OR(A621="",N621=""),"",P621+IF(E621="dias",MAX(0,A621-O621),IF(INDEX(Equipamentos!$D$2:$D$61,N621)=2,SUMIFS(Producao!$D:$D,Producao!$A:$A,"&gt;="&amp;O621,Producao!$A:$A,"&lt;"&amp;A621),IF(INDEX(Equipamentos!$D$2:$D$61,N621)=3,SUMIFS(Producao!$E:$E,Producao!$A:$A,"&gt;="&amp;O621,Producao!$A:$A,"&lt;"&amp;A621),SUMIFS(Producao!$B:$B,Producao!$A:$A,"&gt;="&amp;O621,Producao!$A:$A,"&lt;"&amp;A621)))))</f>
        <v/>
      </c>
      <c r="E621">
        <f>IF(N621="","",INDEX(Equipamentos!$C$2:$C$61,N621))</f>
        <v/>
      </c>
      <c r="F621" s="57">
        <f>IF(OR(D621="",N(Q621)&lt;=0),"",D621/Q621)</f>
        <v/>
      </c>
      <c r="G621" s="55" t="n"/>
      <c r="H621" s="58" t="n"/>
      <c r="I621" s="58" t="n"/>
      <c r="J621" s="55" t="n"/>
      <c r="K621" s="55" t="n"/>
      <c r="L621">
        <f>IF(OR(A621="",B621=""),"",_xlfn.MAXIFS(TrocasEquip!$A$2:$A$1000,TrocasEquip!$B$2:$B$1000,B621,TrocasEquip!$A$2:$A$1000,"&lt;"&amp;A621))</f>
        <v/>
      </c>
      <c r="M621">
        <f>IF(N(L621)=0,0,MATCH(1,INDEX((TrocasEquip!$B$2:$B$1000=B621)*(TrocasEquip!$A$2:$A$1000=L621),0),0))</f>
        <v/>
      </c>
      <c r="N621">
        <f>IF(B621="","",IFERROR(MATCH(B621,Equipamentos!$P$2:$P$61,0),""))</f>
        <v/>
      </c>
      <c r="O621">
        <f>IF(N621="","",IF(M621=0,INDEX(Equipamentos!$U$2:$U$61,N621),L621))</f>
        <v/>
      </c>
      <c r="P621">
        <f>IF(N621="","",IF(M621=0,N(INDEX(Equipamentos!$V$2:$V$61,N621)),N(INDEX(TrocasEquip!$I$2:$I$1000,M621))))</f>
        <v/>
      </c>
      <c r="Q621">
        <f>IF(N621="","",IF(M621=0,INDEX(Equipamentos!$T$2:$T$61,N621),IF(INDEX(TrocasEquip!$H$2:$H$1000,M621)="",INDEX(Equipamentos!$T$2:$T$61,N621),INDEX(TrocasEquip!$H$2:$H$1000,M621))))</f>
        <v/>
      </c>
    </row>
    <row r="622">
      <c r="A622" s="54" t="n"/>
      <c r="B622" s="55" t="n"/>
      <c r="C622">
        <f>IF(B622="","",IF(N622="","posição não encontrada",IF(M622=0,INDEX(Equipamentos!$S$2:$S$61,N622),INDEX(TrocasEquip!$G$2:$G$1000,M622))))</f>
        <v/>
      </c>
      <c r="D622" s="56">
        <f>IF(OR(A622="",N622=""),"",P622+IF(E622="dias",MAX(0,A622-O622),IF(INDEX(Equipamentos!$D$2:$D$61,N622)=2,SUMIFS(Producao!$D:$D,Producao!$A:$A,"&gt;="&amp;O622,Producao!$A:$A,"&lt;"&amp;A622),IF(INDEX(Equipamentos!$D$2:$D$61,N622)=3,SUMIFS(Producao!$E:$E,Producao!$A:$A,"&gt;="&amp;O622,Producao!$A:$A,"&lt;"&amp;A622),SUMIFS(Producao!$B:$B,Producao!$A:$A,"&gt;="&amp;O622,Producao!$A:$A,"&lt;"&amp;A622)))))</f>
        <v/>
      </c>
      <c r="E622">
        <f>IF(N622="","",INDEX(Equipamentos!$C$2:$C$61,N622))</f>
        <v/>
      </c>
      <c r="F622" s="57">
        <f>IF(OR(D622="",N(Q622)&lt;=0),"",D622/Q622)</f>
        <v/>
      </c>
      <c r="G622" s="55" t="n"/>
      <c r="H622" s="58" t="n"/>
      <c r="I622" s="58" t="n"/>
      <c r="J622" s="55" t="n"/>
      <c r="K622" s="55" t="n"/>
      <c r="L622">
        <f>IF(OR(A622="",B622=""),"",_xlfn.MAXIFS(TrocasEquip!$A$2:$A$1000,TrocasEquip!$B$2:$B$1000,B622,TrocasEquip!$A$2:$A$1000,"&lt;"&amp;A622))</f>
        <v/>
      </c>
      <c r="M622">
        <f>IF(N(L622)=0,0,MATCH(1,INDEX((TrocasEquip!$B$2:$B$1000=B622)*(TrocasEquip!$A$2:$A$1000=L622),0),0))</f>
        <v/>
      </c>
      <c r="N622">
        <f>IF(B622="","",IFERROR(MATCH(B622,Equipamentos!$P$2:$P$61,0),""))</f>
        <v/>
      </c>
      <c r="O622">
        <f>IF(N622="","",IF(M622=0,INDEX(Equipamentos!$U$2:$U$61,N622),L622))</f>
        <v/>
      </c>
      <c r="P622">
        <f>IF(N622="","",IF(M622=0,N(INDEX(Equipamentos!$V$2:$V$61,N622)),N(INDEX(TrocasEquip!$I$2:$I$1000,M622))))</f>
        <v/>
      </c>
      <c r="Q622">
        <f>IF(N622="","",IF(M622=0,INDEX(Equipamentos!$T$2:$T$61,N622),IF(INDEX(TrocasEquip!$H$2:$H$1000,M622)="",INDEX(Equipamentos!$T$2:$T$61,N622),INDEX(TrocasEquip!$H$2:$H$1000,M622))))</f>
        <v/>
      </c>
    </row>
    <row r="623">
      <c r="A623" s="54" t="n"/>
      <c r="B623" s="55" t="n"/>
      <c r="C623">
        <f>IF(B623="","",IF(N623="","posição não encontrada",IF(M623=0,INDEX(Equipamentos!$S$2:$S$61,N623),INDEX(TrocasEquip!$G$2:$G$1000,M623))))</f>
        <v/>
      </c>
      <c r="D623" s="56">
        <f>IF(OR(A623="",N623=""),"",P623+IF(E623="dias",MAX(0,A623-O623),IF(INDEX(Equipamentos!$D$2:$D$61,N623)=2,SUMIFS(Producao!$D:$D,Producao!$A:$A,"&gt;="&amp;O623,Producao!$A:$A,"&lt;"&amp;A623),IF(INDEX(Equipamentos!$D$2:$D$61,N623)=3,SUMIFS(Producao!$E:$E,Producao!$A:$A,"&gt;="&amp;O623,Producao!$A:$A,"&lt;"&amp;A623),SUMIFS(Producao!$B:$B,Producao!$A:$A,"&gt;="&amp;O623,Producao!$A:$A,"&lt;"&amp;A623)))))</f>
        <v/>
      </c>
      <c r="E623">
        <f>IF(N623="","",INDEX(Equipamentos!$C$2:$C$61,N623))</f>
        <v/>
      </c>
      <c r="F623" s="57">
        <f>IF(OR(D623="",N(Q623)&lt;=0),"",D623/Q623)</f>
        <v/>
      </c>
      <c r="G623" s="55" t="n"/>
      <c r="H623" s="58" t="n"/>
      <c r="I623" s="58" t="n"/>
      <c r="J623" s="55" t="n"/>
      <c r="K623" s="55" t="n"/>
      <c r="L623">
        <f>IF(OR(A623="",B623=""),"",_xlfn.MAXIFS(TrocasEquip!$A$2:$A$1000,TrocasEquip!$B$2:$B$1000,B623,TrocasEquip!$A$2:$A$1000,"&lt;"&amp;A623))</f>
        <v/>
      </c>
      <c r="M623">
        <f>IF(N(L623)=0,0,MATCH(1,INDEX((TrocasEquip!$B$2:$B$1000=B623)*(TrocasEquip!$A$2:$A$1000=L623),0),0))</f>
        <v/>
      </c>
      <c r="N623">
        <f>IF(B623="","",IFERROR(MATCH(B623,Equipamentos!$P$2:$P$61,0),""))</f>
        <v/>
      </c>
      <c r="O623">
        <f>IF(N623="","",IF(M623=0,INDEX(Equipamentos!$U$2:$U$61,N623),L623))</f>
        <v/>
      </c>
      <c r="P623">
        <f>IF(N623="","",IF(M623=0,N(INDEX(Equipamentos!$V$2:$V$61,N623)),N(INDEX(TrocasEquip!$I$2:$I$1000,M623))))</f>
        <v/>
      </c>
      <c r="Q623">
        <f>IF(N623="","",IF(M623=0,INDEX(Equipamentos!$T$2:$T$61,N623),IF(INDEX(TrocasEquip!$H$2:$H$1000,M623)="",INDEX(Equipamentos!$T$2:$T$61,N623),INDEX(TrocasEquip!$H$2:$H$1000,M623))))</f>
        <v/>
      </c>
    </row>
    <row r="624">
      <c r="A624" s="54" t="n"/>
      <c r="B624" s="55" t="n"/>
      <c r="C624">
        <f>IF(B624="","",IF(N624="","posição não encontrada",IF(M624=0,INDEX(Equipamentos!$S$2:$S$61,N624),INDEX(TrocasEquip!$G$2:$G$1000,M624))))</f>
        <v/>
      </c>
      <c r="D624" s="56">
        <f>IF(OR(A624="",N624=""),"",P624+IF(E624="dias",MAX(0,A624-O624),IF(INDEX(Equipamentos!$D$2:$D$61,N624)=2,SUMIFS(Producao!$D:$D,Producao!$A:$A,"&gt;="&amp;O624,Producao!$A:$A,"&lt;"&amp;A624),IF(INDEX(Equipamentos!$D$2:$D$61,N624)=3,SUMIFS(Producao!$E:$E,Producao!$A:$A,"&gt;="&amp;O624,Producao!$A:$A,"&lt;"&amp;A624),SUMIFS(Producao!$B:$B,Producao!$A:$A,"&gt;="&amp;O624,Producao!$A:$A,"&lt;"&amp;A624)))))</f>
        <v/>
      </c>
      <c r="E624">
        <f>IF(N624="","",INDEX(Equipamentos!$C$2:$C$61,N624))</f>
        <v/>
      </c>
      <c r="F624" s="57">
        <f>IF(OR(D624="",N(Q624)&lt;=0),"",D624/Q624)</f>
        <v/>
      </c>
      <c r="G624" s="55" t="n"/>
      <c r="H624" s="58" t="n"/>
      <c r="I624" s="58" t="n"/>
      <c r="J624" s="55" t="n"/>
      <c r="K624" s="55" t="n"/>
      <c r="L624">
        <f>IF(OR(A624="",B624=""),"",_xlfn.MAXIFS(TrocasEquip!$A$2:$A$1000,TrocasEquip!$B$2:$B$1000,B624,TrocasEquip!$A$2:$A$1000,"&lt;"&amp;A624))</f>
        <v/>
      </c>
      <c r="M624">
        <f>IF(N(L624)=0,0,MATCH(1,INDEX((TrocasEquip!$B$2:$B$1000=B624)*(TrocasEquip!$A$2:$A$1000=L624),0),0))</f>
        <v/>
      </c>
      <c r="N624">
        <f>IF(B624="","",IFERROR(MATCH(B624,Equipamentos!$P$2:$P$61,0),""))</f>
        <v/>
      </c>
      <c r="O624">
        <f>IF(N624="","",IF(M624=0,INDEX(Equipamentos!$U$2:$U$61,N624),L624))</f>
        <v/>
      </c>
      <c r="P624">
        <f>IF(N624="","",IF(M624=0,N(INDEX(Equipamentos!$V$2:$V$61,N624)),N(INDEX(TrocasEquip!$I$2:$I$1000,M624))))</f>
        <v/>
      </c>
      <c r="Q624">
        <f>IF(N624="","",IF(M624=0,INDEX(Equipamentos!$T$2:$T$61,N624),IF(INDEX(TrocasEquip!$H$2:$H$1000,M624)="",INDEX(Equipamentos!$T$2:$T$61,N624),INDEX(TrocasEquip!$H$2:$H$1000,M624))))</f>
        <v/>
      </c>
    </row>
    <row r="625">
      <c r="A625" s="54" t="n"/>
      <c r="B625" s="55" t="n"/>
      <c r="C625">
        <f>IF(B625="","",IF(N625="","posição não encontrada",IF(M625=0,INDEX(Equipamentos!$S$2:$S$61,N625),INDEX(TrocasEquip!$G$2:$G$1000,M625))))</f>
        <v/>
      </c>
      <c r="D625" s="56">
        <f>IF(OR(A625="",N625=""),"",P625+IF(E625="dias",MAX(0,A625-O625),IF(INDEX(Equipamentos!$D$2:$D$61,N625)=2,SUMIFS(Producao!$D:$D,Producao!$A:$A,"&gt;="&amp;O625,Producao!$A:$A,"&lt;"&amp;A625),IF(INDEX(Equipamentos!$D$2:$D$61,N625)=3,SUMIFS(Producao!$E:$E,Producao!$A:$A,"&gt;="&amp;O625,Producao!$A:$A,"&lt;"&amp;A625),SUMIFS(Producao!$B:$B,Producao!$A:$A,"&gt;="&amp;O625,Producao!$A:$A,"&lt;"&amp;A625)))))</f>
        <v/>
      </c>
      <c r="E625">
        <f>IF(N625="","",INDEX(Equipamentos!$C$2:$C$61,N625))</f>
        <v/>
      </c>
      <c r="F625" s="57">
        <f>IF(OR(D625="",N(Q625)&lt;=0),"",D625/Q625)</f>
        <v/>
      </c>
      <c r="G625" s="55" t="n"/>
      <c r="H625" s="58" t="n"/>
      <c r="I625" s="58" t="n"/>
      <c r="J625" s="55" t="n"/>
      <c r="K625" s="55" t="n"/>
      <c r="L625">
        <f>IF(OR(A625="",B625=""),"",_xlfn.MAXIFS(TrocasEquip!$A$2:$A$1000,TrocasEquip!$B$2:$B$1000,B625,TrocasEquip!$A$2:$A$1000,"&lt;"&amp;A625))</f>
        <v/>
      </c>
      <c r="M625">
        <f>IF(N(L625)=0,0,MATCH(1,INDEX((TrocasEquip!$B$2:$B$1000=B625)*(TrocasEquip!$A$2:$A$1000=L625),0),0))</f>
        <v/>
      </c>
      <c r="N625">
        <f>IF(B625="","",IFERROR(MATCH(B625,Equipamentos!$P$2:$P$61,0),""))</f>
        <v/>
      </c>
      <c r="O625">
        <f>IF(N625="","",IF(M625=0,INDEX(Equipamentos!$U$2:$U$61,N625),L625))</f>
        <v/>
      </c>
      <c r="P625">
        <f>IF(N625="","",IF(M625=0,N(INDEX(Equipamentos!$V$2:$V$61,N625)),N(INDEX(TrocasEquip!$I$2:$I$1000,M625))))</f>
        <v/>
      </c>
      <c r="Q625">
        <f>IF(N625="","",IF(M625=0,INDEX(Equipamentos!$T$2:$T$61,N625),IF(INDEX(TrocasEquip!$H$2:$H$1000,M625)="",INDEX(Equipamentos!$T$2:$T$61,N625),INDEX(TrocasEquip!$H$2:$H$1000,M625))))</f>
        <v/>
      </c>
    </row>
    <row r="626">
      <c r="A626" s="54" t="n"/>
      <c r="B626" s="55" t="n"/>
      <c r="C626">
        <f>IF(B626="","",IF(N626="","posição não encontrada",IF(M626=0,INDEX(Equipamentos!$S$2:$S$61,N626),INDEX(TrocasEquip!$G$2:$G$1000,M626))))</f>
        <v/>
      </c>
      <c r="D626" s="56">
        <f>IF(OR(A626="",N626=""),"",P626+IF(E626="dias",MAX(0,A626-O626),IF(INDEX(Equipamentos!$D$2:$D$61,N626)=2,SUMIFS(Producao!$D:$D,Producao!$A:$A,"&gt;="&amp;O626,Producao!$A:$A,"&lt;"&amp;A626),IF(INDEX(Equipamentos!$D$2:$D$61,N626)=3,SUMIFS(Producao!$E:$E,Producao!$A:$A,"&gt;="&amp;O626,Producao!$A:$A,"&lt;"&amp;A626),SUMIFS(Producao!$B:$B,Producao!$A:$A,"&gt;="&amp;O626,Producao!$A:$A,"&lt;"&amp;A626)))))</f>
        <v/>
      </c>
      <c r="E626">
        <f>IF(N626="","",INDEX(Equipamentos!$C$2:$C$61,N626))</f>
        <v/>
      </c>
      <c r="F626" s="57">
        <f>IF(OR(D626="",N(Q626)&lt;=0),"",D626/Q626)</f>
        <v/>
      </c>
      <c r="G626" s="55" t="n"/>
      <c r="H626" s="58" t="n"/>
      <c r="I626" s="58" t="n"/>
      <c r="J626" s="55" t="n"/>
      <c r="K626" s="55" t="n"/>
      <c r="L626">
        <f>IF(OR(A626="",B626=""),"",_xlfn.MAXIFS(TrocasEquip!$A$2:$A$1000,TrocasEquip!$B$2:$B$1000,B626,TrocasEquip!$A$2:$A$1000,"&lt;"&amp;A626))</f>
        <v/>
      </c>
      <c r="M626">
        <f>IF(N(L626)=0,0,MATCH(1,INDEX((TrocasEquip!$B$2:$B$1000=B626)*(TrocasEquip!$A$2:$A$1000=L626),0),0))</f>
        <v/>
      </c>
      <c r="N626">
        <f>IF(B626="","",IFERROR(MATCH(B626,Equipamentos!$P$2:$P$61,0),""))</f>
        <v/>
      </c>
      <c r="O626">
        <f>IF(N626="","",IF(M626=0,INDEX(Equipamentos!$U$2:$U$61,N626),L626))</f>
        <v/>
      </c>
      <c r="P626">
        <f>IF(N626="","",IF(M626=0,N(INDEX(Equipamentos!$V$2:$V$61,N626)),N(INDEX(TrocasEquip!$I$2:$I$1000,M626))))</f>
        <v/>
      </c>
      <c r="Q626">
        <f>IF(N626="","",IF(M626=0,INDEX(Equipamentos!$T$2:$T$61,N626),IF(INDEX(TrocasEquip!$H$2:$H$1000,M626)="",INDEX(Equipamentos!$T$2:$T$61,N626),INDEX(TrocasEquip!$H$2:$H$1000,M626))))</f>
        <v/>
      </c>
    </row>
    <row r="627">
      <c r="A627" s="54" t="n"/>
      <c r="B627" s="55" t="n"/>
      <c r="C627">
        <f>IF(B627="","",IF(N627="","posição não encontrada",IF(M627=0,INDEX(Equipamentos!$S$2:$S$61,N627),INDEX(TrocasEquip!$G$2:$G$1000,M627))))</f>
        <v/>
      </c>
      <c r="D627" s="56">
        <f>IF(OR(A627="",N627=""),"",P627+IF(E627="dias",MAX(0,A627-O627),IF(INDEX(Equipamentos!$D$2:$D$61,N627)=2,SUMIFS(Producao!$D:$D,Producao!$A:$A,"&gt;="&amp;O627,Producao!$A:$A,"&lt;"&amp;A627),IF(INDEX(Equipamentos!$D$2:$D$61,N627)=3,SUMIFS(Producao!$E:$E,Producao!$A:$A,"&gt;="&amp;O627,Producao!$A:$A,"&lt;"&amp;A627),SUMIFS(Producao!$B:$B,Producao!$A:$A,"&gt;="&amp;O627,Producao!$A:$A,"&lt;"&amp;A627)))))</f>
        <v/>
      </c>
      <c r="E627">
        <f>IF(N627="","",INDEX(Equipamentos!$C$2:$C$61,N627))</f>
        <v/>
      </c>
      <c r="F627" s="57">
        <f>IF(OR(D627="",N(Q627)&lt;=0),"",D627/Q627)</f>
        <v/>
      </c>
      <c r="G627" s="55" t="n"/>
      <c r="H627" s="58" t="n"/>
      <c r="I627" s="58" t="n"/>
      <c r="J627" s="55" t="n"/>
      <c r="K627" s="55" t="n"/>
      <c r="L627">
        <f>IF(OR(A627="",B627=""),"",_xlfn.MAXIFS(TrocasEquip!$A$2:$A$1000,TrocasEquip!$B$2:$B$1000,B627,TrocasEquip!$A$2:$A$1000,"&lt;"&amp;A627))</f>
        <v/>
      </c>
      <c r="M627">
        <f>IF(N(L627)=0,0,MATCH(1,INDEX((TrocasEquip!$B$2:$B$1000=B627)*(TrocasEquip!$A$2:$A$1000=L627),0),0))</f>
        <v/>
      </c>
      <c r="N627">
        <f>IF(B627="","",IFERROR(MATCH(B627,Equipamentos!$P$2:$P$61,0),""))</f>
        <v/>
      </c>
      <c r="O627">
        <f>IF(N627="","",IF(M627=0,INDEX(Equipamentos!$U$2:$U$61,N627),L627))</f>
        <v/>
      </c>
      <c r="P627">
        <f>IF(N627="","",IF(M627=0,N(INDEX(Equipamentos!$V$2:$V$61,N627)),N(INDEX(TrocasEquip!$I$2:$I$1000,M627))))</f>
        <v/>
      </c>
      <c r="Q627">
        <f>IF(N627="","",IF(M627=0,INDEX(Equipamentos!$T$2:$T$61,N627),IF(INDEX(TrocasEquip!$H$2:$H$1000,M627)="",INDEX(Equipamentos!$T$2:$T$61,N627),INDEX(TrocasEquip!$H$2:$H$1000,M627))))</f>
        <v/>
      </c>
    </row>
    <row r="628">
      <c r="A628" s="54" t="n"/>
      <c r="B628" s="55" t="n"/>
      <c r="C628">
        <f>IF(B628="","",IF(N628="","posição não encontrada",IF(M628=0,INDEX(Equipamentos!$S$2:$S$61,N628),INDEX(TrocasEquip!$G$2:$G$1000,M628))))</f>
        <v/>
      </c>
      <c r="D628" s="56">
        <f>IF(OR(A628="",N628=""),"",P628+IF(E628="dias",MAX(0,A628-O628),IF(INDEX(Equipamentos!$D$2:$D$61,N628)=2,SUMIFS(Producao!$D:$D,Producao!$A:$A,"&gt;="&amp;O628,Producao!$A:$A,"&lt;"&amp;A628),IF(INDEX(Equipamentos!$D$2:$D$61,N628)=3,SUMIFS(Producao!$E:$E,Producao!$A:$A,"&gt;="&amp;O628,Producao!$A:$A,"&lt;"&amp;A628),SUMIFS(Producao!$B:$B,Producao!$A:$A,"&gt;="&amp;O628,Producao!$A:$A,"&lt;"&amp;A628)))))</f>
        <v/>
      </c>
      <c r="E628">
        <f>IF(N628="","",INDEX(Equipamentos!$C$2:$C$61,N628))</f>
        <v/>
      </c>
      <c r="F628" s="57">
        <f>IF(OR(D628="",N(Q628)&lt;=0),"",D628/Q628)</f>
        <v/>
      </c>
      <c r="G628" s="55" t="n"/>
      <c r="H628" s="58" t="n"/>
      <c r="I628" s="58" t="n"/>
      <c r="J628" s="55" t="n"/>
      <c r="K628" s="55" t="n"/>
      <c r="L628">
        <f>IF(OR(A628="",B628=""),"",_xlfn.MAXIFS(TrocasEquip!$A$2:$A$1000,TrocasEquip!$B$2:$B$1000,B628,TrocasEquip!$A$2:$A$1000,"&lt;"&amp;A628))</f>
        <v/>
      </c>
      <c r="M628">
        <f>IF(N(L628)=0,0,MATCH(1,INDEX((TrocasEquip!$B$2:$B$1000=B628)*(TrocasEquip!$A$2:$A$1000=L628),0),0))</f>
        <v/>
      </c>
      <c r="N628">
        <f>IF(B628="","",IFERROR(MATCH(B628,Equipamentos!$P$2:$P$61,0),""))</f>
        <v/>
      </c>
      <c r="O628">
        <f>IF(N628="","",IF(M628=0,INDEX(Equipamentos!$U$2:$U$61,N628),L628))</f>
        <v/>
      </c>
      <c r="P628">
        <f>IF(N628="","",IF(M628=0,N(INDEX(Equipamentos!$V$2:$V$61,N628)),N(INDEX(TrocasEquip!$I$2:$I$1000,M628))))</f>
        <v/>
      </c>
      <c r="Q628">
        <f>IF(N628="","",IF(M628=0,INDEX(Equipamentos!$T$2:$T$61,N628),IF(INDEX(TrocasEquip!$H$2:$H$1000,M628)="",INDEX(Equipamentos!$T$2:$T$61,N628),INDEX(TrocasEquip!$H$2:$H$1000,M628))))</f>
        <v/>
      </c>
    </row>
    <row r="629">
      <c r="A629" s="54" t="n"/>
      <c r="B629" s="55" t="n"/>
      <c r="C629">
        <f>IF(B629="","",IF(N629="","posição não encontrada",IF(M629=0,INDEX(Equipamentos!$S$2:$S$61,N629),INDEX(TrocasEquip!$G$2:$G$1000,M629))))</f>
        <v/>
      </c>
      <c r="D629" s="56">
        <f>IF(OR(A629="",N629=""),"",P629+IF(E629="dias",MAX(0,A629-O629),IF(INDEX(Equipamentos!$D$2:$D$61,N629)=2,SUMIFS(Producao!$D:$D,Producao!$A:$A,"&gt;="&amp;O629,Producao!$A:$A,"&lt;"&amp;A629),IF(INDEX(Equipamentos!$D$2:$D$61,N629)=3,SUMIFS(Producao!$E:$E,Producao!$A:$A,"&gt;="&amp;O629,Producao!$A:$A,"&lt;"&amp;A629),SUMIFS(Producao!$B:$B,Producao!$A:$A,"&gt;="&amp;O629,Producao!$A:$A,"&lt;"&amp;A629)))))</f>
        <v/>
      </c>
      <c r="E629">
        <f>IF(N629="","",INDEX(Equipamentos!$C$2:$C$61,N629))</f>
        <v/>
      </c>
      <c r="F629" s="57">
        <f>IF(OR(D629="",N(Q629)&lt;=0),"",D629/Q629)</f>
        <v/>
      </c>
      <c r="G629" s="55" t="n"/>
      <c r="H629" s="58" t="n"/>
      <c r="I629" s="58" t="n"/>
      <c r="J629" s="55" t="n"/>
      <c r="K629" s="55" t="n"/>
      <c r="L629">
        <f>IF(OR(A629="",B629=""),"",_xlfn.MAXIFS(TrocasEquip!$A$2:$A$1000,TrocasEquip!$B$2:$B$1000,B629,TrocasEquip!$A$2:$A$1000,"&lt;"&amp;A629))</f>
        <v/>
      </c>
      <c r="M629">
        <f>IF(N(L629)=0,0,MATCH(1,INDEX((TrocasEquip!$B$2:$B$1000=B629)*(TrocasEquip!$A$2:$A$1000=L629),0),0))</f>
        <v/>
      </c>
      <c r="N629">
        <f>IF(B629="","",IFERROR(MATCH(B629,Equipamentos!$P$2:$P$61,0),""))</f>
        <v/>
      </c>
      <c r="O629">
        <f>IF(N629="","",IF(M629=0,INDEX(Equipamentos!$U$2:$U$61,N629),L629))</f>
        <v/>
      </c>
      <c r="P629">
        <f>IF(N629="","",IF(M629=0,N(INDEX(Equipamentos!$V$2:$V$61,N629)),N(INDEX(TrocasEquip!$I$2:$I$1000,M629))))</f>
        <v/>
      </c>
      <c r="Q629">
        <f>IF(N629="","",IF(M629=0,INDEX(Equipamentos!$T$2:$T$61,N629),IF(INDEX(TrocasEquip!$H$2:$H$1000,M629)="",INDEX(Equipamentos!$T$2:$T$61,N629),INDEX(TrocasEquip!$H$2:$H$1000,M629))))</f>
        <v/>
      </c>
    </row>
    <row r="630">
      <c r="A630" s="54" t="n"/>
      <c r="B630" s="55" t="n"/>
      <c r="C630">
        <f>IF(B630="","",IF(N630="","posição não encontrada",IF(M630=0,INDEX(Equipamentos!$S$2:$S$61,N630),INDEX(TrocasEquip!$G$2:$G$1000,M630))))</f>
        <v/>
      </c>
      <c r="D630" s="56">
        <f>IF(OR(A630="",N630=""),"",P630+IF(E630="dias",MAX(0,A630-O630),IF(INDEX(Equipamentos!$D$2:$D$61,N630)=2,SUMIFS(Producao!$D:$D,Producao!$A:$A,"&gt;="&amp;O630,Producao!$A:$A,"&lt;"&amp;A630),IF(INDEX(Equipamentos!$D$2:$D$61,N630)=3,SUMIFS(Producao!$E:$E,Producao!$A:$A,"&gt;="&amp;O630,Producao!$A:$A,"&lt;"&amp;A630),SUMIFS(Producao!$B:$B,Producao!$A:$A,"&gt;="&amp;O630,Producao!$A:$A,"&lt;"&amp;A630)))))</f>
        <v/>
      </c>
      <c r="E630">
        <f>IF(N630="","",INDEX(Equipamentos!$C$2:$C$61,N630))</f>
        <v/>
      </c>
      <c r="F630" s="57">
        <f>IF(OR(D630="",N(Q630)&lt;=0),"",D630/Q630)</f>
        <v/>
      </c>
      <c r="G630" s="55" t="n"/>
      <c r="H630" s="58" t="n"/>
      <c r="I630" s="58" t="n"/>
      <c r="J630" s="55" t="n"/>
      <c r="K630" s="55" t="n"/>
      <c r="L630">
        <f>IF(OR(A630="",B630=""),"",_xlfn.MAXIFS(TrocasEquip!$A$2:$A$1000,TrocasEquip!$B$2:$B$1000,B630,TrocasEquip!$A$2:$A$1000,"&lt;"&amp;A630))</f>
        <v/>
      </c>
      <c r="M630">
        <f>IF(N(L630)=0,0,MATCH(1,INDEX((TrocasEquip!$B$2:$B$1000=B630)*(TrocasEquip!$A$2:$A$1000=L630),0),0))</f>
        <v/>
      </c>
      <c r="N630">
        <f>IF(B630="","",IFERROR(MATCH(B630,Equipamentos!$P$2:$P$61,0),""))</f>
        <v/>
      </c>
      <c r="O630">
        <f>IF(N630="","",IF(M630=0,INDEX(Equipamentos!$U$2:$U$61,N630),L630))</f>
        <v/>
      </c>
      <c r="P630">
        <f>IF(N630="","",IF(M630=0,N(INDEX(Equipamentos!$V$2:$V$61,N630)),N(INDEX(TrocasEquip!$I$2:$I$1000,M630))))</f>
        <v/>
      </c>
      <c r="Q630">
        <f>IF(N630="","",IF(M630=0,INDEX(Equipamentos!$T$2:$T$61,N630),IF(INDEX(TrocasEquip!$H$2:$H$1000,M630)="",INDEX(Equipamentos!$T$2:$T$61,N630),INDEX(TrocasEquip!$H$2:$H$1000,M630))))</f>
        <v/>
      </c>
    </row>
    <row r="631">
      <c r="A631" s="54" t="n"/>
      <c r="B631" s="55" t="n"/>
      <c r="C631">
        <f>IF(B631="","",IF(N631="","posição não encontrada",IF(M631=0,INDEX(Equipamentos!$S$2:$S$61,N631),INDEX(TrocasEquip!$G$2:$G$1000,M631))))</f>
        <v/>
      </c>
      <c r="D631" s="56">
        <f>IF(OR(A631="",N631=""),"",P631+IF(E631="dias",MAX(0,A631-O631),IF(INDEX(Equipamentos!$D$2:$D$61,N631)=2,SUMIFS(Producao!$D:$D,Producao!$A:$A,"&gt;="&amp;O631,Producao!$A:$A,"&lt;"&amp;A631),IF(INDEX(Equipamentos!$D$2:$D$61,N631)=3,SUMIFS(Producao!$E:$E,Producao!$A:$A,"&gt;="&amp;O631,Producao!$A:$A,"&lt;"&amp;A631),SUMIFS(Producao!$B:$B,Producao!$A:$A,"&gt;="&amp;O631,Producao!$A:$A,"&lt;"&amp;A631)))))</f>
        <v/>
      </c>
      <c r="E631">
        <f>IF(N631="","",INDEX(Equipamentos!$C$2:$C$61,N631))</f>
        <v/>
      </c>
      <c r="F631" s="57">
        <f>IF(OR(D631="",N(Q631)&lt;=0),"",D631/Q631)</f>
        <v/>
      </c>
      <c r="G631" s="55" t="n"/>
      <c r="H631" s="58" t="n"/>
      <c r="I631" s="58" t="n"/>
      <c r="J631" s="55" t="n"/>
      <c r="K631" s="55" t="n"/>
      <c r="L631">
        <f>IF(OR(A631="",B631=""),"",_xlfn.MAXIFS(TrocasEquip!$A$2:$A$1000,TrocasEquip!$B$2:$B$1000,B631,TrocasEquip!$A$2:$A$1000,"&lt;"&amp;A631))</f>
        <v/>
      </c>
      <c r="M631">
        <f>IF(N(L631)=0,0,MATCH(1,INDEX((TrocasEquip!$B$2:$B$1000=B631)*(TrocasEquip!$A$2:$A$1000=L631),0),0))</f>
        <v/>
      </c>
      <c r="N631">
        <f>IF(B631="","",IFERROR(MATCH(B631,Equipamentos!$P$2:$P$61,0),""))</f>
        <v/>
      </c>
      <c r="O631">
        <f>IF(N631="","",IF(M631=0,INDEX(Equipamentos!$U$2:$U$61,N631),L631))</f>
        <v/>
      </c>
      <c r="P631">
        <f>IF(N631="","",IF(M631=0,N(INDEX(Equipamentos!$V$2:$V$61,N631)),N(INDEX(TrocasEquip!$I$2:$I$1000,M631))))</f>
        <v/>
      </c>
      <c r="Q631">
        <f>IF(N631="","",IF(M631=0,INDEX(Equipamentos!$T$2:$T$61,N631),IF(INDEX(TrocasEquip!$H$2:$H$1000,M631)="",INDEX(Equipamentos!$T$2:$T$61,N631),INDEX(TrocasEquip!$H$2:$H$1000,M631))))</f>
        <v/>
      </c>
    </row>
    <row r="632">
      <c r="A632" s="54" t="n"/>
      <c r="B632" s="55" t="n"/>
      <c r="C632">
        <f>IF(B632="","",IF(N632="","posição não encontrada",IF(M632=0,INDEX(Equipamentos!$S$2:$S$61,N632),INDEX(TrocasEquip!$G$2:$G$1000,M632))))</f>
        <v/>
      </c>
      <c r="D632" s="56">
        <f>IF(OR(A632="",N632=""),"",P632+IF(E632="dias",MAX(0,A632-O632),IF(INDEX(Equipamentos!$D$2:$D$61,N632)=2,SUMIFS(Producao!$D:$D,Producao!$A:$A,"&gt;="&amp;O632,Producao!$A:$A,"&lt;"&amp;A632),IF(INDEX(Equipamentos!$D$2:$D$61,N632)=3,SUMIFS(Producao!$E:$E,Producao!$A:$A,"&gt;="&amp;O632,Producao!$A:$A,"&lt;"&amp;A632),SUMIFS(Producao!$B:$B,Producao!$A:$A,"&gt;="&amp;O632,Producao!$A:$A,"&lt;"&amp;A632)))))</f>
        <v/>
      </c>
      <c r="E632">
        <f>IF(N632="","",INDEX(Equipamentos!$C$2:$C$61,N632))</f>
        <v/>
      </c>
      <c r="F632" s="57">
        <f>IF(OR(D632="",N(Q632)&lt;=0),"",D632/Q632)</f>
        <v/>
      </c>
      <c r="G632" s="55" t="n"/>
      <c r="H632" s="58" t="n"/>
      <c r="I632" s="58" t="n"/>
      <c r="J632" s="55" t="n"/>
      <c r="K632" s="55" t="n"/>
      <c r="L632">
        <f>IF(OR(A632="",B632=""),"",_xlfn.MAXIFS(TrocasEquip!$A$2:$A$1000,TrocasEquip!$B$2:$B$1000,B632,TrocasEquip!$A$2:$A$1000,"&lt;"&amp;A632))</f>
        <v/>
      </c>
      <c r="M632">
        <f>IF(N(L632)=0,0,MATCH(1,INDEX((TrocasEquip!$B$2:$B$1000=B632)*(TrocasEquip!$A$2:$A$1000=L632),0),0))</f>
        <v/>
      </c>
      <c r="N632">
        <f>IF(B632="","",IFERROR(MATCH(B632,Equipamentos!$P$2:$P$61,0),""))</f>
        <v/>
      </c>
      <c r="O632">
        <f>IF(N632="","",IF(M632=0,INDEX(Equipamentos!$U$2:$U$61,N632),L632))</f>
        <v/>
      </c>
      <c r="P632">
        <f>IF(N632="","",IF(M632=0,N(INDEX(Equipamentos!$V$2:$V$61,N632)),N(INDEX(TrocasEquip!$I$2:$I$1000,M632))))</f>
        <v/>
      </c>
      <c r="Q632">
        <f>IF(N632="","",IF(M632=0,INDEX(Equipamentos!$T$2:$T$61,N632),IF(INDEX(TrocasEquip!$H$2:$H$1000,M632)="",INDEX(Equipamentos!$T$2:$T$61,N632),INDEX(TrocasEquip!$H$2:$H$1000,M632))))</f>
        <v/>
      </c>
    </row>
    <row r="633">
      <c r="A633" s="54" t="n"/>
      <c r="B633" s="55" t="n"/>
      <c r="C633">
        <f>IF(B633="","",IF(N633="","posição não encontrada",IF(M633=0,INDEX(Equipamentos!$S$2:$S$61,N633),INDEX(TrocasEquip!$G$2:$G$1000,M633))))</f>
        <v/>
      </c>
      <c r="D633" s="56">
        <f>IF(OR(A633="",N633=""),"",P633+IF(E633="dias",MAX(0,A633-O633),IF(INDEX(Equipamentos!$D$2:$D$61,N633)=2,SUMIFS(Producao!$D:$D,Producao!$A:$A,"&gt;="&amp;O633,Producao!$A:$A,"&lt;"&amp;A633),IF(INDEX(Equipamentos!$D$2:$D$61,N633)=3,SUMIFS(Producao!$E:$E,Producao!$A:$A,"&gt;="&amp;O633,Producao!$A:$A,"&lt;"&amp;A633),SUMIFS(Producao!$B:$B,Producao!$A:$A,"&gt;="&amp;O633,Producao!$A:$A,"&lt;"&amp;A633)))))</f>
        <v/>
      </c>
      <c r="E633">
        <f>IF(N633="","",INDEX(Equipamentos!$C$2:$C$61,N633))</f>
        <v/>
      </c>
      <c r="F633" s="57">
        <f>IF(OR(D633="",N(Q633)&lt;=0),"",D633/Q633)</f>
        <v/>
      </c>
      <c r="G633" s="55" t="n"/>
      <c r="H633" s="58" t="n"/>
      <c r="I633" s="58" t="n"/>
      <c r="J633" s="55" t="n"/>
      <c r="K633" s="55" t="n"/>
      <c r="L633">
        <f>IF(OR(A633="",B633=""),"",_xlfn.MAXIFS(TrocasEquip!$A$2:$A$1000,TrocasEquip!$B$2:$B$1000,B633,TrocasEquip!$A$2:$A$1000,"&lt;"&amp;A633))</f>
        <v/>
      </c>
      <c r="M633">
        <f>IF(N(L633)=0,0,MATCH(1,INDEX((TrocasEquip!$B$2:$B$1000=B633)*(TrocasEquip!$A$2:$A$1000=L633),0),0))</f>
        <v/>
      </c>
      <c r="N633">
        <f>IF(B633="","",IFERROR(MATCH(B633,Equipamentos!$P$2:$P$61,0),""))</f>
        <v/>
      </c>
      <c r="O633">
        <f>IF(N633="","",IF(M633=0,INDEX(Equipamentos!$U$2:$U$61,N633),L633))</f>
        <v/>
      </c>
      <c r="P633">
        <f>IF(N633="","",IF(M633=0,N(INDEX(Equipamentos!$V$2:$V$61,N633)),N(INDEX(TrocasEquip!$I$2:$I$1000,M633))))</f>
        <v/>
      </c>
      <c r="Q633">
        <f>IF(N633="","",IF(M633=0,INDEX(Equipamentos!$T$2:$T$61,N633),IF(INDEX(TrocasEquip!$H$2:$H$1000,M633)="",INDEX(Equipamentos!$T$2:$T$61,N633),INDEX(TrocasEquip!$H$2:$H$1000,M633))))</f>
        <v/>
      </c>
    </row>
    <row r="634">
      <c r="A634" s="54" t="n"/>
      <c r="B634" s="55" t="n"/>
      <c r="C634">
        <f>IF(B634="","",IF(N634="","posição não encontrada",IF(M634=0,INDEX(Equipamentos!$S$2:$S$61,N634),INDEX(TrocasEquip!$G$2:$G$1000,M634))))</f>
        <v/>
      </c>
      <c r="D634" s="56">
        <f>IF(OR(A634="",N634=""),"",P634+IF(E634="dias",MAX(0,A634-O634),IF(INDEX(Equipamentos!$D$2:$D$61,N634)=2,SUMIFS(Producao!$D:$D,Producao!$A:$A,"&gt;="&amp;O634,Producao!$A:$A,"&lt;"&amp;A634),IF(INDEX(Equipamentos!$D$2:$D$61,N634)=3,SUMIFS(Producao!$E:$E,Producao!$A:$A,"&gt;="&amp;O634,Producao!$A:$A,"&lt;"&amp;A634),SUMIFS(Producao!$B:$B,Producao!$A:$A,"&gt;="&amp;O634,Producao!$A:$A,"&lt;"&amp;A634)))))</f>
        <v/>
      </c>
      <c r="E634">
        <f>IF(N634="","",INDEX(Equipamentos!$C$2:$C$61,N634))</f>
        <v/>
      </c>
      <c r="F634" s="57">
        <f>IF(OR(D634="",N(Q634)&lt;=0),"",D634/Q634)</f>
        <v/>
      </c>
      <c r="G634" s="55" t="n"/>
      <c r="H634" s="58" t="n"/>
      <c r="I634" s="58" t="n"/>
      <c r="J634" s="55" t="n"/>
      <c r="K634" s="55" t="n"/>
      <c r="L634">
        <f>IF(OR(A634="",B634=""),"",_xlfn.MAXIFS(TrocasEquip!$A$2:$A$1000,TrocasEquip!$B$2:$B$1000,B634,TrocasEquip!$A$2:$A$1000,"&lt;"&amp;A634))</f>
        <v/>
      </c>
      <c r="M634">
        <f>IF(N(L634)=0,0,MATCH(1,INDEX((TrocasEquip!$B$2:$B$1000=B634)*(TrocasEquip!$A$2:$A$1000=L634),0),0))</f>
        <v/>
      </c>
      <c r="N634">
        <f>IF(B634="","",IFERROR(MATCH(B634,Equipamentos!$P$2:$P$61,0),""))</f>
        <v/>
      </c>
      <c r="O634">
        <f>IF(N634="","",IF(M634=0,INDEX(Equipamentos!$U$2:$U$61,N634),L634))</f>
        <v/>
      </c>
      <c r="P634">
        <f>IF(N634="","",IF(M634=0,N(INDEX(Equipamentos!$V$2:$V$61,N634)),N(INDEX(TrocasEquip!$I$2:$I$1000,M634))))</f>
        <v/>
      </c>
      <c r="Q634">
        <f>IF(N634="","",IF(M634=0,INDEX(Equipamentos!$T$2:$T$61,N634),IF(INDEX(TrocasEquip!$H$2:$H$1000,M634)="",INDEX(Equipamentos!$T$2:$T$61,N634),INDEX(TrocasEquip!$H$2:$H$1000,M634))))</f>
        <v/>
      </c>
    </row>
    <row r="635">
      <c r="A635" s="54" t="n"/>
      <c r="B635" s="55" t="n"/>
      <c r="C635">
        <f>IF(B635="","",IF(N635="","posição não encontrada",IF(M635=0,INDEX(Equipamentos!$S$2:$S$61,N635),INDEX(TrocasEquip!$G$2:$G$1000,M635))))</f>
        <v/>
      </c>
      <c r="D635" s="56">
        <f>IF(OR(A635="",N635=""),"",P635+IF(E635="dias",MAX(0,A635-O635),IF(INDEX(Equipamentos!$D$2:$D$61,N635)=2,SUMIFS(Producao!$D:$D,Producao!$A:$A,"&gt;="&amp;O635,Producao!$A:$A,"&lt;"&amp;A635),IF(INDEX(Equipamentos!$D$2:$D$61,N635)=3,SUMIFS(Producao!$E:$E,Producao!$A:$A,"&gt;="&amp;O635,Producao!$A:$A,"&lt;"&amp;A635),SUMIFS(Producao!$B:$B,Producao!$A:$A,"&gt;="&amp;O635,Producao!$A:$A,"&lt;"&amp;A635)))))</f>
        <v/>
      </c>
      <c r="E635">
        <f>IF(N635="","",INDEX(Equipamentos!$C$2:$C$61,N635))</f>
        <v/>
      </c>
      <c r="F635" s="57">
        <f>IF(OR(D635="",N(Q635)&lt;=0),"",D635/Q635)</f>
        <v/>
      </c>
      <c r="G635" s="55" t="n"/>
      <c r="H635" s="58" t="n"/>
      <c r="I635" s="58" t="n"/>
      <c r="J635" s="55" t="n"/>
      <c r="K635" s="55" t="n"/>
      <c r="L635">
        <f>IF(OR(A635="",B635=""),"",_xlfn.MAXIFS(TrocasEquip!$A$2:$A$1000,TrocasEquip!$B$2:$B$1000,B635,TrocasEquip!$A$2:$A$1000,"&lt;"&amp;A635))</f>
        <v/>
      </c>
      <c r="M635">
        <f>IF(N(L635)=0,0,MATCH(1,INDEX((TrocasEquip!$B$2:$B$1000=B635)*(TrocasEquip!$A$2:$A$1000=L635),0),0))</f>
        <v/>
      </c>
      <c r="N635">
        <f>IF(B635="","",IFERROR(MATCH(B635,Equipamentos!$P$2:$P$61,0),""))</f>
        <v/>
      </c>
      <c r="O635">
        <f>IF(N635="","",IF(M635=0,INDEX(Equipamentos!$U$2:$U$61,N635),L635))</f>
        <v/>
      </c>
      <c r="P635">
        <f>IF(N635="","",IF(M635=0,N(INDEX(Equipamentos!$V$2:$V$61,N635)),N(INDEX(TrocasEquip!$I$2:$I$1000,M635))))</f>
        <v/>
      </c>
      <c r="Q635">
        <f>IF(N635="","",IF(M635=0,INDEX(Equipamentos!$T$2:$T$61,N635),IF(INDEX(TrocasEquip!$H$2:$H$1000,M635)="",INDEX(Equipamentos!$T$2:$T$61,N635),INDEX(TrocasEquip!$H$2:$H$1000,M635))))</f>
        <v/>
      </c>
    </row>
    <row r="636">
      <c r="A636" s="54" t="n"/>
      <c r="B636" s="55" t="n"/>
      <c r="C636">
        <f>IF(B636="","",IF(N636="","posição não encontrada",IF(M636=0,INDEX(Equipamentos!$S$2:$S$61,N636),INDEX(TrocasEquip!$G$2:$G$1000,M636))))</f>
        <v/>
      </c>
      <c r="D636" s="56">
        <f>IF(OR(A636="",N636=""),"",P636+IF(E636="dias",MAX(0,A636-O636),IF(INDEX(Equipamentos!$D$2:$D$61,N636)=2,SUMIFS(Producao!$D:$D,Producao!$A:$A,"&gt;="&amp;O636,Producao!$A:$A,"&lt;"&amp;A636),IF(INDEX(Equipamentos!$D$2:$D$61,N636)=3,SUMIFS(Producao!$E:$E,Producao!$A:$A,"&gt;="&amp;O636,Producao!$A:$A,"&lt;"&amp;A636),SUMIFS(Producao!$B:$B,Producao!$A:$A,"&gt;="&amp;O636,Producao!$A:$A,"&lt;"&amp;A636)))))</f>
        <v/>
      </c>
      <c r="E636">
        <f>IF(N636="","",INDEX(Equipamentos!$C$2:$C$61,N636))</f>
        <v/>
      </c>
      <c r="F636" s="57">
        <f>IF(OR(D636="",N(Q636)&lt;=0),"",D636/Q636)</f>
        <v/>
      </c>
      <c r="G636" s="55" t="n"/>
      <c r="H636" s="58" t="n"/>
      <c r="I636" s="58" t="n"/>
      <c r="J636" s="55" t="n"/>
      <c r="K636" s="55" t="n"/>
      <c r="L636">
        <f>IF(OR(A636="",B636=""),"",_xlfn.MAXIFS(TrocasEquip!$A$2:$A$1000,TrocasEquip!$B$2:$B$1000,B636,TrocasEquip!$A$2:$A$1000,"&lt;"&amp;A636))</f>
        <v/>
      </c>
      <c r="M636">
        <f>IF(N(L636)=0,0,MATCH(1,INDEX((TrocasEquip!$B$2:$B$1000=B636)*(TrocasEquip!$A$2:$A$1000=L636),0),0))</f>
        <v/>
      </c>
      <c r="N636">
        <f>IF(B636="","",IFERROR(MATCH(B636,Equipamentos!$P$2:$P$61,0),""))</f>
        <v/>
      </c>
      <c r="O636">
        <f>IF(N636="","",IF(M636=0,INDEX(Equipamentos!$U$2:$U$61,N636),L636))</f>
        <v/>
      </c>
      <c r="P636">
        <f>IF(N636="","",IF(M636=0,N(INDEX(Equipamentos!$V$2:$V$61,N636)),N(INDEX(TrocasEquip!$I$2:$I$1000,M636))))</f>
        <v/>
      </c>
      <c r="Q636">
        <f>IF(N636="","",IF(M636=0,INDEX(Equipamentos!$T$2:$T$61,N636),IF(INDEX(TrocasEquip!$H$2:$H$1000,M636)="",INDEX(Equipamentos!$T$2:$T$61,N636),INDEX(TrocasEquip!$H$2:$H$1000,M636))))</f>
        <v/>
      </c>
    </row>
    <row r="637">
      <c r="A637" s="54" t="n"/>
      <c r="B637" s="55" t="n"/>
      <c r="C637">
        <f>IF(B637="","",IF(N637="","posição não encontrada",IF(M637=0,INDEX(Equipamentos!$S$2:$S$61,N637),INDEX(TrocasEquip!$G$2:$G$1000,M637))))</f>
        <v/>
      </c>
      <c r="D637" s="56">
        <f>IF(OR(A637="",N637=""),"",P637+IF(E637="dias",MAX(0,A637-O637),IF(INDEX(Equipamentos!$D$2:$D$61,N637)=2,SUMIFS(Producao!$D:$D,Producao!$A:$A,"&gt;="&amp;O637,Producao!$A:$A,"&lt;"&amp;A637),IF(INDEX(Equipamentos!$D$2:$D$61,N637)=3,SUMIFS(Producao!$E:$E,Producao!$A:$A,"&gt;="&amp;O637,Producao!$A:$A,"&lt;"&amp;A637),SUMIFS(Producao!$B:$B,Producao!$A:$A,"&gt;="&amp;O637,Producao!$A:$A,"&lt;"&amp;A637)))))</f>
        <v/>
      </c>
      <c r="E637">
        <f>IF(N637="","",INDEX(Equipamentos!$C$2:$C$61,N637))</f>
        <v/>
      </c>
      <c r="F637" s="57">
        <f>IF(OR(D637="",N(Q637)&lt;=0),"",D637/Q637)</f>
        <v/>
      </c>
      <c r="G637" s="55" t="n"/>
      <c r="H637" s="58" t="n"/>
      <c r="I637" s="58" t="n"/>
      <c r="J637" s="55" t="n"/>
      <c r="K637" s="55" t="n"/>
      <c r="L637">
        <f>IF(OR(A637="",B637=""),"",_xlfn.MAXIFS(TrocasEquip!$A$2:$A$1000,TrocasEquip!$B$2:$B$1000,B637,TrocasEquip!$A$2:$A$1000,"&lt;"&amp;A637))</f>
        <v/>
      </c>
      <c r="M637">
        <f>IF(N(L637)=0,0,MATCH(1,INDEX((TrocasEquip!$B$2:$B$1000=B637)*(TrocasEquip!$A$2:$A$1000=L637),0),0))</f>
        <v/>
      </c>
      <c r="N637">
        <f>IF(B637="","",IFERROR(MATCH(B637,Equipamentos!$P$2:$P$61,0),""))</f>
        <v/>
      </c>
      <c r="O637">
        <f>IF(N637="","",IF(M637=0,INDEX(Equipamentos!$U$2:$U$61,N637),L637))</f>
        <v/>
      </c>
      <c r="P637">
        <f>IF(N637="","",IF(M637=0,N(INDEX(Equipamentos!$V$2:$V$61,N637)),N(INDEX(TrocasEquip!$I$2:$I$1000,M637))))</f>
        <v/>
      </c>
      <c r="Q637">
        <f>IF(N637="","",IF(M637=0,INDEX(Equipamentos!$T$2:$T$61,N637),IF(INDEX(TrocasEquip!$H$2:$H$1000,M637)="",INDEX(Equipamentos!$T$2:$T$61,N637),INDEX(TrocasEquip!$H$2:$H$1000,M637))))</f>
        <v/>
      </c>
    </row>
    <row r="638">
      <c r="A638" s="54" t="n"/>
      <c r="B638" s="55" t="n"/>
      <c r="C638">
        <f>IF(B638="","",IF(N638="","posição não encontrada",IF(M638=0,INDEX(Equipamentos!$S$2:$S$61,N638),INDEX(TrocasEquip!$G$2:$G$1000,M638))))</f>
        <v/>
      </c>
      <c r="D638" s="56">
        <f>IF(OR(A638="",N638=""),"",P638+IF(E638="dias",MAX(0,A638-O638),IF(INDEX(Equipamentos!$D$2:$D$61,N638)=2,SUMIFS(Producao!$D:$D,Producao!$A:$A,"&gt;="&amp;O638,Producao!$A:$A,"&lt;"&amp;A638),IF(INDEX(Equipamentos!$D$2:$D$61,N638)=3,SUMIFS(Producao!$E:$E,Producao!$A:$A,"&gt;="&amp;O638,Producao!$A:$A,"&lt;"&amp;A638),SUMIFS(Producao!$B:$B,Producao!$A:$A,"&gt;="&amp;O638,Producao!$A:$A,"&lt;"&amp;A638)))))</f>
        <v/>
      </c>
      <c r="E638">
        <f>IF(N638="","",INDEX(Equipamentos!$C$2:$C$61,N638))</f>
        <v/>
      </c>
      <c r="F638" s="57">
        <f>IF(OR(D638="",N(Q638)&lt;=0),"",D638/Q638)</f>
        <v/>
      </c>
      <c r="G638" s="55" t="n"/>
      <c r="H638" s="58" t="n"/>
      <c r="I638" s="58" t="n"/>
      <c r="J638" s="55" t="n"/>
      <c r="K638" s="55" t="n"/>
      <c r="L638">
        <f>IF(OR(A638="",B638=""),"",_xlfn.MAXIFS(TrocasEquip!$A$2:$A$1000,TrocasEquip!$B$2:$B$1000,B638,TrocasEquip!$A$2:$A$1000,"&lt;"&amp;A638))</f>
        <v/>
      </c>
      <c r="M638">
        <f>IF(N(L638)=0,0,MATCH(1,INDEX((TrocasEquip!$B$2:$B$1000=B638)*(TrocasEquip!$A$2:$A$1000=L638),0),0))</f>
        <v/>
      </c>
      <c r="N638">
        <f>IF(B638="","",IFERROR(MATCH(B638,Equipamentos!$P$2:$P$61,0),""))</f>
        <v/>
      </c>
      <c r="O638">
        <f>IF(N638="","",IF(M638=0,INDEX(Equipamentos!$U$2:$U$61,N638),L638))</f>
        <v/>
      </c>
      <c r="P638">
        <f>IF(N638="","",IF(M638=0,N(INDEX(Equipamentos!$V$2:$V$61,N638)),N(INDEX(TrocasEquip!$I$2:$I$1000,M638))))</f>
        <v/>
      </c>
      <c r="Q638">
        <f>IF(N638="","",IF(M638=0,INDEX(Equipamentos!$T$2:$T$61,N638),IF(INDEX(TrocasEquip!$H$2:$H$1000,M638)="",INDEX(Equipamentos!$T$2:$T$61,N638),INDEX(TrocasEquip!$H$2:$H$1000,M638))))</f>
        <v/>
      </c>
    </row>
    <row r="639">
      <c r="A639" s="54" t="n"/>
      <c r="B639" s="55" t="n"/>
      <c r="C639">
        <f>IF(B639="","",IF(N639="","posição não encontrada",IF(M639=0,INDEX(Equipamentos!$S$2:$S$61,N639),INDEX(TrocasEquip!$G$2:$G$1000,M639))))</f>
        <v/>
      </c>
      <c r="D639" s="56">
        <f>IF(OR(A639="",N639=""),"",P639+IF(E639="dias",MAX(0,A639-O639),IF(INDEX(Equipamentos!$D$2:$D$61,N639)=2,SUMIFS(Producao!$D:$D,Producao!$A:$A,"&gt;="&amp;O639,Producao!$A:$A,"&lt;"&amp;A639),IF(INDEX(Equipamentos!$D$2:$D$61,N639)=3,SUMIFS(Producao!$E:$E,Producao!$A:$A,"&gt;="&amp;O639,Producao!$A:$A,"&lt;"&amp;A639),SUMIFS(Producao!$B:$B,Producao!$A:$A,"&gt;="&amp;O639,Producao!$A:$A,"&lt;"&amp;A639)))))</f>
        <v/>
      </c>
      <c r="E639">
        <f>IF(N639="","",INDEX(Equipamentos!$C$2:$C$61,N639))</f>
        <v/>
      </c>
      <c r="F639" s="57">
        <f>IF(OR(D639="",N(Q639)&lt;=0),"",D639/Q639)</f>
        <v/>
      </c>
      <c r="G639" s="55" t="n"/>
      <c r="H639" s="58" t="n"/>
      <c r="I639" s="58" t="n"/>
      <c r="J639" s="55" t="n"/>
      <c r="K639" s="55" t="n"/>
      <c r="L639">
        <f>IF(OR(A639="",B639=""),"",_xlfn.MAXIFS(TrocasEquip!$A$2:$A$1000,TrocasEquip!$B$2:$B$1000,B639,TrocasEquip!$A$2:$A$1000,"&lt;"&amp;A639))</f>
        <v/>
      </c>
      <c r="M639">
        <f>IF(N(L639)=0,0,MATCH(1,INDEX((TrocasEquip!$B$2:$B$1000=B639)*(TrocasEquip!$A$2:$A$1000=L639),0),0))</f>
        <v/>
      </c>
      <c r="N639">
        <f>IF(B639="","",IFERROR(MATCH(B639,Equipamentos!$P$2:$P$61,0),""))</f>
        <v/>
      </c>
      <c r="O639">
        <f>IF(N639="","",IF(M639=0,INDEX(Equipamentos!$U$2:$U$61,N639),L639))</f>
        <v/>
      </c>
      <c r="P639">
        <f>IF(N639="","",IF(M639=0,N(INDEX(Equipamentos!$V$2:$V$61,N639)),N(INDEX(TrocasEquip!$I$2:$I$1000,M639))))</f>
        <v/>
      </c>
      <c r="Q639">
        <f>IF(N639="","",IF(M639=0,INDEX(Equipamentos!$T$2:$T$61,N639),IF(INDEX(TrocasEquip!$H$2:$H$1000,M639)="",INDEX(Equipamentos!$T$2:$T$61,N639),INDEX(TrocasEquip!$H$2:$H$1000,M639))))</f>
        <v/>
      </c>
    </row>
    <row r="640">
      <c r="A640" s="54" t="n"/>
      <c r="B640" s="55" t="n"/>
      <c r="C640">
        <f>IF(B640="","",IF(N640="","posição não encontrada",IF(M640=0,INDEX(Equipamentos!$S$2:$S$61,N640),INDEX(TrocasEquip!$G$2:$G$1000,M640))))</f>
        <v/>
      </c>
      <c r="D640" s="56">
        <f>IF(OR(A640="",N640=""),"",P640+IF(E640="dias",MAX(0,A640-O640),IF(INDEX(Equipamentos!$D$2:$D$61,N640)=2,SUMIFS(Producao!$D:$D,Producao!$A:$A,"&gt;="&amp;O640,Producao!$A:$A,"&lt;"&amp;A640),IF(INDEX(Equipamentos!$D$2:$D$61,N640)=3,SUMIFS(Producao!$E:$E,Producao!$A:$A,"&gt;="&amp;O640,Producao!$A:$A,"&lt;"&amp;A640),SUMIFS(Producao!$B:$B,Producao!$A:$A,"&gt;="&amp;O640,Producao!$A:$A,"&lt;"&amp;A640)))))</f>
        <v/>
      </c>
      <c r="E640">
        <f>IF(N640="","",INDEX(Equipamentos!$C$2:$C$61,N640))</f>
        <v/>
      </c>
      <c r="F640" s="57">
        <f>IF(OR(D640="",N(Q640)&lt;=0),"",D640/Q640)</f>
        <v/>
      </c>
      <c r="G640" s="55" t="n"/>
      <c r="H640" s="58" t="n"/>
      <c r="I640" s="58" t="n"/>
      <c r="J640" s="55" t="n"/>
      <c r="K640" s="55" t="n"/>
      <c r="L640">
        <f>IF(OR(A640="",B640=""),"",_xlfn.MAXIFS(TrocasEquip!$A$2:$A$1000,TrocasEquip!$B$2:$B$1000,B640,TrocasEquip!$A$2:$A$1000,"&lt;"&amp;A640))</f>
        <v/>
      </c>
      <c r="M640">
        <f>IF(N(L640)=0,0,MATCH(1,INDEX((TrocasEquip!$B$2:$B$1000=B640)*(TrocasEquip!$A$2:$A$1000=L640),0),0))</f>
        <v/>
      </c>
      <c r="N640">
        <f>IF(B640="","",IFERROR(MATCH(B640,Equipamentos!$P$2:$P$61,0),""))</f>
        <v/>
      </c>
      <c r="O640">
        <f>IF(N640="","",IF(M640=0,INDEX(Equipamentos!$U$2:$U$61,N640),L640))</f>
        <v/>
      </c>
      <c r="P640">
        <f>IF(N640="","",IF(M640=0,N(INDEX(Equipamentos!$V$2:$V$61,N640)),N(INDEX(TrocasEquip!$I$2:$I$1000,M640))))</f>
        <v/>
      </c>
      <c r="Q640">
        <f>IF(N640="","",IF(M640=0,INDEX(Equipamentos!$T$2:$T$61,N640),IF(INDEX(TrocasEquip!$H$2:$H$1000,M640)="",INDEX(Equipamentos!$T$2:$T$61,N640),INDEX(TrocasEquip!$H$2:$H$1000,M640))))</f>
        <v/>
      </c>
    </row>
    <row r="641">
      <c r="A641" s="54" t="n"/>
      <c r="B641" s="55" t="n"/>
      <c r="C641">
        <f>IF(B641="","",IF(N641="","posição não encontrada",IF(M641=0,INDEX(Equipamentos!$S$2:$S$61,N641),INDEX(TrocasEquip!$G$2:$G$1000,M641))))</f>
        <v/>
      </c>
      <c r="D641" s="56">
        <f>IF(OR(A641="",N641=""),"",P641+IF(E641="dias",MAX(0,A641-O641),IF(INDEX(Equipamentos!$D$2:$D$61,N641)=2,SUMIFS(Producao!$D:$D,Producao!$A:$A,"&gt;="&amp;O641,Producao!$A:$A,"&lt;"&amp;A641),IF(INDEX(Equipamentos!$D$2:$D$61,N641)=3,SUMIFS(Producao!$E:$E,Producao!$A:$A,"&gt;="&amp;O641,Producao!$A:$A,"&lt;"&amp;A641),SUMIFS(Producao!$B:$B,Producao!$A:$A,"&gt;="&amp;O641,Producao!$A:$A,"&lt;"&amp;A641)))))</f>
        <v/>
      </c>
      <c r="E641">
        <f>IF(N641="","",INDEX(Equipamentos!$C$2:$C$61,N641))</f>
        <v/>
      </c>
      <c r="F641" s="57">
        <f>IF(OR(D641="",N(Q641)&lt;=0),"",D641/Q641)</f>
        <v/>
      </c>
      <c r="G641" s="55" t="n"/>
      <c r="H641" s="58" t="n"/>
      <c r="I641" s="58" t="n"/>
      <c r="J641" s="55" t="n"/>
      <c r="K641" s="55" t="n"/>
      <c r="L641">
        <f>IF(OR(A641="",B641=""),"",_xlfn.MAXIFS(TrocasEquip!$A$2:$A$1000,TrocasEquip!$B$2:$B$1000,B641,TrocasEquip!$A$2:$A$1000,"&lt;"&amp;A641))</f>
        <v/>
      </c>
      <c r="M641">
        <f>IF(N(L641)=0,0,MATCH(1,INDEX((TrocasEquip!$B$2:$B$1000=B641)*(TrocasEquip!$A$2:$A$1000=L641),0),0))</f>
        <v/>
      </c>
      <c r="N641">
        <f>IF(B641="","",IFERROR(MATCH(B641,Equipamentos!$P$2:$P$61,0),""))</f>
        <v/>
      </c>
      <c r="O641">
        <f>IF(N641="","",IF(M641=0,INDEX(Equipamentos!$U$2:$U$61,N641),L641))</f>
        <v/>
      </c>
      <c r="P641">
        <f>IF(N641="","",IF(M641=0,N(INDEX(Equipamentos!$V$2:$V$61,N641)),N(INDEX(TrocasEquip!$I$2:$I$1000,M641))))</f>
        <v/>
      </c>
      <c r="Q641">
        <f>IF(N641="","",IF(M641=0,INDEX(Equipamentos!$T$2:$T$61,N641),IF(INDEX(TrocasEquip!$H$2:$H$1000,M641)="",INDEX(Equipamentos!$T$2:$T$61,N641),INDEX(TrocasEquip!$H$2:$H$1000,M641))))</f>
        <v/>
      </c>
    </row>
    <row r="642">
      <c r="A642" s="54" t="n"/>
      <c r="B642" s="55" t="n"/>
      <c r="C642">
        <f>IF(B642="","",IF(N642="","posição não encontrada",IF(M642=0,INDEX(Equipamentos!$S$2:$S$61,N642),INDEX(TrocasEquip!$G$2:$G$1000,M642))))</f>
        <v/>
      </c>
      <c r="D642" s="56">
        <f>IF(OR(A642="",N642=""),"",P642+IF(E642="dias",MAX(0,A642-O642),IF(INDEX(Equipamentos!$D$2:$D$61,N642)=2,SUMIFS(Producao!$D:$D,Producao!$A:$A,"&gt;="&amp;O642,Producao!$A:$A,"&lt;"&amp;A642),IF(INDEX(Equipamentos!$D$2:$D$61,N642)=3,SUMIFS(Producao!$E:$E,Producao!$A:$A,"&gt;="&amp;O642,Producao!$A:$A,"&lt;"&amp;A642),SUMIFS(Producao!$B:$B,Producao!$A:$A,"&gt;="&amp;O642,Producao!$A:$A,"&lt;"&amp;A642)))))</f>
        <v/>
      </c>
      <c r="E642">
        <f>IF(N642="","",INDEX(Equipamentos!$C$2:$C$61,N642))</f>
        <v/>
      </c>
      <c r="F642" s="57">
        <f>IF(OR(D642="",N(Q642)&lt;=0),"",D642/Q642)</f>
        <v/>
      </c>
      <c r="G642" s="55" t="n"/>
      <c r="H642" s="58" t="n"/>
      <c r="I642" s="58" t="n"/>
      <c r="J642" s="55" t="n"/>
      <c r="K642" s="55" t="n"/>
      <c r="L642">
        <f>IF(OR(A642="",B642=""),"",_xlfn.MAXIFS(TrocasEquip!$A$2:$A$1000,TrocasEquip!$B$2:$B$1000,B642,TrocasEquip!$A$2:$A$1000,"&lt;"&amp;A642))</f>
        <v/>
      </c>
      <c r="M642">
        <f>IF(N(L642)=0,0,MATCH(1,INDEX((TrocasEquip!$B$2:$B$1000=B642)*(TrocasEquip!$A$2:$A$1000=L642),0),0))</f>
        <v/>
      </c>
      <c r="N642">
        <f>IF(B642="","",IFERROR(MATCH(B642,Equipamentos!$P$2:$P$61,0),""))</f>
        <v/>
      </c>
      <c r="O642">
        <f>IF(N642="","",IF(M642=0,INDEX(Equipamentos!$U$2:$U$61,N642),L642))</f>
        <v/>
      </c>
      <c r="P642">
        <f>IF(N642="","",IF(M642=0,N(INDEX(Equipamentos!$V$2:$V$61,N642)),N(INDEX(TrocasEquip!$I$2:$I$1000,M642))))</f>
        <v/>
      </c>
      <c r="Q642">
        <f>IF(N642="","",IF(M642=0,INDEX(Equipamentos!$T$2:$T$61,N642),IF(INDEX(TrocasEquip!$H$2:$H$1000,M642)="",INDEX(Equipamentos!$T$2:$T$61,N642),INDEX(TrocasEquip!$H$2:$H$1000,M642))))</f>
        <v/>
      </c>
    </row>
    <row r="643">
      <c r="A643" s="54" t="n"/>
      <c r="B643" s="55" t="n"/>
      <c r="C643">
        <f>IF(B643="","",IF(N643="","posição não encontrada",IF(M643=0,INDEX(Equipamentos!$S$2:$S$61,N643),INDEX(TrocasEquip!$G$2:$G$1000,M643))))</f>
        <v/>
      </c>
      <c r="D643" s="56">
        <f>IF(OR(A643="",N643=""),"",P643+IF(E643="dias",MAX(0,A643-O643),IF(INDEX(Equipamentos!$D$2:$D$61,N643)=2,SUMIFS(Producao!$D:$D,Producao!$A:$A,"&gt;="&amp;O643,Producao!$A:$A,"&lt;"&amp;A643),IF(INDEX(Equipamentos!$D$2:$D$61,N643)=3,SUMIFS(Producao!$E:$E,Producao!$A:$A,"&gt;="&amp;O643,Producao!$A:$A,"&lt;"&amp;A643),SUMIFS(Producao!$B:$B,Producao!$A:$A,"&gt;="&amp;O643,Producao!$A:$A,"&lt;"&amp;A643)))))</f>
        <v/>
      </c>
      <c r="E643">
        <f>IF(N643="","",INDEX(Equipamentos!$C$2:$C$61,N643))</f>
        <v/>
      </c>
      <c r="F643" s="57">
        <f>IF(OR(D643="",N(Q643)&lt;=0),"",D643/Q643)</f>
        <v/>
      </c>
      <c r="G643" s="55" t="n"/>
      <c r="H643" s="58" t="n"/>
      <c r="I643" s="58" t="n"/>
      <c r="J643" s="55" t="n"/>
      <c r="K643" s="55" t="n"/>
      <c r="L643">
        <f>IF(OR(A643="",B643=""),"",_xlfn.MAXIFS(TrocasEquip!$A$2:$A$1000,TrocasEquip!$B$2:$B$1000,B643,TrocasEquip!$A$2:$A$1000,"&lt;"&amp;A643))</f>
        <v/>
      </c>
      <c r="M643">
        <f>IF(N(L643)=0,0,MATCH(1,INDEX((TrocasEquip!$B$2:$B$1000=B643)*(TrocasEquip!$A$2:$A$1000=L643),0),0))</f>
        <v/>
      </c>
      <c r="N643">
        <f>IF(B643="","",IFERROR(MATCH(B643,Equipamentos!$P$2:$P$61,0),""))</f>
        <v/>
      </c>
      <c r="O643">
        <f>IF(N643="","",IF(M643=0,INDEX(Equipamentos!$U$2:$U$61,N643),L643))</f>
        <v/>
      </c>
      <c r="P643">
        <f>IF(N643="","",IF(M643=0,N(INDEX(Equipamentos!$V$2:$V$61,N643)),N(INDEX(TrocasEquip!$I$2:$I$1000,M643))))</f>
        <v/>
      </c>
      <c r="Q643">
        <f>IF(N643="","",IF(M643=0,INDEX(Equipamentos!$T$2:$T$61,N643),IF(INDEX(TrocasEquip!$H$2:$H$1000,M643)="",INDEX(Equipamentos!$T$2:$T$61,N643),INDEX(TrocasEquip!$H$2:$H$1000,M643))))</f>
        <v/>
      </c>
    </row>
    <row r="644">
      <c r="A644" s="54" t="n"/>
      <c r="B644" s="55" t="n"/>
      <c r="C644">
        <f>IF(B644="","",IF(N644="","posição não encontrada",IF(M644=0,INDEX(Equipamentos!$S$2:$S$61,N644),INDEX(TrocasEquip!$G$2:$G$1000,M644))))</f>
        <v/>
      </c>
      <c r="D644" s="56">
        <f>IF(OR(A644="",N644=""),"",P644+IF(E644="dias",MAX(0,A644-O644),IF(INDEX(Equipamentos!$D$2:$D$61,N644)=2,SUMIFS(Producao!$D:$D,Producao!$A:$A,"&gt;="&amp;O644,Producao!$A:$A,"&lt;"&amp;A644),IF(INDEX(Equipamentos!$D$2:$D$61,N644)=3,SUMIFS(Producao!$E:$E,Producao!$A:$A,"&gt;="&amp;O644,Producao!$A:$A,"&lt;"&amp;A644),SUMIFS(Producao!$B:$B,Producao!$A:$A,"&gt;="&amp;O644,Producao!$A:$A,"&lt;"&amp;A644)))))</f>
        <v/>
      </c>
      <c r="E644">
        <f>IF(N644="","",INDEX(Equipamentos!$C$2:$C$61,N644))</f>
        <v/>
      </c>
      <c r="F644" s="57">
        <f>IF(OR(D644="",N(Q644)&lt;=0),"",D644/Q644)</f>
        <v/>
      </c>
      <c r="G644" s="55" t="n"/>
      <c r="H644" s="58" t="n"/>
      <c r="I644" s="58" t="n"/>
      <c r="J644" s="55" t="n"/>
      <c r="K644" s="55" t="n"/>
      <c r="L644">
        <f>IF(OR(A644="",B644=""),"",_xlfn.MAXIFS(TrocasEquip!$A$2:$A$1000,TrocasEquip!$B$2:$B$1000,B644,TrocasEquip!$A$2:$A$1000,"&lt;"&amp;A644))</f>
        <v/>
      </c>
      <c r="M644">
        <f>IF(N(L644)=0,0,MATCH(1,INDEX((TrocasEquip!$B$2:$B$1000=B644)*(TrocasEquip!$A$2:$A$1000=L644),0),0))</f>
        <v/>
      </c>
      <c r="N644">
        <f>IF(B644="","",IFERROR(MATCH(B644,Equipamentos!$P$2:$P$61,0),""))</f>
        <v/>
      </c>
      <c r="O644">
        <f>IF(N644="","",IF(M644=0,INDEX(Equipamentos!$U$2:$U$61,N644),L644))</f>
        <v/>
      </c>
      <c r="P644">
        <f>IF(N644="","",IF(M644=0,N(INDEX(Equipamentos!$V$2:$V$61,N644)),N(INDEX(TrocasEquip!$I$2:$I$1000,M644))))</f>
        <v/>
      </c>
      <c r="Q644">
        <f>IF(N644="","",IF(M644=0,INDEX(Equipamentos!$T$2:$T$61,N644),IF(INDEX(TrocasEquip!$H$2:$H$1000,M644)="",INDEX(Equipamentos!$T$2:$T$61,N644),INDEX(TrocasEquip!$H$2:$H$1000,M644))))</f>
        <v/>
      </c>
    </row>
    <row r="645">
      <c r="A645" s="54" t="n"/>
      <c r="B645" s="55" t="n"/>
      <c r="C645">
        <f>IF(B645="","",IF(N645="","posição não encontrada",IF(M645=0,INDEX(Equipamentos!$S$2:$S$61,N645),INDEX(TrocasEquip!$G$2:$G$1000,M645))))</f>
        <v/>
      </c>
      <c r="D645" s="56">
        <f>IF(OR(A645="",N645=""),"",P645+IF(E645="dias",MAX(0,A645-O645),IF(INDEX(Equipamentos!$D$2:$D$61,N645)=2,SUMIFS(Producao!$D:$D,Producao!$A:$A,"&gt;="&amp;O645,Producao!$A:$A,"&lt;"&amp;A645),IF(INDEX(Equipamentos!$D$2:$D$61,N645)=3,SUMIFS(Producao!$E:$E,Producao!$A:$A,"&gt;="&amp;O645,Producao!$A:$A,"&lt;"&amp;A645),SUMIFS(Producao!$B:$B,Producao!$A:$A,"&gt;="&amp;O645,Producao!$A:$A,"&lt;"&amp;A645)))))</f>
        <v/>
      </c>
      <c r="E645">
        <f>IF(N645="","",INDEX(Equipamentos!$C$2:$C$61,N645))</f>
        <v/>
      </c>
      <c r="F645" s="57">
        <f>IF(OR(D645="",N(Q645)&lt;=0),"",D645/Q645)</f>
        <v/>
      </c>
      <c r="G645" s="55" t="n"/>
      <c r="H645" s="58" t="n"/>
      <c r="I645" s="58" t="n"/>
      <c r="J645" s="55" t="n"/>
      <c r="K645" s="55" t="n"/>
      <c r="L645">
        <f>IF(OR(A645="",B645=""),"",_xlfn.MAXIFS(TrocasEquip!$A$2:$A$1000,TrocasEquip!$B$2:$B$1000,B645,TrocasEquip!$A$2:$A$1000,"&lt;"&amp;A645))</f>
        <v/>
      </c>
      <c r="M645">
        <f>IF(N(L645)=0,0,MATCH(1,INDEX((TrocasEquip!$B$2:$B$1000=B645)*(TrocasEquip!$A$2:$A$1000=L645),0),0))</f>
        <v/>
      </c>
      <c r="N645">
        <f>IF(B645="","",IFERROR(MATCH(B645,Equipamentos!$P$2:$P$61,0),""))</f>
        <v/>
      </c>
      <c r="O645">
        <f>IF(N645="","",IF(M645=0,INDEX(Equipamentos!$U$2:$U$61,N645),L645))</f>
        <v/>
      </c>
      <c r="P645">
        <f>IF(N645="","",IF(M645=0,N(INDEX(Equipamentos!$V$2:$V$61,N645)),N(INDEX(TrocasEquip!$I$2:$I$1000,M645))))</f>
        <v/>
      </c>
      <c r="Q645">
        <f>IF(N645="","",IF(M645=0,INDEX(Equipamentos!$T$2:$T$61,N645),IF(INDEX(TrocasEquip!$H$2:$H$1000,M645)="",INDEX(Equipamentos!$T$2:$T$61,N645),INDEX(TrocasEquip!$H$2:$H$1000,M645))))</f>
        <v/>
      </c>
    </row>
    <row r="646">
      <c r="A646" s="54" t="n"/>
      <c r="B646" s="55" t="n"/>
      <c r="C646">
        <f>IF(B646="","",IF(N646="","posição não encontrada",IF(M646=0,INDEX(Equipamentos!$S$2:$S$61,N646),INDEX(TrocasEquip!$G$2:$G$1000,M646))))</f>
        <v/>
      </c>
      <c r="D646" s="56">
        <f>IF(OR(A646="",N646=""),"",P646+IF(E646="dias",MAX(0,A646-O646),IF(INDEX(Equipamentos!$D$2:$D$61,N646)=2,SUMIFS(Producao!$D:$D,Producao!$A:$A,"&gt;="&amp;O646,Producao!$A:$A,"&lt;"&amp;A646),IF(INDEX(Equipamentos!$D$2:$D$61,N646)=3,SUMIFS(Producao!$E:$E,Producao!$A:$A,"&gt;="&amp;O646,Producao!$A:$A,"&lt;"&amp;A646),SUMIFS(Producao!$B:$B,Producao!$A:$A,"&gt;="&amp;O646,Producao!$A:$A,"&lt;"&amp;A646)))))</f>
        <v/>
      </c>
      <c r="E646">
        <f>IF(N646="","",INDEX(Equipamentos!$C$2:$C$61,N646))</f>
        <v/>
      </c>
      <c r="F646" s="57">
        <f>IF(OR(D646="",N(Q646)&lt;=0),"",D646/Q646)</f>
        <v/>
      </c>
      <c r="G646" s="55" t="n"/>
      <c r="H646" s="58" t="n"/>
      <c r="I646" s="58" t="n"/>
      <c r="J646" s="55" t="n"/>
      <c r="K646" s="55" t="n"/>
      <c r="L646">
        <f>IF(OR(A646="",B646=""),"",_xlfn.MAXIFS(TrocasEquip!$A$2:$A$1000,TrocasEquip!$B$2:$B$1000,B646,TrocasEquip!$A$2:$A$1000,"&lt;"&amp;A646))</f>
        <v/>
      </c>
      <c r="M646">
        <f>IF(N(L646)=0,0,MATCH(1,INDEX((TrocasEquip!$B$2:$B$1000=B646)*(TrocasEquip!$A$2:$A$1000=L646),0),0))</f>
        <v/>
      </c>
      <c r="N646">
        <f>IF(B646="","",IFERROR(MATCH(B646,Equipamentos!$P$2:$P$61,0),""))</f>
        <v/>
      </c>
      <c r="O646">
        <f>IF(N646="","",IF(M646=0,INDEX(Equipamentos!$U$2:$U$61,N646),L646))</f>
        <v/>
      </c>
      <c r="P646">
        <f>IF(N646="","",IF(M646=0,N(INDEX(Equipamentos!$V$2:$V$61,N646)),N(INDEX(TrocasEquip!$I$2:$I$1000,M646))))</f>
        <v/>
      </c>
      <c r="Q646">
        <f>IF(N646="","",IF(M646=0,INDEX(Equipamentos!$T$2:$T$61,N646),IF(INDEX(TrocasEquip!$H$2:$H$1000,M646)="",INDEX(Equipamentos!$T$2:$T$61,N646),INDEX(TrocasEquip!$H$2:$H$1000,M646))))</f>
        <v/>
      </c>
    </row>
    <row r="647">
      <c r="A647" s="54" t="n"/>
      <c r="B647" s="55" t="n"/>
      <c r="C647">
        <f>IF(B647="","",IF(N647="","posição não encontrada",IF(M647=0,INDEX(Equipamentos!$S$2:$S$61,N647),INDEX(TrocasEquip!$G$2:$G$1000,M647))))</f>
        <v/>
      </c>
      <c r="D647" s="56">
        <f>IF(OR(A647="",N647=""),"",P647+IF(E647="dias",MAX(0,A647-O647),IF(INDEX(Equipamentos!$D$2:$D$61,N647)=2,SUMIFS(Producao!$D:$D,Producao!$A:$A,"&gt;="&amp;O647,Producao!$A:$A,"&lt;"&amp;A647),IF(INDEX(Equipamentos!$D$2:$D$61,N647)=3,SUMIFS(Producao!$E:$E,Producao!$A:$A,"&gt;="&amp;O647,Producao!$A:$A,"&lt;"&amp;A647),SUMIFS(Producao!$B:$B,Producao!$A:$A,"&gt;="&amp;O647,Producao!$A:$A,"&lt;"&amp;A647)))))</f>
        <v/>
      </c>
      <c r="E647">
        <f>IF(N647="","",INDEX(Equipamentos!$C$2:$C$61,N647))</f>
        <v/>
      </c>
      <c r="F647" s="57">
        <f>IF(OR(D647="",N(Q647)&lt;=0),"",D647/Q647)</f>
        <v/>
      </c>
      <c r="G647" s="55" t="n"/>
      <c r="H647" s="58" t="n"/>
      <c r="I647" s="58" t="n"/>
      <c r="J647" s="55" t="n"/>
      <c r="K647" s="55" t="n"/>
      <c r="L647">
        <f>IF(OR(A647="",B647=""),"",_xlfn.MAXIFS(TrocasEquip!$A$2:$A$1000,TrocasEquip!$B$2:$B$1000,B647,TrocasEquip!$A$2:$A$1000,"&lt;"&amp;A647))</f>
        <v/>
      </c>
      <c r="M647">
        <f>IF(N(L647)=0,0,MATCH(1,INDEX((TrocasEquip!$B$2:$B$1000=B647)*(TrocasEquip!$A$2:$A$1000=L647),0),0))</f>
        <v/>
      </c>
      <c r="N647">
        <f>IF(B647="","",IFERROR(MATCH(B647,Equipamentos!$P$2:$P$61,0),""))</f>
        <v/>
      </c>
      <c r="O647">
        <f>IF(N647="","",IF(M647=0,INDEX(Equipamentos!$U$2:$U$61,N647),L647))</f>
        <v/>
      </c>
      <c r="P647">
        <f>IF(N647="","",IF(M647=0,N(INDEX(Equipamentos!$V$2:$V$61,N647)),N(INDEX(TrocasEquip!$I$2:$I$1000,M647))))</f>
        <v/>
      </c>
      <c r="Q647">
        <f>IF(N647="","",IF(M647=0,INDEX(Equipamentos!$T$2:$T$61,N647),IF(INDEX(TrocasEquip!$H$2:$H$1000,M647)="",INDEX(Equipamentos!$T$2:$T$61,N647),INDEX(TrocasEquip!$H$2:$H$1000,M647))))</f>
        <v/>
      </c>
    </row>
    <row r="648">
      <c r="A648" s="54" t="n"/>
      <c r="B648" s="55" t="n"/>
      <c r="C648">
        <f>IF(B648="","",IF(N648="","posição não encontrada",IF(M648=0,INDEX(Equipamentos!$S$2:$S$61,N648),INDEX(TrocasEquip!$G$2:$G$1000,M648))))</f>
        <v/>
      </c>
      <c r="D648" s="56">
        <f>IF(OR(A648="",N648=""),"",P648+IF(E648="dias",MAX(0,A648-O648),IF(INDEX(Equipamentos!$D$2:$D$61,N648)=2,SUMIFS(Producao!$D:$D,Producao!$A:$A,"&gt;="&amp;O648,Producao!$A:$A,"&lt;"&amp;A648),IF(INDEX(Equipamentos!$D$2:$D$61,N648)=3,SUMIFS(Producao!$E:$E,Producao!$A:$A,"&gt;="&amp;O648,Producao!$A:$A,"&lt;"&amp;A648),SUMIFS(Producao!$B:$B,Producao!$A:$A,"&gt;="&amp;O648,Producao!$A:$A,"&lt;"&amp;A648)))))</f>
        <v/>
      </c>
      <c r="E648">
        <f>IF(N648="","",INDEX(Equipamentos!$C$2:$C$61,N648))</f>
        <v/>
      </c>
      <c r="F648" s="57">
        <f>IF(OR(D648="",N(Q648)&lt;=0),"",D648/Q648)</f>
        <v/>
      </c>
      <c r="G648" s="55" t="n"/>
      <c r="H648" s="58" t="n"/>
      <c r="I648" s="58" t="n"/>
      <c r="J648" s="55" t="n"/>
      <c r="K648" s="55" t="n"/>
      <c r="L648">
        <f>IF(OR(A648="",B648=""),"",_xlfn.MAXIFS(TrocasEquip!$A$2:$A$1000,TrocasEquip!$B$2:$B$1000,B648,TrocasEquip!$A$2:$A$1000,"&lt;"&amp;A648))</f>
        <v/>
      </c>
      <c r="M648">
        <f>IF(N(L648)=0,0,MATCH(1,INDEX((TrocasEquip!$B$2:$B$1000=B648)*(TrocasEquip!$A$2:$A$1000=L648),0),0))</f>
        <v/>
      </c>
      <c r="N648">
        <f>IF(B648="","",IFERROR(MATCH(B648,Equipamentos!$P$2:$P$61,0),""))</f>
        <v/>
      </c>
      <c r="O648">
        <f>IF(N648="","",IF(M648=0,INDEX(Equipamentos!$U$2:$U$61,N648),L648))</f>
        <v/>
      </c>
      <c r="P648">
        <f>IF(N648="","",IF(M648=0,N(INDEX(Equipamentos!$V$2:$V$61,N648)),N(INDEX(TrocasEquip!$I$2:$I$1000,M648))))</f>
        <v/>
      </c>
      <c r="Q648">
        <f>IF(N648="","",IF(M648=0,INDEX(Equipamentos!$T$2:$T$61,N648),IF(INDEX(TrocasEquip!$H$2:$H$1000,M648)="",INDEX(Equipamentos!$T$2:$T$61,N648),INDEX(TrocasEquip!$H$2:$H$1000,M648))))</f>
        <v/>
      </c>
    </row>
    <row r="649">
      <c r="A649" s="54" t="n"/>
      <c r="B649" s="55" t="n"/>
      <c r="C649">
        <f>IF(B649="","",IF(N649="","posição não encontrada",IF(M649=0,INDEX(Equipamentos!$S$2:$S$61,N649),INDEX(TrocasEquip!$G$2:$G$1000,M649))))</f>
        <v/>
      </c>
      <c r="D649" s="56">
        <f>IF(OR(A649="",N649=""),"",P649+IF(E649="dias",MAX(0,A649-O649),IF(INDEX(Equipamentos!$D$2:$D$61,N649)=2,SUMIFS(Producao!$D:$D,Producao!$A:$A,"&gt;="&amp;O649,Producao!$A:$A,"&lt;"&amp;A649),IF(INDEX(Equipamentos!$D$2:$D$61,N649)=3,SUMIFS(Producao!$E:$E,Producao!$A:$A,"&gt;="&amp;O649,Producao!$A:$A,"&lt;"&amp;A649),SUMIFS(Producao!$B:$B,Producao!$A:$A,"&gt;="&amp;O649,Producao!$A:$A,"&lt;"&amp;A649)))))</f>
        <v/>
      </c>
      <c r="E649">
        <f>IF(N649="","",INDEX(Equipamentos!$C$2:$C$61,N649))</f>
        <v/>
      </c>
      <c r="F649" s="57">
        <f>IF(OR(D649="",N(Q649)&lt;=0),"",D649/Q649)</f>
        <v/>
      </c>
      <c r="G649" s="55" t="n"/>
      <c r="H649" s="58" t="n"/>
      <c r="I649" s="58" t="n"/>
      <c r="J649" s="55" t="n"/>
      <c r="K649" s="55" t="n"/>
      <c r="L649">
        <f>IF(OR(A649="",B649=""),"",_xlfn.MAXIFS(TrocasEquip!$A$2:$A$1000,TrocasEquip!$B$2:$B$1000,B649,TrocasEquip!$A$2:$A$1000,"&lt;"&amp;A649))</f>
        <v/>
      </c>
      <c r="M649">
        <f>IF(N(L649)=0,0,MATCH(1,INDEX((TrocasEquip!$B$2:$B$1000=B649)*(TrocasEquip!$A$2:$A$1000=L649),0),0))</f>
        <v/>
      </c>
      <c r="N649">
        <f>IF(B649="","",IFERROR(MATCH(B649,Equipamentos!$P$2:$P$61,0),""))</f>
        <v/>
      </c>
      <c r="O649">
        <f>IF(N649="","",IF(M649=0,INDEX(Equipamentos!$U$2:$U$61,N649),L649))</f>
        <v/>
      </c>
      <c r="P649">
        <f>IF(N649="","",IF(M649=0,N(INDEX(Equipamentos!$V$2:$V$61,N649)),N(INDEX(TrocasEquip!$I$2:$I$1000,M649))))</f>
        <v/>
      </c>
      <c r="Q649">
        <f>IF(N649="","",IF(M649=0,INDEX(Equipamentos!$T$2:$T$61,N649),IF(INDEX(TrocasEquip!$H$2:$H$1000,M649)="",INDEX(Equipamentos!$T$2:$T$61,N649),INDEX(TrocasEquip!$H$2:$H$1000,M649))))</f>
        <v/>
      </c>
    </row>
    <row r="650">
      <c r="A650" s="54" t="n"/>
      <c r="B650" s="55" t="n"/>
      <c r="C650">
        <f>IF(B650="","",IF(N650="","posição não encontrada",IF(M650=0,INDEX(Equipamentos!$S$2:$S$61,N650),INDEX(TrocasEquip!$G$2:$G$1000,M650))))</f>
        <v/>
      </c>
      <c r="D650" s="56">
        <f>IF(OR(A650="",N650=""),"",P650+IF(E650="dias",MAX(0,A650-O650),IF(INDEX(Equipamentos!$D$2:$D$61,N650)=2,SUMIFS(Producao!$D:$D,Producao!$A:$A,"&gt;="&amp;O650,Producao!$A:$A,"&lt;"&amp;A650),IF(INDEX(Equipamentos!$D$2:$D$61,N650)=3,SUMIFS(Producao!$E:$E,Producao!$A:$A,"&gt;="&amp;O650,Producao!$A:$A,"&lt;"&amp;A650),SUMIFS(Producao!$B:$B,Producao!$A:$A,"&gt;="&amp;O650,Producao!$A:$A,"&lt;"&amp;A650)))))</f>
        <v/>
      </c>
      <c r="E650">
        <f>IF(N650="","",INDEX(Equipamentos!$C$2:$C$61,N650))</f>
        <v/>
      </c>
      <c r="F650" s="57">
        <f>IF(OR(D650="",N(Q650)&lt;=0),"",D650/Q650)</f>
        <v/>
      </c>
      <c r="G650" s="55" t="n"/>
      <c r="H650" s="58" t="n"/>
      <c r="I650" s="58" t="n"/>
      <c r="J650" s="55" t="n"/>
      <c r="K650" s="55" t="n"/>
      <c r="L650">
        <f>IF(OR(A650="",B650=""),"",_xlfn.MAXIFS(TrocasEquip!$A$2:$A$1000,TrocasEquip!$B$2:$B$1000,B650,TrocasEquip!$A$2:$A$1000,"&lt;"&amp;A650))</f>
        <v/>
      </c>
      <c r="M650">
        <f>IF(N(L650)=0,0,MATCH(1,INDEX((TrocasEquip!$B$2:$B$1000=B650)*(TrocasEquip!$A$2:$A$1000=L650),0),0))</f>
        <v/>
      </c>
      <c r="N650">
        <f>IF(B650="","",IFERROR(MATCH(B650,Equipamentos!$P$2:$P$61,0),""))</f>
        <v/>
      </c>
      <c r="O650">
        <f>IF(N650="","",IF(M650=0,INDEX(Equipamentos!$U$2:$U$61,N650),L650))</f>
        <v/>
      </c>
      <c r="P650">
        <f>IF(N650="","",IF(M650=0,N(INDEX(Equipamentos!$V$2:$V$61,N650)),N(INDEX(TrocasEquip!$I$2:$I$1000,M650))))</f>
        <v/>
      </c>
      <c r="Q650">
        <f>IF(N650="","",IF(M650=0,INDEX(Equipamentos!$T$2:$T$61,N650),IF(INDEX(TrocasEquip!$H$2:$H$1000,M650)="",INDEX(Equipamentos!$T$2:$T$61,N650),INDEX(TrocasEquip!$H$2:$H$1000,M650))))</f>
        <v/>
      </c>
    </row>
    <row r="651">
      <c r="A651" s="54" t="n"/>
      <c r="B651" s="55" t="n"/>
      <c r="C651">
        <f>IF(B651="","",IF(N651="","posição não encontrada",IF(M651=0,INDEX(Equipamentos!$S$2:$S$61,N651),INDEX(TrocasEquip!$G$2:$G$1000,M651))))</f>
        <v/>
      </c>
      <c r="D651" s="56">
        <f>IF(OR(A651="",N651=""),"",P651+IF(E651="dias",MAX(0,A651-O651),IF(INDEX(Equipamentos!$D$2:$D$61,N651)=2,SUMIFS(Producao!$D:$D,Producao!$A:$A,"&gt;="&amp;O651,Producao!$A:$A,"&lt;"&amp;A651),IF(INDEX(Equipamentos!$D$2:$D$61,N651)=3,SUMIFS(Producao!$E:$E,Producao!$A:$A,"&gt;="&amp;O651,Producao!$A:$A,"&lt;"&amp;A651),SUMIFS(Producao!$B:$B,Producao!$A:$A,"&gt;="&amp;O651,Producao!$A:$A,"&lt;"&amp;A651)))))</f>
        <v/>
      </c>
      <c r="E651">
        <f>IF(N651="","",INDEX(Equipamentos!$C$2:$C$61,N651))</f>
        <v/>
      </c>
      <c r="F651" s="57">
        <f>IF(OR(D651="",N(Q651)&lt;=0),"",D651/Q651)</f>
        <v/>
      </c>
      <c r="G651" s="55" t="n"/>
      <c r="H651" s="58" t="n"/>
      <c r="I651" s="58" t="n"/>
      <c r="J651" s="55" t="n"/>
      <c r="K651" s="55" t="n"/>
      <c r="L651">
        <f>IF(OR(A651="",B651=""),"",_xlfn.MAXIFS(TrocasEquip!$A$2:$A$1000,TrocasEquip!$B$2:$B$1000,B651,TrocasEquip!$A$2:$A$1000,"&lt;"&amp;A651))</f>
        <v/>
      </c>
      <c r="M651">
        <f>IF(N(L651)=0,0,MATCH(1,INDEX((TrocasEquip!$B$2:$B$1000=B651)*(TrocasEquip!$A$2:$A$1000=L651),0),0))</f>
        <v/>
      </c>
      <c r="N651">
        <f>IF(B651="","",IFERROR(MATCH(B651,Equipamentos!$P$2:$P$61,0),""))</f>
        <v/>
      </c>
      <c r="O651">
        <f>IF(N651="","",IF(M651=0,INDEX(Equipamentos!$U$2:$U$61,N651),L651))</f>
        <v/>
      </c>
      <c r="P651">
        <f>IF(N651="","",IF(M651=0,N(INDEX(Equipamentos!$V$2:$V$61,N651)),N(INDEX(TrocasEquip!$I$2:$I$1000,M651))))</f>
        <v/>
      </c>
      <c r="Q651">
        <f>IF(N651="","",IF(M651=0,INDEX(Equipamentos!$T$2:$T$61,N651),IF(INDEX(TrocasEquip!$H$2:$H$1000,M651)="",INDEX(Equipamentos!$T$2:$T$61,N651),INDEX(TrocasEquip!$H$2:$H$1000,M651))))</f>
        <v/>
      </c>
    </row>
    <row r="652">
      <c r="A652" s="54" t="n"/>
      <c r="B652" s="55" t="n"/>
      <c r="C652">
        <f>IF(B652="","",IF(N652="","posição não encontrada",IF(M652=0,INDEX(Equipamentos!$S$2:$S$61,N652),INDEX(TrocasEquip!$G$2:$G$1000,M652))))</f>
        <v/>
      </c>
      <c r="D652" s="56">
        <f>IF(OR(A652="",N652=""),"",P652+IF(E652="dias",MAX(0,A652-O652),IF(INDEX(Equipamentos!$D$2:$D$61,N652)=2,SUMIFS(Producao!$D:$D,Producao!$A:$A,"&gt;="&amp;O652,Producao!$A:$A,"&lt;"&amp;A652),IF(INDEX(Equipamentos!$D$2:$D$61,N652)=3,SUMIFS(Producao!$E:$E,Producao!$A:$A,"&gt;="&amp;O652,Producao!$A:$A,"&lt;"&amp;A652),SUMIFS(Producao!$B:$B,Producao!$A:$A,"&gt;="&amp;O652,Producao!$A:$A,"&lt;"&amp;A652)))))</f>
        <v/>
      </c>
      <c r="E652">
        <f>IF(N652="","",INDEX(Equipamentos!$C$2:$C$61,N652))</f>
        <v/>
      </c>
      <c r="F652" s="57">
        <f>IF(OR(D652="",N(Q652)&lt;=0),"",D652/Q652)</f>
        <v/>
      </c>
      <c r="G652" s="55" t="n"/>
      <c r="H652" s="58" t="n"/>
      <c r="I652" s="58" t="n"/>
      <c r="J652" s="55" t="n"/>
      <c r="K652" s="55" t="n"/>
      <c r="L652">
        <f>IF(OR(A652="",B652=""),"",_xlfn.MAXIFS(TrocasEquip!$A$2:$A$1000,TrocasEquip!$B$2:$B$1000,B652,TrocasEquip!$A$2:$A$1000,"&lt;"&amp;A652))</f>
        <v/>
      </c>
      <c r="M652">
        <f>IF(N(L652)=0,0,MATCH(1,INDEX((TrocasEquip!$B$2:$B$1000=B652)*(TrocasEquip!$A$2:$A$1000=L652),0),0))</f>
        <v/>
      </c>
      <c r="N652">
        <f>IF(B652="","",IFERROR(MATCH(B652,Equipamentos!$P$2:$P$61,0),""))</f>
        <v/>
      </c>
      <c r="O652">
        <f>IF(N652="","",IF(M652=0,INDEX(Equipamentos!$U$2:$U$61,N652),L652))</f>
        <v/>
      </c>
      <c r="P652">
        <f>IF(N652="","",IF(M652=0,N(INDEX(Equipamentos!$V$2:$V$61,N652)),N(INDEX(TrocasEquip!$I$2:$I$1000,M652))))</f>
        <v/>
      </c>
      <c r="Q652">
        <f>IF(N652="","",IF(M652=0,INDEX(Equipamentos!$T$2:$T$61,N652),IF(INDEX(TrocasEquip!$H$2:$H$1000,M652)="",INDEX(Equipamentos!$T$2:$T$61,N652),INDEX(TrocasEquip!$H$2:$H$1000,M652))))</f>
        <v/>
      </c>
    </row>
    <row r="653">
      <c r="A653" s="54" t="n"/>
      <c r="B653" s="55" t="n"/>
      <c r="C653">
        <f>IF(B653="","",IF(N653="","posição não encontrada",IF(M653=0,INDEX(Equipamentos!$S$2:$S$61,N653),INDEX(TrocasEquip!$G$2:$G$1000,M653))))</f>
        <v/>
      </c>
      <c r="D653" s="56">
        <f>IF(OR(A653="",N653=""),"",P653+IF(E653="dias",MAX(0,A653-O653),IF(INDEX(Equipamentos!$D$2:$D$61,N653)=2,SUMIFS(Producao!$D:$D,Producao!$A:$A,"&gt;="&amp;O653,Producao!$A:$A,"&lt;"&amp;A653),IF(INDEX(Equipamentos!$D$2:$D$61,N653)=3,SUMIFS(Producao!$E:$E,Producao!$A:$A,"&gt;="&amp;O653,Producao!$A:$A,"&lt;"&amp;A653),SUMIFS(Producao!$B:$B,Producao!$A:$A,"&gt;="&amp;O653,Producao!$A:$A,"&lt;"&amp;A653)))))</f>
        <v/>
      </c>
      <c r="E653">
        <f>IF(N653="","",INDEX(Equipamentos!$C$2:$C$61,N653))</f>
        <v/>
      </c>
      <c r="F653" s="57">
        <f>IF(OR(D653="",N(Q653)&lt;=0),"",D653/Q653)</f>
        <v/>
      </c>
      <c r="G653" s="55" t="n"/>
      <c r="H653" s="58" t="n"/>
      <c r="I653" s="58" t="n"/>
      <c r="J653" s="55" t="n"/>
      <c r="K653" s="55" t="n"/>
      <c r="L653">
        <f>IF(OR(A653="",B653=""),"",_xlfn.MAXIFS(TrocasEquip!$A$2:$A$1000,TrocasEquip!$B$2:$B$1000,B653,TrocasEquip!$A$2:$A$1000,"&lt;"&amp;A653))</f>
        <v/>
      </c>
      <c r="M653">
        <f>IF(N(L653)=0,0,MATCH(1,INDEX((TrocasEquip!$B$2:$B$1000=B653)*(TrocasEquip!$A$2:$A$1000=L653),0),0))</f>
        <v/>
      </c>
      <c r="N653">
        <f>IF(B653="","",IFERROR(MATCH(B653,Equipamentos!$P$2:$P$61,0),""))</f>
        <v/>
      </c>
      <c r="O653">
        <f>IF(N653="","",IF(M653=0,INDEX(Equipamentos!$U$2:$U$61,N653),L653))</f>
        <v/>
      </c>
      <c r="P653">
        <f>IF(N653="","",IF(M653=0,N(INDEX(Equipamentos!$V$2:$V$61,N653)),N(INDEX(TrocasEquip!$I$2:$I$1000,M653))))</f>
        <v/>
      </c>
      <c r="Q653">
        <f>IF(N653="","",IF(M653=0,INDEX(Equipamentos!$T$2:$T$61,N653),IF(INDEX(TrocasEquip!$H$2:$H$1000,M653)="",INDEX(Equipamentos!$T$2:$T$61,N653),INDEX(TrocasEquip!$H$2:$H$1000,M653))))</f>
        <v/>
      </c>
    </row>
    <row r="654">
      <c r="A654" s="54" t="n"/>
      <c r="B654" s="55" t="n"/>
      <c r="C654">
        <f>IF(B654="","",IF(N654="","posição não encontrada",IF(M654=0,INDEX(Equipamentos!$S$2:$S$61,N654),INDEX(TrocasEquip!$G$2:$G$1000,M654))))</f>
        <v/>
      </c>
      <c r="D654" s="56">
        <f>IF(OR(A654="",N654=""),"",P654+IF(E654="dias",MAX(0,A654-O654),IF(INDEX(Equipamentos!$D$2:$D$61,N654)=2,SUMIFS(Producao!$D:$D,Producao!$A:$A,"&gt;="&amp;O654,Producao!$A:$A,"&lt;"&amp;A654),IF(INDEX(Equipamentos!$D$2:$D$61,N654)=3,SUMIFS(Producao!$E:$E,Producao!$A:$A,"&gt;="&amp;O654,Producao!$A:$A,"&lt;"&amp;A654),SUMIFS(Producao!$B:$B,Producao!$A:$A,"&gt;="&amp;O654,Producao!$A:$A,"&lt;"&amp;A654)))))</f>
        <v/>
      </c>
      <c r="E654">
        <f>IF(N654="","",INDEX(Equipamentos!$C$2:$C$61,N654))</f>
        <v/>
      </c>
      <c r="F654" s="57">
        <f>IF(OR(D654="",N(Q654)&lt;=0),"",D654/Q654)</f>
        <v/>
      </c>
      <c r="G654" s="55" t="n"/>
      <c r="H654" s="58" t="n"/>
      <c r="I654" s="58" t="n"/>
      <c r="J654" s="55" t="n"/>
      <c r="K654" s="55" t="n"/>
      <c r="L654">
        <f>IF(OR(A654="",B654=""),"",_xlfn.MAXIFS(TrocasEquip!$A$2:$A$1000,TrocasEquip!$B$2:$B$1000,B654,TrocasEquip!$A$2:$A$1000,"&lt;"&amp;A654))</f>
        <v/>
      </c>
      <c r="M654">
        <f>IF(N(L654)=0,0,MATCH(1,INDEX((TrocasEquip!$B$2:$B$1000=B654)*(TrocasEquip!$A$2:$A$1000=L654),0),0))</f>
        <v/>
      </c>
      <c r="N654">
        <f>IF(B654="","",IFERROR(MATCH(B654,Equipamentos!$P$2:$P$61,0),""))</f>
        <v/>
      </c>
      <c r="O654">
        <f>IF(N654="","",IF(M654=0,INDEX(Equipamentos!$U$2:$U$61,N654),L654))</f>
        <v/>
      </c>
      <c r="P654">
        <f>IF(N654="","",IF(M654=0,N(INDEX(Equipamentos!$V$2:$V$61,N654)),N(INDEX(TrocasEquip!$I$2:$I$1000,M654))))</f>
        <v/>
      </c>
      <c r="Q654">
        <f>IF(N654="","",IF(M654=0,INDEX(Equipamentos!$T$2:$T$61,N654),IF(INDEX(TrocasEquip!$H$2:$H$1000,M654)="",INDEX(Equipamentos!$T$2:$T$61,N654),INDEX(TrocasEquip!$H$2:$H$1000,M654))))</f>
        <v/>
      </c>
    </row>
    <row r="655">
      <c r="A655" s="54" t="n"/>
      <c r="B655" s="55" t="n"/>
      <c r="C655">
        <f>IF(B655="","",IF(N655="","posição não encontrada",IF(M655=0,INDEX(Equipamentos!$S$2:$S$61,N655),INDEX(TrocasEquip!$G$2:$G$1000,M655))))</f>
        <v/>
      </c>
      <c r="D655" s="56">
        <f>IF(OR(A655="",N655=""),"",P655+IF(E655="dias",MAX(0,A655-O655),IF(INDEX(Equipamentos!$D$2:$D$61,N655)=2,SUMIFS(Producao!$D:$D,Producao!$A:$A,"&gt;="&amp;O655,Producao!$A:$A,"&lt;"&amp;A655),IF(INDEX(Equipamentos!$D$2:$D$61,N655)=3,SUMIFS(Producao!$E:$E,Producao!$A:$A,"&gt;="&amp;O655,Producao!$A:$A,"&lt;"&amp;A655),SUMIFS(Producao!$B:$B,Producao!$A:$A,"&gt;="&amp;O655,Producao!$A:$A,"&lt;"&amp;A655)))))</f>
        <v/>
      </c>
      <c r="E655">
        <f>IF(N655="","",INDEX(Equipamentos!$C$2:$C$61,N655))</f>
        <v/>
      </c>
      <c r="F655" s="57">
        <f>IF(OR(D655="",N(Q655)&lt;=0),"",D655/Q655)</f>
        <v/>
      </c>
      <c r="G655" s="55" t="n"/>
      <c r="H655" s="58" t="n"/>
      <c r="I655" s="58" t="n"/>
      <c r="J655" s="55" t="n"/>
      <c r="K655" s="55" t="n"/>
      <c r="L655">
        <f>IF(OR(A655="",B655=""),"",_xlfn.MAXIFS(TrocasEquip!$A$2:$A$1000,TrocasEquip!$B$2:$B$1000,B655,TrocasEquip!$A$2:$A$1000,"&lt;"&amp;A655))</f>
        <v/>
      </c>
      <c r="M655">
        <f>IF(N(L655)=0,0,MATCH(1,INDEX((TrocasEquip!$B$2:$B$1000=B655)*(TrocasEquip!$A$2:$A$1000=L655),0),0))</f>
        <v/>
      </c>
      <c r="N655">
        <f>IF(B655="","",IFERROR(MATCH(B655,Equipamentos!$P$2:$P$61,0),""))</f>
        <v/>
      </c>
      <c r="O655">
        <f>IF(N655="","",IF(M655=0,INDEX(Equipamentos!$U$2:$U$61,N655),L655))</f>
        <v/>
      </c>
      <c r="P655">
        <f>IF(N655="","",IF(M655=0,N(INDEX(Equipamentos!$V$2:$V$61,N655)),N(INDEX(TrocasEquip!$I$2:$I$1000,M655))))</f>
        <v/>
      </c>
      <c r="Q655">
        <f>IF(N655="","",IF(M655=0,INDEX(Equipamentos!$T$2:$T$61,N655),IF(INDEX(TrocasEquip!$H$2:$H$1000,M655)="",INDEX(Equipamentos!$T$2:$T$61,N655),INDEX(TrocasEquip!$H$2:$H$1000,M655))))</f>
        <v/>
      </c>
    </row>
    <row r="656">
      <c r="A656" s="54" t="n"/>
      <c r="B656" s="55" t="n"/>
      <c r="C656">
        <f>IF(B656="","",IF(N656="","posição não encontrada",IF(M656=0,INDEX(Equipamentos!$S$2:$S$61,N656),INDEX(TrocasEquip!$G$2:$G$1000,M656))))</f>
        <v/>
      </c>
      <c r="D656" s="56">
        <f>IF(OR(A656="",N656=""),"",P656+IF(E656="dias",MAX(0,A656-O656),IF(INDEX(Equipamentos!$D$2:$D$61,N656)=2,SUMIFS(Producao!$D:$D,Producao!$A:$A,"&gt;="&amp;O656,Producao!$A:$A,"&lt;"&amp;A656),IF(INDEX(Equipamentos!$D$2:$D$61,N656)=3,SUMIFS(Producao!$E:$E,Producao!$A:$A,"&gt;="&amp;O656,Producao!$A:$A,"&lt;"&amp;A656),SUMIFS(Producao!$B:$B,Producao!$A:$A,"&gt;="&amp;O656,Producao!$A:$A,"&lt;"&amp;A656)))))</f>
        <v/>
      </c>
      <c r="E656">
        <f>IF(N656="","",INDEX(Equipamentos!$C$2:$C$61,N656))</f>
        <v/>
      </c>
      <c r="F656" s="57">
        <f>IF(OR(D656="",N(Q656)&lt;=0),"",D656/Q656)</f>
        <v/>
      </c>
      <c r="G656" s="55" t="n"/>
      <c r="H656" s="58" t="n"/>
      <c r="I656" s="58" t="n"/>
      <c r="J656" s="55" t="n"/>
      <c r="K656" s="55" t="n"/>
      <c r="L656">
        <f>IF(OR(A656="",B656=""),"",_xlfn.MAXIFS(TrocasEquip!$A$2:$A$1000,TrocasEquip!$B$2:$B$1000,B656,TrocasEquip!$A$2:$A$1000,"&lt;"&amp;A656))</f>
        <v/>
      </c>
      <c r="M656">
        <f>IF(N(L656)=0,0,MATCH(1,INDEX((TrocasEquip!$B$2:$B$1000=B656)*(TrocasEquip!$A$2:$A$1000=L656),0),0))</f>
        <v/>
      </c>
      <c r="N656">
        <f>IF(B656="","",IFERROR(MATCH(B656,Equipamentos!$P$2:$P$61,0),""))</f>
        <v/>
      </c>
      <c r="O656">
        <f>IF(N656="","",IF(M656=0,INDEX(Equipamentos!$U$2:$U$61,N656),L656))</f>
        <v/>
      </c>
      <c r="P656">
        <f>IF(N656="","",IF(M656=0,N(INDEX(Equipamentos!$V$2:$V$61,N656)),N(INDEX(TrocasEquip!$I$2:$I$1000,M656))))</f>
        <v/>
      </c>
      <c r="Q656">
        <f>IF(N656="","",IF(M656=0,INDEX(Equipamentos!$T$2:$T$61,N656),IF(INDEX(TrocasEquip!$H$2:$H$1000,M656)="",INDEX(Equipamentos!$T$2:$T$61,N656),INDEX(TrocasEquip!$H$2:$H$1000,M656))))</f>
        <v/>
      </c>
    </row>
    <row r="657">
      <c r="A657" s="54" t="n"/>
      <c r="B657" s="55" t="n"/>
      <c r="C657">
        <f>IF(B657="","",IF(N657="","posição não encontrada",IF(M657=0,INDEX(Equipamentos!$S$2:$S$61,N657),INDEX(TrocasEquip!$G$2:$G$1000,M657))))</f>
        <v/>
      </c>
      <c r="D657" s="56">
        <f>IF(OR(A657="",N657=""),"",P657+IF(E657="dias",MAX(0,A657-O657),IF(INDEX(Equipamentos!$D$2:$D$61,N657)=2,SUMIFS(Producao!$D:$D,Producao!$A:$A,"&gt;="&amp;O657,Producao!$A:$A,"&lt;"&amp;A657),IF(INDEX(Equipamentos!$D$2:$D$61,N657)=3,SUMIFS(Producao!$E:$E,Producao!$A:$A,"&gt;="&amp;O657,Producao!$A:$A,"&lt;"&amp;A657),SUMIFS(Producao!$B:$B,Producao!$A:$A,"&gt;="&amp;O657,Producao!$A:$A,"&lt;"&amp;A657)))))</f>
        <v/>
      </c>
      <c r="E657">
        <f>IF(N657="","",INDEX(Equipamentos!$C$2:$C$61,N657))</f>
        <v/>
      </c>
      <c r="F657" s="57">
        <f>IF(OR(D657="",N(Q657)&lt;=0),"",D657/Q657)</f>
        <v/>
      </c>
      <c r="G657" s="55" t="n"/>
      <c r="H657" s="58" t="n"/>
      <c r="I657" s="58" t="n"/>
      <c r="J657" s="55" t="n"/>
      <c r="K657" s="55" t="n"/>
      <c r="L657">
        <f>IF(OR(A657="",B657=""),"",_xlfn.MAXIFS(TrocasEquip!$A$2:$A$1000,TrocasEquip!$B$2:$B$1000,B657,TrocasEquip!$A$2:$A$1000,"&lt;"&amp;A657))</f>
        <v/>
      </c>
      <c r="M657">
        <f>IF(N(L657)=0,0,MATCH(1,INDEX((TrocasEquip!$B$2:$B$1000=B657)*(TrocasEquip!$A$2:$A$1000=L657),0),0))</f>
        <v/>
      </c>
      <c r="N657">
        <f>IF(B657="","",IFERROR(MATCH(B657,Equipamentos!$P$2:$P$61,0),""))</f>
        <v/>
      </c>
      <c r="O657">
        <f>IF(N657="","",IF(M657=0,INDEX(Equipamentos!$U$2:$U$61,N657),L657))</f>
        <v/>
      </c>
      <c r="P657">
        <f>IF(N657="","",IF(M657=0,N(INDEX(Equipamentos!$V$2:$V$61,N657)),N(INDEX(TrocasEquip!$I$2:$I$1000,M657))))</f>
        <v/>
      </c>
      <c r="Q657">
        <f>IF(N657="","",IF(M657=0,INDEX(Equipamentos!$T$2:$T$61,N657),IF(INDEX(TrocasEquip!$H$2:$H$1000,M657)="",INDEX(Equipamentos!$T$2:$T$61,N657),INDEX(TrocasEquip!$H$2:$H$1000,M657))))</f>
        <v/>
      </c>
    </row>
    <row r="658">
      <c r="A658" s="54" t="n"/>
      <c r="B658" s="55" t="n"/>
      <c r="C658">
        <f>IF(B658="","",IF(N658="","posição não encontrada",IF(M658=0,INDEX(Equipamentos!$S$2:$S$61,N658),INDEX(TrocasEquip!$G$2:$G$1000,M658))))</f>
        <v/>
      </c>
      <c r="D658" s="56">
        <f>IF(OR(A658="",N658=""),"",P658+IF(E658="dias",MAX(0,A658-O658),IF(INDEX(Equipamentos!$D$2:$D$61,N658)=2,SUMIFS(Producao!$D:$D,Producao!$A:$A,"&gt;="&amp;O658,Producao!$A:$A,"&lt;"&amp;A658),IF(INDEX(Equipamentos!$D$2:$D$61,N658)=3,SUMIFS(Producao!$E:$E,Producao!$A:$A,"&gt;="&amp;O658,Producao!$A:$A,"&lt;"&amp;A658),SUMIFS(Producao!$B:$B,Producao!$A:$A,"&gt;="&amp;O658,Producao!$A:$A,"&lt;"&amp;A658)))))</f>
        <v/>
      </c>
      <c r="E658">
        <f>IF(N658="","",INDEX(Equipamentos!$C$2:$C$61,N658))</f>
        <v/>
      </c>
      <c r="F658" s="57">
        <f>IF(OR(D658="",N(Q658)&lt;=0),"",D658/Q658)</f>
        <v/>
      </c>
      <c r="G658" s="55" t="n"/>
      <c r="H658" s="58" t="n"/>
      <c r="I658" s="58" t="n"/>
      <c r="J658" s="55" t="n"/>
      <c r="K658" s="55" t="n"/>
      <c r="L658">
        <f>IF(OR(A658="",B658=""),"",_xlfn.MAXIFS(TrocasEquip!$A$2:$A$1000,TrocasEquip!$B$2:$B$1000,B658,TrocasEquip!$A$2:$A$1000,"&lt;"&amp;A658))</f>
        <v/>
      </c>
      <c r="M658">
        <f>IF(N(L658)=0,0,MATCH(1,INDEX((TrocasEquip!$B$2:$B$1000=B658)*(TrocasEquip!$A$2:$A$1000=L658),0),0))</f>
        <v/>
      </c>
      <c r="N658">
        <f>IF(B658="","",IFERROR(MATCH(B658,Equipamentos!$P$2:$P$61,0),""))</f>
        <v/>
      </c>
      <c r="O658">
        <f>IF(N658="","",IF(M658=0,INDEX(Equipamentos!$U$2:$U$61,N658),L658))</f>
        <v/>
      </c>
      <c r="P658">
        <f>IF(N658="","",IF(M658=0,N(INDEX(Equipamentos!$V$2:$V$61,N658)),N(INDEX(TrocasEquip!$I$2:$I$1000,M658))))</f>
        <v/>
      </c>
      <c r="Q658">
        <f>IF(N658="","",IF(M658=0,INDEX(Equipamentos!$T$2:$T$61,N658),IF(INDEX(TrocasEquip!$H$2:$H$1000,M658)="",INDEX(Equipamentos!$T$2:$T$61,N658),INDEX(TrocasEquip!$H$2:$H$1000,M658))))</f>
        <v/>
      </c>
    </row>
    <row r="659">
      <c r="A659" s="54" t="n"/>
      <c r="B659" s="55" t="n"/>
      <c r="C659">
        <f>IF(B659="","",IF(N659="","posição não encontrada",IF(M659=0,INDEX(Equipamentos!$S$2:$S$61,N659),INDEX(TrocasEquip!$G$2:$G$1000,M659))))</f>
        <v/>
      </c>
      <c r="D659" s="56">
        <f>IF(OR(A659="",N659=""),"",P659+IF(E659="dias",MAX(0,A659-O659),IF(INDEX(Equipamentos!$D$2:$D$61,N659)=2,SUMIFS(Producao!$D:$D,Producao!$A:$A,"&gt;="&amp;O659,Producao!$A:$A,"&lt;"&amp;A659),IF(INDEX(Equipamentos!$D$2:$D$61,N659)=3,SUMIFS(Producao!$E:$E,Producao!$A:$A,"&gt;="&amp;O659,Producao!$A:$A,"&lt;"&amp;A659),SUMIFS(Producao!$B:$B,Producao!$A:$A,"&gt;="&amp;O659,Producao!$A:$A,"&lt;"&amp;A659)))))</f>
        <v/>
      </c>
      <c r="E659">
        <f>IF(N659="","",INDEX(Equipamentos!$C$2:$C$61,N659))</f>
        <v/>
      </c>
      <c r="F659" s="57">
        <f>IF(OR(D659="",N(Q659)&lt;=0),"",D659/Q659)</f>
        <v/>
      </c>
      <c r="G659" s="55" t="n"/>
      <c r="H659" s="58" t="n"/>
      <c r="I659" s="58" t="n"/>
      <c r="J659" s="55" t="n"/>
      <c r="K659" s="55" t="n"/>
      <c r="L659">
        <f>IF(OR(A659="",B659=""),"",_xlfn.MAXIFS(TrocasEquip!$A$2:$A$1000,TrocasEquip!$B$2:$B$1000,B659,TrocasEquip!$A$2:$A$1000,"&lt;"&amp;A659))</f>
        <v/>
      </c>
      <c r="M659">
        <f>IF(N(L659)=0,0,MATCH(1,INDEX((TrocasEquip!$B$2:$B$1000=B659)*(TrocasEquip!$A$2:$A$1000=L659),0),0))</f>
        <v/>
      </c>
      <c r="N659">
        <f>IF(B659="","",IFERROR(MATCH(B659,Equipamentos!$P$2:$P$61,0),""))</f>
        <v/>
      </c>
      <c r="O659">
        <f>IF(N659="","",IF(M659=0,INDEX(Equipamentos!$U$2:$U$61,N659),L659))</f>
        <v/>
      </c>
      <c r="P659">
        <f>IF(N659="","",IF(M659=0,N(INDEX(Equipamentos!$V$2:$V$61,N659)),N(INDEX(TrocasEquip!$I$2:$I$1000,M659))))</f>
        <v/>
      </c>
      <c r="Q659">
        <f>IF(N659="","",IF(M659=0,INDEX(Equipamentos!$T$2:$T$61,N659),IF(INDEX(TrocasEquip!$H$2:$H$1000,M659)="",INDEX(Equipamentos!$T$2:$T$61,N659),INDEX(TrocasEquip!$H$2:$H$1000,M659))))</f>
        <v/>
      </c>
    </row>
    <row r="660">
      <c r="A660" s="54" t="n"/>
      <c r="B660" s="55" t="n"/>
      <c r="C660">
        <f>IF(B660="","",IF(N660="","posição não encontrada",IF(M660=0,INDEX(Equipamentos!$S$2:$S$61,N660),INDEX(TrocasEquip!$G$2:$G$1000,M660))))</f>
        <v/>
      </c>
      <c r="D660" s="56">
        <f>IF(OR(A660="",N660=""),"",P660+IF(E660="dias",MAX(0,A660-O660),IF(INDEX(Equipamentos!$D$2:$D$61,N660)=2,SUMIFS(Producao!$D:$D,Producao!$A:$A,"&gt;="&amp;O660,Producao!$A:$A,"&lt;"&amp;A660),IF(INDEX(Equipamentos!$D$2:$D$61,N660)=3,SUMIFS(Producao!$E:$E,Producao!$A:$A,"&gt;="&amp;O660,Producao!$A:$A,"&lt;"&amp;A660),SUMIFS(Producao!$B:$B,Producao!$A:$A,"&gt;="&amp;O660,Producao!$A:$A,"&lt;"&amp;A660)))))</f>
        <v/>
      </c>
      <c r="E660">
        <f>IF(N660="","",INDEX(Equipamentos!$C$2:$C$61,N660))</f>
        <v/>
      </c>
      <c r="F660" s="57">
        <f>IF(OR(D660="",N(Q660)&lt;=0),"",D660/Q660)</f>
        <v/>
      </c>
      <c r="G660" s="55" t="n"/>
      <c r="H660" s="58" t="n"/>
      <c r="I660" s="58" t="n"/>
      <c r="J660" s="55" t="n"/>
      <c r="K660" s="55" t="n"/>
      <c r="L660">
        <f>IF(OR(A660="",B660=""),"",_xlfn.MAXIFS(TrocasEquip!$A$2:$A$1000,TrocasEquip!$B$2:$B$1000,B660,TrocasEquip!$A$2:$A$1000,"&lt;"&amp;A660))</f>
        <v/>
      </c>
      <c r="M660">
        <f>IF(N(L660)=0,0,MATCH(1,INDEX((TrocasEquip!$B$2:$B$1000=B660)*(TrocasEquip!$A$2:$A$1000=L660),0),0))</f>
        <v/>
      </c>
      <c r="N660">
        <f>IF(B660="","",IFERROR(MATCH(B660,Equipamentos!$P$2:$P$61,0),""))</f>
        <v/>
      </c>
      <c r="O660">
        <f>IF(N660="","",IF(M660=0,INDEX(Equipamentos!$U$2:$U$61,N660),L660))</f>
        <v/>
      </c>
      <c r="P660">
        <f>IF(N660="","",IF(M660=0,N(INDEX(Equipamentos!$V$2:$V$61,N660)),N(INDEX(TrocasEquip!$I$2:$I$1000,M660))))</f>
        <v/>
      </c>
      <c r="Q660">
        <f>IF(N660="","",IF(M660=0,INDEX(Equipamentos!$T$2:$T$61,N660),IF(INDEX(TrocasEquip!$H$2:$H$1000,M660)="",INDEX(Equipamentos!$T$2:$T$61,N660),INDEX(TrocasEquip!$H$2:$H$1000,M660))))</f>
        <v/>
      </c>
    </row>
    <row r="661">
      <c r="A661" s="54" t="n"/>
      <c r="B661" s="55" t="n"/>
      <c r="C661">
        <f>IF(B661="","",IF(N661="","posição não encontrada",IF(M661=0,INDEX(Equipamentos!$S$2:$S$61,N661),INDEX(TrocasEquip!$G$2:$G$1000,M661))))</f>
        <v/>
      </c>
      <c r="D661" s="56">
        <f>IF(OR(A661="",N661=""),"",P661+IF(E661="dias",MAX(0,A661-O661),IF(INDEX(Equipamentos!$D$2:$D$61,N661)=2,SUMIFS(Producao!$D:$D,Producao!$A:$A,"&gt;="&amp;O661,Producao!$A:$A,"&lt;"&amp;A661),IF(INDEX(Equipamentos!$D$2:$D$61,N661)=3,SUMIFS(Producao!$E:$E,Producao!$A:$A,"&gt;="&amp;O661,Producao!$A:$A,"&lt;"&amp;A661),SUMIFS(Producao!$B:$B,Producao!$A:$A,"&gt;="&amp;O661,Producao!$A:$A,"&lt;"&amp;A661)))))</f>
        <v/>
      </c>
      <c r="E661">
        <f>IF(N661="","",INDEX(Equipamentos!$C$2:$C$61,N661))</f>
        <v/>
      </c>
      <c r="F661" s="57">
        <f>IF(OR(D661="",N(Q661)&lt;=0),"",D661/Q661)</f>
        <v/>
      </c>
      <c r="G661" s="55" t="n"/>
      <c r="H661" s="58" t="n"/>
      <c r="I661" s="58" t="n"/>
      <c r="J661" s="55" t="n"/>
      <c r="K661" s="55" t="n"/>
      <c r="L661">
        <f>IF(OR(A661="",B661=""),"",_xlfn.MAXIFS(TrocasEquip!$A$2:$A$1000,TrocasEquip!$B$2:$B$1000,B661,TrocasEquip!$A$2:$A$1000,"&lt;"&amp;A661))</f>
        <v/>
      </c>
      <c r="M661">
        <f>IF(N(L661)=0,0,MATCH(1,INDEX((TrocasEquip!$B$2:$B$1000=B661)*(TrocasEquip!$A$2:$A$1000=L661),0),0))</f>
        <v/>
      </c>
      <c r="N661">
        <f>IF(B661="","",IFERROR(MATCH(B661,Equipamentos!$P$2:$P$61,0),""))</f>
        <v/>
      </c>
      <c r="O661">
        <f>IF(N661="","",IF(M661=0,INDEX(Equipamentos!$U$2:$U$61,N661),L661))</f>
        <v/>
      </c>
      <c r="P661">
        <f>IF(N661="","",IF(M661=0,N(INDEX(Equipamentos!$V$2:$V$61,N661)),N(INDEX(TrocasEquip!$I$2:$I$1000,M661))))</f>
        <v/>
      </c>
      <c r="Q661">
        <f>IF(N661="","",IF(M661=0,INDEX(Equipamentos!$T$2:$T$61,N661),IF(INDEX(TrocasEquip!$H$2:$H$1000,M661)="",INDEX(Equipamentos!$T$2:$T$61,N661),INDEX(TrocasEquip!$H$2:$H$1000,M661))))</f>
        <v/>
      </c>
    </row>
    <row r="662">
      <c r="A662" s="54" t="n"/>
      <c r="B662" s="55" t="n"/>
      <c r="C662">
        <f>IF(B662="","",IF(N662="","posição não encontrada",IF(M662=0,INDEX(Equipamentos!$S$2:$S$61,N662),INDEX(TrocasEquip!$G$2:$G$1000,M662))))</f>
        <v/>
      </c>
      <c r="D662" s="56">
        <f>IF(OR(A662="",N662=""),"",P662+IF(E662="dias",MAX(0,A662-O662),IF(INDEX(Equipamentos!$D$2:$D$61,N662)=2,SUMIFS(Producao!$D:$D,Producao!$A:$A,"&gt;="&amp;O662,Producao!$A:$A,"&lt;"&amp;A662),IF(INDEX(Equipamentos!$D$2:$D$61,N662)=3,SUMIFS(Producao!$E:$E,Producao!$A:$A,"&gt;="&amp;O662,Producao!$A:$A,"&lt;"&amp;A662),SUMIFS(Producao!$B:$B,Producao!$A:$A,"&gt;="&amp;O662,Producao!$A:$A,"&lt;"&amp;A662)))))</f>
        <v/>
      </c>
      <c r="E662">
        <f>IF(N662="","",INDEX(Equipamentos!$C$2:$C$61,N662))</f>
        <v/>
      </c>
      <c r="F662" s="57">
        <f>IF(OR(D662="",N(Q662)&lt;=0),"",D662/Q662)</f>
        <v/>
      </c>
      <c r="G662" s="55" t="n"/>
      <c r="H662" s="58" t="n"/>
      <c r="I662" s="58" t="n"/>
      <c r="J662" s="55" t="n"/>
      <c r="K662" s="55" t="n"/>
      <c r="L662">
        <f>IF(OR(A662="",B662=""),"",_xlfn.MAXIFS(TrocasEquip!$A$2:$A$1000,TrocasEquip!$B$2:$B$1000,B662,TrocasEquip!$A$2:$A$1000,"&lt;"&amp;A662))</f>
        <v/>
      </c>
      <c r="M662">
        <f>IF(N(L662)=0,0,MATCH(1,INDEX((TrocasEquip!$B$2:$B$1000=B662)*(TrocasEquip!$A$2:$A$1000=L662),0),0))</f>
        <v/>
      </c>
      <c r="N662">
        <f>IF(B662="","",IFERROR(MATCH(B662,Equipamentos!$P$2:$P$61,0),""))</f>
        <v/>
      </c>
      <c r="O662">
        <f>IF(N662="","",IF(M662=0,INDEX(Equipamentos!$U$2:$U$61,N662),L662))</f>
        <v/>
      </c>
      <c r="P662">
        <f>IF(N662="","",IF(M662=0,N(INDEX(Equipamentos!$V$2:$V$61,N662)),N(INDEX(TrocasEquip!$I$2:$I$1000,M662))))</f>
        <v/>
      </c>
      <c r="Q662">
        <f>IF(N662="","",IF(M662=0,INDEX(Equipamentos!$T$2:$T$61,N662),IF(INDEX(TrocasEquip!$H$2:$H$1000,M662)="",INDEX(Equipamentos!$T$2:$T$61,N662),INDEX(TrocasEquip!$H$2:$H$1000,M662))))</f>
        <v/>
      </c>
    </row>
    <row r="663">
      <c r="A663" s="54" t="n"/>
      <c r="B663" s="55" t="n"/>
      <c r="C663">
        <f>IF(B663="","",IF(N663="","posição não encontrada",IF(M663=0,INDEX(Equipamentos!$S$2:$S$61,N663),INDEX(TrocasEquip!$G$2:$G$1000,M663))))</f>
        <v/>
      </c>
      <c r="D663" s="56">
        <f>IF(OR(A663="",N663=""),"",P663+IF(E663="dias",MAX(0,A663-O663),IF(INDEX(Equipamentos!$D$2:$D$61,N663)=2,SUMIFS(Producao!$D:$D,Producao!$A:$A,"&gt;="&amp;O663,Producao!$A:$A,"&lt;"&amp;A663),IF(INDEX(Equipamentos!$D$2:$D$61,N663)=3,SUMIFS(Producao!$E:$E,Producao!$A:$A,"&gt;="&amp;O663,Producao!$A:$A,"&lt;"&amp;A663),SUMIFS(Producao!$B:$B,Producao!$A:$A,"&gt;="&amp;O663,Producao!$A:$A,"&lt;"&amp;A663)))))</f>
        <v/>
      </c>
      <c r="E663">
        <f>IF(N663="","",INDEX(Equipamentos!$C$2:$C$61,N663))</f>
        <v/>
      </c>
      <c r="F663" s="57">
        <f>IF(OR(D663="",N(Q663)&lt;=0),"",D663/Q663)</f>
        <v/>
      </c>
      <c r="G663" s="55" t="n"/>
      <c r="H663" s="58" t="n"/>
      <c r="I663" s="58" t="n"/>
      <c r="J663" s="55" t="n"/>
      <c r="K663" s="55" t="n"/>
      <c r="L663">
        <f>IF(OR(A663="",B663=""),"",_xlfn.MAXIFS(TrocasEquip!$A$2:$A$1000,TrocasEquip!$B$2:$B$1000,B663,TrocasEquip!$A$2:$A$1000,"&lt;"&amp;A663))</f>
        <v/>
      </c>
      <c r="M663">
        <f>IF(N(L663)=0,0,MATCH(1,INDEX((TrocasEquip!$B$2:$B$1000=B663)*(TrocasEquip!$A$2:$A$1000=L663),0),0))</f>
        <v/>
      </c>
      <c r="N663">
        <f>IF(B663="","",IFERROR(MATCH(B663,Equipamentos!$P$2:$P$61,0),""))</f>
        <v/>
      </c>
      <c r="O663">
        <f>IF(N663="","",IF(M663=0,INDEX(Equipamentos!$U$2:$U$61,N663),L663))</f>
        <v/>
      </c>
      <c r="P663">
        <f>IF(N663="","",IF(M663=0,N(INDEX(Equipamentos!$V$2:$V$61,N663)),N(INDEX(TrocasEquip!$I$2:$I$1000,M663))))</f>
        <v/>
      </c>
      <c r="Q663">
        <f>IF(N663="","",IF(M663=0,INDEX(Equipamentos!$T$2:$T$61,N663),IF(INDEX(TrocasEquip!$H$2:$H$1000,M663)="",INDEX(Equipamentos!$T$2:$T$61,N663),INDEX(TrocasEquip!$H$2:$H$1000,M663))))</f>
        <v/>
      </c>
    </row>
    <row r="664">
      <c r="A664" s="54" t="n"/>
      <c r="B664" s="55" t="n"/>
      <c r="C664">
        <f>IF(B664="","",IF(N664="","posição não encontrada",IF(M664=0,INDEX(Equipamentos!$S$2:$S$61,N664),INDEX(TrocasEquip!$G$2:$G$1000,M664))))</f>
        <v/>
      </c>
      <c r="D664" s="56">
        <f>IF(OR(A664="",N664=""),"",P664+IF(E664="dias",MAX(0,A664-O664),IF(INDEX(Equipamentos!$D$2:$D$61,N664)=2,SUMIFS(Producao!$D:$D,Producao!$A:$A,"&gt;="&amp;O664,Producao!$A:$A,"&lt;"&amp;A664),IF(INDEX(Equipamentos!$D$2:$D$61,N664)=3,SUMIFS(Producao!$E:$E,Producao!$A:$A,"&gt;="&amp;O664,Producao!$A:$A,"&lt;"&amp;A664),SUMIFS(Producao!$B:$B,Producao!$A:$A,"&gt;="&amp;O664,Producao!$A:$A,"&lt;"&amp;A664)))))</f>
        <v/>
      </c>
      <c r="E664">
        <f>IF(N664="","",INDEX(Equipamentos!$C$2:$C$61,N664))</f>
        <v/>
      </c>
      <c r="F664" s="57">
        <f>IF(OR(D664="",N(Q664)&lt;=0),"",D664/Q664)</f>
        <v/>
      </c>
      <c r="G664" s="55" t="n"/>
      <c r="H664" s="58" t="n"/>
      <c r="I664" s="58" t="n"/>
      <c r="J664" s="55" t="n"/>
      <c r="K664" s="55" t="n"/>
      <c r="L664">
        <f>IF(OR(A664="",B664=""),"",_xlfn.MAXIFS(TrocasEquip!$A$2:$A$1000,TrocasEquip!$B$2:$B$1000,B664,TrocasEquip!$A$2:$A$1000,"&lt;"&amp;A664))</f>
        <v/>
      </c>
      <c r="M664">
        <f>IF(N(L664)=0,0,MATCH(1,INDEX((TrocasEquip!$B$2:$B$1000=B664)*(TrocasEquip!$A$2:$A$1000=L664),0),0))</f>
        <v/>
      </c>
      <c r="N664">
        <f>IF(B664="","",IFERROR(MATCH(B664,Equipamentos!$P$2:$P$61,0),""))</f>
        <v/>
      </c>
      <c r="O664">
        <f>IF(N664="","",IF(M664=0,INDEX(Equipamentos!$U$2:$U$61,N664),L664))</f>
        <v/>
      </c>
      <c r="P664">
        <f>IF(N664="","",IF(M664=0,N(INDEX(Equipamentos!$V$2:$V$61,N664)),N(INDEX(TrocasEquip!$I$2:$I$1000,M664))))</f>
        <v/>
      </c>
      <c r="Q664">
        <f>IF(N664="","",IF(M664=0,INDEX(Equipamentos!$T$2:$T$61,N664),IF(INDEX(TrocasEquip!$H$2:$H$1000,M664)="",INDEX(Equipamentos!$T$2:$T$61,N664),INDEX(TrocasEquip!$H$2:$H$1000,M664))))</f>
        <v/>
      </c>
    </row>
    <row r="665">
      <c r="A665" s="54" t="n"/>
      <c r="B665" s="55" t="n"/>
      <c r="C665">
        <f>IF(B665="","",IF(N665="","posição não encontrada",IF(M665=0,INDEX(Equipamentos!$S$2:$S$61,N665),INDEX(TrocasEquip!$G$2:$G$1000,M665))))</f>
        <v/>
      </c>
      <c r="D665" s="56">
        <f>IF(OR(A665="",N665=""),"",P665+IF(E665="dias",MAX(0,A665-O665),IF(INDEX(Equipamentos!$D$2:$D$61,N665)=2,SUMIFS(Producao!$D:$D,Producao!$A:$A,"&gt;="&amp;O665,Producao!$A:$A,"&lt;"&amp;A665),IF(INDEX(Equipamentos!$D$2:$D$61,N665)=3,SUMIFS(Producao!$E:$E,Producao!$A:$A,"&gt;="&amp;O665,Producao!$A:$A,"&lt;"&amp;A665),SUMIFS(Producao!$B:$B,Producao!$A:$A,"&gt;="&amp;O665,Producao!$A:$A,"&lt;"&amp;A665)))))</f>
        <v/>
      </c>
      <c r="E665">
        <f>IF(N665="","",INDEX(Equipamentos!$C$2:$C$61,N665))</f>
        <v/>
      </c>
      <c r="F665" s="57">
        <f>IF(OR(D665="",N(Q665)&lt;=0),"",D665/Q665)</f>
        <v/>
      </c>
      <c r="G665" s="55" t="n"/>
      <c r="H665" s="58" t="n"/>
      <c r="I665" s="58" t="n"/>
      <c r="J665" s="55" t="n"/>
      <c r="K665" s="55" t="n"/>
      <c r="L665">
        <f>IF(OR(A665="",B665=""),"",_xlfn.MAXIFS(TrocasEquip!$A$2:$A$1000,TrocasEquip!$B$2:$B$1000,B665,TrocasEquip!$A$2:$A$1000,"&lt;"&amp;A665))</f>
        <v/>
      </c>
      <c r="M665">
        <f>IF(N(L665)=0,0,MATCH(1,INDEX((TrocasEquip!$B$2:$B$1000=B665)*(TrocasEquip!$A$2:$A$1000=L665),0),0))</f>
        <v/>
      </c>
      <c r="N665">
        <f>IF(B665="","",IFERROR(MATCH(B665,Equipamentos!$P$2:$P$61,0),""))</f>
        <v/>
      </c>
      <c r="O665">
        <f>IF(N665="","",IF(M665=0,INDEX(Equipamentos!$U$2:$U$61,N665),L665))</f>
        <v/>
      </c>
      <c r="P665">
        <f>IF(N665="","",IF(M665=0,N(INDEX(Equipamentos!$V$2:$V$61,N665)),N(INDEX(TrocasEquip!$I$2:$I$1000,M665))))</f>
        <v/>
      </c>
      <c r="Q665">
        <f>IF(N665="","",IF(M665=0,INDEX(Equipamentos!$T$2:$T$61,N665),IF(INDEX(TrocasEquip!$H$2:$H$1000,M665)="",INDEX(Equipamentos!$T$2:$T$61,N665),INDEX(TrocasEquip!$H$2:$H$1000,M665))))</f>
        <v/>
      </c>
    </row>
    <row r="666">
      <c r="A666" s="54" t="n"/>
      <c r="B666" s="55" t="n"/>
      <c r="C666">
        <f>IF(B666="","",IF(N666="","posição não encontrada",IF(M666=0,INDEX(Equipamentos!$S$2:$S$61,N666),INDEX(TrocasEquip!$G$2:$G$1000,M666))))</f>
        <v/>
      </c>
      <c r="D666" s="56">
        <f>IF(OR(A666="",N666=""),"",P666+IF(E666="dias",MAX(0,A666-O666),IF(INDEX(Equipamentos!$D$2:$D$61,N666)=2,SUMIFS(Producao!$D:$D,Producao!$A:$A,"&gt;="&amp;O666,Producao!$A:$A,"&lt;"&amp;A666),IF(INDEX(Equipamentos!$D$2:$D$61,N666)=3,SUMIFS(Producao!$E:$E,Producao!$A:$A,"&gt;="&amp;O666,Producao!$A:$A,"&lt;"&amp;A666),SUMIFS(Producao!$B:$B,Producao!$A:$A,"&gt;="&amp;O666,Producao!$A:$A,"&lt;"&amp;A666)))))</f>
        <v/>
      </c>
      <c r="E666">
        <f>IF(N666="","",INDEX(Equipamentos!$C$2:$C$61,N666))</f>
        <v/>
      </c>
      <c r="F666" s="57">
        <f>IF(OR(D666="",N(Q666)&lt;=0),"",D666/Q666)</f>
        <v/>
      </c>
      <c r="G666" s="55" t="n"/>
      <c r="H666" s="58" t="n"/>
      <c r="I666" s="58" t="n"/>
      <c r="J666" s="55" t="n"/>
      <c r="K666" s="55" t="n"/>
      <c r="L666">
        <f>IF(OR(A666="",B666=""),"",_xlfn.MAXIFS(TrocasEquip!$A$2:$A$1000,TrocasEquip!$B$2:$B$1000,B666,TrocasEquip!$A$2:$A$1000,"&lt;"&amp;A666))</f>
        <v/>
      </c>
      <c r="M666">
        <f>IF(N(L666)=0,0,MATCH(1,INDEX((TrocasEquip!$B$2:$B$1000=B666)*(TrocasEquip!$A$2:$A$1000=L666),0),0))</f>
        <v/>
      </c>
      <c r="N666">
        <f>IF(B666="","",IFERROR(MATCH(B666,Equipamentos!$P$2:$P$61,0),""))</f>
        <v/>
      </c>
      <c r="O666">
        <f>IF(N666="","",IF(M666=0,INDEX(Equipamentos!$U$2:$U$61,N666),L666))</f>
        <v/>
      </c>
      <c r="P666">
        <f>IF(N666="","",IF(M666=0,N(INDEX(Equipamentos!$V$2:$V$61,N666)),N(INDEX(TrocasEquip!$I$2:$I$1000,M666))))</f>
        <v/>
      </c>
      <c r="Q666">
        <f>IF(N666="","",IF(M666=0,INDEX(Equipamentos!$T$2:$T$61,N666),IF(INDEX(TrocasEquip!$H$2:$H$1000,M666)="",INDEX(Equipamentos!$T$2:$T$61,N666),INDEX(TrocasEquip!$H$2:$H$1000,M666))))</f>
        <v/>
      </c>
    </row>
    <row r="667">
      <c r="A667" s="54" t="n"/>
      <c r="B667" s="55" t="n"/>
      <c r="C667">
        <f>IF(B667="","",IF(N667="","posição não encontrada",IF(M667=0,INDEX(Equipamentos!$S$2:$S$61,N667),INDEX(TrocasEquip!$G$2:$G$1000,M667))))</f>
        <v/>
      </c>
      <c r="D667" s="56">
        <f>IF(OR(A667="",N667=""),"",P667+IF(E667="dias",MAX(0,A667-O667),IF(INDEX(Equipamentos!$D$2:$D$61,N667)=2,SUMIFS(Producao!$D:$D,Producao!$A:$A,"&gt;="&amp;O667,Producao!$A:$A,"&lt;"&amp;A667),IF(INDEX(Equipamentos!$D$2:$D$61,N667)=3,SUMIFS(Producao!$E:$E,Producao!$A:$A,"&gt;="&amp;O667,Producao!$A:$A,"&lt;"&amp;A667),SUMIFS(Producao!$B:$B,Producao!$A:$A,"&gt;="&amp;O667,Producao!$A:$A,"&lt;"&amp;A667)))))</f>
        <v/>
      </c>
      <c r="E667">
        <f>IF(N667="","",INDEX(Equipamentos!$C$2:$C$61,N667))</f>
        <v/>
      </c>
      <c r="F667" s="57">
        <f>IF(OR(D667="",N(Q667)&lt;=0),"",D667/Q667)</f>
        <v/>
      </c>
      <c r="G667" s="55" t="n"/>
      <c r="H667" s="58" t="n"/>
      <c r="I667" s="58" t="n"/>
      <c r="J667" s="55" t="n"/>
      <c r="K667" s="55" t="n"/>
      <c r="L667">
        <f>IF(OR(A667="",B667=""),"",_xlfn.MAXIFS(TrocasEquip!$A$2:$A$1000,TrocasEquip!$B$2:$B$1000,B667,TrocasEquip!$A$2:$A$1000,"&lt;"&amp;A667))</f>
        <v/>
      </c>
      <c r="M667">
        <f>IF(N(L667)=0,0,MATCH(1,INDEX((TrocasEquip!$B$2:$B$1000=B667)*(TrocasEquip!$A$2:$A$1000=L667),0),0))</f>
        <v/>
      </c>
      <c r="N667">
        <f>IF(B667="","",IFERROR(MATCH(B667,Equipamentos!$P$2:$P$61,0),""))</f>
        <v/>
      </c>
      <c r="O667">
        <f>IF(N667="","",IF(M667=0,INDEX(Equipamentos!$U$2:$U$61,N667),L667))</f>
        <v/>
      </c>
      <c r="P667">
        <f>IF(N667="","",IF(M667=0,N(INDEX(Equipamentos!$V$2:$V$61,N667)),N(INDEX(TrocasEquip!$I$2:$I$1000,M667))))</f>
        <v/>
      </c>
      <c r="Q667">
        <f>IF(N667="","",IF(M667=0,INDEX(Equipamentos!$T$2:$T$61,N667),IF(INDEX(TrocasEquip!$H$2:$H$1000,M667)="",INDEX(Equipamentos!$T$2:$T$61,N667),INDEX(TrocasEquip!$H$2:$H$1000,M667))))</f>
        <v/>
      </c>
    </row>
    <row r="668">
      <c r="A668" s="54" t="n"/>
      <c r="B668" s="55" t="n"/>
      <c r="C668">
        <f>IF(B668="","",IF(N668="","posição não encontrada",IF(M668=0,INDEX(Equipamentos!$S$2:$S$61,N668),INDEX(TrocasEquip!$G$2:$G$1000,M668))))</f>
        <v/>
      </c>
      <c r="D668" s="56">
        <f>IF(OR(A668="",N668=""),"",P668+IF(E668="dias",MAX(0,A668-O668),IF(INDEX(Equipamentos!$D$2:$D$61,N668)=2,SUMIFS(Producao!$D:$D,Producao!$A:$A,"&gt;="&amp;O668,Producao!$A:$A,"&lt;"&amp;A668),IF(INDEX(Equipamentos!$D$2:$D$61,N668)=3,SUMIFS(Producao!$E:$E,Producao!$A:$A,"&gt;="&amp;O668,Producao!$A:$A,"&lt;"&amp;A668),SUMIFS(Producao!$B:$B,Producao!$A:$A,"&gt;="&amp;O668,Producao!$A:$A,"&lt;"&amp;A668)))))</f>
        <v/>
      </c>
      <c r="E668">
        <f>IF(N668="","",INDEX(Equipamentos!$C$2:$C$61,N668))</f>
        <v/>
      </c>
      <c r="F668" s="57">
        <f>IF(OR(D668="",N(Q668)&lt;=0),"",D668/Q668)</f>
        <v/>
      </c>
      <c r="G668" s="55" t="n"/>
      <c r="H668" s="58" t="n"/>
      <c r="I668" s="58" t="n"/>
      <c r="J668" s="55" t="n"/>
      <c r="K668" s="55" t="n"/>
      <c r="L668">
        <f>IF(OR(A668="",B668=""),"",_xlfn.MAXIFS(TrocasEquip!$A$2:$A$1000,TrocasEquip!$B$2:$B$1000,B668,TrocasEquip!$A$2:$A$1000,"&lt;"&amp;A668))</f>
        <v/>
      </c>
      <c r="M668">
        <f>IF(N(L668)=0,0,MATCH(1,INDEX((TrocasEquip!$B$2:$B$1000=B668)*(TrocasEquip!$A$2:$A$1000=L668),0),0))</f>
        <v/>
      </c>
      <c r="N668">
        <f>IF(B668="","",IFERROR(MATCH(B668,Equipamentos!$P$2:$P$61,0),""))</f>
        <v/>
      </c>
      <c r="O668">
        <f>IF(N668="","",IF(M668=0,INDEX(Equipamentos!$U$2:$U$61,N668),L668))</f>
        <v/>
      </c>
      <c r="P668">
        <f>IF(N668="","",IF(M668=0,N(INDEX(Equipamentos!$V$2:$V$61,N668)),N(INDEX(TrocasEquip!$I$2:$I$1000,M668))))</f>
        <v/>
      </c>
      <c r="Q668">
        <f>IF(N668="","",IF(M668=0,INDEX(Equipamentos!$T$2:$T$61,N668),IF(INDEX(TrocasEquip!$H$2:$H$1000,M668)="",INDEX(Equipamentos!$T$2:$T$61,N668),INDEX(TrocasEquip!$H$2:$H$1000,M668))))</f>
        <v/>
      </c>
    </row>
    <row r="669">
      <c r="A669" s="54" t="n"/>
      <c r="B669" s="55" t="n"/>
      <c r="C669">
        <f>IF(B669="","",IF(N669="","posição não encontrada",IF(M669=0,INDEX(Equipamentos!$S$2:$S$61,N669),INDEX(TrocasEquip!$G$2:$G$1000,M669))))</f>
        <v/>
      </c>
      <c r="D669" s="56">
        <f>IF(OR(A669="",N669=""),"",P669+IF(E669="dias",MAX(0,A669-O669),IF(INDEX(Equipamentos!$D$2:$D$61,N669)=2,SUMIFS(Producao!$D:$D,Producao!$A:$A,"&gt;="&amp;O669,Producao!$A:$A,"&lt;"&amp;A669),IF(INDEX(Equipamentos!$D$2:$D$61,N669)=3,SUMIFS(Producao!$E:$E,Producao!$A:$A,"&gt;="&amp;O669,Producao!$A:$A,"&lt;"&amp;A669),SUMIFS(Producao!$B:$B,Producao!$A:$A,"&gt;="&amp;O669,Producao!$A:$A,"&lt;"&amp;A669)))))</f>
        <v/>
      </c>
      <c r="E669">
        <f>IF(N669="","",INDEX(Equipamentos!$C$2:$C$61,N669))</f>
        <v/>
      </c>
      <c r="F669" s="57">
        <f>IF(OR(D669="",N(Q669)&lt;=0),"",D669/Q669)</f>
        <v/>
      </c>
      <c r="G669" s="55" t="n"/>
      <c r="H669" s="58" t="n"/>
      <c r="I669" s="58" t="n"/>
      <c r="J669" s="55" t="n"/>
      <c r="K669" s="55" t="n"/>
      <c r="L669">
        <f>IF(OR(A669="",B669=""),"",_xlfn.MAXIFS(TrocasEquip!$A$2:$A$1000,TrocasEquip!$B$2:$B$1000,B669,TrocasEquip!$A$2:$A$1000,"&lt;"&amp;A669))</f>
        <v/>
      </c>
      <c r="M669">
        <f>IF(N(L669)=0,0,MATCH(1,INDEX((TrocasEquip!$B$2:$B$1000=B669)*(TrocasEquip!$A$2:$A$1000=L669),0),0))</f>
        <v/>
      </c>
      <c r="N669">
        <f>IF(B669="","",IFERROR(MATCH(B669,Equipamentos!$P$2:$P$61,0),""))</f>
        <v/>
      </c>
      <c r="O669">
        <f>IF(N669="","",IF(M669=0,INDEX(Equipamentos!$U$2:$U$61,N669),L669))</f>
        <v/>
      </c>
      <c r="P669">
        <f>IF(N669="","",IF(M669=0,N(INDEX(Equipamentos!$V$2:$V$61,N669)),N(INDEX(TrocasEquip!$I$2:$I$1000,M669))))</f>
        <v/>
      </c>
      <c r="Q669">
        <f>IF(N669="","",IF(M669=0,INDEX(Equipamentos!$T$2:$T$61,N669),IF(INDEX(TrocasEquip!$H$2:$H$1000,M669)="",INDEX(Equipamentos!$T$2:$T$61,N669),INDEX(TrocasEquip!$H$2:$H$1000,M669))))</f>
        <v/>
      </c>
    </row>
    <row r="670">
      <c r="A670" s="54" t="n"/>
      <c r="B670" s="55" t="n"/>
      <c r="C670">
        <f>IF(B670="","",IF(N670="","posição não encontrada",IF(M670=0,INDEX(Equipamentos!$S$2:$S$61,N670),INDEX(TrocasEquip!$G$2:$G$1000,M670))))</f>
        <v/>
      </c>
      <c r="D670" s="56">
        <f>IF(OR(A670="",N670=""),"",P670+IF(E670="dias",MAX(0,A670-O670),IF(INDEX(Equipamentos!$D$2:$D$61,N670)=2,SUMIFS(Producao!$D:$D,Producao!$A:$A,"&gt;="&amp;O670,Producao!$A:$A,"&lt;"&amp;A670),IF(INDEX(Equipamentos!$D$2:$D$61,N670)=3,SUMIFS(Producao!$E:$E,Producao!$A:$A,"&gt;="&amp;O670,Producao!$A:$A,"&lt;"&amp;A670),SUMIFS(Producao!$B:$B,Producao!$A:$A,"&gt;="&amp;O670,Producao!$A:$A,"&lt;"&amp;A670)))))</f>
        <v/>
      </c>
      <c r="E670">
        <f>IF(N670="","",INDEX(Equipamentos!$C$2:$C$61,N670))</f>
        <v/>
      </c>
      <c r="F670" s="57">
        <f>IF(OR(D670="",N(Q670)&lt;=0),"",D670/Q670)</f>
        <v/>
      </c>
      <c r="G670" s="55" t="n"/>
      <c r="H670" s="58" t="n"/>
      <c r="I670" s="58" t="n"/>
      <c r="J670" s="55" t="n"/>
      <c r="K670" s="55" t="n"/>
      <c r="L670">
        <f>IF(OR(A670="",B670=""),"",_xlfn.MAXIFS(TrocasEquip!$A$2:$A$1000,TrocasEquip!$B$2:$B$1000,B670,TrocasEquip!$A$2:$A$1000,"&lt;"&amp;A670))</f>
        <v/>
      </c>
      <c r="M670">
        <f>IF(N(L670)=0,0,MATCH(1,INDEX((TrocasEquip!$B$2:$B$1000=B670)*(TrocasEquip!$A$2:$A$1000=L670),0),0))</f>
        <v/>
      </c>
      <c r="N670">
        <f>IF(B670="","",IFERROR(MATCH(B670,Equipamentos!$P$2:$P$61,0),""))</f>
        <v/>
      </c>
      <c r="O670">
        <f>IF(N670="","",IF(M670=0,INDEX(Equipamentos!$U$2:$U$61,N670),L670))</f>
        <v/>
      </c>
      <c r="P670">
        <f>IF(N670="","",IF(M670=0,N(INDEX(Equipamentos!$V$2:$V$61,N670)),N(INDEX(TrocasEquip!$I$2:$I$1000,M670))))</f>
        <v/>
      </c>
      <c r="Q670">
        <f>IF(N670="","",IF(M670=0,INDEX(Equipamentos!$T$2:$T$61,N670),IF(INDEX(TrocasEquip!$H$2:$H$1000,M670)="",INDEX(Equipamentos!$T$2:$T$61,N670),INDEX(TrocasEquip!$H$2:$H$1000,M670))))</f>
        <v/>
      </c>
    </row>
    <row r="671">
      <c r="A671" s="54" t="n"/>
      <c r="B671" s="55" t="n"/>
      <c r="C671">
        <f>IF(B671="","",IF(N671="","posição não encontrada",IF(M671=0,INDEX(Equipamentos!$S$2:$S$61,N671),INDEX(TrocasEquip!$G$2:$G$1000,M671))))</f>
        <v/>
      </c>
      <c r="D671" s="56">
        <f>IF(OR(A671="",N671=""),"",P671+IF(E671="dias",MAX(0,A671-O671),IF(INDEX(Equipamentos!$D$2:$D$61,N671)=2,SUMIFS(Producao!$D:$D,Producao!$A:$A,"&gt;="&amp;O671,Producao!$A:$A,"&lt;"&amp;A671),IF(INDEX(Equipamentos!$D$2:$D$61,N671)=3,SUMIFS(Producao!$E:$E,Producao!$A:$A,"&gt;="&amp;O671,Producao!$A:$A,"&lt;"&amp;A671),SUMIFS(Producao!$B:$B,Producao!$A:$A,"&gt;="&amp;O671,Producao!$A:$A,"&lt;"&amp;A671)))))</f>
        <v/>
      </c>
      <c r="E671">
        <f>IF(N671="","",INDEX(Equipamentos!$C$2:$C$61,N671))</f>
        <v/>
      </c>
      <c r="F671" s="57">
        <f>IF(OR(D671="",N(Q671)&lt;=0),"",D671/Q671)</f>
        <v/>
      </c>
      <c r="G671" s="55" t="n"/>
      <c r="H671" s="58" t="n"/>
      <c r="I671" s="58" t="n"/>
      <c r="J671" s="55" t="n"/>
      <c r="K671" s="55" t="n"/>
      <c r="L671">
        <f>IF(OR(A671="",B671=""),"",_xlfn.MAXIFS(TrocasEquip!$A$2:$A$1000,TrocasEquip!$B$2:$B$1000,B671,TrocasEquip!$A$2:$A$1000,"&lt;"&amp;A671))</f>
        <v/>
      </c>
      <c r="M671">
        <f>IF(N(L671)=0,0,MATCH(1,INDEX((TrocasEquip!$B$2:$B$1000=B671)*(TrocasEquip!$A$2:$A$1000=L671),0),0))</f>
        <v/>
      </c>
      <c r="N671">
        <f>IF(B671="","",IFERROR(MATCH(B671,Equipamentos!$P$2:$P$61,0),""))</f>
        <v/>
      </c>
      <c r="O671">
        <f>IF(N671="","",IF(M671=0,INDEX(Equipamentos!$U$2:$U$61,N671),L671))</f>
        <v/>
      </c>
      <c r="P671">
        <f>IF(N671="","",IF(M671=0,N(INDEX(Equipamentos!$V$2:$V$61,N671)),N(INDEX(TrocasEquip!$I$2:$I$1000,M671))))</f>
        <v/>
      </c>
      <c r="Q671">
        <f>IF(N671="","",IF(M671=0,INDEX(Equipamentos!$T$2:$T$61,N671),IF(INDEX(TrocasEquip!$H$2:$H$1000,M671)="",INDEX(Equipamentos!$T$2:$T$61,N671),INDEX(TrocasEquip!$H$2:$H$1000,M671))))</f>
        <v/>
      </c>
    </row>
    <row r="672">
      <c r="A672" s="54" t="n"/>
      <c r="B672" s="55" t="n"/>
      <c r="C672">
        <f>IF(B672="","",IF(N672="","posição não encontrada",IF(M672=0,INDEX(Equipamentos!$S$2:$S$61,N672),INDEX(TrocasEquip!$G$2:$G$1000,M672))))</f>
        <v/>
      </c>
      <c r="D672" s="56">
        <f>IF(OR(A672="",N672=""),"",P672+IF(E672="dias",MAX(0,A672-O672),IF(INDEX(Equipamentos!$D$2:$D$61,N672)=2,SUMIFS(Producao!$D:$D,Producao!$A:$A,"&gt;="&amp;O672,Producao!$A:$A,"&lt;"&amp;A672),IF(INDEX(Equipamentos!$D$2:$D$61,N672)=3,SUMIFS(Producao!$E:$E,Producao!$A:$A,"&gt;="&amp;O672,Producao!$A:$A,"&lt;"&amp;A672),SUMIFS(Producao!$B:$B,Producao!$A:$A,"&gt;="&amp;O672,Producao!$A:$A,"&lt;"&amp;A672)))))</f>
        <v/>
      </c>
      <c r="E672">
        <f>IF(N672="","",INDEX(Equipamentos!$C$2:$C$61,N672))</f>
        <v/>
      </c>
      <c r="F672" s="57">
        <f>IF(OR(D672="",N(Q672)&lt;=0),"",D672/Q672)</f>
        <v/>
      </c>
      <c r="G672" s="55" t="n"/>
      <c r="H672" s="58" t="n"/>
      <c r="I672" s="58" t="n"/>
      <c r="J672" s="55" t="n"/>
      <c r="K672" s="55" t="n"/>
      <c r="L672">
        <f>IF(OR(A672="",B672=""),"",_xlfn.MAXIFS(TrocasEquip!$A$2:$A$1000,TrocasEquip!$B$2:$B$1000,B672,TrocasEquip!$A$2:$A$1000,"&lt;"&amp;A672))</f>
        <v/>
      </c>
      <c r="M672">
        <f>IF(N(L672)=0,0,MATCH(1,INDEX((TrocasEquip!$B$2:$B$1000=B672)*(TrocasEquip!$A$2:$A$1000=L672),0),0))</f>
        <v/>
      </c>
      <c r="N672">
        <f>IF(B672="","",IFERROR(MATCH(B672,Equipamentos!$P$2:$P$61,0),""))</f>
        <v/>
      </c>
      <c r="O672">
        <f>IF(N672="","",IF(M672=0,INDEX(Equipamentos!$U$2:$U$61,N672),L672))</f>
        <v/>
      </c>
      <c r="P672">
        <f>IF(N672="","",IF(M672=0,N(INDEX(Equipamentos!$V$2:$V$61,N672)),N(INDEX(TrocasEquip!$I$2:$I$1000,M672))))</f>
        <v/>
      </c>
      <c r="Q672">
        <f>IF(N672="","",IF(M672=0,INDEX(Equipamentos!$T$2:$T$61,N672),IF(INDEX(TrocasEquip!$H$2:$H$1000,M672)="",INDEX(Equipamentos!$T$2:$T$61,N672),INDEX(TrocasEquip!$H$2:$H$1000,M672))))</f>
        <v/>
      </c>
    </row>
    <row r="673">
      <c r="A673" s="54" t="n"/>
      <c r="B673" s="55" t="n"/>
      <c r="C673">
        <f>IF(B673="","",IF(N673="","posição não encontrada",IF(M673=0,INDEX(Equipamentos!$S$2:$S$61,N673),INDEX(TrocasEquip!$G$2:$G$1000,M673))))</f>
        <v/>
      </c>
      <c r="D673" s="56">
        <f>IF(OR(A673="",N673=""),"",P673+IF(E673="dias",MAX(0,A673-O673),IF(INDEX(Equipamentos!$D$2:$D$61,N673)=2,SUMIFS(Producao!$D:$D,Producao!$A:$A,"&gt;="&amp;O673,Producao!$A:$A,"&lt;"&amp;A673),IF(INDEX(Equipamentos!$D$2:$D$61,N673)=3,SUMIFS(Producao!$E:$E,Producao!$A:$A,"&gt;="&amp;O673,Producao!$A:$A,"&lt;"&amp;A673),SUMIFS(Producao!$B:$B,Producao!$A:$A,"&gt;="&amp;O673,Producao!$A:$A,"&lt;"&amp;A673)))))</f>
        <v/>
      </c>
      <c r="E673">
        <f>IF(N673="","",INDEX(Equipamentos!$C$2:$C$61,N673))</f>
        <v/>
      </c>
      <c r="F673" s="57">
        <f>IF(OR(D673="",N(Q673)&lt;=0),"",D673/Q673)</f>
        <v/>
      </c>
      <c r="G673" s="55" t="n"/>
      <c r="H673" s="58" t="n"/>
      <c r="I673" s="58" t="n"/>
      <c r="J673" s="55" t="n"/>
      <c r="K673" s="55" t="n"/>
      <c r="L673">
        <f>IF(OR(A673="",B673=""),"",_xlfn.MAXIFS(TrocasEquip!$A$2:$A$1000,TrocasEquip!$B$2:$B$1000,B673,TrocasEquip!$A$2:$A$1000,"&lt;"&amp;A673))</f>
        <v/>
      </c>
      <c r="M673">
        <f>IF(N(L673)=0,0,MATCH(1,INDEX((TrocasEquip!$B$2:$B$1000=B673)*(TrocasEquip!$A$2:$A$1000=L673),0),0))</f>
        <v/>
      </c>
      <c r="N673">
        <f>IF(B673="","",IFERROR(MATCH(B673,Equipamentos!$P$2:$P$61,0),""))</f>
        <v/>
      </c>
      <c r="O673">
        <f>IF(N673="","",IF(M673=0,INDEX(Equipamentos!$U$2:$U$61,N673),L673))</f>
        <v/>
      </c>
      <c r="P673">
        <f>IF(N673="","",IF(M673=0,N(INDEX(Equipamentos!$V$2:$V$61,N673)),N(INDEX(TrocasEquip!$I$2:$I$1000,M673))))</f>
        <v/>
      </c>
      <c r="Q673">
        <f>IF(N673="","",IF(M673=0,INDEX(Equipamentos!$T$2:$T$61,N673),IF(INDEX(TrocasEquip!$H$2:$H$1000,M673)="",INDEX(Equipamentos!$T$2:$T$61,N673),INDEX(TrocasEquip!$H$2:$H$1000,M673))))</f>
        <v/>
      </c>
    </row>
    <row r="674">
      <c r="A674" s="54" t="n"/>
      <c r="B674" s="55" t="n"/>
      <c r="C674">
        <f>IF(B674="","",IF(N674="","posição não encontrada",IF(M674=0,INDEX(Equipamentos!$S$2:$S$61,N674),INDEX(TrocasEquip!$G$2:$G$1000,M674))))</f>
        <v/>
      </c>
      <c r="D674" s="56">
        <f>IF(OR(A674="",N674=""),"",P674+IF(E674="dias",MAX(0,A674-O674),IF(INDEX(Equipamentos!$D$2:$D$61,N674)=2,SUMIFS(Producao!$D:$D,Producao!$A:$A,"&gt;="&amp;O674,Producao!$A:$A,"&lt;"&amp;A674),IF(INDEX(Equipamentos!$D$2:$D$61,N674)=3,SUMIFS(Producao!$E:$E,Producao!$A:$A,"&gt;="&amp;O674,Producao!$A:$A,"&lt;"&amp;A674),SUMIFS(Producao!$B:$B,Producao!$A:$A,"&gt;="&amp;O674,Producao!$A:$A,"&lt;"&amp;A674)))))</f>
        <v/>
      </c>
      <c r="E674">
        <f>IF(N674="","",INDEX(Equipamentos!$C$2:$C$61,N674))</f>
        <v/>
      </c>
      <c r="F674" s="57">
        <f>IF(OR(D674="",N(Q674)&lt;=0),"",D674/Q674)</f>
        <v/>
      </c>
      <c r="G674" s="55" t="n"/>
      <c r="H674" s="58" t="n"/>
      <c r="I674" s="58" t="n"/>
      <c r="J674" s="55" t="n"/>
      <c r="K674" s="55" t="n"/>
      <c r="L674">
        <f>IF(OR(A674="",B674=""),"",_xlfn.MAXIFS(TrocasEquip!$A$2:$A$1000,TrocasEquip!$B$2:$B$1000,B674,TrocasEquip!$A$2:$A$1000,"&lt;"&amp;A674))</f>
        <v/>
      </c>
      <c r="M674">
        <f>IF(N(L674)=0,0,MATCH(1,INDEX((TrocasEquip!$B$2:$B$1000=B674)*(TrocasEquip!$A$2:$A$1000=L674),0),0))</f>
        <v/>
      </c>
      <c r="N674">
        <f>IF(B674="","",IFERROR(MATCH(B674,Equipamentos!$P$2:$P$61,0),""))</f>
        <v/>
      </c>
      <c r="O674">
        <f>IF(N674="","",IF(M674=0,INDEX(Equipamentos!$U$2:$U$61,N674),L674))</f>
        <v/>
      </c>
      <c r="P674">
        <f>IF(N674="","",IF(M674=0,N(INDEX(Equipamentos!$V$2:$V$61,N674)),N(INDEX(TrocasEquip!$I$2:$I$1000,M674))))</f>
        <v/>
      </c>
      <c r="Q674">
        <f>IF(N674="","",IF(M674=0,INDEX(Equipamentos!$T$2:$T$61,N674),IF(INDEX(TrocasEquip!$H$2:$H$1000,M674)="",INDEX(Equipamentos!$T$2:$T$61,N674),INDEX(TrocasEquip!$H$2:$H$1000,M674))))</f>
        <v/>
      </c>
    </row>
    <row r="675">
      <c r="A675" s="54" t="n"/>
      <c r="B675" s="55" t="n"/>
      <c r="C675">
        <f>IF(B675="","",IF(N675="","posição não encontrada",IF(M675=0,INDEX(Equipamentos!$S$2:$S$61,N675),INDEX(TrocasEquip!$G$2:$G$1000,M675))))</f>
        <v/>
      </c>
      <c r="D675" s="56">
        <f>IF(OR(A675="",N675=""),"",P675+IF(E675="dias",MAX(0,A675-O675),IF(INDEX(Equipamentos!$D$2:$D$61,N675)=2,SUMIFS(Producao!$D:$D,Producao!$A:$A,"&gt;="&amp;O675,Producao!$A:$A,"&lt;"&amp;A675),IF(INDEX(Equipamentos!$D$2:$D$61,N675)=3,SUMIFS(Producao!$E:$E,Producao!$A:$A,"&gt;="&amp;O675,Producao!$A:$A,"&lt;"&amp;A675),SUMIFS(Producao!$B:$B,Producao!$A:$A,"&gt;="&amp;O675,Producao!$A:$A,"&lt;"&amp;A675)))))</f>
        <v/>
      </c>
      <c r="E675">
        <f>IF(N675="","",INDEX(Equipamentos!$C$2:$C$61,N675))</f>
        <v/>
      </c>
      <c r="F675" s="57">
        <f>IF(OR(D675="",N(Q675)&lt;=0),"",D675/Q675)</f>
        <v/>
      </c>
      <c r="G675" s="55" t="n"/>
      <c r="H675" s="58" t="n"/>
      <c r="I675" s="58" t="n"/>
      <c r="J675" s="55" t="n"/>
      <c r="K675" s="55" t="n"/>
      <c r="L675">
        <f>IF(OR(A675="",B675=""),"",_xlfn.MAXIFS(TrocasEquip!$A$2:$A$1000,TrocasEquip!$B$2:$B$1000,B675,TrocasEquip!$A$2:$A$1000,"&lt;"&amp;A675))</f>
        <v/>
      </c>
      <c r="M675">
        <f>IF(N(L675)=0,0,MATCH(1,INDEX((TrocasEquip!$B$2:$B$1000=B675)*(TrocasEquip!$A$2:$A$1000=L675),0),0))</f>
        <v/>
      </c>
      <c r="N675">
        <f>IF(B675="","",IFERROR(MATCH(B675,Equipamentos!$P$2:$P$61,0),""))</f>
        <v/>
      </c>
      <c r="O675">
        <f>IF(N675="","",IF(M675=0,INDEX(Equipamentos!$U$2:$U$61,N675),L675))</f>
        <v/>
      </c>
      <c r="P675">
        <f>IF(N675="","",IF(M675=0,N(INDEX(Equipamentos!$V$2:$V$61,N675)),N(INDEX(TrocasEquip!$I$2:$I$1000,M675))))</f>
        <v/>
      </c>
      <c r="Q675">
        <f>IF(N675="","",IF(M675=0,INDEX(Equipamentos!$T$2:$T$61,N675),IF(INDEX(TrocasEquip!$H$2:$H$1000,M675)="",INDEX(Equipamentos!$T$2:$T$61,N675),INDEX(TrocasEquip!$H$2:$H$1000,M675))))</f>
        <v/>
      </c>
    </row>
    <row r="676">
      <c r="A676" s="54" t="n"/>
      <c r="B676" s="55" t="n"/>
      <c r="C676">
        <f>IF(B676="","",IF(N676="","posição não encontrada",IF(M676=0,INDEX(Equipamentos!$S$2:$S$61,N676),INDEX(TrocasEquip!$G$2:$G$1000,M676))))</f>
        <v/>
      </c>
      <c r="D676" s="56">
        <f>IF(OR(A676="",N676=""),"",P676+IF(E676="dias",MAX(0,A676-O676),IF(INDEX(Equipamentos!$D$2:$D$61,N676)=2,SUMIFS(Producao!$D:$D,Producao!$A:$A,"&gt;="&amp;O676,Producao!$A:$A,"&lt;"&amp;A676),IF(INDEX(Equipamentos!$D$2:$D$61,N676)=3,SUMIFS(Producao!$E:$E,Producao!$A:$A,"&gt;="&amp;O676,Producao!$A:$A,"&lt;"&amp;A676),SUMIFS(Producao!$B:$B,Producao!$A:$A,"&gt;="&amp;O676,Producao!$A:$A,"&lt;"&amp;A676)))))</f>
        <v/>
      </c>
      <c r="E676">
        <f>IF(N676="","",INDEX(Equipamentos!$C$2:$C$61,N676))</f>
        <v/>
      </c>
      <c r="F676" s="57">
        <f>IF(OR(D676="",N(Q676)&lt;=0),"",D676/Q676)</f>
        <v/>
      </c>
      <c r="G676" s="55" t="n"/>
      <c r="H676" s="58" t="n"/>
      <c r="I676" s="58" t="n"/>
      <c r="J676" s="55" t="n"/>
      <c r="K676" s="55" t="n"/>
      <c r="L676">
        <f>IF(OR(A676="",B676=""),"",_xlfn.MAXIFS(TrocasEquip!$A$2:$A$1000,TrocasEquip!$B$2:$B$1000,B676,TrocasEquip!$A$2:$A$1000,"&lt;"&amp;A676))</f>
        <v/>
      </c>
      <c r="M676">
        <f>IF(N(L676)=0,0,MATCH(1,INDEX((TrocasEquip!$B$2:$B$1000=B676)*(TrocasEquip!$A$2:$A$1000=L676),0),0))</f>
        <v/>
      </c>
      <c r="N676">
        <f>IF(B676="","",IFERROR(MATCH(B676,Equipamentos!$P$2:$P$61,0),""))</f>
        <v/>
      </c>
      <c r="O676">
        <f>IF(N676="","",IF(M676=0,INDEX(Equipamentos!$U$2:$U$61,N676),L676))</f>
        <v/>
      </c>
      <c r="P676">
        <f>IF(N676="","",IF(M676=0,N(INDEX(Equipamentos!$V$2:$V$61,N676)),N(INDEX(TrocasEquip!$I$2:$I$1000,M676))))</f>
        <v/>
      </c>
      <c r="Q676">
        <f>IF(N676="","",IF(M676=0,INDEX(Equipamentos!$T$2:$T$61,N676),IF(INDEX(TrocasEquip!$H$2:$H$1000,M676)="",INDEX(Equipamentos!$T$2:$T$61,N676),INDEX(TrocasEquip!$H$2:$H$1000,M676))))</f>
        <v/>
      </c>
    </row>
    <row r="677">
      <c r="A677" s="54" t="n"/>
      <c r="B677" s="55" t="n"/>
      <c r="C677">
        <f>IF(B677="","",IF(N677="","posição não encontrada",IF(M677=0,INDEX(Equipamentos!$S$2:$S$61,N677),INDEX(TrocasEquip!$G$2:$G$1000,M677))))</f>
        <v/>
      </c>
      <c r="D677" s="56">
        <f>IF(OR(A677="",N677=""),"",P677+IF(E677="dias",MAX(0,A677-O677),IF(INDEX(Equipamentos!$D$2:$D$61,N677)=2,SUMIFS(Producao!$D:$D,Producao!$A:$A,"&gt;="&amp;O677,Producao!$A:$A,"&lt;"&amp;A677),IF(INDEX(Equipamentos!$D$2:$D$61,N677)=3,SUMIFS(Producao!$E:$E,Producao!$A:$A,"&gt;="&amp;O677,Producao!$A:$A,"&lt;"&amp;A677),SUMIFS(Producao!$B:$B,Producao!$A:$A,"&gt;="&amp;O677,Producao!$A:$A,"&lt;"&amp;A677)))))</f>
        <v/>
      </c>
      <c r="E677">
        <f>IF(N677="","",INDEX(Equipamentos!$C$2:$C$61,N677))</f>
        <v/>
      </c>
      <c r="F677" s="57">
        <f>IF(OR(D677="",N(Q677)&lt;=0),"",D677/Q677)</f>
        <v/>
      </c>
      <c r="G677" s="55" t="n"/>
      <c r="H677" s="58" t="n"/>
      <c r="I677" s="58" t="n"/>
      <c r="J677" s="55" t="n"/>
      <c r="K677" s="55" t="n"/>
      <c r="L677">
        <f>IF(OR(A677="",B677=""),"",_xlfn.MAXIFS(TrocasEquip!$A$2:$A$1000,TrocasEquip!$B$2:$B$1000,B677,TrocasEquip!$A$2:$A$1000,"&lt;"&amp;A677))</f>
        <v/>
      </c>
      <c r="M677">
        <f>IF(N(L677)=0,0,MATCH(1,INDEX((TrocasEquip!$B$2:$B$1000=B677)*(TrocasEquip!$A$2:$A$1000=L677),0),0))</f>
        <v/>
      </c>
      <c r="N677">
        <f>IF(B677="","",IFERROR(MATCH(B677,Equipamentos!$P$2:$P$61,0),""))</f>
        <v/>
      </c>
      <c r="O677">
        <f>IF(N677="","",IF(M677=0,INDEX(Equipamentos!$U$2:$U$61,N677),L677))</f>
        <v/>
      </c>
      <c r="P677">
        <f>IF(N677="","",IF(M677=0,N(INDEX(Equipamentos!$V$2:$V$61,N677)),N(INDEX(TrocasEquip!$I$2:$I$1000,M677))))</f>
        <v/>
      </c>
      <c r="Q677">
        <f>IF(N677="","",IF(M677=0,INDEX(Equipamentos!$T$2:$T$61,N677),IF(INDEX(TrocasEquip!$H$2:$H$1000,M677)="",INDEX(Equipamentos!$T$2:$T$61,N677),INDEX(TrocasEquip!$H$2:$H$1000,M677))))</f>
        <v/>
      </c>
    </row>
    <row r="678">
      <c r="A678" s="54" t="n"/>
      <c r="B678" s="55" t="n"/>
      <c r="C678">
        <f>IF(B678="","",IF(N678="","posição não encontrada",IF(M678=0,INDEX(Equipamentos!$S$2:$S$61,N678),INDEX(TrocasEquip!$G$2:$G$1000,M678))))</f>
        <v/>
      </c>
      <c r="D678" s="56">
        <f>IF(OR(A678="",N678=""),"",P678+IF(E678="dias",MAX(0,A678-O678),IF(INDEX(Equipamentos!$D$2:$D$61,N678)=2,SUMIFS(Producao!$D:$D,Producao!$A:$A,"&gt;="&amp;O678,Producao!$A:$A,"&lt;"&amp;A678),IF(INDEX(Equipamentos!$D$2:$D$61,N678)=3,SUMIFS(Producao!$E:$E,Producao!$A:$A,"&gt;="&amp;O678,Producao!$A:$A,"&lt;"&amp;A678),SUMIFS(Producao!$B:$B,Producao!$A:$A,"&gt;="&amp;O678,Producao!$A:$A,"&lt;"&amp;A678)))))</f>
        <v/>
      </c>
      <c r="E678">
        <f>IF(N678="","",INDEX(Equipamentos!$C$2:$C$61,N678))</f>
        <v/>
      </c>
      <c r="F678" s="57">
        <f>IF(OR(D678="",N(Q678)&lt;=0),"",D678/Q678)</f>
        <v/>
      </c>
      <c r="G678" s="55" t="n"/>
      <c r="H678" s="58" t="n"/>
      <c r="I678" s="58" t="n"/>
      <c r="J678" s="55" t="n"/>
      <c r="K678" s="55" t="n"/>
      <c r="L678">
        <f>IF(OR(A678="",B678=""),"",_xlfn.MAXIFS(TrocasEquip!$A$2:$A$1000,TrocasEquip!$B$2:$B$1000,B678,TrocasEquip!$A$2:$A$1000,"&lt;"&amp;A678))</f>
        <v/>
      </c>
      <c r="M678">
        <f>IF(N(L678)=0,0,MATCH(1,INDEX((TrocasEquip!$B$2:$B$1000=B678)*(TrocasEquip!$A$2:$A$1000=L678),0),0))</f>
        <v/>
      </c>
      <c r="N678">
        <f>IF(B678="","",IFERROR(MATCH(B678,Equipamentos!$P$2:$P$61,0),""))</f>
        <v/>
      </c>
      <c r="O678">
        <f>IF(N678="","",IF(M678=0,INDEX(Equipamentos!$U$2:$U$61,N678),L678))</f>
        <v/>
      </c>
      <c r="P678">
        <f>IF(N678="","",IF(M678=0,N(INDEX(Equipamentos!$V$2:$V$61,N678)),N(INDEX(TrocasEquip!$I$2:$I$1000,M678))))</f>
        <v/>
      </c>
      <c r="Q678">
        <f>IF(N678="","",IF(M678=0,INDEX(Equipamentos!$T$2:$T$61,N678),IF(INDEX(TrocasEquip!$H$2:$H$1000,M678)="",INDEX(Equipamentos!$T$2:$T$61,N678),INDEX(TrocasEquip!$H$2:$H$1000,M678))))</f>
        <v/>
      </c>
    </row>
    <row r="679">
      <c r="A679" s="54" t="n"/>
      <c r="B679" s="55" t="n"/>
      <c r="C679">
        <f>IF(B679="","",IF(N679="","posição não encontrada",IF(M679=0,INDEX(Equipamentos!$S$2:$S$61,N679),INDEX(TrocasEquip!$G$2:$G$1000,M679))))</f>
        <v/>
      </c>
      <c r="D679" s="56">
        <f>IF(OR(A679="",N679=""),"",P679+IF(E679="dias",MAX(0,A679-O679),IF(INDEX(Equipamentos!$D$2:$D$61,N679)=2,SUMIFS(Producao!$D:$D,Producao!$A:$A,"&gt;="&amp;O679,Producao!$A:$A,"&lt;"&amp;A679),IF(INDEX(Equipamentos!$D$2:$D$61,N679)=3,SUMIFS(Producao!$E:$E,Producao!$A:$A,"&gt;="&amp;O679,Producao!$A:$A,"&lt;"&amp;A679),SUMIFS(Producao!$B:$B,Producao!$A:$A,"&gt;="&amp;O679,Producao!$A:$A,"&lt;"&amp;A679)))))</f>
        <v/>
      </c>
      <c r="E679">
        <f>IF(N679="","",INDEX(Equipamentos!$C$2:$C$61,N679))</f>
        <v/>
      </c>
      <c r="F679" s="57">
        <f>IF(OR(D679="",N(Q679)&lt;=0),"",D679/Q679)</f>
        <v/>
      </c>
      <c r="G679" s="55" t="n"/>
      <c r="H679" s="58" t="n"/>
      <c r="I679" s="58" t="n"/>
      <c r="J679" s="55" t="n"/>
      <c r="K679" s="55" t="n"/>
      <c r="L679">
        <f>IF(OR(A679="",B679=""),"",_xlfn.MAXIFS(TrocasEquip!$A$2:$A$1000,TrocasEquip!$B$2:$B$1000,B679,TrocasEquip!$A$2:$A$1000,"&lt;"&amp;A679))</f>
        <v/>
      </c>
      <c r="M679">
        <f>IF(N(L679)=0,0,MATCH(1,INDEX((TrocasEquip!$B$2:$B$1000=B679)*(TrocasEquip!$A$2:$A$1000=L679),0),0))</f>
        <v/>
      </c>
      <c r="N679">
        <f>IF(B679="","",IFERROR(MATCH(B679,Equipamentos!$P$2:$P$61,0),""))</f>
        <v/>
      </c>
      <c r="O679">
        <f>IF(N679="","",IF(M679=0,INDEX(Equipamentos!$U$2:$U$61,N679),L679))</f>
        <v/>
      </c>
      <c r="P679">
        <f>IF(N679="","",IF(M679=0,N(INDEX(Equipamentos!$V$2:$V$61,N679)),N(INDEX(TrocasEquip!$I$2:$I$1000,M679))))</f>
        <v/>
      </c>
      <c r="Q679">
        <f>IF(N679="","",IF(M679=0,INDEX(Equipamentos!$T$2:$T$61,N679),IF(INDEX(TrocasEquip!$H$2:$H$1000,M679)="",INDEX(Equipamentos!$T$2:$T$61,N679),INDEX(TrocasEquip!$H$2:$H$1000,M679))))</f>
        <v/>
      </c>
    </row>
    <row r="680">
      <c r="A680" s="54" t="n"/>
      <c r="B680" s="55" t="n"/>
      <c r="C680">
        <f>IF(B680="","",IF(N680="","posição não encontrada",IF(M680=0,INDEX(Equipamentos!$S$2:$S$61,N680),INDEX(TrocasEquip!$G$2:$G$1000,M680))))</f>
        <v/>
      </c>
      <c r="D680" s="56">
        <f>IF(OR(A680="",N680=""),"",P680+IF(E680="dias",MAX(0,A680-O680),IF(INDEX(Equipamentos!$D$2:$D$61,N680)=2,SUMIFS(Producao!$D:$D,Producao!$A:$A,"&gt;="&amp;O680,Producao!$A:$A,"&lt;"&amp;A680),IF(INDEX(Equipamentos!$D$2:$D$61,N680)=3,SUMIFS(Producao!$E:$E,Producao!$A:$A,"&gt;="&amp;O680,Producao!$A:$A,"&lt;"&amp;A680),SUMIFS(Producao!$B:$B,Producao!$A:$A,"&gt;="&amp;O680,Producao!$A:$A,"&lt;"&amp;A680)))))</f>
        <v/>
      </c>
      <c r="E680">
        <f>IF(N680="","",INDEX(Equipamentos!$C$2:$C$61,N680))</f>
        <v/>
      </c>
      <c r="F680" s="57">
        <f>IF(OR(D680="",N(Q680)&lt;=0),"",D680/Q680)</f>
        <v/>
      </c>
      <c r="G680" s="55" t="n"/>
      <c r="H680" s="58" t="n"/>
      <c r="I680" s="58" t="n"/>
      <c r="J680" s="55" t="n"/>
      <c r="K680" s="55" t="n"/>
      <c r="L680">
        <f>IF(OR(A680="",B680=""),"",_xlfn.MAXIFS(TrocasEquip!$A$2:$A$1000,TrocasEquip!$B$2:$B$1000,B680,TrocasEquip!$A$2:$A$1000,"&lt;"&amp;A680))</f>
        <v/>
      </c>
      <c r="M680">
        <f>IF(N(L680)=0,0,MATCH(1,INDEX((TrocasEquip!$B$2:$B$1000=B680)*(TrocasEquip!$A$2:$A$1000=L680),0),0))</f>
        <v/>
      </c>
      <c r="N680">
        <f>IF(B680="","",IFERROR(MATCH(B680,Equipamentos!$P$2:$P$61,0),""))</f>
        <v/>
      </c>
      <c r="O680">
        <f>IF(N680="","",IF(M680=0,INDEX(Equipamentos!$U$2:$U$61,N680),L680))</f>
        <v/>
      </c>
      <c r="P680">
        <f>IF(N680="","",IF(M680=0,N(INDEX(Equipamentos!$V$2:$V$61,N680)),N(INDEX(TrocasEquip!$I$2:$I$1000,M680))))</f>
        <v/>
      </c>
      <c r="Q680">
        <f>IF(N680="","",IF(M680=0,INDEX(Equipamentos!$T$2:$T$61,N680),IF(INDEX(TrocasEquip!$H$2:$H$1000,M680)="",INDEX(Equipamentos!$T$2:$T$61,N680),INDEX(TrocasEquip!$H$2:$H$1000,M680))))</f>
        <v/>
      </c>
    </row>
    <row r="681">
      <c r="A681" s="54" t="n"/>
      <c r="B681" s="55" t="n"/>
      <c r="C681">
        <f>IF(B681="","",IF(N681="","posição não encontrada",IF(M681=0,INDEX(Equipamentos!$S$2:$S$61,N681),INDEX(TrocasEquip!$G$2:$G$1000,M681))))</f>
        <v/>
      </c>
      <c r="D681" s="56">
        <f>IF(OR(A681="",N681=""),"",P681+IF(E681="dias",MAX(0,A681-O681),IF(INDEX(Equipamentos!$D$2:$D$61,N681)=2,SUMIFS(Producao!$D:$D,Producao!$A:$A,"&gt;="&amp;O681,Producao!$A:$A,"&lt;"&amp;A681),IF(INDEX(Equipamentos!$D$2:$D$61,N681)=3,SUMIFS(Producao!$E:$E,Producao!$A:$A,"&gt;="&amp;O681,Producao!$A:$A,"&lt;"&amp;A681),SUMIFS(Producao!$B:$B,Producao!$A:$A,"&gt;="&amp;O681,Producao!$A:$A,"&lt;"&amp;A681)))))</f>
        <v/>
      </c>
      <c r="E681">
        <f>IF(N681="","",INDEX(Equipamentos!$C$2:$C$61,N681))</f>
        <v/>
      </c>
      <c r="F681" s="57">
        <f>IF(OR(D681="",N(Q681)&lt;=0),"",D681/Q681)</f>
        <v/>
      </c>
      <c r="G681" s="55" t="n"/>
      <c r="H681" s="58" t="n"/>
      <c r="I681" s="58" t="n"/>
      <c r="J681" s="55" t="n"/>
      <c r="K681" s="55" t="n"/>
      <c r="L681">
        <f>IF(OR(A681="",B681=""),"",_xlfn.MAXIFS(TrocasEquip!$A$2:$A$1000,TrocasEquip!$B$2:$B$1000,B681,TrocasEquip!$A$2:$A$1000,"&lt;"&amp;A681))</f>
        <v/>
      </c>
      <c r="M681">
        <f>IF(N(L681)=0,0,MATCH(1,INDEX((TrocasEquip!$B$2:$B$1000=B681)*(TrocasEquip!$A$2:$A$1000=L681),0),0))</f>
        <v/>
      </c>
      <c r="N681">
        <f>IF(B681="","",IFERROR(MATCH(B681,Equipamentos!$P$2:$P$61,0),""))</f>
        <v/>
      </c>
      <c r="O681">
        <f>IF(N681="","",IF(M681=0,INDEX(Equipamentos!$U$2:$U$61,N681),L681))</f>
        <v/>
      </c>
      <c r="P681">
        <f>IF(N681="","",IF(M681=0,N(INDEX(Equipamentos!$V$2:$V$61,N681)),N(INDEX(TrocasEquip!$I$2:$I$1000,M681))))</f>
        <v/>
      </c>
      <c r="Q681">
        <f>IF(N681="","",IF(M681=0,INDEX(Equipamentos!$T$2:$T$61,N681),IF(INDEX(TrocasEquip!$H$2:$H$1000,M681)="",INDEX(Equipamentos!$T$2:$T$61,N681),INDEX(TrocasEquip!$H$2:$H$1000,M681))))</f>
        <v/>
      </c>
    </row>
    <row r="682">
      <c r="A682" s="54" t="n"/>
      <c r="B682" s="55" t="n"/>
      <c r="C682">
        <f>IF(B682="","",IF(N682="","posição não encontrada",IF(M682=0,INDEX(Equipamentos!$S$2:$S$61,N682),INDEX(TrocasEquip!$G$2:$G$1000,M682))))</f>
        <v/>
      </c>
      <c r="D682" s="56">
        <f>IF(OR(A682="",N682=""),"",P682+IF(E682="dias",MAX(0,A682-O682),IF(INDEX(Equipamentos!$D$2:$D$61,N682)=2,SUMIFS(Producao!$D:$D,Producao!$A:$A,"&gt;="&amp;O682,Producao!$A:$A,"&lt;"&amp;A682),IF(INDEX(Equipamentos!$D$2:$D$61,N682)=3,SUMIFS(Producao!$E:$E,Producao!$A:$A,"&gt;="&amp;O682,Producao!$A:$A,"&lt;"&amp;A682),SUMIFS(Producao!$B:$B,Producao!$A:$A,"&gt;="&amp;O682,Producao!$A:$A,"&lt;"&amp;A682)))))</f>
        <v/>
      </c>
      <c r="E682">
        <f>IF(N682="","",INDEX(Equipamentos!$C$2:$C$61,N682))</f>
        <v/>
      </c>
      <c r="F682" s="57">
        <f>IF(OR(D682="",N(Q682)&lt;=0),"",D682/Q682)</f>
        <v/>
      </c>
      <c r="G682" s="55" t="n"/>
      <c r="H682" s="58" t="n"/>
      <c r="I682" s="58" t="n"/>
      <c r="J682" s="55" t="n"/>
      <c r="K682" s="55" t="n"/>
      <c r="L682">
        <f>IF(OR(A682="",B682=""),"",_xlfn.MAXIFS(TrocasEquip!$A$2:$A$1000,TrocasEquip!$B$2:$B$1000,B682,TrocasEquip!$A$2:$A$1000,"&lt;"&amp;A682))</f>
        <v/>
      </c>
      <c r="M682">
        <f>IF(N(L682)=0,0,MATCH(1,INDEX((TrocasEquip!$B$2:$B$1000=B682)*(TrocasEquip!$A$2:$A$1000=L682),0),0))</f>
        <v/>
      </c>
      <c r="N682">
        <f>IF(B682="","",IFERROR(MATCH(B682,Equipamentos!$P$2:$P$61,0),""))</f>
        <v/>
      </c>
      <c r="O682">
        <f>IF(N682="","",IF(M682=0,INDEX(Equipamentos!$U$2:$U$61,N682),L682))</f>
        <v/>
      </c>
      <c r="P682">
        <f>IF(N682="","",IF(M682=0,N(INDEX(Equipamentos!$V$2:$V$61,N682)),N(INDEX(TrocasEquip!$I$2:$I$1000,M682))))</f>
        <v/>
      </c>
      <c r="Q682">
        <f>IF(N682="","",IF(M682=0,INDEX(Equipamentos!$T$2:$T$61,N682),IF(INDEX(TrocasEquip!$H$2:$H$1000,M682)="",INDEX(Equipamentos!$T$2:$T$61,N682),INDEX(TrocasEquip!$H$2:$H$1000,M682))))</f>
        <v/>
      </c>
    </row>
    <row r="683">
      <c r="A683" s="54" t="n"/>
      <c r="B683" s="55" t="n"/>
      <c r="C683">
        <f>IF(B683="","",IF(N683="","posição não encontrada",IF(M683=0,INDEX(Equipamentos!$S$2:$S$61,N683),INDEX(TrocasEquip!$G$2:$G$1000,M683))))</f>
        <v/>
      </c>
      <c r="D683" s="56">
        <f>IF(OR(A683="",N683=""),"",P683+IF(E683="dias",MAX(0,A683-O683),IF(INDEX(Equipamentos!$D$2:$D$61,N683)=2,SUMIFS(Producao!$D:$D,Producao!$A:$A,"&gt;="&amp;O683,Producao!$A:$A,"&lt;"&amp;A683),IF(INDEX(Equipamentos!$D$2:$D$61,N683)=3,SUMIFS(Producao!$E:$E,Producao!$A:$A,"&gt;="&amp;O683,Producao!$A:$A,"&lt;"&amp;A683),SUMIFS(Producao!$B:$B,Producao!$A:$A,"&gt;="&amp;O683,Producao!$A:$A,"&lt;"&amp;A683)))))</f>
        <v/>
      </c>
      <c r="E683">
        <f>IF(N683="","",INDEX(Equipamentos!$C$2:$C$61,N683))</f>
        <v/>
      </c>
      <c r="F683" s="57">
        <f>IF(OR(D683="",N(Q683)&lt;=0),"",D683/Q683)</f>
        <v/>
      </c>
      <c r="G683" s="55" t="n"/>
      <c r="H683" s="58" t="n"/>
      <c r="I683" s="58" t="n"/>
      <c r="J683" s="55" t="n"/>
      <c r="K683" s="55" t="n"/>
      <c r="L683">
        <f>IF(OR(A683="",B683=""),"",_xlfn.MAXIFS(TrocasEquip!$A$2:$A$1000,TrocasEquip!$B$2:$B$1000,B683,TrocasEquip!$A$2:$A$1000,"&lt;"&amp;A683))</f>
        <v/>
      </c>
      <c r="M683">
        <f>IF(N(L683)=0,0,MATCH(1,INDEX((TrocasEquip!$B$2:$B$1000=B683)*(TrocasEquip!$A$2:$A$1000=L683),0),0))</f>
        <v/>
      </c>
      <c r="N683">
        <f>IF(B683="","",IFERROR(MATCH(B683,Equipamentos!$P$2:$P$61,0),""))</f>
        <v/>
      </c>
      <c r="O683">
        <f>IF(N683="","",IF(M683=0,INDEX(Equipamentos!$U$2:$U$61,N683),L683))</f>
        <v/>
      </c>
      <c r="P683">
        <f>IF(N683="","",IF(M683=0,N(INDEX(Equipamentos!$V$2:$V$61,N683)),N(INDEX(TrocasEquip!$I$2:$I$1000,M683))))</f>
        <v/>
      </c>
      <c r="Q683">
        <f>IF(N683="","",IF(M683=0,INDEX(Equipamentos!$T$2:$T$61,N683),IF(INDEX(TrocasEquip!$H$2:$H$1000,M683)="",INDEX(Equipamentos!$T$2:$T$61,N683),INDEX(TrocasEquip!$H$2:$H$1000,M683))))</f>
        <v/>
      </c>
    </row>
    <row r="684">
      <c r="A684" s="54" t="n"/>
      <c r="B684" s="55" t="n"/>
      <c r="C684">
        <f>IF(B684="","",IF(N684="","posição não encontrada",IF(M684=0,INDEX(Equipamentos!$S$2:$S$61,N684),INDEX(TrocasEquip!$G$2:$G$1000,M684))))</f>
        <v/>
      </c>
      <c r="D684" s="56">
        <f>IF(OR(A684="",N684=""),"",P684+IF(E684="dias",MAX(0,A684-O684),IF(INDEX(Equipamentos!$D$2:$D$61,N684)=2,SUMIFS(Producao!$D:$D,Producao!$A:$A,"&gt;="&amp;O684,Producao!$A:$A,"&lt;"&amp;A684),IF(INDEX(Equipamentos!$D$2:$D$61,N684)=3,SUMIFS(Producao!$E:$E,Producao!$A:$A,"&gt;="&amp;O684,Producao!$A:$A,"&lt;"&amp;A684),SUMIFS(Producao!$B:$B,Producao!$A:$A,"&gt;="&amp;O684,Producao!$A:$A,"&lt;"&amp;A684)))))</f>
        <v/>
      </c>
      <c r="E684">
        <f>IF(N684="","",INDEX(Equipamentos!$C$2:$C$61,N684))</f>
        <v/>
      </c>
      <c r="F684" s="57">
        <f>IF(OR(D684="",N(Q684)&lt;=0),"",D684/Q684)</f>
        <v/>
      </c>
      <c r="G684" s="55" t="n"/>
      <c r="H684" s="58" t="n"/>
      <c r="I684" s="58" t="n"/>
      <c r="J684" s="55" t="n"/>
      <c r="K684" s="55" t="n"/>
      <c r="L684">
        <f>IF(OR(A684="",B684=""),"",_xlfn.MAXIFS(TrocasEquip!$A$2:$A$1000,TrocasEquip!$B$2:$B$1000,B684,TrocasEquip!$A$2:$A$1000,"&lt;"&amp;A684))</f>
        <v/>
      </c>
      <c r="M684">
        <f>IF(N(L684)=0,0,MATCH(1,INDEX((TrocasEquip!$B$2:$B$1000=B684)*(TrocasEquip!$A$2:$A$1000=L684),0),0))</f>
        <v/>
      </c>
      <c r="N684">
        <f>IF(B684="","",IFERROR(MATCH(B684,Equipamentos!$P$2:$P$61,0),""))</f>
        <v/>
      </c>
      <c r="O684">
        <f>IF(N684="","",IF(M684=0,INDEX(Equipamentos!$U$2:$U$61,N684),L684))</f>
        <v/>
      </c>
      <c r="P684">
        <f>IF(N684="","",IF(M684=0,N(INDEX(Equipamentos!$V$2:$V$61,N684)),N(INDEX(TrocasEquip!$I$2:$I$1000,M684))))</f>
        <v/>
      </c>
      <c r="Q684">
        <f>IF(N684="","",IF(M684=0,INDEX(Equipamentos!$T$2:$T$61,N684),IF(INDEX(TrocasEquip!$H$2:$H$1000,M684)="",INDEX(Equipamentos!$T$2:$T$61,N684),INDEX(TrocasEquip!$H$2:$H$1000,M684))))</f>
        <v/>
      </c>
    </row>
    <row r="685">
      <c r="A685" s="54" t="n"/>
      <c r="B685" s="55" t="n"/>
      <c r="C685">
        <f>IF(B685="","",IF(N685="","posição não encontrada",IF(M685=0,INDEX(Equipamentos!$S$2:$S$61,N685),INDEX(TrocasEquip!$G$2:$G$1000,M685))))</f>
        <v/>
      </c>
      <c r="D685" s="56">
        <f>IF(OR(A685="",N685=""),"",P685+IF(E685="dias",MAX(0,A685-O685),IF(INDEX(Equipamentos!$D$2:$D$61,N685)=2,SUMIFS(Producao!$D:$D,Producao!$A:$A,"&gt;="&amp;O685,Producao!$A:$A,"&lt;"&amp;A685),IF(INDEX(Equipamentos!$D$2:$D$61,N685)=3,SUMIFS(Producao!$E:$E,Producao!$A:$A,"&gt;="&amp;O685,Producao!$A:$A,"&lt;"&amp;A685),SUMIFS(Producao!$B:$B,Producao!$A:$A,"&gt;="&amp;O685,Producao!$A:$A,"&lt;"&amp;A685)))))</f>
        <v/>
      </c>
      <c r="E685">
        <f>IF(N685="","",INDEX(Equipamentos!$C$2:$C$61,N685))</f>
        <v/>
      </c>
      <c r="F685" s="57">
        <f>IF(OR(D685="",N(Q685)&lt;=0),"",D685/Q685)</f>
        <v/>
      </c>
      <c r="G685" s="55" t="n"/>
      <c r="H685" s="58" t="n"/>
      <c r="I685" s="58" t="n"/>
      <c r="J685" s="55" t="n"/>
      <c r="K685" s="55" t="n"/>
      <c r="L685">
        <f>IF(OR(A685="",B685=""),"",_xlfn.MAXIFS(TrocasEquip!$A$2:$A$1000,TrocasEquip!$B$2:$B$1000,B685,TrocasEquip!$A$2:$A$1000,"&lt;"&amp;A685))</f>
        <v/>
      </c>
      <c r="M685">
        <f>IF(N(L685)=0,0,MATCH(1,INDEX((TrocasEquip!$B$2:$B$1000=B685)*(TrocasEquip!$A$2:$A$1000=L685),0),0))</f>
        <v/>
      </c>
      <c r="N685">
        <f>IF(B685="","",IFERROR(MATCH(B685,Equipamentos!$P$2:$P$61,0),""))</f>
        <v/>
      </c>
      <c r="O685">
        <f>IF(N685="","",IF(M685=0,INDEX(Equipamentos!$U$2:$U$61,N685),L685))</f>
        <v/>
      </c>
      <c r="P685">
        <f>IF(N685="","",IF(M685=0,N(INDEX(Equipamentos!$V$2:$V$61,N685)),N(INDEX(TrocasEquip!$I$2:$I$1000,M685))))</f>
        <v/>
      </c>
      <c r="Q685">
        <f>IF(N685="","",IF(M685=0,INDEX(Equipamentos!$T$2:$T$61,N685),IF(INDEX(TrocasEquip!$H$2:$H$1000,M685)="",INDEX(Equipamentos!$T$2:$T$61,N685),INDEX(TrocasEquip!$H$2:$H$1000,M685))))</f>
        <v/>
      </c>
    </row>
    <row r="686">
      <c r="A686" s="54" t="n"/>
      <c r="B686" s="55" t="n"/>
      <c r="C686">
        <f>IF(B686="","",IF(N686="","posição não encontrada",IF(M686=0,INDEX(Equipamentos!$S$2:$S$61,N686),INDEX(TrocasEquip!$G$2:$G$1000,M686))))</f>
        <v/>
      </c>
      <c r="D686" s="56">
        <f>IF(OR(A686="",N686=""),"",P686+IF(E686="dias",MAX(0,A686-O686),IF(INDEX(Equipamentos!$D$2:$D$61,N686)=2,SUMIFS(Producao!$D:$D,Producao!$A:$A,"&gt;="&amp;O686,Producao!$A:$A,"&lt;"&amp;A686),IF(INDEX(Equipamentos!$D$2:$D$61,N686)=3,SUMIFS(Producao!$E:$E,Producao!$A:$A,"&gt;="&amp;O686,Producao!$A:$A,"&lt;"&amp;A686),SUMIFS(Producao!$B:$B,Producao!$A:$A,"&gt;="&amp;O686,Producao!$A:$A,"&lt;"&amp;A686)))))</f>
        <v/>
      </c>
      <c r="E686">
        <f>IF(N686="","",INDEX(Equipamentos!$C$2:$C$61,N686))</f>
        <v/>
      </c>
      <c r="F686" s="57">
        <f>IF(OR(D686="",N(Q686)&lt;=0),"",D686/Q686)</f>
        <v/>
      </c>
      <c r="G686" s="55" t="n"/>
      <c r="H686" s="58" t="n"/>
      <c r="I686" s="58" t="n"/>
      <c r="J686" s="55" t="n"/>
      <c r="K686" s="55" t="n"/>
      <c r="L686">
        <f>IF(OR(A686="",B686=""),"",_xlfn.MAXIFS(TrocasEquip!$A$2:$A$1000,TrocasEquip!$B$2:$B$1000,B686,TrocasEquip!$A$2:$A$1000,"&lt;"&amp;A686))</f>
        <v/>
      </c>
      <c r="M686">
        <f>IF(N(L686)=0,0,MATCH(1,INDEX((TrocasEquip!$B$2:$B$1000=B686)*(TrocasEquip!$A$2:$A$1000=L686),0),0))</f>
        <v/>
      </c>
      <c r="N686">
        <f>IF(B686="","",IFERROR(MATCH(B686,Equipamentos!$P$2:$P$61,0),""))</f>
        <v/>
      </c>
      <c r="O686">
        <f>IF(N686="","",IF(M686=0,INDEX(Equipamentos!$U$2:$U$61,N686),L686))</f>
        <v/>
      </c>
      <c r="P686">
        <f>IF(N686="","",IF(M686=0,N(INDEX(Equipamentos!$V$2:$V$61,N686)),N(INDEX(TrocasEquip!$I$2:$I$1000,M686))))</f>
        <v/>
      </c>
      <c r="Q686">
        <f>IF(N686="","",IF(M686=0,INDEX(Equipamentos!$T$2:$T$61,N686),IF(INDEX(TrocasEquip!$H$2:$H$1000,M686)="",INDEX(Equipamentos!$T$2:$T$61,N686),INDEX(TrocasEquip!$H$2:$H$1000,M686))))</f>
        <v/>
      </c>
    </row>
    <row r="687">
      <c r="A687" s="54" t="n"/>
      <c r="B687" s="55" t="n"/>
      <c r="C687">
        <f>IF(B687="","",IF(N687="","posição não encontrada",IF(M687=0,INDEX(Equipamentos!$S$2:$S$61,N687),INDEX(TrocasEquip!$G$2:$G$1000,M687))))</f>
        <v/>
      </c>
      <c r="D687" s="56">
        <f>IF(OR(A687="",N687=""),"",P687+IF(E687="dias",MAX(0,A687-O687),IF(INDEX(Equipamentos!$D$2:$D$61,N687)=2,SUMIFS(Producao!$D:$D,Producao!$A:$A,"&gt;="&amp;O687,Producao!$A:$A,"&lt;"&amp;A687),IF(INDEX(Equipamentos!$D$2:$D$61,N687)=3,SUMIFS(Producao!$E:$E,Producao!$A:$A,"&gt;="&amp;O687,Producao!$A:$A,"&lt;"&amp;A687),SUMIFS(Producao!$B:$B,Producao!$A:$A,"&gt;="&amp;O687,Producao!$A:$A,"&lt;"&amp;A687)))))</f>
        <v/>
      </c>
      <c r="E687">
        <f>IF(N687="","",INDEX(Equipamentos!$C$2:$C$61,N687))</f>
        <v/>
      </c>
      <c r="F687" s="57">
        <f>IF(OR(D687="",N(Q687)&lt;=0),"",D687/Q687)</f>
        <v/>
      </c>
      <c r="G687" s="55" t="n"/>
      <c r="H687" s="58" t="n"/>
      <c r="I687" s="58" t="n"/>
      <c r="J687" s="55" t="n"/>
      <c r="K687" s="55" t="n"/>
      <c r="L687">
        <f>IF(OR(A687="",B687=""),"",_xlfn.MAXIFS(TrocasEquip!$A$2:$A$1000,TrocasEquip!$B$2:$B$1000,B687,TrocasEquip!$A$2:$A$1000,"&lt;"&amp;A687))</f>
        <v/>
      </c>
      <c r="M687">
        <f>IF(N(L687)=0,0,MATCH(1,INDEX((TrocasEquip!$B$2:$B$1000=B687)*(TrocasEquip!$A$2:$A$1000=L687),0),0))</f>
        <v/>
      </c>
      <c r="N687">
        <f>IF(B687="","",IFERROR(MATCH(B687,Equipamentos!$P$2:$P$61,0),""))</f>
        <v/>
      </c>
      <c r="O687">
        <f>IF(N687="","",IF(M687=0,INDEX(Equipamentos!$U$2:$U$61,N687),L687))</f>
        <v/>
      </c>
      <c r="P687">
        <f>IF(N687="","",IF(M687=0,N(INDEX(Equipamentos!$V$2:$V$61,N687)),N(INDEX(TrocasEquip!$I$2:$I$1000,M687))))</f>
        <v/>
      </c>
      <c r="Q687">
        <f>IF(N687="","",IF(M687=0,INDEX(Equipamentos!$T$2:$T$61,N687),IF(INDEX(TrocasEquip!$H$2:$H$1000,M687)="",INDEX(Equipamentos!$T$2:$T$61,N687),INDEX(TrocasEquip!$H$2:$H$1000,M687))))</f>
        <v/>
      </c>
    </row>
    <row r="688">
      <c r="A688" s="54" t="n"/>
      <c r="B688" s="55" t="n"/>
      <c r="C688">
        <f>IF(B688="","",IF(N688="","posição não encontrada",IF(M688=0,INDEX(Equipamentos!$S$2:$S$61,N688),INDEX(TrocasEquip!$G$2:$G$1000,M688))))</f>
        <v/>
      </c>
      <c r="D688" s="56">
        <f>IF(OR(A688="",N688=""),"",P688+IF(E688="dias",MAX(0,A688-O688),IF(INDEX(Equipamentos!$D$2:$D$61,N688)=2,SUMIFS(Producao!$D:$D,Producao!$A:$A,"&gt;="&amp;O688,Producao!$A:$A,"&lt;"&amp;A688),IF(INDEX(Equipamentos!$D$2:$D$61,N688)=3,SUMIFS(Producao!$E:$E,Producao!$A:$A,"&gt;="&amp;O688,Producao!$A:$A,"&lt;"&amp;A688),SUMIFS(Producao!$B:$B,Producao!$A:$A,"&gt;="&amp;O688,Producao!$A:$A,"&lt;"&amp;A688)))))</f>
        <v/>
      </c>
      <c r="E688">
        <f>IF(N688="","",INDEX(Equipamentos!$C$2:$C$61,N688))</f>
        <v/>
      </c>
      <c r="F688" s="57">
        <f>IF(OR(D688="",N(Q688)&lt;=0),"",D688/Q688)</f>
        <v/>
      </c>
      <c r="G688" s="55" t="n"/>
      <c r="H688" s="58" t="n"/>
      <c r="I688" s="58" t="n"/>
      <c r="J688" s="55" t="n"/>
      <c r="K688" s="55" t="n"/>
      <c r="L688">
        <f>IF(OR(A688="",B688=""),"",_xlfn.MAXIFS(TrocasEquip!$A$2:$A$1000,TrocasEquip!$B$2:$B$1000,B688,TrocasEquip!$A$2:$A$1000,"&lt;"&amp;A688))</f>
        <v/>
      </c>
      <c r="M688">
        <f>IF(N(L688)=0,0,MATCH(1,INDEX((TrocasEquip!$B$2:$B$1000=B688)*(TrocasEquip!$A$2:$A$1000=L688),0),0))</f>
        <v/>
      </c>
      <c r="N688">
        <f>IF(B688="","",IFERROR(MATCH(B688,Equipamentos!$P$2:$P$61,0),""))</f>
        <v/>
      </c>
      <c r="O688">
        <f>IF(N688="","",IF(M688=0,INDEX(Equipamentos!$U$2:$U$61,N688),L688))</f>
        <v/>
      </c>
      <c r="P688">
        <f>IF(N688="","",IF(M688=0,N(INDEX(Equipamentos!$V$2:$V$61,N688)),N(INDEX(TrocasEquip!$I$2:$I$1000,M688))))</f>
        <v/>
      </c>
      <c r="Q688">
        <f>IF(N688="","",IF(M688=0,INDEX(Equipamentos!$T$2:$T$61,N688),IF(INDEX(TrocasEquip!$H$2:$H$1000,M688)="",INDEX(Equipamentos!$T$2:$T$61,N688),INDEX(TrocasEquip!$H$2:$H$1000,M688))))</f>
        <v/>
      </c>
    </row>
    <row r="689">
      <c r="A689" s="54" t="n"/>
      <c r="B689" s="55" t="n"/>
      <c r="C689">
        <f>IF(B689="","",IF(N689="","posição não encontrada",IF(M689=0,INDEX(Equipamentos!$S$2:$S$61,N689),INDEX(TrocasEquip!$G$2:$G$1000,M689))))</f>
        <v/>
      </c>
      <c r="D689" s="56">
        <f>IF(OR(A689="",N689=""),"",P689+IF(E689="dias",MAX(0,A689-O689),IF(INDEX(Equipamentos!$D$2:$D$61,N689)=2,SUMIFS(Producao!$D:$D,Producao!$A:$A,"&gt;="&amp;O689,Producao!$A:$A,"&lt;"&amp;A689),IF(INDEX(Equipamentos!$D$2:$D$61,N689)=3,SUMIFS(Producao!$E:$E,Producao!$A:$A,"&gt;="&amp;O689,Producao!$A:$A,"&lt;"&amp;A689),SUMIFS(Producao!$B:$B,Producao!$A:$A,"&gt;="&amp;O689,Producao!$A:$A,"&lt;"&amp;A689)))))</f>
        <v/>
      </c>
      <c r="E689">
        <f>IF(N689="","",INDEX(Equipamentos!$C$2:$C$61,N689))</f>
        <v/>
      </c>
      <c r="F689" s="57">
        <f>IF(OR(D689="",N(Q689)&lt;=0),"",D689/Q689)</f>
        <v/>
      </c>
      <c r="G689" s="55" t="n"/>
      <c r="H689" s="58" t="n"/>
      <c r="I689" s="58" t="n"/>
      <c r="J689" s="55" t="n"/>
      <c r="K689" s="55" t="n"/>
      <c r="L689">
        <f>IF(OR(A689="",B689=""),"",_xlfn.MAXIFS(TrocasEquip!$A$2:$A$1000,TrocasEquip!$B$2:$B$1000,B689,TrocasEquip!$A$2:$A$1000,"&lt;"&amp;A689))</f>
        <v/>
      </c>
      <c r="M689">
        <f>IF(N(L689)=0,0,MATCH(1,INDEX((TrocasEquip!$B$2:$B$1000=B689)*(TrocasEquip!$A$2:$A$1000=L689),0),0))</f>
        <v/>
      </c>
      <c r="N689">
        <f>IF(B689="","",IFERROR(MATCH(B689,Equipamentos!$P$2:$P$61,0),""))</f>
        <v/>
      </c>
      <c r="O689">
        <f>IF(N689="","",IF(M689=0,INDEX(Equipamentos!$U$2:$U$61,N689),L689))</f>
        <v/>
      </c>
      <c r="P689">
        <f>IF(N689="","",IF(M689=0,N(INDEX(Equipamentos!$V$2:$V$61,N689)),N(INDEX(TrocasEquip!$I$2:$I$1000,M689))))</f>
        <v/>
      </c>
      <c r="Q689">
        <f>IF(N689="","",IF(M689=0,INDEX(Equipamentos!$T$2:$T$61,N689),IF(INDEX(TrocasEquip!$H$2:$H$1000,M689)="",INDEX(Equipamentos!$T$2:$T$61,N689),INDEX(TrocasEquip!$H$2:$H$1000,M689))))</f>
        <v/>
      </c>
    </row>
    <row r="690">
      <c r="A690" s="54" t="n"/>
      <c r="B690" s="55" t="n"/>
      <c r="C690">
        <f>IF(B690="","",IF(N690="","posição não encontrada",IF(M690=0,INDEX(Equipamentos!$S$2:$S$61,N690),INDEX(TrocasEquip!$G$2:$G$1000,M690))))</f>
        <v/>
      </c>
      <c r="D690" s="56">
        <f>IF(OR(A690="",N690=""),"",P690+IF(E690="dias",MAX(0,A690-O690),IF(INDEX(Equipamentos!$D$2:$D$61,N690)=2,SUMIFS(Producao!$D:$D,Producao!$A:$A,"&gt;="&amp;O690,Producao!$A:$A,"&lt;"&amp;A690),IF(INDEX(Equipamentos!$D$2:$D$61,N690)=3,SUMIFS(Producao!$E:$E,Producao!$A:$A,"&gt;="&amp;O690,Producao!$A:$A,"&lt;"&amp;A690),SUMIFS(Producao!$B:$B,Producao!$A:$A,"&gt;="&amp;O690,Producao!$A:$A,"&lt;"&amp;A690)))))</f>
        <v/>
      </c>
      <c r="E690">
        <f>IF(N690="","",INDEX(Equipamentos!$C$2:$C$61,N690))</f>
        <v/>
      </c>
      <c r="F690" s="57">
        <f>IF(OR(D690="",N(Q690)&lt;=0),"",D690/Q690)</f>
        <v/>
      </c>
      <c r="G690" s="55" t="n"/>
      <c r="H690" s="58" t="n"/>
      <c r="I690" s="58" t="n"/>
      <c r="J690" s="55" t="n"/>
      <c r="K690" s="55" t="n"/>
      <c r="L690">
        <f>IF(OR(A690="",B690=""),"",_xlfn.MAXIFS(TrocasEquip!$A$2:$A$1000,TrocasEquip!$B$2:$B$1000,B690,TrocasEquip!$A$2:$A$1000,"&lt;"&amp;A690))</f>
        <v/>
      </c>
      <c r="M690">
        <f>IF(N(L690)=0,0,MATCH(1,INDEX((TrocasEquip!$B$2:$B$1000=B690)*(TrocasEquip!$A$2:$A$1000=L690),0),0))</f>
        <v/>
      </c>
      <c r="N690">
        <f>IF(B690="","",IFERROR(MATCH(B690,Equipamentos!$P$2:$P$61,0),""))</f>
        <v/>
      </c>
      <c r="O690">
        <f>IF(N690="","",IF(M690=0,INDEX(Equipamentos!$U$2:$U$61,N690),L690))</f>
        <v/>
      </c>
      <c r="P690">
        <f>IF(N690="","",IF(M690=0,N(INDEX(Equipamentos!$V$2:$V$61,N690)),N(INDEX(TrocasEquip!$I$2:$I$1000,M690))))</f>
        <v/>
      </c>
      <c r="Q690">
        <f>IF(N690="","",IF(M690=0,INDEX(Equipamentos!$T$2:$T$61,N690),IF(INDEX(TrocasEquip!$H$2:$H$1000,M690)="",INDEX(Equipamentos!$T$2:$T$61,N690),INDEX(TrocasEquip!$H$2:$H$1000,M690))))</f>
        <v/>
      </c>
    </row>
    <row r="691">
      <c r="A691" s="54" t="n"/>
      <c r="B691" s="55" t="n"/>
      <c r="C691">
        <f>IF(B691="","",IF(N691="","posição não encontrada",IF(M691=0,INDEX(Equipamentos!$S$2:$S$61,N691),INDEX(TrocasEquip!$G$2:$G$1000,M691))))</f>
        <v/>
      </c>
      <c r="D691" s="56">
        <f>IF(OR(A691="",N691=""),"",P691+IF(E691="dias",MAX(0,A691-O691),IF(INDEX(Equipamentos!$D$2:$D$61,N691)=2,SUMIFS(Producao!$D:$D,Producao!$A:$A,"&gt;="&amp;O691,Producao!$A:$A,"&lt;"&amp;A691),IF(INDEX(Equipamentos!$D$2:$D$61,N691)=3,SUMIFS(Producao!$E:$E,Producao!$A:$A,"&gt;="&amp;O691,Producao!$A:$A,"&lt;"&amp;A691),SUMIFS(Producao!$B:$B,Producao!$A:$A,"&gt;="&amp;O691,Producao!$A:$A,"&lt;"&amp;A691)))))</f>
        <v/>
      </c>
      <c r="E691">
        <f>IF(N691="","",INDEX(Equipamentos!$C$2:$C$61,N691))</f>
        <v/>
      </c>
      <c r="F691" s="57">
        <f>IF(OR(D691="",N(Q691)&lt;=0),"",D691/Q691)</f>
        <v/>
      </c>
      <c r="G691" s="55" t="n"/>
      <c r="H691" s="58" t="n"/>
      <c r="I691" s="58" t="n"/>
      <c r="J691" s="55" t="n"/>
      <c r="K691" s="55" t="n"/>
      <c r="L691">
        <f>IF(OR(A691="",B691=""),"",_xlfn.MAXIFS(TrocasEquip!$A$2:$A$1000,TrocasEquip!$B$2:$B$1000,B691,TrocasEquip!$A$2:$A$1000,"&lt;"&amp;A691))</f>
        <v/>
      </c>
      <c r="M691">
        <f>IF(N(L691)=0,0,MATCH(1,INDEX((TrocasEquip!$B$2:$B$1000=B691)*(TrocasEquip!$A$2:$A$1000=L691),0),0))</f>
        <v/>
      </c>
      <c r="N691">
        <f>IF(B691="","",IFERROR(MATCH(B691,Equipamentos!$P$2:$P$61,0),""))</f>
        <v/>
      </c>
      <c r="O691">
        <f>IF(N691="","",IF(M691=0,INDEX(Equipamentos!$U$2:$U$61,N691),L691))</f>
        <v/>
      </c>
      <c r="P691">
        <f>IF(N691="","",IF(M691=0,N(INDEX(Equipamentos!$V$2:$V$61,N691)),N(INDEX(TrocasEquip!$I$2:$I$1000,M691))))</f>
        <v/>
      </c>
      <c r="Q691">
        <f>IF(N691="","",IF(M691=0,INDEX(Equipamentos!$T$2:$T$61,N691),IF(INDEX(TrocasEquip!$H$2:$H$1000,M691)="",INDEX(Equipamentos!$T$2:$T$61,N691),INDEX(TrocasEquip!$H$2:$H$1000,M691))))</f>
        <v/>
      </c>
    </row>
    <row r="692">
      <c r="A692" s="54" t="n"/>
      <c r="B692" s="55" t="n"/>
      <c r="C692">
        <f>IF(B692="","",IF(N692="","posição não encontrada",IF(M692=0,INDEX(Equipamentos!$S$2:$S$61,N692),INDEX(TrocasEquip!$G$2:$G$1000,M692))))</f>
        <v/>
      </c>
      <c r="D692" s="56">
        <f>IF(OR(A692="",N692=""),"",P692+IF(E692="dias",MAX(0,A692-O692),IF(INDEX(Equipamentos!$D$2:$D$61,N692)=2,SUMIFS(Producao!$D:$D,Producao!$A:$A,"&gt;="&amp;O692,Producao!$A:$A,"&lt;"&amp;A692),IF(INDEX(Equipamentos!$D$2:$D$61,N692)=3,SUMIFS(Producao!$E:$E,Producao!$A:$A,"&gt;="&amp;O692,Producao!$A:$A,"&lt;"&amp;A692),SUMIFS(Producao!$B:$B,Producao!$A:$A,"&gt;="&amp;O692,Producao!$A:$A,"&lt;"&amp;A692)))))</f>
        <v/>
      </c>
      <c r="E692">
        <f>IF(N692="","",INDEX(Equipamentos!$C$2:$C$61,N692))</f>
        <v/>
      </c>
      <c r="F692" s="57">
        <f>IF(OR(D692="",N(Q692)&lt;=0),"",D692/Q692)</f>
        <v/>
      </c>
      <c r="G692" s="55" t="n"/>
      <c r="H692" s="58" t="n"/>
      <c r="I692" s="58" t="n"/>
      <c r="J692" s="55" t="n"/>
      <c r="K692" s="55" t="n"/>
      <c r="L692">
        <f>IF(OR(A692="",B692=""),"",_xlfn.MAXIFS(TrocasEquip!$A$2:$A$1000,TrocasEquip!$B$2:$B$1000,B692,TrocasEquip!$A$2:$A$1000,"&lt;"&amp;A692))</f>
        <v/>
      </c>
      <c r="M692">
        <f>IF(N(L692)=0,0,MATCH(1,INDEX((TrocasEquip!$B$2:$B$1000=B692)*(TrocasEquip!$A$2:$A$1000=L692),0),0))</f>
        <v/>
      </c>
      <c r="N692">
        <f>IF(B692="","",IFERROR(MATCH(B692,Equipamentos!$P$2:$P$61,0),""))</f>
        <v/>
      </c>
      <c r="O692">
        <f>IF(N692="","",IF(M692=0,INDEX(Equipamentos!$U$2:$U$61,N692),L692))</f>
        <v/>
      </c>
      <c r="P692">
        <f>IF(N692="","",IF(M692=0,N(INDEX(Equipamentos!$V$2:$V$61,N692)),N(INDEX(TrocasEquip!$I$2:$I$1000,M692))))</f>
        <v/>
      </c>
      <c r="Q692">
        <f>IF(N692="","",IF(M692=0,INDEX(Equipamentos!$T$2:$T$61,N692),IF(INDEX(TrocasEquip!$H$2:$H$1000,M692)="",INDEX(Equipamentos!$T$2:$T$61,N692),INDEX(TrocasEquip!$H$2:$H$1000,M692))))</f>
        <v/>
      </c>
    </row>
    <row r="693">
      <c r="A693" s="54" t="n"/>
      <c r="B693" s="55" t="n"/>
      <c r="C693">
        <f>IF(B693="","",IF(N693="","posição não encontrada",IF(M693=0,INDEX(Equipamentos!$S$2:$S$61,N693),INDEX(TrocasEquip!$G$2:$G$1000,M693))))</f>
        <v/>
      </c>
      <c r="D693" s="56">
        <f>IF(OR(A693="",N693=""),"",P693+IF(E693="dias",MAX(0,A693-O693),IF(INDEX(Equipamentos!$D$2:$D$61,N693)=2,SUMIFS(Producao!$D:$D,Producao!$A:$A,"&gt;="&amp;O693,Producao!$A:$A,"&lt;"&amp;A693),IF(INDEX(Equipamentos!$D$2:$D$61,N693)=3,SUMIFS(Producao!$E:$E,Producao!$A:$A,"&gt;="&amp;O693,Producao!$A:$A,"&lt;"&amp;A693),SUMIFS(Producao!$B:$B,Producao!$A:$A,"&gt;="&amp;O693,Producao!$A:$A,"&lt;"&amp;A693)))))</f>
        <v/>
      </c>
      <c r="E693">
        <f>IF(N693="","",INDEX(Equipamentos!$C$2:$C$61,N693))</f>
        <v/>
      </c>
      <c r="F693" s="57">
        <f>IF(OR(D693="",N(Q693)&lt;=0),"",D693/Q693)</f>
        <v/>
      </c>
      <c r="G693" s="55" t="n"/>
      <c r="H693" s="58" t="n"/>
      <c r="I693" s="58" t="n"/>
      <c r="J693" s="55" t="n"/>
      <c r="K693" s="55" t="n"/>
      <c r="L693">
        <f>IF(OR(A693="",B693=""),"",_xlfn.MAXIFS(TrocasEquip!$A$2:$A$1000,TrocasEquip!$B$2:$B$1000,B693,TrocasEquip!$A$2:$A$1000,"&lt;"&amp;A693))</f>
        <v/>
      </c>
      <c r="M693">
        <f>IF(N(L693)=0,0,MATCH(1,INDEX((TrocasEquip!$B$2:$B$1000=B693)*(TrocasEquip!$A$2:$A$1000=L693),0),0))</f>
        <v/>
      </c>
      <c r="N693">
        <f>IF(B693="","",IFERROR(MATCH(B693,Equipamentos!$P$2:$P$61,0),""))</f>
        <v/>
      </c>
      <c r="O693">
        <f>IF(N693="","",IF(M693=0,INDEX(Equipamentos!$U$2:$U$61,N693),L693))</f>
        <v/>
      </c>
      <c r="P693">
        <f>IF(N693="","",IF(M693=0,N(INDEX(Equipamentos!$V$2:$V$61,N693)),N(INDEX(TrocasEquip!$I$2:$I$1000,M693))))</f>
        <v/>
      </c>
      <c r="Q693">
        <f>IF(N693="","",IF(M693=0,INDEX(Equipamentos!$T$2:$T$61,N693),IF(INDEX(TrocasEquip!$H$2:$H$1000,M693)="",INDEX(Equipamentos!$T$2:$T$61,N693),INDEX(TrocasEquip!$H$2:$H$1000,M693))))</f>
        <v/>
      </c>
    </row>
    <row r="694">
      <c r="A694" s="54" t="n"/>
      <c r="B694" s="55" t="n"/>
      <c r="C694">
        <f>IF(B694="","",IF(N694="","posição não encontrada",IF(M694=0,INDEX(Equipamentos!$S$2:$S$61,N694),INDEX(TrocasEquip!$G$2:$G$1000,M694))))</f>
        <v/>
      </c>
      <c r="D694" s="56">
        <f>IF(OR(A694="",N694=""),"",P694+IF(E694="dias",MAX(0,A694-O694),IF(INDEX(Equipamentos!$D$2:$D$61,N694)=2,SUMIFS(Producao!$D:$D,Producao!$A:$A,"&gt;="&amp;O694,Producao!$A:$A,"&lt;"&amp;A694),IF(INDEX(Equipamentos!$D$2:$D$61,N694)=3,SUMIFS(Producao!$E:$E,Producao!$A:$A,"&gt;="&amp;O694,Producao!$A:$A,"&lt;"&amp;A694),SUMIFS(Producao!$B:$B,Producao!$A:$A,"&gt;="&amp;O694,Producao!$A:$A,"&lt;"&amp;A694)))))</f>
        <v/>
      </c>
      <c r="E694">
        <f>IF(N694="","",INDEX(Equipamentos!$C$2:$C$61,N694))</f>
        <v/>
      </c>
      <c r="F694" s="57">
        <f>IF(OR(D694="",N(Q694)&lt;=0),"",D694/Q694)</f>
        <v/>
      </c>
      <c r="G694" s="55" t="n"/>
      <c r="H694" s="58" t="n"/>
      <c r="I694" s="58" t="n"/>
      <c r="J694" s="55" t="n"/>
      <c r="K694" s="55" t="n"/>
      <c r="L694">
        <f>IF(OR(A694="",B694=""),"",_xlfn.MAXIFS(TrocasEquip!$A$2:$A$1000,TrocasEquip!$B$2:$B$1000,B694,TrocasEquip!$A$2:$A$1000,"&lt;"&amp;A694))</f>
        <v/>
      </c>
      <c r="M694">
        <f>IF(N(L694)=0,0,MATCH(1,INDEX((TrocasEquip!$B$2:$B$1000=B694)*(TrocasEquip!$A$2:$A$1000=L694),0),0))</f>
        <v/>
      </c>
      <c r="N694">
        <f>IF(B694="","",IFERROR(MATCH(B694,Equipamentos!$P$2:$P$61,0),""))</f>
        <v/>
      </c>
      <c r="O694">
        <f>IF(N694="","",IF(M694=0,INDEX(Equipamentos!$U$2:$U$61,N694),L694))</f>
        <v/>
      </c>
      <c r="P694">
        <f>IF(N694="","",IF(M694=0,N(INDEX(Equipamentos!$V$2:$V$61,N694)),N(INDEX(TrocasEquip!$I$2:$I$1000,M694))))</f>
        <v/>
      </c>
      <c r="Q694">
        <f>IF(N694="","",IF(M694=0,INDEX(Equipamentos!$T$2:$T$61,N694),IF(INDEX(TrocasEquip!$H$2:$H$1000,M694)="",INDEX(Equipamentos!$T$2:$T$61,N694),INDEX(TrocasEquip!$H$2:$H$1000,M694))))</f>
        <v/>
      </c>
    </row>
    <row r="695">
      <c r="A695" s="54" t="n"/>
      <c r="B695" s="55" t="n"/>
      <c r="C695">
        <f>IF(B695="","",IF(N695="","posição não encontrada",IF(M695=0,INDEX(Equipamentos!$S$2:$S$61,N695),INDEX(TrocasEquip!$G$2:$G$1000,M695))))</f>
        <v/>
      </c>
      <c r="D695" s="56">
        <f>IF(OR(A695="",N695=""),"",P695+IF(E695="dias",MAX(0,A695-O695),IF(INDEX(Equipamentos!$D$2:$D$61,N695)=2,SUMIFS(Producao!$D:$D,Producao!$A:$A,"&gt;="&amp;O695,Producao!$A:$A,"&lt;"&amp;A695),IF(INDEX(Equipamentos!$D$2:$D$61,N695)=3,SUMIFS(Producao!$E:$E,Producao!$A:$A,"&gt;="&amp;O695,Producao!$A:$A,"&lt;"&amp;A695),SUMIFS(Producao!$B:$B,Producao!$A:$A,"&gt;="&amp;O695,Producao!$A:$A,"&lt;"&amp;A695)))))</f>
        <v/>
      </c>
      <c r="E695">
        <f>IF(N695="","",INDEX(Equipamentos!$C$2:$C$61,N695))</f>
        <v/>
      </c>
      <c r="F695" s="57">
        <f>IF(OR(D695="",N(Q695)&lt;=0),"",D695/Q695)</f>
        <v/>
      </c>
      <c r="G695" s="55" t="n"/>
      <c r="H695" s="58" t="n"/>
      <c r="I695" s="58" t="n"/>
      <c r="J695" s="55" t="n"/>
      <c r="K695" s="55" t="n"/>
      <c r="L695">
        <f>IF(OR(A695="",B695=""),"",_xlfn.MAXIFS(TrocasEquip!$A$2:$A$1000,TrocasEquip!$B$2:$B$1000,B695,TrocasEquip!$A$2:$A$1000,"&lt;"&amp;A695))</f>
        <v/>
      </c>
      <c r="M695">
        <f>IF(N(L695)=0,0,MATCH(1,INDEX((TrocasEquip!$B$2:$B$1000=B695)*(TrocasEquip!$A$2:$A$1000=L695),0),0))</f>
        <v/>
      </c>
      <c r="N695">
        <f>IF(B695="","",IFERROR(MATCH(B695,Equipamentos!$P$2:$P$61,0),""))</f>
        <v/>
      </c>
      <c r="O695">
        <f>IF(N695="","",IF(M695=0,INDEX(Equipamentos!$U$2:$U$61,N695),L695))</f>
        <v/>
      </c>
      <c r="P695">
        <f>IF(N695="","",IF(M695=0,N(INDEX(Equipamentos!$V$2:$V$61,N695)),N(INDEX(TrocasEquip!$I$2:$I$1000,M695))))</f>
        <v/>
      </c>
      <c r="Q695">
        <f>IF(N695="","",IF(M695=0,INDEX(Equipamentos!$T$2:$T$61,N695),IF(INDEX(TrocasEquip!$H$2:$H$1000,M695)="",INDEX(Equipamentos!$T$2:$T$61,N695),INDEX(TrocasEquip!$H$2:$H$1000,M695))))</f>
        <v/>
      </c>
    </row>
    <row r="696">
      <c r="A696" s="54" t="n"/>
      <c r="B696" s="55" t="n"/>
      <c r="C696">
        <f>IF(B696="","",IF(N696="","posição não encontrada",IF(M696=0,INDEX(Equipamentos!$S$2:$S$61,N696),INDEX(TrocasEquip!$G$2:$G$1000,M696))))</f>
        <v/>
      </c>
      <c r="D696" s="56">
        <f>IF(OR(A696="",N696=""),"",P696+IF(E696="dias",MAX(0,A696-O696),IF(INDEX(Equipamentos!$D$2:$D$61,N696)=2,SUMIFS(Producao!$D:$D,Producao!$A:$A,"&gt;="&amp;O696,Producao!$A:$A,"&lt;"&amp;A696),IF(INDEX(Equipamentos!$D$2:$D$61,N696)=3,SUMIFS(Producao!$E:$E,Producao!$A:$A,"&gt;="&amp;O696,Producao!$A:$A,"&lt;"&amp;A696),SUMIFS(Producao!$B:$B,Producao!$A:$A,"&gt;="&amp;O696,Producao!$A:$A,"&lt;"&amp;A696)))))</f>
        <v/>
      </c>
      <c r="E696">
        <f>IF(N696="","",INDEX(Equipamentos!$C$2:$C$61,N696))</f>
        <v/>
      </c>
      <c r="F696" s="57">
        <f>IF(OR(D696="",N(Q696)&lt;=0),"",D696/Q696)</f>
        <v/>
      </c>
      <c r="G696" s="55" t="n"/>
      <c r="H696" s="58" t="n"/>
      <c r="I696" s="58" t="n"/>
      <c r="J696" s="55" t="n"/>
      <c r="K696" s="55" t="n"/>
      <c r="L696">
        <f>IF(OR(A696="",B696=""),"",_xlfn.MAXIFS(TrocasEquip!$A$2:$A$1000,TrocasEquip!$B$2:$B$1000,B696,TrocasEquip!$A$2:$A$1000,"&lt;"&amp;A696))</f>
        <v/>
      </c>
      <c r="M696">
        <f>IF(N(L696)=0,0,MATCH(1,INDEX((TrocasEquip!$B$2:$B$1000=B696)*(TrocasEquip!$A$2:$A$1000=L696),0),0))</f>
        <v/>
      </c>
      <c r="N696">
        <f>IF(B696="","",IFERROR(MATCH(B696,Equipamentos!$P$2:$P$61,0),""))</f>
        <v/>
      </c>
      <c r="O696">
        <f>IF(N696="","",IF(M696=0,INDEX(Equipamentos!$U$2:$U$61,N696),L696))</f>
        <v/>
      </c>
      <c r="P696">
        <f>IF(N696="","",IF(M696=0,N(INDEX(Equipamentos!$V$2:$V$61,N696)),N(INDEX(TrocasEquip!$I$2:$I$1000,M696))))</f>
        <v/>
      </c>
      <c r="Q696">
        <f>IF(N696="","",IF(M696=0,INDEX(Equipamentos!$T$2:$T$61,N696),IF(INDEX(TrocasEquip!$H$2:$H$1000,M696)="",INDEX(Equipamentos!$T$2:$T$61,N696),INDEX(TrocasEquip!$H$2:$H$1000,M696))))</f>
        <v/>
      </c>
    </row>
    <row r="697">
      <c r="A697" s="54" t="n"/>
      <c r="B697" s="55" t="n"/>
      <c r="C697">
        <f>IF(B697="","",IF(N697="","posição não encontrada",IF(M697=0,INDEX(Equipamentos!$S$2:$S$61,N697),INDEX(TrocasEquip!$G$2:$G$1000,M697))))</f>
        <v/>
      </c>
      <c r="D697" s="56">
        <f>IF(OR(A697="",N697=""),"",P697+IF(E697="dias",MAX(0,A697-O697),IF(INDEX(Equipamentos!$D$2:$D$61,N697)=2,SUMIFS(Producao!$D:$D,Producao!$A:$A,"&gt;="&amp;O697,Producao!$A:$A,"&lt;"&amp;A697),IF(INDEX(Equipamentos!$D$2:$D$61,N697)=3,SUMIFS(Producao!$E:$E,Producao!$A:$A,"&gt;="&amp;O697,Producao!$A:$A,"&lt;"&amp;A697),SUMIFS(Producao!$B:$B,Producao!$A:$A,"&gt;="&amp;O697,Producao!$A:$A,"&lt;"&amp;A697)))))</f>
        <v/>
      </c>
      <c r="E697">
        <f>IF(N697="","",INDEX(Equipamentos!$C$2:$C$61,N697))</f>
        <v/>
      </c>
      <c r="F697" s="57">
        <f>IF(OR(D697="",N(Q697)&lt;=0),"",D697/Q697)</f>
        <v/>
      </c>
      <c r="G697" s="55" t="n"/>
      <c r="H697" s="58" t="n"/>
      <c r="I697" s="58" t="n"/>
      <c r="J697" s="55" t="n"/>
      <c r="K697" s="55" t="n"/>
      <c r="L697">
        <f>IF(OR(A697="",B697=""),"",_xlfn.MAXIFS(TrocasEquip!$A$2:$A$1000,TrocasEquip!$B$2:$B$1000,B697,TrocasEquip!$A$2:$A$1000,"&lt;"&amp;A697))</f>
        <v/>
      </c>
      <c r="M697">
        <f>IF(N(L697)=0,0,MATCH(1,INDEX((TrocasEquip!$B$2:$B$1000=B697)*(TrocasEquip!$A$2:$A$1000=L697),0),0))</f>
        <v/>
      </c>
      <c r="N697">
        <f>IF(B697="","",IFERROR(MATCH(B697,Equipamentos!$P$2:$P$61,0),""))</f>
        <v/>
      </c>
      <c r="O697">
        <f>IF(N697="","",IF(M697=0,INDEX(Equipamentos!$U$2:$U$61,N697),L697))</f>
        <v/>
      </c>
      <c r="P697">
        <f>IF(N697="","",IF(M697=0,N(INDEX(Equipamentos!$V$2:$V$61,N697)),N(INDEX(TrocasEquip!$I$2:$I$1000,M697))))</f>
        <v/>
      </c>
      <c r="Q697">
        <f>IF(N697="","",IF(M697=0,INDEX(Equipamentos!$T$2:$T$61,N697),IF(INDEX(TrocasEquip!$H$2:$H$1000,M697)="",INDEX(Equipamentos!$T$2:$T$61,N697),INDEX(TrocasEquip!$H$2:$H$1000,M697))))</f>
        <v/>
      </c>
    </row>
    <row r="698">
      <c r="A698" s="54" t="n"/>
      <c r="B698" s="55" t="n"/>
      <c r="C698">
        <f>IF(B698="","",IF(N698="","posição não encontrada",IF(M698=0,INDEX(Equipamentos!$S$2:$S$61,N698),INDEX(TrocasEquip!$G$2:$G$1000,M698))))</f>
        <v/>
      </c>
      <c r="D698" s="56">
        <f>IF(OR(A698="",N698=""),"",P698+IF(E698="dias",MAX(0,A698-O698),IF(INDEX(Equipamentos!$D$2:$D$61,N698)=2,SUMIFS(Producao!$D:$D,Producao!$A:$A,"&gt;="&amp;O698,Producao!$A:$A,"&lt;"&amp;A698),IF(INDEX(Equipamentos!$D$2:$D$61,N698)=3,SUMIFS(Producao!$E:$E,Producao!$A:$A,"&gt;="&amp;O698,Producao!$A:$A,"&lt;"&amp;A698),SUMIFS(Producao!$B:$B,Producao!$A:$A,"&gt;="&amp;O698,Producao!$A:$A,"&lt;"&amp;A698)))))</f>
        <v/>
      </c>
      <c r="E698">
        <f>IF(N698="","",INDEX(Equipamentos!$C$2:$C$61,N698))</f>
        <v/>
      </c>
      <c r="F698" s="57">
        <f>IF(OR(D698="",N(Q698)&lt;=0),"",D698/Q698)</f>
        <v/>
      </c>
      <c r="G698" s="55" t="n"/>
      <c r="H698" s="58" t="n"/>
      <c r="I698" s="58" t="n"/>
      <c r="J698" s="55" t="n"/>
      <c r="K698" s="55" t="n"/>
      <c r="L698">
        <f>IF(OR(A698="",B698=""),"",_xlfn.MAXIFS(TrocasEquip!$A$2:$A$1000,TrocasEquip!$B$2:$B$1000,B698,TrocasEquip!$A$2:$A$1000,"&lt;"&amp;A698))</f>
        <v/>
      </c>
      <c r="M698">
        <f>IF(N(L698)=0,0,MATCH(1,INDEX((TrocasEquip!$B$2:$B$1000=B698)*(TrocasEquip!$A$2:$A$1000=L698),0),0))</f>
        <v/>
      </c>
      <c r="N698">
        <f>IF(B698="","",IFERROR(MATCH(B698,Equipamentos!$P$2:$P$61,0),""))</f>
        <v/>
      </c>
      <c r="O698">
        <f>IF(N698="","",IF(M698=0,INDEX(Equipamentos!$U$2:$U$61,N698),L698))</f>
        <v/>
      </c>
      <c r="P698">
        <f>IF(N698="","",IF(M698=0,N(INDEX(Equipamentos!$V$2:$V$61,N698)),N(INDEX(TrocasEquip!$I$2:$I$1000,M698))))</f>
        <v/>
      </c>
      <c r="Q698">
        <f>IF(N698="","",IF(M698=0,INDEX(Equipamentos!$T$2:$T$61,N698),IF(INDEX(TrocasEquip!$H$2:$H$1000,M698)="",INDEX(Equipamentos!$T$2:$T$61,N698),INDEX(TrocasEquip!$H$2:$H$1000,M698))))</f>
        <v/>
      </c>
    </row>
    <row r="699">
      <c r="A699" s="54" t="n"/>
      <c r="B699" s="55" t="n"/>
      <c r="C699">
        <f>IF(B699="","",IF(N699="","posição não encontrada",IF(M699=0,INDEX(Equipamentos!$S$2:$S$61,N699),INDEX(TrocasEquip!$G$2:$G$1000,M699))))</f>
        <v/>
      </c>
      <c r="D699" s="56">
        <f>IF(OR(A699="",N699=""),"",P699+IF(E699="dias",MAX(0,A699-O699),IF(INDEX(Equipamentos!$D$2:$D$61,N699)=2,SUMIFS(Producao!$D:$D,Producao!$A:$A,"&gt;="&amp;O699,Producao!$A:$A,"&lt;"&amp;A699),IF(INDEX(Equipamentos!$D$2:$D$61,N699)=3,SUMIFS(Producao!$E:$E,Producao!$A:$A,"&gt;="&amp;O699,Producao!$A:$A,"&lt;"&amp;A699),SUMIFS(Producao!$B:$B,Producao!$A:$A,"&gt;="&amp;O699,Producao!$A:$A,"&lt;"&amp;A699)))))</f>
        <v/>
      </c>
      <c r="E699">
        <f>IF(N699="","",INDEX(Equipamentos!$C$2:$C$61,N699))</f>
        <v/>
      </c>
      <c r="F699" s="57">
        <f>IF(OR(D699="",N(Q699)&lt;=0),"",D699/Q699)</f>
        <v/>
      </c>
      <c r="G699" s="55" t="n"/>
      <c r="H699" s="58" t="n"/>
      <c r="I699" s="58" t="n"/>
      <c r="J699" s="55" t="n"/>
      <c r="K699" s="55" t="n"/>
      <c r="L699">
        <f>IF(OR(A699="",B699=""),"",_xlfn.MAXIFS(TrocasEquip!$A$2:$A$1000,TrocasEquip!$B$2:$B$1000,B699,TrocasEquip!$A$2:$A$1000,"&lt;"&amp;A699))</f>
        <v/>
      </c>
      <c r="M699">
        <f>IF(N(L699)=0,0,MATCH(1,INDEX((TrocasEquip!$B$2:$B$1000=B699)*(TrocasEquip!$A$2:$A$1000=L699),0),0))</f>
        <v/>
      </c>
      <c r="N699">
        <f>IF(B699="","",IFERROR(MATCH(B699,Equipamentos!$P$2:$P$61,0),""))</f>
        <v/>
      </c>
      <c r="O699">
        <f>IF(N699="","",IF(M699=0,INDEX(Equipamentos!$U$2:$U$61,N699),L699))</f>
        <v/>
      </c>
      <c r="P699">
        <f>IF(N699="","",IF(M699=0,N(INDEX(Equipamentos!$V$2:$V$61,N699)),N(INDEX(TrocasEquip!$I$2:$I$1000,M699))))</f>
        <v/>
      </c>
      <c r="Q699">
        <f>IF(N699="","",IF(M699=0,INDEX(Equipamentos!$T$2:$T$61,N699),IF(INDEX(TrocasEquip!$H$2:$H$1000,M699)="",INDEX(Equipamentos!$T$2:$T$61,N699),INDEX(TrocasEquip!$H$2:$H$1000,M699))))</f>
        <v/>
      </c>
    </row>
    <row r="700">
      <c r="A700" s="54" t="n"/>
      <c r="B700" s="55" t="n"/>
      <c r="C700">
        <f>IF(B700="","",IF(N700="","posição não encontrada",IF(M700=0,INDEX(Equipamentos!$S$2:$S$61,N700),INDEX(TrocasEquip!$G$2:$G$1000,M700))))</f>
        <v/>
      </c>
      <c r="D700" s="56">
        <f>IF(OR(A700="",N700=""),"",P700+IF(E700="dias",MAX(0,A700-O700),IF(INDEX(Equipamentos!$D$2:$D$61,N700)=2,SUMIFS(Producao!$D:$D,Producao!$A:$A,"&gt;="&amp;O700,Producao!$A:$A,"&lt;"&amp;A700),IF(INDEX(Equipamentos!$D$2:$D$61,N700)=3,SUMIFS(Producao!$E:$E,Producao!$A:$A,"&gt;="&amp;O700,Producao!$A:$A,"&lt;"&amp;A700),SUMIFS(Producao!$B:$B,Producao!$A:$A,"&gt;="&amp;O700,Producao!$A:$A,"&lt;"&amp;A700)))))</f>
        <v/>
      </c>
      <c r="E700">
        <f>IF(N700="","",INDEX(Equipamentos!$C$2:$C$61,N700))</f>
        <v/>
      </c>
      <c r="F700" s="57">
        <f>IF(OR(D700="",N(Q700)&lt;=0),"",D700/Q700)</f>
        <v/>
      </c>
      <c r="G700" s="55" t="n"/>
      <c r="H700" s="58" t="n"/>
      <c r="I700" s="58" t="n"/>
      <c r="J700" s="55" t="n"/>
      <c r="K700" s="55" t="n"/>
      <c r="L700">
        <f>IF(OR(A700="",B700=""),"",_xlfn.MAXIFS(TrocasEquip!$A$2:$A$1000,TrocasEquip!$B$2:$B$1000,B700,TrocasEquip!$A$2:$A$1000,"&lt;"&amp;A700))</f>
        <v/>
      </c>
      <c r="M700">
        <f>IF(N(L700)=0,0,MATCH(1,INDEX((TrocasEquip!$B$2:$B$1000=B700)*(TrocasEquip!$A$2:$A$1000=L700),0),0))</f>
        <v/>
      </c>
      <c r="N700">
        <f>IF(B700="","",IFERROR(MATCH(B700,Equipamentos!$P$2:$P$61,0),""))</f>
        <v/>
      </c>
      <c r="O700">
        <f>IF(N700="","",IF(M700=0,INDEX(Equipamentos!$U$2:$U$61,N700),L700))</f>
        <v/>
      </c>
      <c r="P700">
        <f>IF(N700="","",IF(M700=0,N(INDEX(Equipamentos!$V$2:$V$61,N700)),N(INDEX(TrocasEquip!$I$2:$I$1000,M700))))</f>
        <v/>
      </c>
      <c r="Q700">
        <f>IF(N700="","",IF(M700=0,INDEX(Equipamentos!$T$2:$T$61,N700),IF(INDEX(TrocasEquip!$H$2:$H$1000,M700)="",INDEX(Equipamentos!$T$2:$T$61,N700),INDEX(TrocasEquip!$H$2:$H$1000,M700))))</f>
        <v/>
      </c>
    </row>
    <row r="701">
      <c r="A701" s="54" t="n"/>
      <c r="B701" s="55" t="n"/>
      <c r="C701">
        <f>IF(B701="","",IF(N701="","posição não encontrada",IF(M701=0,INDEX(Equipamentos!$S$2:$S$61,N701),INDEX(TrocasEquip!$G$2:$G$1000,M701))))</f>
        <v/>
      </c>
      <c r="D701" s="56">
        <f>IF(OR(A701="",N701=""),"",P701+IF(E701="dias",MAX(0,A701-O701),IF(INDEX(Equipamentos!$D$2:$D$61,N701)=2,SUMIFS(Producao!$D:$D,Producao!$A:$A,"&gt;="&amp;O701,Producao!$A:$A,"&lt;"&amp;A701),IF(INDEX(Equipamentos!$D$2:$D$61,N701)=3,SUMIFS(Producao!$E:$E,Producao!$A:$A,"&gt;="&amp;O701,Producao!$A:$A,"&lt;"&amp;A701),SUMIFS(Producao!$B:$B,Producao!$A:$A,"&gt;="&amp;O701,Producao!$A:$A,"&lt;"&amp;A701)))))</f>
        <v/>
      </c>
      <c r="E701">
        <f>IF(N701="","",INDEX(Equipamentos!$C$2:$C$61,N701))</f>
        <v/>
      </c>
      <c r="F701" s="57">
        <f>IF(OR(D701="",N(Q701)&lt;=0),"",D701/Q701)</f>
        <v/>
      </c>
      <c r="G701" s="55" t="n"/>
      <c r="H701" s="58" t="n"/>
      <c r="I701" s="58" t="n"/>
      <c r="J701" s="55" t="n"/>
      <c r="K701" s="55" t="n"/>
      <c r="L701">
        <f>IF(OR(A701="",B701=""),"",_xlfn.MAXIFS(TrocasEquip!$A$2:$A$1000,TrocasEquip!$B$2:$B$1000,B701,TrocasEquip!$A$2:$A$1000,"&lt;"&amp;A701))</f>
        <v/>
      </c>
      <c r="M701">
        <f>IF(N(L701)=0,0,MATCH(1,INDEX((TrocasEquip!$B$2:$B$1000=B701)*(TrocasEquip!$A$2:$A$1000=L701),0),0))</f>
        <v/>
      </c>
      <c r="N701">
        <f>IF(B701="","",IFERROR(MATCH(B701,Equipamentos!$P$2:$P$61,0),""))</f>
        <v/>
      </c>
      <c r="O701">
        <f>IF(N701="","",IF(M701=0,INDEX(Equipamentos!$U$2:$U$61,N701),L701))</f>
        <v/>
      </c>
      <c r="P701">
        <f>IF(N701="","",IF(M701=0,N(INDEX(Equipamentos!$V$2:$V$61,N701)),N(INDEX(TrocasEquip!$I$2:$I$1000,M701))))</f>
        <v/>
      </c>
      <c r="Q701">
        <f>IF(N701="","",IF(M701=0,INDEX(Equipamentos!$T$2:$T$61,N701),IF(INDEX(TrocasEquip!$H$2:$H$1000,M701)="",INDEX(Equipamentos!$T$2:$T$61,N701),INDEX(TrocasEquip!$H$2:$H$1000,M701))))</f>
        <v/>
      </c>
    </row>
    <row r="702">
      <c r="A702" s="54" t="n"/>
      <c r="B702" s="55" t="n"/>
      <c r="C702">
        <f>IF(B702="","",IF(N702="","posição não encontrada",IF(M702=0,INDEX(Equipamentos!$S$2:$S$61,N702),INDEX(TrocasEquip!$G$2:$G$1000,M702))))</f>
        <v/>
      </c>
      <c r="D702" s="56">
        <f>IF(OR(A702="",N702=""),"",P702+IF(E702="dias",MAX(0,A702-O702),IF(INDEX(Equipamentos!$D$2:$D$61,N702)=2,SUMIFS(Producao!$D:$D,Producao!$A:$A,"&gt;="&amp;O702,Producao!$A:$A,"&lt;"&amp;A702),IF(INDEX(Equipamentos!$D$2:$D$61,N702)=3,SUMIFS(Producao!$E:$E,Producao!$A:$A,"&gt;="&amp;O702,Producao!$A:$A,"&lt;"&amp;A702),SUMIFS(Producao!$B:$B,Producao!$A:$A,"&gt;="&amp;O702,Producao!$A:$A,"&lt;"&amp;A702)))))</f>
        <v/>
      </c>
      <c r="E702">
        <f>IF(N702="","",INDEX(Equipamentos!$C$2:$C$61,N702))</f>
        <v/>
      </c>
      <c r="F702" s="57">
        <f>IF(OR(D702="",N(Q702)&lt;=0),"",D702/Q702)</f>
        <v/>
      </c>
      <c r="G702" s="55" t="n"/>
      <c r="H702" s="58" t="n"/>
      <c r="I702" s="58" t="n"/>
      <c r="J702" s="55" t="n"/>
      <c r="K702" s="55" t="n"/>
      <c r="L702">
        <f>IF(OR(A702="",B702=""),"",_xlfn.MAXIFS(TrocasEquip!$A$2:$A$1000,TrocasEquip!$B$2:$B$1000,B702,TrocasEquip!$A$2:$A$1000,"&lt;"&amp;A702))</f>
        <v/>
      </c>
      <c r="M702">
        <f>IF(N(L702)=0,0,MATCH(1,INDEX((TrocasEquip!$B$2:$B$1000=B702)*(TrocasEquip!$A$2:$A$1000=L702),0),0))</f>
        <v/>
      </c>
      <c r="N702">
        <f>IF(B702="","",IFERROR(MATCH(B702,Equipamentos!$P$2:$P$61,0),""))</f>
        <v/>
      </c>
      <c r="O702">
        <f>IF(N702="","",IF(M702=0,INDEX(Equipamentos!$U$2:$U$61,N702),L702))</f>
        <v/>
      </c>
      <c r="P702">
        <f>IF(N702="","",IF(M702=0,N(INDEX(Equipamentos!$V$2:$V$61,N702)),N(INDEX(TrocasEquip!$I$2:$I$1000,M702))))</f>
        <v/>
      </c>
      <c r="Q702">
        <f>IF(N702="","",IF(M702=0,INDEX(Equipamentos!$T$2:$T$61,N702),IF(INDEX(TrocasEquip!$H$2:$H$1000,M702)="",INDEX(Equipamentos!$T$2:$T$61,N702),INDEX(TrocasEquip!$H$2:$H$1000,M702))))</f>
        <v/>
      </c>
    </row>
    <row r="703">
      <c r="A703" s="54" t="n"/>
      <c r="B703" s="55" t="n"/>
      <c r="C703">
        <f>IF(B703="","",IF(N703="","posição não encontrada",IF(M703=0,INDEX(Equipamentos!$S$2:$S$61,N703),INDEX(TrocasEquip!$G$2:$G$1000,M703))))</f>
        <v/>
      </c>
      <c r="D703" s="56">
        <f>IF(OR(A703="",N703=""),"",P703+IF(E703="dias",MAX(0,A703-O703),IF(INDEX(Equipamentos!$D$2:$D$61,N703)=2,SUMIFS(Producao!$D:$D,Producao!$A:$A,"&gt;="&amp;O703,Producao!$A:$A,"&lt;"&amp;A703),IF(INDEX(Equipamentos!$D$2:$D$61,N703)=3,SUMIFS(Producao!$E:$E,Producao!$A:$A,"&gt;="&amp;O703,Producao!$A:$A,"&lt;"&amp;A703),SUMIFS(Producao!$B:$B,Producao!$A:$A,"&gt;="&amp;O703,Producao!$A:$A,"&lt;"&amp;A703)))))</f>
        <v/>
      </c>
      <c r="E703">
        <f>IF(N703="","",INDEX(Equipamentos!$C$2:$C$61,N703))</f>
        <v/>
      </c>
      <c r="F703" s="57">
        <f>IF(OR(D703="",N(Q703)&lt;=0),"",D703/Q703)</f>
        <v/>
      </c>
      <c r="G703" s="55" t="n"/>
      <c r="H703" s="58" t="n"/>
      <c r="I703" s="58" t="n"/>
      <c r="J703" s="55" t="n"/>
      <c r="K703" s="55" t="n"/>
      <c r="L703">
        <f>IF(OR(A703="",B703=""),"",_xlfn.MAXIFS(TrocasEquip!$A$2:$A$1000,TrocasEquip!$B$2:$B$1000,B703,TrocasEquip!$A$2:$A$1000,"&lt;"&amp;A703))</f>
        <v/>
      </c>
      <c r="M703">
        <f>IF(N(L703)=0,0,MATCH(1,INDEX((TrocasEquip!$B$2:$B$1000=B703)*(TrocasEquip!$A$2:$A$1000=L703),0),0))</f>
        <v/>
      </c>
      <c r="N703">
        <f>IF(B703="","",IFERROR(MATCH(B703,Equipamentos!$P$2:$P$61,0),""))</f>
        <v/>
      </c>
      <c r="O703">
        <f>IF(N703="","",IF(M703=0,INDEX(Equipamentos!$U$2:$U$61,N703),L703))</f>
        <v/>
      </c>
      <c r="P703">
        <f>IF(N703="","",IF(M703=0,N(INDEX(Equipamentos!$V$2:$V$61,N703)),N(INDEX(TrocasEquip!$I$2:$I$1000,M703))))</f>
        <v/>
      </c>
      <c r="Q703">
        <f>IF(N703="","",IF(M703=0,INDEX(Equipamentos!$T$2:$T$61,N703),IF(INDEX(TrocasEquip!$H$2:$H$1000,M703)="",INDEX(Equipamentos!$T$2:$T$61,N703),INDEX(TrocasEquip!$H$2:$H$1000,M703))))</f>
        <v/>
      </c>
    </row>
    <row r="704">
      <c r="A704" s="54" t="n"/>
      <c r="B704" s="55" t="n"/>
      <c r="C704">
        <f>IF(B704="","",IF(N704="","posição não encontrada",IF(M704=0,INDEX(Equipamentos!$S$2:$S$61,N704),INDEX(TrocasEquip!$G$2:$G$1000,M704))))</f>
        <v/>
      </c>
      <c r="D704" s="56">
        <f>IF(OR(A704="",N704=""),"",P704+IF(E704="dias",MAX(0,A704-O704),IF(INDEX(Equipamentos!$D$2:$D$61,N704)=2,SUMIFS(Producao!$D:$D,Producao!$A:$A,"&gt;="&amp;O704,Producao!$A:$A,"&lt;"&amp;A704),IF(INDEX(Equipamentos!$D$2:$D$61,N704)=3,SUMIFS(Producao!$E:$E,Producao!$A:$A,"&gt;="&amp;O704,Producao!$A:$A,"&lt;"&amp;A704),SUMIFS(Producao!$B:$B,Producao!$A:$A,"&gt;="&amp;O704,Producao!$A:$A,"&lt;"&amp;A704)))))</f>
        <v/>
      </c>
      <c r="E704">
        <f>IF(N704="","",INDEX(Equipamentos!$C$2:$C$61,N704))</f>
        <v/>
      </c>
      <c r="F704" s="57">
        <f>IF(OR(D704="",N(Q704)&lt;=0),"",D704/Q704)</f>
        <v/>
      </c>
      <c r="G704" s="55" t="n"/>
      <c r="H704" s="58" t="n"/>
      <c r="I704" s="58" t="n"/>
      <c r="J704" s="55" t="n"/>
      <c r="K704" s="55" t="n"/>
      <c r="L704">
        <f>IF(OR(A704="",B704=""),"",_xlfn.MAXIFS(TrocasEquip!$A$2:$A$1000,TrocasEquip!$B$2:$B$1000,B704,TrocasEquip!$A$2:$A$1000,"&lt;"&amp;A704))</f>
        <v/>
      </c>
      <c r="M704">
        <f>IF(N(L704)=0,0,MATCH(1,INDEX((TrocasEquip!$B$2:$B$1000=B704)*(TrocasEquip!$A$2:$A$1000=L704),0),0))</f>
        <v/>
      </c>
      <c r="N704">
        <f>IF(B704="","",IFERROR(MATCH(B704,Equipamentos!$P$2:$P$61,0),""))</f>
        <v/>
      </c>
      <c r="O704">
        <f>IF(N704="","",IF(M704=0,INDEX(Equipamentos!$U$2:$U$61,N704),L704))</f>
        <v/>
      </c>
      <c r="P704">
        <f>IF(N704="","",IF(M704=0,N(INDEX(Equipamentos!$V$2:$V$61,N704)),N(INDEX(TrocasEquip!$I$2:$I$1000,M704))))</f>
        <v/>
      </c>
      <c r="Q704">
        <f>IF(N704="","",IF(M704=0,INDEX(Equipamentos!$T$2:$T$61,N704),IF(INDEX(TrocasEquip!$H$2:$H$1000,M704)="",INDEX(Equipamentos!$T$2:$T$61,N704),INDEX(TrocasEquip!$H$2:$H$1000,M704))))</f>
        <v/>
      </c>
    </row>
    <row r="705">
      <c r="A705" s="54" t="n"/>
      <c r="B705" s="55" t="n"/>
      <c r="C705">
        <f>IF(B705="","",IF(N705="","posição não encontrada",IF(M705=0,INDEX(Equipamentos!$S$2:$S$61,N705),INDEX(TrocasEquip!$G$2:$G$1000,M705))))</f>
        <v/>
      </c>
      <c r="D705" s="56">
        <f>IF(OR(A705="",N705=""),"",P705+IF(E705="dias",MAX(0,A705-O705),IF(INDEX(Equipamentos!$D$2:$D$61,N705)=2,SUMIFS(Producao!$D:$D,Producao!$A:$A,"&gt;="&amp;O705,Producao!$A:$A,"&lt;"&amp;A705),IF(INDEX(Equipamentos!$D$2:$D$61,N705)=3,SUMIFS(Producao!$E:$E,Producao!$A:$A,"&gt;="&amp;O705,Producao!$A:$A,"&lt;"&amp;A705),SUMIFS(Producao!$B:$B,Producao!$A:$A,"&gt;="&amp;O705,Producao!$A:$A,"&lt;"&amp;A705)))))</f>
        <v/>
      </c>
      <c r="E705">
        <f>IF(N705="","",INDEX(Equipamentos!$C$2:$C$61,N705))</f>
        <v/>
      </c>
      <c r="F705" s="57">
        <f>IF(OR(D705="",N(Q705)&lt;=0),"",D705/Q705)</f>
        <v/>
      </c>
      <c r="G705" s="55" t="n"/>
      <c r="H705" s="58" t="n"/>
      <c r="I705" s="58" t="n"/>
      <c r="J705" s="55" t="n"/>
      <c r="K705" s="55" t="n"/>
      <c r="L705">
        <f>IF(OR(A705="",B705=""),"",_xlfn.MAXIFS(TrocasEquip!$A$2:$A$1000,TrocasEquip!$B$2:$B$1000,B705,TrocasEquip!$A$2:$A$1000,"&lt;"&amp;A705))</f>
        <v/>
      </c>
      <c r="M705">
        <f>IF(N(L705)=0,0,MATCH(1,INDEX((TrocasEquip!$B$2:$B$1000=B705)*(TrocasEquip!$A$2:$A$1000=L705),0),0))</f>
        <v/>
      </c>
      <c r="N705">
        <f>IF(B705="","",IFERROR(MATCH(B705,Equipamentos!$P$2:$P$61,0),""))</f>
        <v/>
      </c>
      <c r="O705">
        <f>IF(N705="","",IF(M705=0,INDEX(Equipamentos!$U$2:$U$61,N705),L705))</f>
        <v/>
      </c>
      <c r="P705">
        <f>IF(N705="","",IF(M705=0,N(INDEX(Equipamentos!$V$2:$V$61,N705)),N(INDEX(TrocasEquip!$I$2:$I$1000,M705))))</f>
        <v/>
      </c>
      <c r="Q705">
        <f>IF(N705="","",IF(M705=0,INDEX(Equipamentos!$T$2:$T$61,N705),IF(INDEX(TrocasEquip!$H$2:$H$1000,M705)="",INDEX(Equipamentos!$T$2:$T$61,N705),INDEX(TrocasEquip!$H$2:$H$1000,M705))))</f>
        <v/>
      </c>
    </row>
    <row r="706">
      <c r="A706" s="54" t="n"/>
      <c r="B706" s="55" t="n"/>
      <c r="C706">
        <f>IF(B706="","",IF(N706="","posição não encontrada",IF(M706=0,INDEX(Equipamentos!$S$2:$S$61,N706),INDEX(TrocasEquip!$G$2:$G$1000,M706))))</f>
        <v/>
      </c>
      <c r="D706" s="56">
        <f>IF(OR(A706="",N706=""),"",P706+IF(E706="dias",MAX(0,A706-O706),IF(INDEX(Equipamentos!$D$2:$D$61,N706)=2,SUMIFS(Producao!$D:$D,Producao!$A:$A,"&gt;="&amp;O706,Producao!$A:$A,"&lt;"&amp;A706),IF(INDEX(Equipamentos!$D$2:$D$61,N706)=3,SUMIFS(Producao!$E:$E,Producao!$A:$A,"&gt;="&amp;O706,Producao!$A:$A,"&lt;"&amp;A706),SUMIFS(Producao!$B:$B,Producao!$A:$A,"&gt;="&amp;O706,Producao!$A:$A,"&lt;"&amp;A706)))))</f>
        <v/>
      </c>
      <c r="E706">
        <f>IF(N706="","",INDEX(Equipamentos!$C$2:$C$61,N706))</f>
        <v/>
      </c>
      <c r="F706" s="57">
        <f>IF(OR(D706="",N(Q706)&lt;=0),"",D706/Q706)</f>
        <v/>
      </c>
      <c r="G706" s="55" t="n"/>
      <c r="H706" s="58" t="n"/>
      <c r="I706" s="58" t="n"/>
      <c r="J706" s="55" t="n"/>
      <c r="K706" s="55" t="n"/>
      <c r="L706">
        <f>IF(OR(A706="",B706=""),"",_xlfn.MAXIFS(TrocasEquip!$A$2:$A$1000,TrocasEquip!$B$2:$B$1000,B706,TrocasEquip!$A$2:$A$1000,"&lt;"&amp;A706))</f>
        <v/>
      </c>
      <c r="M706">
        <f>IF(N(L706)=0,0,MATCH(1,INDEX((TrocasEquip!$B$2:$B$1000=B706)*(TrocasEquip!$A$2:$A$1000=L706),0),0))</f>
        <v/>
      </c>
      <c r="N706">
        <f>IF(B706="","",IFERROR(MATCH(B706,Equipamentos!$P$2:$P$61,0),""))</f>
        <v/>
      </c>
      <c r="O706">
        <f>IF(N706="","",IF(M706=0,INDEX(Equipamentos!$U$2:$U$61,N706),L706))</f>
        <v/>
      </c>
      <c r="P706">
        <f>IF(N706="","",IF(M706=0,N(INDEX(Equipamentos!$V$2:$V$61,N706)),N(INDEX(TrocasEquip!$I$2:$I$1000,M706))))</f>
        <v/>
      </c>
      <c r="Q706">
        <f>IF(N706="","",IF(M706=0,INDEX(Equipamentos!$T$2:$T$61,N706),IF(INDEX(TrocasEquip!$H$2:$H$1000,M706)="",INDEX(Equipamentos!$T$2:$T$61,N706),INDEX(TrocasEquip!$H$2:$H$1000,M706))))</f>
        <v/>
      </c>
    </row>
    <row r="707">
      <c r="A707" s="54" t="n"/>
      <c r="B707" s="55" t="n"/>
      <c r="C707">
        <f>IF(B707="","",IF(N707="","posição não encontrada",IF(M707=0,INDEX(Equipamentos!$S$2:$S$61,N707),INDEX(TrocasEquip!$G$2:$G$1000,M707))))</f>
        <v/>
      </c>
      <c r="D707" s="56">
        <f>IF(OR(A707="",N707=""),"",P707+IF(E707="dias",MAX(0,A707-O707),IF(INDEX(Equipamentos!$D$2:$D$61,N707)=2,SUMIFS(Producao!$D:$D,Producao!$A:$A,"&gt;="&amp;O707,Producao!$A:$A,"&lt;"&amp;A707),IF(INDEX(Equipamentos!$D$2:$D$61,N707)=3,SUMIFS(Producao!$E:$E,Producao!$A:$A,"&gt;="&amp;O707,Producao!$A:$A,"&lt;"&amp;A707),SUMIFS(Producao!$B:$B,Producao!$A:$A,"&gt;="&amp;O707,Producao!$A:$A,"&lt;"&amp;A707)))))</f>
        <v/>
      </c>
      <c r="E707">
        <f>IF(N707="","",INDEX(Equipamentos!$C$2:$C$61,N707))</f>
        <v/>
      </c>
      <c r="F707" s="57">
        <f>IF(OR(D707="",N(Q707)&lt;=0),"",D707/Q707)</f>
        <v/>
      </c>
      <c r="G707" s="55" t="n"/>
      <c r="H707" s="58" t="n"/>
      <c r="I707" s="58" t="n"/>
      <c r="J707" s="55" t="n"/>
      <c r="K707" s="55" t="n"/>
      <c r="L707">
        <f>IF(OR(A707="",B707=""),"",_xlfn.MAXIFS(TrocasEquip!$A$2:$A$1000,TrocasEquip!$B$2:$B$1000,B707,TrocasEquip!$A$2:$A$1000,"&lt;"&amp;A707))</f>
        <v/>
      </c>
      <c r="M707">
        <f>IF(N(L707)=0,0,MATCH(1,INDEX((TrocasEquip!$B$2:$B$1000=B707)*(TrocasEquip!$A$2:$A$1000=L707),0),0))</f>
        <v/>
      </c>
      <c r="N707">
        <f>IF(B707="","",IFERROR(MATCH(B707,Equipamentos!$P$2:$P$61,0),""))</f>
        <v/>
      </c>
      <c r="O707">
        <f>IF(N707="","",IF(M707=0,INDEX(Equipamentos!$U$2:$U$61,N707),L707))</f>
        <v/>
      </c>
      <c r="P707">
        <f>IF(N707="","",IF(M707=0,N(INDEX(Equipamentos!$V$2:$V$61,N707)),N(INDEX(TrocasEquip!$I$2:$I$1000,M707))))</f>
        <v/>
      </c>
      <c r="Q707">
        <f>IF(N707="","",IF(M707=0,INDEX(Equipamentos!$T$2:$T$61,N707),IF(INDEX(TrocasEquip!$H$2:$H$1000,M707)="",INDEX(Equipamentos!$T$2:$T$61,N707),INDEX(TrocasEquip!$H$2:$H$1000,M707))))</f>
        <v/>
      </c>
    </row>
    <row r="708">
      <c r="A708" s="54" t="n"/>
      <c r="B708" s="55" t="n"/>
      <c r="C708">
        <f>IF(B708="","",IF(N708="","posição não encontrada",IF(M708=0,INDEX(Equipamentos!$S$2:$S$61,N708),INDEX(TrocasEquip!$G$2:$G$1000,M708))))</f>
        <v/>
      </c>
      <c r="D708" s="56">
        <f>IF(OR(A708="",N708=""),"",P708+IF(E708="dias",MAX(0,A708-O708),IF(INDEX(Equipamentos!$D$2:$D$61,N708)=2,SUMIFS(Producao!$D:$D,Producao!$A:$A,"&gt;="&amp;O708,Producao!$A:$A,"&lt;"&amp;A708),IF(INDEX(Equipamentos!$D$2:$D$61,N708)=3,SUMIFS(Producao!$E:$E,Producao!$A:$A,"&gt;="&amp;O708,Producao!$A:$A,"&lt;"&amp;A708),SUMIFS(Producao!$B:$B,Producao!$A:$A,"&gt;="&amp;O708,Producao!$A:$A,"&lt;"&amp;A708)))))</f>
        <v/>
      </c>
      <c r="E708">
        <f>IF(N708="","",INDEX(Equipamentos!$C$2:$C$61,N708))</f>
        <v/>
      </c>
      <c r="F708" s="57">
        <f>IF(OR(D708="",N(Q708)&lt;=0),"",D708/Q708)</f>
        <v/>
      </c>
      <c r="G708" s="55" t="n"/>
      <c r="H708" s="58" t="n"/>
      <c r="I708" s="58" t="n"/>
      <c r="J708" s="55" t="n"/>
      <c r="K708" s="55" t="n"/>
      <c r="L708">
        <f>IF(OR(A708="",B708=""),"",_xlfn.MAXIFS(TrocasEquip!$A$2:$A$1000,TrocasEquip!$B$2:$B$1000,B708,TrocasEquip!$A$2:$A$1000,"&lt;"&amp;A708))</f>
        <v/>
      </c>
      <c r="M708">
        <f>IF(N(L708)=0,0,MATCH(1,INDEX((TrocasEquip!$B$2:$B$1000=B708)*(TrocasEquip!$A$2:$A$1000=L708),0),0))</f>
        <v/>
      </c>
      <c r="N708">
        <f>IF(B708="","",IFERROR(MATCH(B708,Equipamentos!$P$2:$P$61,0),""))</f>
        <v/>
      </c>
      <c r="O708">
        <f>IF(N708="","",IF(M708=0,INDEX(Equipamentos!$U$2:$U$61,N708),L708))</f>
        <v/>
      </c>
      <c r="P708">
        <f>IF(N708="","",IF(M708=0,N(INDEX(Equipamentos!$V$2:$V$61,N708)),N(INDEX(TrocasEquip!$I$2:$I$1000,M708))))</f>
        <v/>
      </c>
      <c r="Q708">
        <f>IF(N708="","",IF(M708=0,INDEX(Equipamentos!$T$2:$T$61,N708),IF(INDEX(TrocasEquip!$H$2:$H$1000,M708)="",INDEX(Equipamentos!$T$2:$T$61,N708),INDEX(TrocasEquip!$H$2:$H$1000,M708))))</f>
        <v/>
      </c>
    </row>
    <row r="709">
      <c r="A709" s="54" t="n"/>
      <c r="B709" s="55" t="n"/>
      <c r="C709">
        <f>IF(B709="","",IF(N709="","posição não encontrada",IF(M709=0,INDEX(Equipamentos!$S$2:$S$61,N709),INDEX(TrocasEquip!$G$2:$G$1000,M709))))</f>
        <v/>
      </c>
      <c r="D709" s="56">
        <f>IF(OR(A709="",N709=""),"",P709+IF(E709="dias",MAX(0,A709-O709),IF(INDEX(Equipamentos!$D$2:$D$61,N709)=2,SUMIFS(Producao!$D:$D,Producao!$A:$A,"&gt;="&amp;O709,Producao!$A:$A,"&lt;"&amp;A709),IF(INDEX(Equipamentos!$D$2:$D$61,N709)=3,SUMIFS(Producao!$E:$E,Producao!$A:$A,"&gt;="&amp;O709,Producao!$A:$A,"&lt;"&amp;A709),SUMIFS(Producao!$B:$B,Producao!$A:$A,"&gt;="&amp;O709,Producao!$A:$A,"&lt;"&amp;A709)))))</f>
        <v/>
      </c>
      <c r="E709">
        <f>IF(N709="","",INDEX(Equipamentos!$C$2:$C$61,N709))</f>
        <v/>
      </c>
      <c r="F709" s="57">
        <f>IF(OR(D709="",N(Q709)&lt;=0),"",D709/Q709)</f>
        <v/>
      </c>
      <c r="G709" s="55" t="n"/>
      <c r="H709" s="58" t="n"/>
      <c r="I709" s="58" t="n"/>
      <c r="J709" s="55" t="n"/>
      <c r="K709" s="55" t="n"/>
      <c r="L709">
        <f>IF(OR(A709="",B709=""),"",_xlfn.MAXIFS(TrocasEquip!$A$2:$A$1000,TrocasEquip!$B$2:$B$1000,B709,TrocasEquip!$A$2:$A$1000,"&lt;"&amp;A709))</f>
        <v/>
      </c>
      <c r="M709">
        <f>IF(N(L709)=0,0,MATCH(1,INDEX((TrocasEquip!$B$2:$B$1000=B709)*(TrocasEquip!$A$2:$A$1000=L709),0),0))</f>
        <v/>
      </c>
      <c r="N709">
        <f>IF(B709="","",IFERROR(MATCH(B709,Equipamentos!$P$2:$P$61,0),""))</f>
        <v/>
      </c>
      <c r="O709">
        <f>IF(N709="","",IF(M709=0,INDEX(Equipamentos!$U$2:$U$61,N709),L709))</f>
        <v/>
      </c>
      <c r="P709">
        <f>IF(N709="","",IF(M709=0,N(INDEX(Equipamentos!$V$2:$V$61,N709)),N(INDEX(TrocasEquip!$I$2:$I$1000,M709))))</f>
        <v/>
      </c>
      <c r="Q709">
        <f>IF(N709="","",IF(M709=0,INDEX(Equipamentos!$T$2:$T$61,N709),IF(INDEX(TrocasEquip!$H$2:$H$1000,M709)="",INDEX(Equipamentos!$T$2:$T$61,N709),INDEX(TrocasEquip!$H$2:$H$1000,M709))))</f>
        <v/>
      </c>
    </row>
    <row r="710">
      <c r="A710" s="54" t="n"/>
      <c r="B710" s="55" t="n"/>
      <c r="C710">
        <f>IF(B710="","",IF(N710="","posição não encontrada",IF(M710=0,INDEX(Equipamentos!$S$2:$S$61,N710),INDEX(TrocasEquip!$G$2:$G$1000,M710))))</f>
        <v/>
      </c>
      <c r="D710" s="56">
        <f>IF(OR(A710="",N710=""),"",P710+IF(E710="dias",MAX(0,A710-O710),IF(INDEX(Equipamentos!$D$2:$D$61,N710)=2,SUMIFS(Producao!$D:$D,Producao!$A:$A,"&gt;="&amp;O710,Producao!$A:$A,"&lt;"&amp;A710),IF(INDEX(Equipamentos!$D$2:$D$61,N710)=3,SUMIFS(Producao!$E:$E,Producao!$A:$A,"&gt;="&amp;O710,Producao!$A:$A,"&lt;"&amp;A710),SUMIFS(Producao!$B:$B,Producao!$A:$A,"&gt;="&amp;O710,Producao!$A:$A,"&lt;"&amp;A710)))))</f>
        <v/>
      </c>
      <c r="E710">
        <f>IF(N710="","",INDEX(Equipamentos!$C$2:$C$61,N710))</f>
        <v/>
      </c>
      <c r="F710" s="57">
        <f>IF(OR(D710="",N(Q710)&lt;=0),"",D710/Q710)</f>
        <v/>
      </c>
      <c r="G710" s="55" t="n"/>
      <c r="H710" s="58" t="n"/>
      <c r="I710" s="58" t="n"/>
      <c r="J710" s="55" t="n"/>
      <c r="K710" s="55" t="n"/>
      <c r="L710">
        <f>IF(OR(A710="",B710=""),"",_xlfn.MAXIFS(TrocasEquip!$A$2:$A$1000,TrocasEquip!$B$2:$B$1000,B710,TrocasEquip!$A$2:$A$1000,"&lt;"&amp;A710))</f>
        <v/>
      </c>
      <c r="M710">
        <f>IF(N(L710)=0,0,MATCH(1,INDEX((TrocasEquip!$B$2:$B$1000=B710)*(TrocasEquip!$A$2:$A$1000=L710),0),0))</f>
        <v/>
      </c>
      <c r="N710">
        <f>IF(B710="","",IFERROR(MATCH(B710,Equipamentos!$P$2:$P$61,0),""))</f>
        <v/>
      </c>
      <c r="O710">
        <f>IF(N710="","",IF(M710=0,INDEX(Equipamentos!$U$2:$U$61,N710),L710))</f>
        <v/>
      </c>
      <c r="P710">
        <f>IF(N710="","",IF(M710=0,N(INDEX(Equipamentos!$V$2:$V$61,N710)),N(INDEX(TrocasEquip!$I$2:$I$1000,M710))))</f>
        <v/>
      </c>
      <c r="Q710">
        <f>IF(N710="","",IF(M710=0,INDEX(Equipamentos!$T$2:$T$61,N710),IF(INDEX(TrocasEquip!$H$2:$H$1000,M710)="",INDEX(Equipamentos!$T$2:$T$61,N710),INDEX(TrocasEquip!$H$2:$H$1000,M710))))</f>
        <v/>
      </c>
    </row>
    <row r="711">
      <c r="A711" s="54" t="n"/>
      <c r="B711" s="55" t="n"/>
      <c r="C711">
        <f>IF(B711="","",IF(N711="","posição não encontrada",IF(M711=0,INDEX(Equipamentos!$S$2:$S$61,N711),INDEX(TrocasEquip!$G$2:$G$1000,M711))))</f>
        <v/>
      </c>
      <c r="D711" s="56">
        <f>IF(OR(A711="",N711=""),"",P711+IF(E711="dias",MAX(0,A711-O711),IF(INDEX(Equipamentos!$D$2:$D$61,N711)=2,SUMIFS(Producao!$D:$D,Producao!$A:$A,"&gt;="&amp;O711,Producao!$A:$A,"&lt;"&amp;A711),IF(INDEX(Equipamentos!$D$2:$D$61,N711)=3,SUMIFS(Producao!$E:$E,Producao!$A:$A,"&gt;="&amp;O711,Producao!$A:$A,"&lt;"&amp;A711),SUMIFS(Producao!$B:$B,Producao!$A:$A,"&gt;="&amp;O711,Producao!$A:$A,"&lt;"&amp;A711)))))</f>
        <v/>
      </c>
      <c r="E711">
        <f>IF(N711="","",INDEX(Equipamentos!$C$2:$C$61,N711))</f>
        <v/>
      </c>
      <c r="F711" s="57">
        <f>IF(OR(D711="",N(Q711)&lt;=0),"",D711/Q711)</f>
        <v/>
      </c>
      <c r="G711" s="55" t="n"/>
      <c r="H711" s="58" t="n"/>
      <c r="I711" s="58" t="n"/>
      <c r="J711" s="55" t="n"/>
      <c r="K711" s="55" t="n"/>
      <c r="L711">
        <f>IF(OR(A711="",B711=""),"",_xlfn.MAXIFS(TrocasEquip!$A$2:$A$1000,TrocasEquip!$B$2:$B$1000,B711,TrocasEquip!$A$2:$A$1000,"&lt;"&amp;A711))</f>
        <v/>
      </c>
      <c r="M711">
        <f>IF(N(L711)=0,0,MATCH(1,INDEX((TrocasEquip!$B$2:$B$1000=B711)*(TrocasEquip!$A$2:$A$1000=L711),0),0))</f>
        <v/>
      </c>
      <c r="N711">
        <f>IF(B711="","",IFERROR(MATCH(B711,Equipamentos!$P$2:$P$61,0),""))</f>
        <v/>
      </c>
      <c r="O711">
        <f>IF(N711="","",IF(M711=0,INDEX(Equipamentos!$U$2:$U$61,N711),L711))</f>
        <v/>
      </c>
      <c r="P711">
        <f>IF(N711="","",IF(M711=0,N(INDEX(Equipamentos!$V$2:$V$61,N711)),N(INDEX(TrocasEquip!$I$2:$I$1000,M711))))</f>
        <v/>
      </c>
      <c r="Q711">
        <f>IF(N711="","",IF(M711=0,INDEX(Equipamentos!$T$2:$T$61,N711),IF(INDEX(TrocasEquip!$H$2:$H$1000,M711)="",INDEX(Equipamentos!$T$2:$T$61,N711),INDEX(TrocasEquip!$H$2:$H$1000,M711))))</f>
        <v/>
      </c>
    </row>
    <row r="712">
      <c r="A712" s="54" t="n"/>
      <c r="B712" s="55" t="n"/>
      <c r="C712">
        <f>IF(B712="","",IF(N712="","posição não encontrada",IF(M712=0,INDEX(Equipamentos!$S$2:$S$61,N712),INDEX(TrocasEquip!$G$2:$G$1000,M712))))</f>
        <v/>
      </c>
      <c r="D712" s="56">
        <f>IF(OR(A712="",N712=""),"",P712+IF(E712="dias",MAX(0,A712-O712),IF(INDEX(Equipamentos!$D$2:$D$61,N712)=2,SUMIFS(Producao!$D:$D,Producao!$A:$A,"&gt;="&amp;O712,Producao!$A:$A,"&lt;"&amp;A712),IF(INDEX(Equipamentos!$D$2:$D$61,N712)=3,SUMIFS(Producao!$E:$E,Producao!$A:$A,"&gt;="&amp;O712,Producao!$A:$A,"&lt;"&amp;A712),SUMIFS(Producao!$B:$B,Producao!$A:$A,"&gt;="&amp;O712,Producao!$A:$A,"&lt;"&amp;A712)))))</f>
        <v/>
      </c>
      <c r="E712">
        <f>IF(N712="","",INDEX(Equipamentos!$C$2:$C$61,N712))</f>
        <v/>
      </c>
      <c r="F712" s="57">
        <f>IF(OR(D712="",N(Q712)&lt;=0),"",D712/Q712)</f>
        <v/>
      </c>
      <c r="G712" s="55" t="n"/>
      <c r="H712" s="58" t="n"/>
      <c r="I712" s="58" t="n"/>
      <c r="J712" s="55" t="n"/>
      <c r="K712" s="55" t="n"/>
      <c r="L712">
        <f>IF(OR(A712="",B712=""),"",_xlfn.MAXIFS(TrocasEquip!$A$2:$A$1000,TrocasEquip!$B$2:$B$1000,B712,TrocasEquip!$A$2:$A$1000,"&lt;"&amp;A712))</f>
        <v/>
      </c>
      <c r="M712">
        <f>IF(N(L712)=0,0,MATCH(1,INDEX((TrocasEquip!$B$2:$B$1000=B712)*(TrocasEquip!$A$2:$A$1000=L712),0),0))</f>
        <v/>
      </c>
      <c r="N712">
        <f>IF(B712="","",IFERROR(MATCH(B712,Equipamentos!$P$2:$P$61,0),""))</f>
        <v/>
      </c>
      <c r="O712">
        <f>IF(N712="","",IF(M712=0,INDEX(Equipamentos!$U$2:$U$61,N712),L712))</f>
        <v/>
      </c>
      <c r="P712">
        <f>IF(N712="","",IF(M712=0,N(INDEX(Equipamentos!$V$2:$V$61,N712)),N(INDEX(TrocasEquip!$I$2:$I$1000,M712))))</f>
        <v/>
      </c>
      <c r="Q712">
        <f>IF(N712="","",IF(M712=0,INDEX(Equipamentos!$T$2:$T$61,N712),IF(INDEX(TrocasEquip!$H$2:$H$1000,M712)="",INDEX(Equipamentos!$T$2:$T$61,N712),INDEX(TrocasEquip!$H$2:$H$1000,M712))))</f>
        <v/>
      </c>
    </row>
    <row r="713">
      <c r="A713" s="54" t="n"/>
      <c r="B713" s="55" t="n"/>
      <c r="C713">
        <f>IF(B713="","",IF(N713="","posição não encontrada",IF(M713=0,INDEX(Equipamentos!$S$2:$S$61,N713),INDEX(TrocasEquip!$G$2:$G$1000,M713))))</f>
        <v/>
      </c>
      <c r="D713" s="56">
        <f>IF(OR(A713="",N713=""),"",P713+IF(E713="dias",MAX(0,A713-O713),IF(INDEX(Equipamentos!$D$2:$D$61,N713)=2,SUMIFS(Producao!$D:$D,Producao!$A:$A,"&gt;="&amp;O713,Producao!$A:$A,"&lt;"&amp;A713),IF(INDEX(Equipamentos!$D$2:$D$61,N713)=3,SUMIFS(Producao!$E:$E,Producao!$A:$A,"&gt;="&amp;O713,Producao!$A:$A,"&lt;"&amp;A713),SUMIFS(Producao!$B:$B,Producao!$A:$A,"&gt;="&amp;O713,Producao!$A:$A,"&lt;"&amp;A713)))))</f>
        <v/>
      </c>
      <c r="E713">
        <f>IF(N713="","",INDEX(Equipamentos!$C$2:$C$61,N713))</f>
        <v/>
      </c>
      <c r="F713" s="57">
        <f>IF(OR(D713="",N(Q713)&lt;=0),"",D713/Q713)</f>
        <v/>
      </c>
      <c r="G713" s="55" t="n"/>
      <c r="H713" s="58" t="n"/>
      <c r="I713" s="58" t="n"/>
      <c r="J713" s="55" t="n"/>
      <c r="K713" s="55" t="n"/>
      <c r="L713">
        <f>IF(OR(A713="",B713=""),"",_xlfn.MAXIFS(TrocasEquip!$A$2:$A$1000,TrocasEquip!$B$2:$B$1000,B713,TrocasEquip!$A$2:$A$1000,"&lt;"&amp;A713))</f>
        <v/>
      </c>
      <c r="M713">
        <f>IF(N(L713)=0,0,MATCH(1,INDEX((TrocasEquip!$B$2:$B$1000=B713)*(TrocasEquip!$A$2:$A$1000=L713),0),0))</f>
        <v/>
      </c>
      <c r="N713">
        <f>IF(B713="","",IFERROR(MATCH(B713,Equipamentos!$P$2:$P$61,0),""))</f>
        <v/>
      </c>
      <c r="O713">
        <f>IF(N713="","",IF(M713=0,INDEX(Equipamentos!$U$2:$U$61,N713),L713))</f>
        <v/>
      </c>
      <c r="P713">
        <f>IF(N713="","",IF(M713=0,N(INDEX(Equipamentos!$V$2:$V$61,N713)),N(INDEX(TrocasEquip!$I$2:$I$1000,M713))))</f>
        <v/>
      </c>
      <c r="Q713">
        <f>IF(N713="","",IF(M713=0,INDEX(Equipamentos!$T$2:$T$61,N713),IF(INDEX(TrocasEquip!$H$2:$H$1000,M713)="",INDEX(Equipamentos!$T$2:$T$61,N713),INDEX(TrocasEquip!$H$2:$H$1000,M713))))</f>
        <v/>
      </c>
    </row>
    <row r="714">
      <c r="A714" s="54" t="n"/>
      <c r="B714" s="55" t="n"/>
      <c r="C714">
        <f>IF(B714="","",IF(N714="","posição não encontrada",IF(M714=0,INDEX(Equipamentos!$S$2:$S$61,N714),INDEX(TrocasEquip!$G$2:$G$1000,M714))))</f>
        <v/>
      </c>
      <c r="D714" s="56">
        <f>IF(OR(A714="",N714=""),"",P714+IF(E714="dias",MAX(0,A714-O714),IF(INDEX(Equipamentos!$D$2:$D$61,N714)=2,SUMIFS(Producao!$D:$D,Producao!$A:$A,"&gt;="&amp;O714,Producao!$A:$A,"&lt;"&amp;A714),IF(INDEX(Equipamentos!$D$2:$D$61,N714)=3,SUMIFS(Producao!$E:$E,Producao!$A:$A,"&gt;="&amp;O714,Producao!$A:$A,"&lt;"&amp;A714),SUMIFS(Producao!$B:$B,Producao!$A:$A,"&gt;="&amp;O714,Producao!$A:$A,"&lt;"&amp;A714)))))</f>
        <v/>
      </c>
      <c r="E714">
        <f>IF(N714="","",INDEX(Equipamentos!$C$2:$C$61,N714))</f>
        <v/>
      </c>
      <c r="F714" s="57">
        <f>IF(OR(D714="",N(Q714)&lt;=0),"",D714/Q714)</f>
        <v/>
      </c>
      <c r="G714" s="55" t="n"/>
      <c r="H714" s="58" t="n"/>
      <c r="I714" s="58" t="n"/>
      <c r="J714" s="55" t="n"/>
      <c r="K714" s="55" t="n"/>
      <c r="L714">
        <f>IF(OR(A714="",B714=""),"",_xlfn.MAXIFS(TrocasEquip!$A$2:$A$1000,TrocasEquip!$B$2:$B$1000,B714,TrocasEquip!$A$2:$A$1000,"&lt;"&amp;A714))</f>
        <v/>
      </c>
      <c r="M714">
        <f>IF(N(L714)=0,0,MATCH(1,INDEX((TrocasEquip!$B$2:$B$1000=B714)*(TrocasEquip!$A$2:$A$1000=L714),0),0))</f>
        <v/>
      </c>
      <c r="N714">
        <f>IF(B714="","",IFERROR(MATCH(B714,Equipamentos!$P$2:$P$61,0),""))</f>
        <v/>
      </c>
      <c r="O714">
        <f>IF(N714="","",IF(M714=0,INDEX(Equipamentos!$U$2:$U$61,N714),L714))</f>
        <v/>
      </c>
      <c r="P714">
        <f>IF(N714="","",IF(M714=0,N(INDEX(Equipamentos!$V$2:$V$61,N714)),N(INDEX(TrocasEquip!$I$2:$I$1000,M714))))</f>
        <v/>
      </c>
      <c r="Q714">
        <f>IF(N714="","",IF(M714=0,INDEX(Equipamentos!$T$2:$T$61,N714),IF(INDEX(TrocasEquip!$H$2:$H$1000,M714)="",INDEX(Equipamentos!$T$2:$T$61,N714),INDEX(TrocasEquip!$H$2:$H$1000,M714))))</f>
        <v/>
      </c>
    </row>
    <row r="715">
      <c r="A715" s="54" t="n"/>
      <c r="B715" s="55" t="n"/>
      <c r="C715">
        <f>IF(B715="","",IF(N715="","posição não encontrada",IF(M715=0,INDEX(Equipamentos!$S$2:$S$61,N715),INDEX(TrocasEquip!$G$2:$G$1000,M715))))</f>
        <v/>
      </c>
      <c r="D715" s="56">
        <f>IF(OR(A715="",N715=""),"",P715+IF(E715="dias",MAX(0,A715-O715),IF(INDEX(Equipamentos!$D$2:$D$61,N715)=2,SUMIFS(Producao!$D:$D,Producao!$A:$A,"&gt;="&amp;O715,Producao!$A:$A,"&lt;"&amp;A715),IF(INDEX(Equipamentos!$D$2:$D$61,N715)=3,SUMIFS(Producao!$E:$E,Producao!$A:$A,"&gt;="&amp;O715,Producao!$A:$A,"&lt;"&amp;A715),SUMIFS(Producao!$B:$B,Producao!$A:$A,"&gt;="&amp;O715,Producao!$A:$A,"&lt;"&amp;A715)))))</f>
        <v/>
      </c>
      <c r="E715">
        <f>IF(N715="","",INDEX(Equipamentos!$C$2:$C$61,N715))</f>
        <v/>
      </c>
      <c r="F715" s="57">
        <f>IF(OR(D715="",N(Q715)&lt;=0),"",D715/Q715)</f>
        <v/>
      </c>
      <c r="G715" s="55" t="n"/>
      <c r="H715" s="58" t="n"/>
      <c r="I715" s="58" t="n"/>
      <c r="J715" s="55" t="n"/>
      <c r="K715" s="55" t="n"/>
      <c r="L715">
        <f>IF(OR(A715="",B715=""),"",_xlfn.MAXIFS(TrocasEquip!$A$2:$A$1000,TrocasEquip!$B$2:$B$1000,B715,TrocasEquip!$A$2:$A$1000,"&lt;"&amp;A715))</f>
        <v/>
      </c>
      <c r="M715">
        <f>IF(N(L715)=0,0,MATCH(1,INDEX((TrocasEquip!$B$2:$B$1000=B715)*(TrocasEquip!$A$2:$A$1000=L715),0),0))</f>
        <v/>
      </c>
      <c r="N715">
        <f>IF(B715="","",IFERROR(MATCH(B715,Equipamentos!$P$2:$P$61,0),""))</f>
        <v/>
      </c>
      <c r="O715">
        <f>IF(N715="","",IF(M715=0,INDEX(Equipamentos!$U$2:$U$61,N715),L715))</f>
        <v/>
      </c>
      <c r="P715">
        <f>IF(N715="","",IF(M715=0,N(INDEX(Equipamentos!$V$2:$V$61,N715)),N(INDEX(TrocasEquip!$I$2:$I$1000,M715))))</f>
        <v/>
      </c>
      <c r="Q715">
        <f>IF(N715="","",IF(M715=0,INDEX(Equipamentos!$T$2:$T$61,N715),IF(INDEX(TrocasEquip!$H$2:$H$1000,M715)="",INDEX(Equipamentos!$T$2:$T$61,N715),INDEX(TrocasEquip!$H$2:$H$1000,M715))))</f>
        <v/>
      </c>
    </row>
    <row r="716">
      <c r="A716" s="54" t="n"/>
      <c r="B716" s="55" t="n"/>
      <c r="C716">
        <f>IF(B716="","",IF(N716="","posição não encontrada",IF(M716=0,INDEX(Equipamentos!$S$2:$S$61,N716),INDEX(TrocasEquip!$G$2:$G$1000,M716))))</f>
        <v/>
      </c>
      <c r="D716" s="56">
        <f>IF(OR(A716="",N716=""),"",P716+IF(E716="dias",MAX(0,A716-O716),IF(INDEX(Equipamentos!$D$2:$D$61,N716)=2,SUMIFS(Producao!$D:$D,Producao!$A:$A,"&gt;="&amp;O716,Producao!$A:$A,"&lt;"&amp;A716),IF(INDEX(Equipamentos!$D$2:$D$61,N716)=3,SUMIFS(Producao!$E:$E,Producao!$A:$A,"&gt;="&amp;O716,Producao!$A:$A,"&lt;"&amp;A716),SUMIFS(Producao!$B:$B,Producao!$A:$A,"&gt;="&amp;O716,Producao!$A:$A,"&lt;"&amp;A716)))))</f>
        <v/>
      </c>
      <c r="E716">
        <f>IF(N716="","",INDEX(Equipamentos!$C$2:$C$61,N716))</f>
        <v/>
      </c>
      <c r="F716" s="57">
        <f>IF(OR(D716="",N(Q716)&lt;=0),"",D716/Q716)</f>
        <v/>
      </c>
      <c r="G716" s="55" t="n"/>
      <c r="H716" s="58" t="n"/>
      <c r="I716" s="58" t="n"/>
      <c r="J716" s="55" t="n"/>
      <c r="K716" s="55" t="n"/>
      <c r="L716">
        <f>IF(OR(A716="",B716=""),"",_xlfn.MAXIFS(TrocasEquip!$A$2:$A$1000,TrocasEquip!$B$2:$B$1000,B716,TrocasEquip!$A$2:$A$1000,"&lt;"&amp;A716))</f>
        <v/>
      </c>
      <c r="M716">
        <f>IF(N(L716)=0,0,MATCH(1,INDEX((TrocasEquip!$B$2:$B$1000=B716)*(TrocasEquip!$A$2:$A$1000=L716),0),0))</f>
        <v/>
      </c>
      <c r="N716">
        <f>IF(B716="","",IFERROR(MATCH(B716,Equipamentos!$P$2:$P$61,0),""))</f>
        <v/>
      </c>
      <c r="O716">
        <f>IF(N716="","",IF(M716=0,INDEX(Equipamentos!$U$2:$U$61,N716),L716))</f>
        <v/>
      </c>
      <c r="P716">
        <f>IF(N716="","",IF(M716=0,N(INDEX(Equipamentos!$V$2:$V$61,N716)),N(INDEX(TrocasEquip!$I$2:$I$1000,M716))))</f>
        <v/>
      </c>
      <c r="Q716">
        <f>IF(N716="","",IF(M716=0,INDEX(Equipamentos!$T$2:$T$61,N716),IF(INDEX(TrocasEquip!$H$2:$H$1000,M716)="",INDEX(Equipamentos!$T$2:$T$61,N716),INDEX(TrocasEquip!$H$2:$H$1000,M716))))</f>
        <v/>
      </c>
    </row>
    <row r="717">
      <c r="A717" s="54" t="n"/>
      <c r="B717" s="55" t="n"/>
      <c r="C717">
        <f>IF(B717="","",IF(N717="","posição não encontrada",IF(M717=0,INDEX(Equipamentos!$S$2:$S$61,N717),INDEX(TrocasEquip!$G$2:$G$1000,M717))))</f>
        <v/>
      </c>
      <c r="D717" s="56">
        <f>IF(OR(A717="",N717=""),"",P717+IF(E717="dias",MAX(0,A717-O717),IF(INDEX(Equipamentos!$D$2:$D$61,N717)=2,SUMIFS(Producao!$D:$D,Producao!$A:$A,"&gt;="&amp;O717,Producao!$A:$A,"&lt;"&amp;A717),IF(INDEX(Equipamentos!$D$2:$D$61,N717)=3,SUMIFS(Producao!$E:$E,Producao!$A:$A,"&gt;="&amp;O717,Producao!$A:$A,"&lt;"&amp;A717),SUMIFS(Producao!$B:$B,Producao!$A:$A,"&gt;="&amp;O717,Producao!$A:$A,"&lt;"&amp;A717)))))</f>
        <v/>
      </c>
      <c r="E717">
        <f>IF(N717="","",INDEX(Equipamentos!$C$2:$C$61,N717))</f>
        <v/>
      </c>
      <c r="F717" s="57">
        <f>IF(OR(D717="",N(Q717)&lt;=0),"",D717/Q717)</f>
        <v/>
      </c>
      <c r="G717" s="55" t="n"/>
      <c r="H717" s="58" t="n"/>
      <c r="I717" s="58" t="n"/>
      <c r="J717" s="55" t="n"/>
      <c r="K717" s="55" t="n"/>
      <c r="L717">
        <f>IF(OR(A717="",B717=""),"",_xlfn.MAXIFS(TrocasEquip!$A$2:$A$1000,TrocasEquip!$B$2:$B$1000,B717,TrocasEquip!$A$2:$A$1000,"&lt;"&amp;A717))</f>
        <v/>
      </c>
      <c r="M717">
        <f>IF(N(L717)=0,0,MATCH(1,INDEX((TrocasEquip!$B$2:$B$1000=B717)*(TrocasEquip!$A$2:$A$1000=L717),0),0))</f>
        <v/>
      </c>
      <c r="N717">
        <f>IF(B717="","",IFERROR(MATCH(B717,Equipamentos!$P$2:$P$61,0),""))</f>
        <v/>
      </c>
      <c r="O717">
        <f>IF(N717="","",IF(M717=0,INDEX(Equipamentos!$U$2:$U$61,N717),L717))</f>
        <v/>
      </c>
      <c r="P717">
        <f>IF(N717="","",IF(M717=0,N(INDEX(Equipamentos!$V$2:$V$61,N717)),N(INDEX(TrocasEquip!$I$2:$I$1000,M717))))</f>
        <v/>
      </c>
      <c r="Q717">
        <f>IF(N717="","",IF(M717=0,INDEX(Equipamentos!$T$2:$T$61,N717),IF(INDEX(TrocasEquip!$H$2:$H$1000,M717)="",INDEX(Equipamentos!$T$2:$T$61,N717),INDEX(TrocasEquip!$H$2:$H$1000,M717))))</f>
        <v/>
      </c>
    </row>
    <row r="718">
      <c r="A718" s="54" t="n"/>
      <c r="B718" s="55" t="n"/>
      <c r="C718">
        <f>IF(B718="","",IF(N718="","posição não encontrada",IF(M718=0,INDEX(Equipamentos!$S$2:$S$61,N718),INDEX(TrocasEquip!$G$2:$G$1000,M718))))</f>
        <v/>
      </c>
      <c r="D718" s="56">
        <f>IF(OR(A718="",N718=""),"",P718+IF(E718="dias",MAX(0,A718-O718),IF(INDEX(Equipamentos!$D$2:$D$61,N718)=2,SUMIFS(Producao!$D:$D,Producao!$A:$A,"&gt;="&amp;O718,Producao!$A:$A,"&lt;"&amp;A718),IF(INDEX(Equipamentos!$D$2:$D$61,N718)=3,SUMIFS(Producao!$E:$E,Producao!$A:$A,"&gt;="&amp;O718,Producao!$A:$A,"&lt;"&amp;A718),SUMIFS(Producao!$B:$B,Producao!$A:$A,"&gt;="&amp;O718,Producao!$A:$A,"&lt;"&amp;A718)))))</f>
        <v/>
      </c>
      <c r="E718">
        <f>IF(N718="","",INDEX(Equipamentos!$C$2:$C$61,N718))</f>
        <v/>
      </c>
      <c r="F718" s="57">
        <f>IF(OR(D718="",N(Q718)&lt;=0),"",D718/Q718)</f>
        <v/>
      </c>
      <c r="G718" s="55" t="n"/>
      <c r="H718" s="58" t="n"/>
      <c r="I718" s="58" t="n"/>
      <c r="J718" s="55" t="n"/>
      <c r="K718" s="55" t="n"/>
      <c r="L718">
        <f>IF(OR(A718="",B718=""),"",_xlfn.MAXIFS(TrocasEquip!$A$2:$A$1000,TrocasEquip!$B$2:$B$1000,B718,TrocasEquip!$A$2:$A$1000,"&lt;"&amp;A718))</f>
        <v/>
      </c>
      <c r="M718">
        <f>IF(N(L718)=0,0,MATCH(1,INDEX((TrocasEquip!$B$2:$B$1000=B718)*(TrocasEquip!$A$2:$A$1000=L718),0),0))</f>
        <v/>
      </c>
      <c r="N718">
        <f>IF(B718="","",IFERROR(MATCH(B718,Equipamentos!$P$2:$P$61,0),""))</f>
        <v/>
      </c>
      <c r="O718">
        <f>IF(N718="","",IF(M718=0,INDEX(Equipamentos!$U$2:$U$61,N718),L718))</f>
        <v/>
      </c>
      <c r="P718">
        <f>IF(N718="","",IF(M718=0,N(INDEX(Equipamentos!$V$2:$V$61,N718)),N(INDEX(TrocasEquip!$I$2:$I$1000,M718))))</f>
        <v/>
      </c>
      <c r="Q718">
        <f>IF(N718="","",IF(M718=0,INDEX(Equipamentos!$T$2:$T$61,N718),IF(INDEX(TrocasEquip!$H$2:$H$1000,M718)="",INDEX(Equipamentos!$T$2:$T$61,N718),INDEX(TrocasEquip!$H$2:$H$1000,M718))))</f>
        <v/>
      </c>
    </row>
    <row r="719">
      <c r="A719" s="54" t="n"/>
      <c r="B719" s="55" t="n"/>
      <c r="C719">
        <f>IF(B719="","",IF(N719="","posição não encontrada",IF(M719=0,INDEX(Equipamentos!$S$2:$S$61,N719),INDEX(TrocasEquip!$G$2:$G$1000,M719))))</f>
        <v/>
      </c>
      <c r="D719" s="56">
        <f>IF(OR(A719="",N719=""),"",P719+IF(E719="dias",MAX(0,A719-O719),IF(INDEX(Equipamentos!$D$2:$D$61,N719)=2,SUMIFS(Producao!$D:$D,Producao!$A:$A,"&gt;="&amp;O719,Producao!$A:$A,"&lt;"&amp;A719),IF(INDEX(Equipamentos!$D$2:$D$61,N719)=3,SUMIFS(Producao!$E:$E,Producao!$A:$A,"&gt;="&amp;O719,Producao!$A:$A,"&lt;"&amp;A719),SUMIFS(Producao!$B:$B,Producao!$A:$A,"&gt;="&amp;O719,Producao!$A:$A,"&lt;"&amp;A719)))))</f>
        <v/>
      </c>
      <c r="E719">
        <f>IF(N719="","",INDEX(Equipamentos!$C$2:$C$61,N719))</f>
        <v/>
      </c>
      <c r="F719" s="57">
        <f>IF(OR(D719="",N(Q719)&lt;=0),"",D719/Q719)</f>
        <v/>
      </c>
      <c r="G719" s="55" t="n"/>
      <c r="H719" s="58" t="n"/>
      <c r="I719" s="58" t="n"/>
      <c r="J719" s="55" t="n"/>
      <c r="K719" s="55" t="n"/>
      <c r="L719">
        <f>IF(OR(A719="",B719=""),"",_xlfn.MAXIFS(TrocasEquip!$A$2:$A$1000,TrocasEquip!$B$2:$B$1000,B719,TrocasEquip!$A$2:$A$1000,"&lt;"&amp;A719))</f>
        <v/>
      </c>
      <c r="M719">
        <f>IF(N(L719)=0,0,MATCH(1,INDEX((TrocasEquip!$B$2:$B$1000=B719)*(TrocasEquip!$A$2:$A$1000=L719),0),0))</f>
        <v/>
      </c>
      <c r="N719">
        <f>IF(B719="","",IFERROR(MATCH(B719,Equipamentos!$P$2:$P$61,0),""))</f>
        <v/>
      </c>
      <c r="O719">
        <f>IF(N719="","",IF(M719=0,INDEX(Equipamentos!$U$2:$U$61,N719),L719))</f>
        <v/>
      </c>
      <c r="P719">
        <f>IF(N719="","",IF(M719=0,N(INDEX(Equipamentos!$V$2:$V$61,N719)),N(INDEX(TrocasEquip!$I$2:$I$1000,M719))))</f>
        <v/>
      </c>
      <c r="Q719">
        <f>IF(N719="","",IF(M719=0,INDEX(Equipamentos!$T$2:$T$61,N719),IF(INDEX(TrocasEquip!$H$2:$H$1000,M719)="",INDEX(Equipamentos!$T$2:$T$61,N719),INDEX(TrocasEquip!$H$2:$H$1000,M719))))</f>
        <v/>
      </c>
    </row>
    <row r="720">
      <c r="A720" s="54" t="n"/>
      <c r="B720" s="55" t="n"/>
      <c r="C720">
        <f>IF(B720="","",IF(N720="","posição não encontrada",IF(M720=0,INDEX(Equipamentos!$S$2:$S$61,N720),INDEX(TrocasEquip!$G$2:$G$1000,M720))))</f>
        <v/>
      </c>
      <c r="D720" s="56">
        <f>IF(OR(A720="",N720=""),"",P720+IF(E720="dias",MAX(0,A720-O720),IF(INDEX(Equipamentos!$D$2:$D$61,N720)=2,SUMIFS(Producao!$D:$D,Producao!$A:$A,"&gt;="&amp;O720,Producao!$A:$A,"&lt;"&amp;A720),IF(INDEX(Equipamentos!$D$2:$D$61,N720)=3,SUMIFS(Producao!$E:$E,Producao!$A:$A,"&gt;="&amp;O720,Producao!$A:$A,"&lt;"&amp;A720),SUMIFS(Producao!$B:$B,Producao!$A:$A,"&gt;="&amp;O720,Producao!$A:$A,"&lt;"&amp;A720)))))</f>
        <v/>
      </c>
      <c r="E720">
        <f>IF(N720="","",INDEX(Equipamentos!$C$2:$C$61,N720))</f>
        <v/>
      </c>
      <c r="F720" s="57">
        <f>IF(OR(D720="",N(Q720)&lt;=0),"",D720/Q720)</f>
        <v/>
      </c>
      <c r="G720" s="55" t="n"/>
      <c r="H720" s="58" t="n"/>
      <c r="I720" s="58" t="n"/>
      <c r="J720" s="55" t="n"/>
      <c r="K720" s="55" t="n"/>
      <c r="L720">
        <f>IF(OR(A720="",B720=""),"",_xlfn.MAXIFS(TrocasEquip!$A$2:$A$1000,TrocasEquip!$B$2:$B$1000,B720,TrocasEquip!$A$2:$A$1000,"&lt;"&amp;A720))</f>
        <v/>
      </c>
      <c r="M720">
        <f>IF(N(L720)=0,0,MATCH(1,INDEX((TrocasEquip!$B$2:$B$1000=B720)*(TrocasEquip!$A$2:$A$1000=L720),0),0))</f>
        <v/>
      </c>
      <c r="N720">
        <f>IF(B720="","",IFERROR(MATCH(B720,Equipamentos!$P$2:$P$61,0),""))</f>
        <v/>
      </c>
      <c r="O720">
        <f>IF(N720="","",IF(M720=0,INDEX(Equipamentos!$U$2:$U$61,N720),L720))</f>
        <v/>
      </c>
      <c r="P720">
        <f>IF(N720="","",IF(M720=0,N(INDEX(Equipamentos!$V$2:$V$61,N720)),N(INDEX(TrocasEquip!$I$2:$I$1000,M720))))</f>
        <v/>
      </c>
      <c r="Q720">
        <f>IF(N720="","",IF(M720=0,INDEX(Equipamentos!$T$2:$T$61,N720),IF(INDEX(TrocasEquip!$H$2:$H$1000,M720)="",INDEX(Equipamentos!$T$2:$T$61,N720),INDEX(TrocasEquip!$H$2:$H$1000,M720))))</f>
        <v/>
      </c>
    </row>
    <row r="721">
      <c r="A721" s="54" t="n"/>
      <c r="B721" s="55" t="n"/>
      <c r="C721">
        <f>IF(B721="","",IF(N721="","posição não encontrada",IF(M721=0,INDEX(Equipamentos!$S$2:$S$61,N721),INDEX(TrocasEquip!$G$2:$G$1000,M721))))</f>
        <v/>
      </c>
      <c r="D721" s="56">
        <f>IF(OR(A721="",N721=""),"",P721+IF(E721="dias",MAX(0,A721-O721),IF(INDEX(Equipamentos!$D$2:$D$61,N721)=2,SUMIFS(Producao!$D:$D,Producao!$A:$A,"&gt;="&amp;O721,Producao!$A:$A,"&lt;"&amp;A721),IF(INDEX(Equipamentos!$D$2:$D$61,N721)=3,SUMIFS(Producao!$E:$E,Producao!$A:$A,"&gt;="&amp;O721,Producao!$A:$A,"&lt;"&amp;A721),SUMIFS(Producao!$B:$B,Producao!$A:$A,"&gt;="&amp;O721,Producao!$A:$A,"&lt;"&amp;A721)))))</f>
        <v/>
      </c>
      <c r="E721">
        <f>IF(N721="","",INDEX(Equipamentos!$C$2:$C$61,N721))</f>
        <v/>
      </c>
      <c r="F721" s="57">
        <f>IF(OR(D721="",N(Q721)&lt;=0),"",D721/Q721)</f>
        <v/>
      </c>
      <c r="G721" s="55" t="n"/>
      <c r="H721" s="58" t="n"/>
      <c r="I721" s="58" t="n"/>
      <c r="J721" s="55" t="n"/>
      <c r="K721" s="55" t="n"/>
      <c r="L721">
        <f>IF(OR(A721="",B721=""),"",_xlfn.MAXIFS(TrocasEquip!$A$2:$A$1000,TrocasEquip!$B$2:$B$1000,B721,TrocasEquip!$A$2:$A$1000,"&lt;"&amp;A721))</f>
        <v/>
      </c>
      <c r="M721">
        <f>IF(N(L721)=0,0,MATCH(1,INDEX((TrocasEquip!$B$2:$B$1000=B721)*(TrocasEquip!$A$2:$A$1000=L721),0),0))</f>
        <v/>
      </c>
      <c r="N721">
        <f>IF(B721="","",IFERROR(MATCH(B721,Equipamentos!$P$2:$P$61,0),""))</f>
        <v/>
      </c>
      <c r="O721">
        <f>IF(N721="","",IF(M721=0,INDEX(Equipamentos!$U$2:$U$61,N721),L721))</f>
        <v/>
      </c>
      <c r="P721">
        <f>IF(N721="","",IF(M721=0,N(INDEX(Equipamentos!$V$2:$V$61,N721)),N(INDEX(TrocasEquip!$I$2:$I$1000,M721))))</f>
        <v/>
      </c>
      <c r="Q721">
        <f>IF(N721="","",IF(M721=0,INDEX(Equipamentos!$T$2:$T$61,N721),IF(INDEX(TrocasEquip!$H$2:$H$1000,M721)="",INDEX(Equipamentos!$T$2:$T$61,N721),INDEX(TrocasEquip!$H$2:$H$1000,M721))))</f>
        <v/>
      </c>
    </row>
    <row r="722">
      <c r="A722" s="54" t="n"/>
      <c r="B722" s="55" t="n"/>
      <c r="C722">
        <f>IF(B722="","",IF(N722="","posição não encontrada",IF(M722=0,INDEX(Equipamentos!$S$2:$S$61,N722),INDEX(TrocasEquip!$G$2:$G$1000,M722))))</f>
        <v/>
      </c>
      <c r="D722" s="56">
        <f>IF(OR(A722="",N722=""),"",P722+IF(E722="dias",MAX(0,A722-O722),IF(INDEX(Equipamentos!$D$2:$D$61,N722)=2,SUMIFS(Producao!$D:$D,Producao!$A:$A,"&gt;="&amp;O722,Producao!$A:$A,"&lt;"&amp;A722),IF(INDEX(Equipamentos!$D$2:$D$61,N722)=3,SUMIFS(Producao!$E:$E,Producao!$A:$A,"&gt;="&amp;O722,Producao!$A:$A,"&lt;"&amp;A722),SUMIFS(Producao!$B:$B,Producao!$A:$A,"&gt;="&amp;O722,Producao!$A:$A,"&lt;"&amp;A722)))))</f>
        <v/>
      </c>
      <c r="E722">
        <f>IF(N722="","",INDEX(Equipamentos!$C$2:$C$61,N722))</f>
        <v/>
      </c>
      <c r="F722" s="57">
        <f>IF(OR(D722="",N(Q722)&lt;=0),"",D722/Q722)</f>
        <v/>
      </c>
      <c r="G722" s="55" t="n"/>
      <c r="H722" s="58" t="n"/>
      <c r="I722" s="58" t="n"/>
      <c r="J722" s="55" t="n"/>
      <c r="K722" s="55" t="n"/>
      <c r="L722">
        <f>IF(OR(A722="",B722=""),"",_xlfn.MAXIFS(TrocasEquip!$A$2:$A$1000,TrocasEquip!$B$2:$B$1000,B722,TrocasEquip!$A$2:$A$1000,"&lt;"&amp;A722))</f>
        <v/>
      </c>
      <c r="M722">
        <f>IF(N(L722)=0,0,MATCH(1,INDEX((TrocasEquip!$B$2:$B$1000=B722)*(TrocasEquip!$A$2:$A$1000=L722),0),0))</f>
        <v/>
      </c>
      <c r="N722">
        <f>IF(B722="","",IFERROR(MATCH(B722,Equipamentos!$P$2:$P$61,0),""))</f>
        <v/>
      </c>
      <c r="O722">
        <f>IF(N722="","",IF(M722=0,INDEX(Equipamentos!$U$2:$U$61,N722),L722))</f>
        <v/>
      </c>
      <c r="P722">
        <f>IF(N722="","",IF(M722=0,N(INDEX(Equipamentos!$V$2:$V$61,N722)),N(INDEX(TrocasEquip!$I$2:$I$1000,M722))))</f>
        <v/>
      </c>
      <c r="Q722">
        <f>IF(N722="","",IF(M722=0,INDEX(Equipamentos!$T$2:$T$61,N722),IF(INDEX(TrocasEquip!$H$2:$H$1000,M722)="",INDEX(Equipamentos!$T$2:$T$61,N722),INDEX(TrocasEquip!$H$2:$H$1000,M722))))</f>
        <v/>
      </c>
    </row>
    <row r="723">
      <c r="A723" s="54" t="n"/>
      <c r="B723" s="55" t="n"/>
      <c r="C723">
        <f>IF(B723="","",IF(N723="","posição não encontrada",IF(M723=0,INDEX(Equipamentos!$S$2:$S$61,N723),INDEX(TrocasEquip!$G$2:$G$1000,M723))))</f>
        <v/>
      </c>
      <c r="D723" s="56">
        <f>IF(OR(A723="",N723=""),"",P723+IF(E723="dias",MAX(0,A723-O723),IF(INDEX(Equipamentos!$D$2:$D$61,N723)=2,SUMIFS(Producao!$D:$D,Producao!$A:$A,"&gt;="&amp;O723,Producao!$A:$A,"&lt;"&amp;A723),IF(INDEX(Equipamentos!$D$2:$D$61,N723)=3,SUMIFS(Producao!$E:$E,Producao!$A:$A,"&gt;="&amp;O723,Producao!$A:$A,"&lt;"&amp;A723),SUMIFS(Producao!$B:$B,Producao!$A:$A,"&gt;="&amp;O723,Producao!$A:$A,"&lt;"&amp;A723)))))</f>
        <v/>
      </c>
      <c r="E723">
        <f>IF(N723="","",INDEX(Equipamentos!$C$2:$C$61,N723))</f>
        <v/>
      </c>
      <c r="F723" s="57">
        <f>IF(OR(D723="",N(Q723)&lt;=0),"",D723/Q723)</f>
        <v/>
      </c>
      <c r="G723" s="55" t="n"/>
      <c r="H723" s="58" t="n"/>
      <c r="I723" s="58" t="n"/>
      <c r="J723" s="55" t="n"/>
      <c r="K723" s="55" t="n"/>
      <c r="L723">
        <f>IF(OR(A723="",B723=""),"",_xlfn.MAXIFS(TrocasEquip!$A$2:$A$1000,TrocasEquip!$B$2:$B$1000,B723,TrocasEquip!$A$2:$A$1000,"&lt;"&amp;A723))</f>
        <v/>
      </c>
      <c r="M723">
        <f>IF(N(L723)=0,0,MATCH(1,INDEX((TrocasEquip!$B$2:$B$1000=B723)*(TrocasEquip!$A$2:$A$1000=L723),0),0))</f>
        <v/>
      </c>
      <c r="N723">
        <f>IF(B723="","",IFERROR(MATCH(B723,Equipamentos!$P$2:$P$61,0),""))</f>
        <v/>
      </c>
      <c r="O723">
        <f>IF(N723="","",IF(M723=0,INDEX(Equipamentos!$U$2:$U$61,N723),L723))</f>
        <v/>
      </c>
      <c r="P723">
        <f>IF(N723="","",IF(M723=0,N(INDEX(Equipamentos!$V$2:$V$61,N723)),N(INDEX(TrocasEquip!$I$2:$I$1000,M723))))</f>
        <v/>
      </c>
      <c r="Q723">
        <f>IF(N723="","",IF(M723=0,INDEX(Equipamentos!$T$2:$T$61,N723),IF(INDEX(TrocasEquip!$H$2:$H$1000,M723)="",INDEX(Equipamentos!$T$2:$T$61,N723),INDEX(TrocasEquip!$H$2:$H$1000,M723))))</f>
        <v/>
      </c>
    </row>
    <row r="724">
      <c r="A724" s="54" t="n"/>
      <c r="B724" s="55" t="n"/>
      <c r="C724">
        <f>IF(B724="","",IF(N724="","posição não encontrada",IF(M724=0,INDEX(Equipamentos!$S$2:$S$61,N724),INDEX(TrocasEquip!$G$2:$G$1000,M724))))</f>
        <v/>
      </c>
      <c r="D724" s="56">
        <f>IF(OR(A724="",N724=""),"",P724+IF(E724="dias",MAX(0,A724-O724),IF(INDEX(Equipamentos!$D$2:$D$61,N724)=2,SUMIFS(Producao!$D:$D,Producao!$A:$A,"&gt;="&amp;O724,Producao!$A:$A,"&lt;"&amp;A724),IF(INDEX(Equipamentos!$D$2:$D$61,N724)=3,SUMIFS(Producao!$E:$E,Producao!$A:$A,"&gt;="&amp;O724,Producao!$A:$A,"&lt;"&amp;A724),SUMIFS(Producao!$B:$B,Producao!$A:$A,"&gt;="&amp;O724,Producao!$A:$A,"&lt;"&amp;A724)))))</f>
        <v/>
      </c>
      <c r="E724">
        <f>IF(N724="","",INDEX(Equipamentos!$C$2:$C$61,N724))</f>
        <v/>
      </c>
      <c r="F724" s="57">
        <f>IF(OR(D724="",N(Q724)&lt;=0),"",D724/Q724)</f>
        <v/>
      </c>
      <c r="G724" s="55" t="n"/>
      <c r="H724" s="58" t="n"/>
      <c r="I724" s="58" t="n"/>
      <c r="J724" s="55" t="n"/>
      <c r="K724" s="55" t="n"/>
      <c r="L724">
        <f>IF(OR(A724="",B724=""),"",_xlfn.MAXIFS(TrocasEquip!$A$2:$A$1000,TrocasEquip!$B$2:$B$1000,B724,TrocasEquip!$A$2:$A$1000,"&lt;"&amp;A724))</f>
        <v/>
      </c>
      <c r="M724">
        <f>IF(N(L724)=0,0,MATCH(1,INDEX((TrocasEquip!$B$2:$B$1000=B724)*(TrocasEquip!$A$2:$A$1000=L724),0),0))</f>
        <v/>
      </c>
      <c r="N724">
        <f>IF(B724="","",IFERROR(MATCH(B724,Equipamentos!$P$2:$P$61,0),""))</f>
        <v/>
      </c>
      <c r="O724">
        <f>IF(N724="","",IF(M724=0,INDEX(Equipamentos!$U$2:$U$61,N724),L724))</f>
        <v/>
      </c>
      <c r="P724">
        <f>IF(N724="","",IF(M724=0,N(INDEX(Equipamentos!$V$2:$V$61,N724)),N(INDEX(TrocasEquip!$I$2:$I$1000,M724))))</f>
        <v/>
      </c>
      <c r="Q724">
        <f>IF(N724="","",IF(M724=0,INDEX(Equipamentos!$T$2:$T$61,N724),IF(INDEX(TrocasEquip!$H$2:$H$1000,M724)="",INDEX(Equipamentos!$T$2:$T$61,N724),INDEX(TrocasEquip!$H$2:$H$1000,M724))))</f>
        <v/>
      </c>
    </row>
    <row r="725">
      <c r="A725" s="54" t="n"/>
      <c r="B725" s="55" t="n"/>
      <c r="C725">
        <f>IF(B725="","",IF(N725="","posição não encontrada",IF(M725=0,INDEX(Equipamentos!$S$2:$S$61,N725),INDEX(TrocasEquip!$G$2:$G$1000,M725))))</f>
        <v/>
      </c>
      <c r="D725" s="56">
        <f>IF(OR(A725="",N725=""),"",P725+IF(E725="dias",MAX(0,A725-O725),IF(INDEX(Equipamentos!$D$2:$D$61,N725)=2,SUMIFS(Producao!$D:$D,Producao!$A:$A,"&gt;="&amp;O725,Producao!$A:$A,"&lt;"&amp;A725),IF(INDEX(Equipamentos!$D$2:$D$61,N725)=3,SUMIFS(Producao!$E:$E,Producao!$A:$A,"&gt;="&amp;O725,Producao!$A:$A,"&lt;"&amp;A725),SUMIFS(Producao!$B:$B,Producao!$A:$A,"&gt;="&amp;O725,Producao!$A:$A,"&lt;"&amp;A725)))))</f>
        <v/>
      </c>
      <c r="E725">
        <f>IF(N725="","",INDEX(Equipamentos!$C$2:$C$61,N725))</f>
        <v/>
      </c>
      <c r="F725" s="57">
        <f>IF(OR(D725="",N(Q725)&lt;=0),"",D725/Q725)</f>
        <v/>
      </c>
      <c r="G725" s="55" t="n"/>
      <c r="H725" s="58" t="n"/>
      <c r="I725" s="58" t="n"/>
      <c r="J725" s="55" t="n"/>
      <c r="K725" s="55" t="n"/>
      <c r="L725">
        <f>IF(OR(A725="",B725=""),"",_xlfn.MAXIFS(TrocasEquip!$A$2:$A$1000,TrocasEquip!$B$2:$B$1000,B725,TrocasEquip!$A$2:$A$1000,"&lt;"&amp;A725))</f>
        <v/>
      </c>
      <c r="M725">
        <f>IF(N(L725)=0,0,MATCH(1,INDEX((TrocasEquip!$B$2:$B$1000=B725)*(TrocasEquip!$A$2:$A$1000=L725),0),0))</f>
        <v/>
      </c>
      <c r="N725">
        <f>IF(B725="","",IFERROR(MATCH(B725,Equipamentos!$P$2:$P$61,0),""))</f>
        <v/>
      </c>
      <c r="O725">
        <f>IF(N725="","",IF(M725=0,INDEX(Equipamentos!$U$2:$U$61,N725),L725))</f>
        <v/>
      </c>
      <c r="P725">
        <f>IF(N725="","",IF(M725=0,N(INDEX(Equipamentos!$V$2:$V$61,N725)),N(INDEX(TrocasEquip!$I$2:$I$1000,M725))))</f>
        <v/>
      </c>
      <c r="Q725">
        <f>IF(N725="","",IF(M725=0,INDEX(Equipamentos!$T$2:$T$61,N725),IF(INDEX(TrocasEquip!$H$2:$H$1000,M725)="",INDEX(Equipamentos!$T$2:$T$61,N725),INDEX(TrocasEquip!$H$2:$H$1000,M725))))</f>
        <v/>
      </c>
    </row>
    <row r="726">
      <c r="A726" s="54" t="n"/>
      <c r="B726" s="55" t="n"/>
      <c r="C726">
        <f>IF(B726="","",IF(N726="","posição não encontrada",IF(M726=0,INDEX(Equipamentos!$S$2:$S$61,N726),INDEX(TrocasEquip!$G$2:$G$1000,M726))))</f>
        <v/>
      </c>
      <c r="D726" s="56">
        <f>IF(OR(A726="",N726=""),"",P726+IF(E726="dias",MAX(0,A726-O726),IF(INDEX(Equipamentos!$D$2:$D$61,N726)=2,SUMIFS(Producao!$D:$D,Producao!$A:$A,"&gt;="&amp;O726,Producao!$A:$A,"&lt;"&amp;A726),IF(INDEX(Equipamentos!$D$2:$D$61,N726)=3,SUMIFS(Producao!$E:$E,Producao!$A:$A,"&gt;="&amp;O726,Producao!$A:$A,"&lt;"&amp;A726),SUMIFS(Producao!$B:$B,Producao!$A:$A,"&gt;="&amp;O726,Producao!$A:$A,"&lt;"&amp;A726)))))</f>
        <v/>
      </c>
      <c r="E726">
        <f>IF(N726="","",INDEX(Equipamentos!$C$2:$C$61,N726))</f>
        <v/>
      </c>
      <c r="F726" s="57">
        <f>IF(OR(D726="",N(Q726)&lt;=0),"",D726/Q726)</f>
        <v/>
      </c>
      <c r="G726" s="55" t="n"/>
      <c r="H726" s="58" t="n"/>
      <c r="I726" s="58" t="n"/>
      <c r="J726" s="55" t="n"/>
      <c r="K726" s="55" t="n"/>
      <c r="L726">
        <f>IF(OR(A726="",B726=""),"",_xlfn.MAXIFS(TrocasEquip!$A$2:$A$1000,TrocasEquip!$B$2:$B$1000,B726,TrocasEquip!$A$2:$A$1000,"&lt;"&amp;A726))</f>
        <v/>
      </c>
      <c r="M726">
        <f>IF(N(L726)=0,0,MATCH(1,INDEX((TrocasEquip!$B$2:$B$1000=B726)*(TrocasEquip!$A$2:$A$1000=L726),0),0))</f>
        <v/>
      </c>
      <c r="N726">
        <f>IF(B726="","",IFERROR(MATCH(B726,Equipamentos!$P$2:$P$61,0),""))</f>
        <v/>
      </c>
      <c r="O726">
        <f>IF(N726="","",IF(M726=0,INDEX(Equipamentos!$U$2:$U$61,N726),L726))</f>
        <v/>
      </c>
      <c r="P726">
        <f>IF(N726="","",IF(M726=0,N(INDEX(Equipamentos!$V$2:$V$61,N726)),N(INDEX(TrocasEquip!$I$2:$I$1000,M726))))</f>
        <v/>
      </c>
      <c r="Q726">
        <f>IF(N726="","",IF(M726=0,INDEX(Equipamentos!$T$2:$T$61,N726),IF(INDEX(TrocasEquip!$H$2:$H$1000,M726)="",INDEX(Equipamentos!$T$2:$T$61,N726),INDEX(TrocasEquip!$H$2:$H$1000,M726))))</f>
        <v/>
      </c>
    </row>
    <row r="727">
      <c r="A727" s="54" t="n"/>
      <c r="B727" s="55" t="n"/>
      <c r="C727">
        <f>IF(B727="","",IF(N727="","posição não encontrada",IF(M727=0,INDEX(Equipamentos!$S$2:$S$61,N727),INDEX(TrocasEquip!$G$2:$G$1000,M727))))</f>
        <v/>
      </c>
      <c r="D727" s="56">
        <f>IF(OR(A727="",N727=""),"",P727+IF(E727="dias",MAX(0,A727-O727),IF(INDEX(Equipamentos!$D$2:$D$61,N727)=2,SUMIFS(Producao!$D:$D,Producao!$A:$A,"&gt;="&amp;O727,Producao!$A:$A,"&lt;"&amp;A727),IF(INDEX(Equipamentos!$D$2:$D$61,N727)=3,SUMIFS(Producao!$E:$E,Producao!$A:$A,"&gt;="&amp;O727,Producao!$A:$A,"&lt;"&amp;A727),SUMIFS(Producao!$B:$B,Producao!$A:$A,"&gt;="&amp;O727,Producao!$A:$A,"&lt;"&amp;A727)))))</f>
        <v/>
      </c>
      <c r="E727">
        <f>IF(N727="","",INDEX(Equipamentos!$C$2:$C$61,N727))</f>
        <v/>
      </c>
      <c r="F727" s="57">
        <f>IF(OR(D727="",N(Q727)&lt;=0),"",D727/Q727)</f>
        <v/>
      </c>
      <c r="G727" s="55" t="n"/>
      <c r="H727" s="58" t="n"/>
      <c r="I727" s="58" t="n"/>
      <c r="J727" s="55" t="n"/>
      <c r="K727" s="55" t="n"/>
      <c r="L727">
        <f>IF(OR(A727="",B727=""),"",_xlfn.MAXIFS(TrocasEquip!$A$2:$A$1000,TrocasEquip!$B$2:$B$1000,B727,TrocasEquip!$A$2:$A$1000,"&lt;"&amp;A727))</f>
        <v/>
      </c>
      <c r="M727">
        <f>IF(N(L727)=0,0,MATCH(1,INDEX((TrocasEquip!$B$2:$B$1000=B727)*(TrocasEquip!$A$2:$A$1000=L727),0),0))</f>
        <v/>
      </c>
      <c r="N727">
        <f>IF(B727="","",IFERROR(MATCH(B727,Equipamentos!$P$2:$P$61,0),""))</f>
        <v/>
      </c>
      <c r="O727">
        <f>IF(N727="","",IF(M727=0,INDEX(Equipamentos!$U$2:$U$61,N727),L727))</f>
        <v/>
      </c>
      <c r="P727">
        <f>IF(N727="","",IF(M727=0,N(INDEX(Equipamentos!$V$2:$V$61,N727)),N(INDEX(TrocasEquip!$I$2:$I$1000,M727))))</f>
        <v/>
      </c>
      <c r="Q727">
        <f>IF(N727="","",IF(M727=0,INDEX(Equipamentos!$T$2:$T$61,N727),IF(INDEX(TrocasEquip!$H$2:$H$1000,M727)="",INDEX(Equipamentos!$T$2:$T$61,N727),INDEX(TrocasEquip!$H$2:$H$1000,M727))))</f>
        <v/>
      </c>
    </row>
    <row r="728">
      <c r="A728" s="54" t="n"/>
      <c r="B728" s="55" t="n"/>
      <c r="C728">
        <f>IF(B728="","",IF(N728="","posição não encontrada",IF(M728=0,INDEX(Equipamentos!$S$2:$S$61,N728),INDEX(TrocasEquip!$G$2:$G$1000,M728))))</f>
        <v/>
      </c>
      <c r="D728" s="56">
        <f>IF(OR(A728="",N728=""),"",P728+IF(E728="dias",MAX(0,A728-O728),IF(INDEX(Equipamentos!$D$2:$D$61,N728)=2,SUMIFS(Producao!$D:$D,Producao!$A:$A,"&gt;="&amp;O728,Producao!$A:$A,"&lt;"&amp;A728),IF(INDEX(Equipamentos!$D$2:$D$61,N728)=3,SUMIFS(Producao!$E:$E,Producao!$A:$A,"&gt;="&amp;O728,Producao!$A:$A,"&lt;"&amp;A728),SUMIFS(Producao!$B:$B,Producao!$A:$A,"&gt;="&amp;O728,Producao!$A:$A,"&lt;"&amp;A728)))))</f>
        <v/>
      </c>
      <c r="E728">
        <f>IF(N728="","",INDEX(Equipamentos!$C$2:$C$61,N728))</f>
        <v/>
      </c>
      <c r="F728" s="57">
        <f>IF(OR(D728="",N(Q728)&lt;=0),"",D728/Q728)</f>
        <v/>
      </c>
      <c r="G728" s="55" t="n"/>
      <c r="H728" s="58" t="n"/>
      <c r="I728" s="58" t="n"/>
      <c r="J728" s="55" t="n"/>
      <c r="K728" s="55" t="n"/>
      <c r="L728">
        <f>IF(OR(A728="",B728=""),"",_xlfn.MAXIFS(TrocasEquip!$A$2:$A$1000,TrocasEquip!$B$2:$B$1000,B728,TrocasEquip!$A$2:$A$1000,"&lt;"&amp;A728))</f>
        <v/>
      </c>
      <c r="M728">
        <f>IF(N(L728)=0,0,MATCH(1,INDEX((TrocasEquip!$B$2:$B$1000=B728)*(TrocasEquip!$A$2:$A$1000=L728),0),0))</f>
        <v/>
      </c>
      <c r="N728">
        <f>IF(B728="","",IFERROR(MATCH(B728,Equipamentos!$P$2:$P$61,0),""))</f>
        <v/>
      </c>
      <c r="O728">
        <f>IF(N728="","",IF(M728=0,INDEX(Equipamentos!$U$2:$U$61,N728),L728))</f>
        <v/>
      </c>
      <c r="P728">
        <f>IF(N728="","",IF(M728=0,N(INDEX(Equipamentos!$V$2:$V$61,N728)),N(INDEX(TrocasEquip!$I$2:$I$1000,M728))))</f>
        <v/>
      </c>
      <c r="Q728">
        <f>IF(N728="","",IF(M728=0,INDEX(Equipamentos!$T$2:$T$61,N728),IF(INDEX(TrocasEquip!$H$2:$H$1000,M728)="",INDEX(Equipamentos!$T$2:$T$61,N728),INDEX(TrocasEquip!$H$2:$H$1000,M728))))</f>
        <v/>
      </c>
    </row>
    <row r="729">
      <c r="A729" s="54" t="n"/>
      <c r="B729" s="55" t="n"/>
      <c r="C729">
        <f>IF(B729="","",IF(N729="","posição não encontrada",IF(M729=0,INDEX(Equipamentos!$S$2:$S$61,N729),INDEX(TrocasEquip!$G$2:$G$1000,M729))))</f>
        <v/>
      </c>
      <c r="D729" s="56">
        <f>IF(OR(A729="",N729=""),"",P729+IF(E729="dias",MAX(0,A729-O729),IF(INDEX(Equipamentos!$D$2:$D$61,N729)=2,SUMIFS(Producao!$D:$D,Producao!$A:$A,"&gt;="&amp;O729,Producao!$A:$A,"&lt;"&amp;A729),IF(INDEX(Equipamentos!$D$2:$D$61,N729)=3,SUMIFS(Producao!$E:$E,Producao!$A:$A,"&gt;="&amp;O729,Producao!$A:$A,"&lt;"&amp;A729),SUMIFS(Producao!$B:$B,Producao!$A:$A,"&gt;="&amp;O729,Producao!$A:$A,"&lt;"&amp;A729)))))</f>
        <v/>
      </c>
      <c r="E729">
        <f>IF(N729="","",INDEX(Equipamentos!$C$2:$C$61,N729))</f>
        <v/>
      </c>
      <c r="F729" s="57">
        <f>IF(OR(D729="",N(Q729)&lt;=0),"",D729/Q729)</f>
        <v/>
      </c>
      <c r="G729" s="55" t="n"/>
      <c r="H729" s="58" t="n"/>
      <c r="I729" s="58" t="n"/>
      <c r="J729" s="55" t="n"/>
      <c r="K729" s="55" t="n"/>
      <c r="L729">
        <f>IF(OR(A729="",B729=""),"",_xlfn.MAXIFS(TrocasEquip!$A$2:$A$1000,TrocasEquip!$B$2:$B$1000,B729,TrocasEquip!$A$2:$A$1000,"&lt;"&amp;A729))</f>
        <v/>
      </c>
      <c r="M729">
        <f>IF(N(L729)=0,0,MATCH(1,INDEX((TrocasEquip!$B$2:$B$1000=B729)*(TrocasEquip!$A$2:$A$1000=L729),0),0))</f>
        <v/>
      </c>
      <c r="N729">
        <f>IF(B729="","",IFERROR(MATCH(B729,Equipamentos!$P$2:$P$61,0),""))</f>
        <v/>
      </c>
      <c r="O729">
        <f>IF(N729="","",IF(M729=0,INDEX(Equipamentos!$U$2:$U$61,N729),L729))</f>
        <v/>
      </c>
      <c r="P729">
        <f>IF(N729="","",IF(M729=0,N(INDEX(Equipamentos!$V$2:$V$61,N729)),N(INDEX(TrocasEquip!$I$2:$I$1000,M729))))</f>
        <v/>
      </c>
      <c r="Q729">
        <f>IF(N729="","",IF(M729=0,INDEX(Equipamentos!$T$2:$T$61,N729),IF(INDEX(TrocasEquip!$H$2:$H$1000,M729)="",INDEX(Equipamentos!$T$2:$T$61,N729),INDEX(TrocasEquip!$H$2:$H$1000,M729))))</f>
        <v/>
      </c>
    </row>
    <row r="730">
      <c r="A730" s="54" t="n"/>
      <c r="B730" s="55" t="n"/>
      <c r="C730">
        <f>IF(B730="","",IF(N730="","posição não encontrada",IF(M730=0,INDEX(Equipamentos!$S$2:$S$61,N730),INDEX(TrocasEquip!$G$2:$G$1000,M730))))</f>
        <v/>
      </c>
      <c r="D730" s="56">
        <f>IF(OR(A730="",N730=""),"",P730+IF(E730="dias",MAX(0,A730-O730),IF(INDEX(Equipamentos!$D$2:$D$61,N730)=2,SUMIFS(Producao!$D:$D,Producao!$A:$A,"&gt;="&amp;O730,Producao!$A:$A,"&lt;"&amp;A730),IF(INDEX(Equipamentos!$D$2:$D$61,N730)=3,SUMIFS(Producao!$E:$E,Producao!$A:$A,"&gt;="&amp;O730,Producao!$A:$A,"&lt;"&amp;A730),SUMIFS(Producao!$B:$B,Producao!$A:$A,"&gt;="&amp;O730,Producao!$A:$A,"&lt;"&amp;A730)))))</f>
        <v/>
      </c>
      <c r="E730">
        <f>IF(N730="","",INDEX(Equipamentos!$C$2:$C$61,N730))</f>
        <v/>
      </c>
      <c r="F730" s="57">
        <f>IF(OR(D730="",N(Q730)&lt;=0),"",D730/Q730)</f>
        <v/>
      </c>
      <c r="G730" s="55" t="n"/>
      <c r="H730" s="58" t="n"/>
      <c r="I730" s="58" t="n"/>
      <c r="J730" s="55" t="n"/>
      <c r="K730" s="55" t="n"/>
      <c r="L730">
        <f>IF(OR(A730="",B730=""),"",_xlfn.MAXIFS(TrocasEquip!$A$2:$A$1000,TrocasEquip!$B$2:$B$1000,B730,TrocasEquip!$A$2:$A$1000,"&lt;"&amp;A730))</f>
        <v/>
      </c>
      <c r="M730">
        <f>IF(N(L730)=0,0,MATCH(1,INDEX((TrocasEquip!$B$2:$B$1000=B730)*(TrocasEquip!$A$2:$A$1000=L730),0),0))</f>
        <v/>
      </c>
      <c r="N730">
        <f>IF(B730="","",IFERROR(MATCH(B730,Equipamentos!$P$2:$P$61,0),""))</f>
        <v/>
      </c>
      <c r="O730">
        <f>IF(N730="","",IF(M730=0,INDEX(Equipamentos!$U$2:$U$61,N730),L730))</f>
        <v/>
      </c>
      <c r="P730">
        <f>IF(N730="","",IF(M730=0,N(INDEX(Equipamentos!$V$2:$V$61,N730)),N(INDEX(TrocasEquip!$I$2:$I$1000,M730))))</f>
        <v/>
      </c>
      <c r="Q730">
        <f>IF(N730="","",IF(M730=0,INDEX(Equipamentos!$T$2:$T$61,N730),IF(INDEX(TrocasEquip!$H$2:$H$1000,M730)="",INDEX(Equipamentos!$T$2:$T$61,N730),INDEX(TrocasEquip!$H$2:$H$1000,M730))))</f>
        <v/>
      </c>
    </row>
    <row r="731">
      <c r="A731" s="54" t="n"/>
      <c r="B731" s="55" t="n"/>
      <c r="C731">
        <f>IF(B731="","",IF(N731="","posição não encontrada",IF(M731=0,INDEX(Equipamentos!$S$2:$S$61,N731),INDEX(TrocasEquip!$G$2:$G$1000,M731))))</f>
        <v/>
      </c>
      <c r="D731" s="56">
        <f>IF(OR(A731="",N731=""),"",P731+IF(E731="dias",MAX(0,A731-O731),IF(INDEX(Equipamentos!$D$2:$D$61,N731)=2,SUMIFS(Producao!$D:$D,Producao!$A:$A,"&gt;="&amp;O731,Producao!$A:$A,"&lt;"&amp;A731),IF(INDEX(Equipamentos!$D$2:$D$61,N731)=3,SUMIFS(Producao!$E:$E,Producao!$A:$A,"&gt;="&amp;O731,Producao!$A:$A,"&lt;"&amp;A731),SUMIFS(Producao!$B:$B,Producao!$A:$A,"&gt;="&amp;O731,Producao!$A:$A,"&lt;"&amp;A731)))))</f>
        <v/>
      </c>
      <c r="E731">
        <f>IF(N731="","",INDEX(Equipamentos!$C$2:$C$61,N731))</f>
        <v/>
      </c>
      <c r="F731" s="57">
        <f>IF(OR(D731="",N(Q731)&lt;=0),"",D731/Q731)</f>
        <v/>
      </c>
      <c r="G731" s="55" t="n"/>
      <c r="H731" s="58" t="n"/>
      <c r="I731" s="58" t="n"/>
      <c r="J731" s="55" t="n"/>
      <c r="K731" s="55" t="n"/>
      <c r="L731">
        <f>IF(OR(A731="",B731=""),"",_xlfn.MAXIFS(TrocasEquip!$A$2:$A$1000,TrocasEquip!$B$2:$B$1000,B731,TrocasEquip!$A$2:$A$1000,"&lt;"&amp;A731))</f>
        <v/>
      </c>
      <c r="M731">
        <f>IF(N(L731)=0,0,MATCH(1,INDEX((TrocasEquip!$B$2:$B$1000=B731)*(TrocasEquip!$A$2:$A$1000=L731),0),0))</f>
        <v/>
      </c>
      <c r="N731">
        <f>IF(B731="","",IFERROR(MATCH(B731,Equipamentos!$P$2:$P$61,0),""))</f>
        <v/>
      </c>
      <c r="O731">
        <f>IF(N731="","",IF(M731=0,INDEX(Equipamentos!$U$2:$U$61,N731),L731))</f>
        <v/>
      </c>
      <c r="P731">
        <f>IF(N731="","",IF(M731=0,N(INDEX(Equipamentos!$V$2:$V$61,N731)),N(INDEX(TrocasEquip!$I$2:$I$1000,M731))))</f>
        <v/>
      </c>
      <c r="Q731">
        <f>IF(N731="","",IF(M731=0,INDEX(Equipamentos!$T$2:$T$61,N731),IF(INDEX(TrocasEquip!$H$2:$H$1000,M731)="",INDEX(Equipamentos!$T$2:$T$61,N731),INDEX(TrocasEquip!$H$2:$H$1000,M731))))</f>
        <v/>
      </c>
    </row>
    <row r="732">
      <c r="A732" s="54" t="n"/>
      <c r="B732" s="55" t="n"/>
      <c r="C732">
        <f>IF(B732="","",IF(N732="","posição não encontrada",IF(M732=0,INDEX(Equipamentos!$S$2:$S$61,N732),INDEX(TrocasEquip!$G$2:$G$1000,M732))))</f>
        <v/>
      </c>
      <c r="D732" s="56">
        <f>IF(OR(A732="",N732=""),"",P732+IF(E732="dias",MAX(0,A732-O732),IF(INDEX(Equipamentos!$D$2:$D$61,N732)=2,SUMIFS(Producao!$D:$D,Producao!$A:$A,"&gt;="&amp;O732,Producao!$A:$A,"&lt;"&amp;A732),IF(INDEX(Equipamentos!$D$2:$D$61,N732)=3,SUMIFS(Producao!$E:$E,Producao!$A:$A,"&gt;="&amp;O732,Producao!$A:$A,"&lt;"&amp;A732),SUMIFS(Producao!$B:$B,Producao!$A:$A,"&gt;="&amp;O732,Producao!$A:$A,"&lt;"&amp;A732)))))</f>
        <v/>
      </c>
      <c r="E732">
        <f>IF(N732="","",INDEX(Equipamentos!$C$2:$C$61,N732))</f>
        <v/>
      </c>
      <c r="F732" s="57">
        <f>IF(OR(D732="",N(Q732)&lt;=0),"",D732/Q732)</f>
        <v/>
      </c>
      <c r="G732" s="55" t="n"/>
      <c r="H732" s="58" t="n"/>
      <c r="I732" s="58" t="n"/>
      <c r="J732" s="55" t="n"/>
      <c r="K732" s="55" t="n"/>
      <c r="L732">
        <f>IF(OR(A732="",B732=""),"",_xlfn.MAXIFS(TrocasEquip!$A$2:$A$1000,TrocasEquip!$B$2:$B$1000,B732,TrocasEquip!$A$2:$A$1000,"&lt;"&amp;A732))</f>
        <v/>
      </c>
      <c r="M732">
        <f>IF(N(L732)=0,0,MATCH(1,INDEX((TrocasEquip!$B$2:$B$1000=B732)*(TrocasEquip!$A$2:$A$1000=L732),0),0))</f>
        <v/>
      </c>
      <c r="N732">
        <f>IF(B732="","",IFERROR(MATCH(B732,Equipamentos!$P$2:$P$61,0),""))</f>
        <v/>
      </c>
      <c r="O732">
        <f>IF(N732="","",IF(M732=0,INDEX(Equipamentos!$U$2:$U$61,N732),L732))</f>
        <v/>
      </c>
      <c r="P732">
        <f>IF(N732="","",IF(M732=0,N(INDEX(Equipamentos!$V$2:$V$61,N732)),N(INDEX(TrocasEquip!$I$2:$I$1000,M732))))</f>
        <v/>
      </c>
      <c r="Q732">
        <f>IF(N732="","",IF(M732=0,INDEX(Equipamentos!$T$2:$T$61,N732),IF(INDEX(TrocasEquip!$H$2:$H$1000,M732)="",INDEX(Equipamentos!$T$2:$T$61,N732),INDEX(TrocasEquip!$H$2:$H$1000,M732))))</f>
        <v/>
      </c>
    </row>
    <row r="733">
      <c r="A733" s="54" t="n"/>
      <c r="B733" s="55" t="n"/>
      <c r="C733">
        <f>IF(B733="","",IF(N733="","posição não encontrada",IF(M733=0,INDEX(Equipamentos!$S$2:$S$61,N733),INDEX(TrocasEquip!$G$2:$G$1000,M733))))</f>
        <v/>
      </c>
      <c r="D733" s="56">
        <f>IF(OR(A733="",N733=""),"",P733+IF(E733="dias",MAX(0,A733-O733),IF(INDEX(Equipamentos!$D$2:$D$61,N733)=2,SUMIFS(Producao!$D:$D,Producao!$A:$A,"&gt;="&amp;O733,Producao!$A:$A,"&lt;"&amp;A733),IF(INDEX(Equipamentos!$D$2:$D$61,N733)=3,SUMIFS(Producao!$E:$E,Producao!$A:$A,"&gt;="&amp;O733,Producao!$A:$A,"&lt;"&amp;A733),SUMIFS(Producao!$B:$B,Producao!$A:$A,"&gt;="&amp;O733,Producao!$A:$A,"&lt;"&amp;A733)))))</f>
        <v/>
      </c>
      <c r="E733">
        <f>IF(N733="","",INDEX(Equipamentos!$C$2:$C$61,N733))</f>
        <v/>
      </c>
      <c r="F733" s="57">
        <f>IF(OR(D733="",N(Q733)&lt;=0),"",D733/Q733)</f>
        <v/>
      </c>
      <c r="G733" s="55" t="n"/>
      <c r="H733" s="58" t="n"/>
      <c r="I733" s="58" t="n"/>
      <c r="J733" s="55" t="n"/>
      <c r="K733" s="55" t="n"/>
      <c r="L733">
        <f>IF(OR(A733="",B733=""),"",_xlfn.MAXIFS(TrocasEquip!$A$2:$A$1000,TrocasEquip!$B$2:$B$1000,B733,TrocasEquip!$A$2:$A$1000,"&lt;"&amp;A733))</f>
        <v/>
      </c>
      <c r="M733">
        <f>IF(N(L733)=0,0,MATCH(1,INDEX((TrocasEquip!$B$2:$B$1000=B733)*(TrocasEquip!$A$2:$A$1000=L733),0),0))</f>
        <v/>
      </c>
      <c r="N733">
        <f>IF(B733="","",IFERROR(MATCH(B733,Equipamentos!$P$2:$P$61,0),""))</f>
        <v/>
      </c>
      <c r="O733">
        <f>IF(N733="","",IF(M733=0,INDEX(Equipamentos!$U$2:$U$61,N733),L733))</f>
        <v/>
      </c>
      <c r="P733">
        <f>IF(N733="","",IF(M733=0,N(INDEX(Equipamentos!$V$2:$V$61,N733)),N(INDEX(TrocasEquip!$I$2:$I$1000,M733))))</f>
        <v/>
      </c>
      <c r="Q733">
        <f>IF(N733="","",IF(M733=0,INDEX(Equipamentos!$T$2:$T$61,N733),IF(INDEX(TrocasEquip!$H$2:$H$1000,M733)="",INDEX(Equipamentos!$T$2:$T$61,N733),INDEX(TrocasEquip!$H$2:$H$1000,M733))))</f>
        <v/>
      </c>
    </row>
    <row r="734">
      <c r="A734" s="54" t="n"/>
      <c r="B734" s="55" t="n"/>
      <c r="C734">
        <f>IF(B734="","",IF(N734="","posição não encontrada",IF(M734=0,INDEX(Equipamentos!$S$2:$S$61,N734),INDEX(TrocasEquip!$G$2:$G$1000,M734))))</f>
        <v/>
      </c>
      <c r="D734" s="56">
        <f>IF(OR(A734="",N734=""),"",P734+IF(E734="dias",MAX(0,A734-O734),IF(INDEX(Equipamentos!$D$2:$D$61,N734)=2,SUMIFS(Producao!$D:$D,Producao!$A:$A,"&gt;="&amp;O734,Producao!$A:$A,"&lt;"&amp;A734),IF(INDEX(Equipamentos!$D$2:$D$61,N734)=3,SUMIFS(Producao!$E:$E,Producao!$A:$A,"&gt;="&amp;O734,Producao!$A:$A,"&lt;"&amp;A734),SUMIFS(Producao!$B:$B,Producao!$A:$A,"&gt;="&amp;O734,Producao!$A:$A,"&lt;"&amp;A734)))))</f>
        <v/>
      </c>
      <c r="E734">
        <f>IF(N734="","",INDEX(Equipamentos!$C$2:$C$61,N734))</f>
        <v/>
      </c>
      <c r="F734" s="57">
        <f>IF(OR(D734="",N(Q734)&lt;=0),"",D734/Q734)</f>
        <v/>
      </c>
      <c r="G734" s="55" t="n"/>
      <c r="H734" s="58" t="n"/>
      <c r="I734" s="58" t="n"/>
      <c r="J734" s="55" t="n"/>
      <c r="K734" s="55" t="n"/>
      <c r="L734">
        <f>IF(OR(A734="",B734=""),"",_xlfn.MAXIFS(TrocasEquip!$A$2:$A$1000,TrocasEquip!$B$2:$B$1000,B734,TrocasEquip!$A$2:$A$1000,"&lt;"&amp;A734))</f>
        <v/>
      </c>
      <c r="M734">
        <f>IF(N(L734)=0,0,MATCH(1,INDEX((TrocasEquip!$B$2:$B$1000=B734)*(TrocasEquip!$A$2:$A$1000=L734),0),0))</f>
        <v/>
      </c>
      <c r="N734">
        <f>IF(B734="","",IFERROR(MATCH(B734,Equipamentos!$P$2:$P$61,0),""))</f>
        <v/>
      </c>
      <c r="O734">
        <f>IF(N734="","",IF(M734=0,INDEX(Equipamentos!$U$2:$U$61,N734),L734))</f>
        <v/>
      </c>
      <c r="P734">
        <f>IF(N734="","",IF(M734=0,N(INDEX(Equipamentos!$V$2:$V$61,N734)),N(INDEX(TrocasEquip!$I$2:$I$1000,M734))))</f>
        <v/>
      </c>
      <c r="Q734">
        <f>IF(N734="","",IF(M734=0,INDEX(Equipamentos!$T$2:$T$61,N734),IF(INDEX(TrocasEquip!$H$2:$H$1000,M734)="",INDEX(Equipamentos!$T$2:$T$61,N734),INDEX(TrocasEquip!$H$2:$H$1000,M734))))</f>
        <v/>
      </c>
    </row>
    <row r="735">
      <c r="A735" s="54" t="n"/>
      <c r="B735" s="55" t="n"/>
      <c r="C735">
        <f>IF(B735="","",IF(N735="","posição não encontrada",IF(M735=0,INDEX(Equipamentos!$S$2:$S$61,N735),INDEX(TrocasEquip!$G$2:$G$1000,M735))))</f>
        <v/>
      </c>
      <c r="D735" s="56">
        <f>IF(OR(A735="",N735=""),"",P735+IF(E735="dias",MAX(0,A735-O735),IF(INDEX(Equipamentos!$D$2:$D$61,N735)=2,SUMIFS(Producao!$D:$D,Producao!$A:$A,"&gt;="&amp;O735,Producao!$A:$A,"&lt;"&amp;A735),IF(INDEX(Equipamentos!$D$2:$D$61,N735)=3,SUMIFS(Producao!$E:$E,Producao!$A:$A,"&gt;="&amp;O735,Producao!$A:$A,"&lt;"&amp;A735),SUMIFS(Producao!$B:$B,Producao!$A:$A,"&gt;="&amp;O735,Producao!$A:$A,"&lt;"&amp;A735)))))</f>
        <v/>
      </c>
      <c r="E735">
        <f>IF(N735="","",INDEX(Equipamentos!$C$2:$C$61,N735))</f>
        <v/>
      </c>
      <c r="F735" s="57">
        <f>IF(OR(D735="",N(Q735)&lt;=0),"",D735/Q735)</f>
        <v/>
      </c>
      <c r="G735" s="55" t="n"/>
      <c r="H735" s="58" t="n"/>
      <c r="I735" s="58" t="n"/>
      <c r="J735" s="55" t="n"/>
      <c r="K735" s="55" t="n"/>
      <c r="L735">
        <f>IF(OR(A735="",B735=""),"",_xlfn.MAXIFS(TrocasEquip!$A$2:$A$1000,TrocasEquip!$B$2:$B$1000,B735,TrocasEquip!$A$2:$A$1000,"&lt;"&amp;A735))</f>
        <v/>
      </c>
      <c r="M735">
        <f>IF(N(L735)=0,0,MATCH(1,INDEX((TrocasEquip!$B$2:$B$1000=B735)*(TrocasEquip!$A$2:$A$1000=L735),0),0))</f>
        <v/>
      </c>
      <c r="N735">
        <f>IF(B735="","",IFERROR(MATCH(B735,Equipamentos!$P$2:$P$61,0),""))</f>
        <v/>
      </c>
      <c r="O735">
        <f>IF(N735="","",IF(M735=0,INDEX(Equipamentos!$U$2:$U$61,N735),L735))</f>
        <v/>
      </c>
      <c r="P735">
        <f>IF(N735="","",IF(M735=0,N(INDEX(Equipamentos!$V$2:$V$61,N735)),N(INDEX(TrocasEquip!$I$2:$I$1000,M735))))</f>
        <v/>
      </c>
      <c r="Q735">
        <f>IF(N735="","",IF(M735=0,INDEX(Equipamentos!$T$2:$T$61,N735),IF(INDEX(TrocasEquip!$H$2:$H$1000,M735)="",INDEX(Equipamentos!$T$2:$T$61,N735),INDEX(TrocasEquip!$H$2:$H$1000,M735))))</f>
        <v/>
      </c>
    </row>
    <row r="736">
      <c r="A736" s="54" t="n"/>
      <c r="B736" s="55" t="n"/>
      <c r="C736">
        <f>IF(B736="","",IF(N736="","posição não encontrada",IF(M736=0,INDEX(Equipamentos!$S$2:$S$61,N736),INDEX(TrocasEquip!$G$2:$G$1000,M736))))</f>
        <v/>
      </c>
      <c r="D736" s="56">
        <f>IF(OR(A736="",N736=""),"",P736+IF(E736="dias",MAX(0,A736-O736),IF(INDEX(Equipamentos!$D$2:$D$61,N736)=2,SUMIFS(Producao!$D:$D,Producao!$A:$A,"&gt;="&amp;O736,Producao!$A:$A,"&lt;"&amp;A736),IF(INDEX(Equipamentos!$D$2:$D$61,N736)=3,SUMIFS(Producao!$E:$E,Producao!$A:$A,"&gt;="&amp;O736,Producao!$A:$A,"&lt;"&amp;A736),SUMIFS(Producao!$B:$B,Producao!$A:$A,"&gt;="&amp;O736,Producao!$A:$A,"&lt;"&amp;A736)))))</f>
        <v/>
      </c>
      <c r="E736">
        <f>IF(N736="","",INDEX(Equipamentos!$C$2:$C$61,N736))</f>
        <v/>
      </c>
      <c r="F736" s="57">
        <f>IF(OR(D736="",N(Q736)&lt;=0),"",D736/Q736)</f>
        <v/>
      </c>
      <c r="G736" s="55" t="n"/>
      <c r="H736" s="58" t="n"/>
      <c r="I736" s="58" t="n"/>
      <c r="J736" s="55" t="n"/>
      <c r="K736" s="55" t="n"/>
      <c r="L736">
        <f>IF(OR(A736="",B736=""),"",_xlfn.MAXIFS(TrocasEquip!$A$2:$A$1000,TrocasEquip!$B$2:$B$1000,B736,TrocasEquip!$A$2:$A$1000,"&lt;"&amp;A736))</f>
        <v/>
      </c>
      <c r="M736">
        <f>IF(N(L736)=0,0,MATCH(1,INDEX((TrocasEquip!$B$2:$B$1000=B736)*(TrocasEquip!$A$2:$A$1000=L736),0),0))</f>
        <v/>
      </c>
      <c r="N736">
        <f>IF(B736="","",IFERROR(MATCH(B736,Equipamentos!$P$2:$P$61,0),""))</f>
        <v/>
      </c>
      <c r="O736">
        <f>IF(N736="","",IF(M736=0,INDEX(Equipamentos!$U$2:$U$61,N736),L736))</f>
        <v/>
      </c>
      <c r="P736">
        <f>IF(N736="","",IF(M736=0,N(INDEX(Equipamentos!$V$2:$V$61,N736)),N(INDEX(TrocasEquip!$I$2:$I$1000,M736))))</f>
        <v/>
      </c>
      <c r="Q736">
        <f>IF(N736="","",IF(M736=0,INDEX(Equipamentos!$T$2:$T$61,N736),IF(INDEX(TrocasEquip!$H$2:$H$1000,M736)="",INDEX(Equipamentos!$T$2:$T$61,N736),INDEX(TrocasEquip!$H$2:$H$1000,M736))))</f>
        <v/>
      </c>
    </row>
    <row r="737">
      <c r="A737" s="54" t="n"/>
      <c r="B737" s="55" t="n"/>
      <c r="C737">
        <f>IF(B737="","",IF(N737="","posição não encontrada",IF(M737=0,INDEX(Equipamentos!$S$2:$S$61,N737),INDEX(TrocasEquip!$G$2:$G$1000,M737))))</f>
        <v/>
      </c>
      <c r="D737" s="56">
        <f>IF(OR(A737="",N737=""),"",P737+IF(E737="dias",MAX(0,A737-O737),IF(INDEX(Equipamentos!$D$2:$D$61,N737)=2,SUMIFS(Producao!$D:$D,Producao!$A:$A,"&gt;="&amp;O737,Producao!$A:$A,"&lt;"&amp;A737),IF(INDEX(Equipamentos!$D$2:$D$61,N737)=3,SUMIFS(Producao!$E:$E,Producao!$A:$A,"&gt;="&amp;O737,Producao!$A:$A,"&lt;"&amp;A737),SUMIFS(Producao!$B:$B,Producao!$A:$A,"&gt;="&amp;O737,Producao!$A:$A,"&lt;"&amp;A737)))))</f>
        <v/>
      </c>
      <c r="E737">
        <f>IF(N737="","",INDEX(Equipamentos!$C$2:$C$61,N737))</f>
        <v/>
      </c>
      <c r="F737" s="57">
        <f>IF(OR(D737="",N(Q737)&lt;=0),"",D737/Q737)</f>
        <v/>
      </c>
      <c r="G737" s="55" t="n"/>
      <c r="H737" s="58" t="n"/>
      <c r="I737" s="58" t="n"/>
      <c r="J737" s="55" t="n"/>
      <c r="K737" s="55" t="n"/>
      <c r="L737">
        <f>IF(OR(A737="",B737=""),"",_xlfn.MAXIFS(TrocasEquip!$A$2:$A$1000,TrocasEquip!$B$2:$B$1000,B737,TrocasEquip!$A$2:$A$1000,"&lt;"&amp;A737))</f>
        <v/>
      </c>
      <c r="M737">
        <f>IF(N(L737)=0,0,MATCH(1,INDEX((TrocasEquip!$B$2:$B$1000=B737)*(TrocasEquip!$A$2:$A$1000=L737),0),0))</f>
        <v/>
      </c>
      <c r="N737">
        <f>IF(B737="","",IFERROR(MATCH(B737,Equipamentos!$P$2:$P$61,0),""))</f>
        <v/>
      </c>
      <c r="O737">
        <f>IF(N737="","",IF(M737=0,INDEX(Equipamentos!$U$2:$U$61,N737),L737))</f>
        <v/>
      </c>
      <c r="P737">
        <f>IF(N737="","",IF(M737=0,N(INDEX(Equipamentos!$V$2:$V$61,N737)),N(INDEX(TrocasEquip!$I$2:$I$1000,M737))))</f>
        <v/>
      </c>
      <c r="Q737">
        <f>IF(N737="","",IF(M737=0,INDEX(Equipamentos!$T$2:$T$61,N737),IF(INDEX(TrocasEquip!$H$2:$H$1000,M737)="",INDEX(Equipamentos!$T$2:$T$61,N737),INDEX(TrocasEquip!$H$2:$H$1000,M737))))</f>
        <v/>
      </c>
    </row>
    <row r="738">
      <c r="A738" s="54" t="n"/>
      <c r="B738" s="55" t="n"/>
      <c r="C738">
        <f>IF(B738="","",IF(N738="","posição não encontrada",IF(M738=0,INDEX(Equipamentos!$S$2:$S$61,N738),INDEX(TrocasEquip!$G$2:$G$1000,M738))))</f>
        <v/>
      </c>
      <c r="D738" s="56">
        <f>IF(OR(A738="",N738=""),"",P738+IF(E738="dias",MAX(0,A738-O738),IF(INDEX(Equipamentos!$D$2:$D$61,N738)=2,SUMIFS(Producao!$D:$D,Producao!$A:$A,"&gt;="&amp;O738,Producao!$A:$A,"&lt;"&amp;A738),IF(INDEX(Equipamentos!$D$2:$D$61,N738)=3,SUMIFS(Producao!$E:$E,Producao!$A:$A,"&gt;="&amp;O738,Producao!$A:$A,"&lt;"&amp;A738),SUMIFS(Producao!$B:$B,Producao!$A:$A,"&gt;="&amp;O738,Producao!$A:$A,"&lt;"&amp;A738)))))</f>
        <v/>
      </c>
      <c r="E738">
        <f>IF(N738="","",INDEX(Equipamentos!$C$2:$C$61,N738))</f>
        <v/>
      </c>
      <c r="F738" s="57">
        <f>IF(OR(D738="",N(Q738)&lt;=0),"",D738/Q738)</f>
        <v/>
      </c>
      <c r="G738" s="55" t="n"/>
      <c r="H738" s="58" t="n"/>
      <c r="I738" s="58" t="n"/>
      <c r="J738" s="55" t="n"/>
      <c r="K738" s="55" t="n"/>
      <c r="L738">
        <f>IF(OR(A738="",B738=""),"",_xlfn.MAXIFS(TrocasEquip!$A$2:$A$1000,TrocasEquip!$B$2:$B$1000,B738,TrocasEquip!$A$2:$A$1000,"&lt;"&amp;A738))</f>
        <v/>
      </c>
      <c r="M738">
        <f>IF(N(L738)=0,0,MATCH(1,INDEX((TrocasEquip!$B$2:$B$1000=B738)*(TrocasEquip!$A$2:$A$1000=L738),0),0))</f>
        <v/>
      </c>
      <c r="N738">
        <f>IF(B738="","",IFERROR(MATCH(B738,Equipamentos!$P$2:$P$61,0),""))</f>
        <v/>
      </c>
      <c r="O738">
        <f>IF(N738="","",IF(M738=0,INDEX(Equipamentos!$U$2:$U$61,N738),L738))</f>
        <v/>
      </c>
      <c r="P738">
        <f>IF(N738="","",IF(M738=0,N(INDEX(Equipamentos!$V$2:$V$61,N738)),N(INDEX(TrocasEquip!$I$2:$I$1000,M738))))</f>
        <v/>
      </c>
      <c r="Q738">
        <f>IF(N738="","",IF(M738=0,INDEX(Equipamentos!$T$2:$T$61,N738),IF(INDEX(TrocasEquip!$H$2:$H$1000,M738)="",INDEX(Equipamentos!$T$2:$T$61,N738),INDEX(TrocasEquip!$H$2:$H$1000,M738))))</f>
        <v/>
      </c>
    </row>
    <row r="739">
      <c r="A739" s="54" t="n"/>
      <c r="B739" s="55" t="n"/>
      <c r="C739">
        <f>IF(B739="","",IF(N739="","posição não encontrada",IF(M739=0,INDEX(Equipamentos!$S$2:$S$61,N739),INDEX(TrocasEquip!$G$2:$G$1000,M739))))</f>
        <v/>
      </c>
      <c r="D739" s="56">
        <f>IF(OR(A739="",N739=""),"",P739+IF(E739="dias",MAX(0,A739-O739),IF(INDEX(Equipamentos!$D$2:$D$61,N739)=2,SUMIFS(Producao!$D:$D,Producao!$A:$A,"&gt;="&amp;O739,Producao!$A:$A,"&lt;"&amp;A739),IF(INDEX(Equipamentos!$D$2:$D$61,N739)=3,SUMIFS(Producao!$E:$E,Producao!$A:$A,"&gt;="&amp;O739,Producao!$A:$A,"&lt;"&amp;A739),SUMIFS(Producao!$B:$B,Producao!$A:$A,"&gt;="&amp;O739,Producao!$A:$A,"&lt;"&amp;A739)))))</f>
        <v/>
      </c>
      <c r="E739">
        <f>IF(N739="","",INDEX(Equipamentos!$C$2:$C$61,N739))</f>
        <v/>
      </c>
      <c r="F739" s="57">
        <f>IF(OR(D739="",N(Q739)&lt;=0),"",D739/Q739)</f>
        <v/>
      </c>
      <c r="G739" s="55" t="n"/>
      <c r="H739" s="58" t="n"/>
      <c r="I739" s="58" t="n"/>
      <c r="J739" s="55" t="n"/>
      <c r="K739" s="55" t="n"/>
      <c r="L739">
        <f>IF(OR(A739="",B739=""),"",_xlfn.MAXIFS(TrocasEquip!$A$2:$A$1000,TrocasEquip!$B$2:$B$1000,B739,TrocasEquip!$A$2:$A$1000,"&lt;"&amp;A739))</f>
        <v/>
      </c>
      <c r="M739">
        <f>IF(N(L739)=0,0,MATCH(1,INDEX((TrocasEquip!$B$2:$B$1000=B739)*(TrocasEquip!$A$2:$A$1000=L739),0),0))</f>
        <v/>
      </c>
      <c r="N739">
        <f>IF(B739="","",IFERROR(MATCH(B739,Equipamentos!$P$2:$P$61,0),""))</f>
        <v/>
      </c>
      <c r="O739">
        <f>IF(N739="","",IF(M739=0,INDEX(Equipamentos!$U$2:$U$61,N739),L739))</f>
        <v/>
      </c>
      <c r="P739">
        <f>IF(N739="","",IF(M739=0,N(INDEX(Equipamentos!$V$2:$V$61,N739)),N(INDEX(TrocasEquip!$I$2:$I$1000,M739))))</f>
        <v/>
      </c>
      <c r="Q739">
        <f>IF(N739="","",IF(M739=0,INDEX(Equipamentos!$T$2:$T$61,N739),IF(INDEX(TrocasEquip!$H$2:$H$1000,M739)="",INDEX(Equipamentos!$T$2:$T$61,N739),INDEX(TrocasEquip!$H$2:$H$1000,M739))))</f>
        <v/>
      </c>
    </row>
    <row r="740">
      <c r="A740" s="54" t="n"/>
      <c r="B740" s="55" t="n"/>
      <c r="C740">
        <f>IF(B740="","",IF(N740="","posição não encontrada",IF(M740=0,INDEX(Equipamentos!$S$2:$S$61,N740),INDEX(TrocasEquip!$G$2:$G$1000,M740))))</f>
        <v/>
      </c>
      <c r="D740" s="56">
        <f>IF(OR(A740="",N740=""),"",P740+IF(E740="dias",MAX(0,A740-O740),IF(INDEX(Equipamentos!$D$2:$D$61,N740)=2,SUMIFS(Producao!$D:$D,Producao!$A:$A,"&gt;="&amp;O740,Producao!$A:$A,"&lt;"&amp;A740),IF(INDEX(Equipamentos!$D$2:$D$61,N740)=3,SUMIFS(Producao!$E:$E,Producao!$A:$A,"&gt;="&amp;O740,Producao!$A:$A,"&lt;"&amp;A740),SUMIFS(Producao!$B:$B,Producao!$A:$A,"&gt;="&amp;O740,Producao!$A:$A,"&lt;"&amp;A740)))))</f>
        <v/>
      </c>
      <c r="E740">
        <f>IF(N740="","",INDEX(Equipamentos!$C$2:$C$61,N740))</f>
        <v/>
      </c>
      <c r="F740" s="57">
        <f>IF(OR(D740="",N(Q740)&lt;=0),"",D740/Q740)</f>
        <v/>
      </c>
      <c r="G740" s="55" t="n"/>
      <c r="H740" s="58" t="n"/>
      <c r="I740" s="58" t="n"/>
      <c r="J740" s="55" t="n"/>
      <c r="K740" s="55" t="n"/>
      <c r="L740">
        <f>IF(OR(A740="",B740=""),"",_xlfn.MAXIFS(TrocasEquip!$A$2:$A$1000,TrocasEquip!$B$2:$B$1000,B740,TrocasEquip!$A$2:$A$1000,"&lt;"&amp;A740))</f>
        <v/>
      </c>
      <c r="M740">
        <f>IF(N(L740)=0,0,MATCH(1,INDEX((TrocasEquip!$B$2:$B$1000=B740)*(TrocasEquip!$A$2:$A$1000=L740),0),0))</f>
        <v/>
      </c>
      <c r="N740">
        <f>IF(B740="","",IFERROR(MATCH(B740,Equipamentos!$P$2:$P$61,0),""))</f>
        <v/>
      </c>
      <c r="O740">
        <f>IF(N740="","",IF(M740=0,INDEX(Equipamentos!$U$2:$U$61,N740),L740))</f>
        <v/>
      </c>
      <c r="P740">
        <f>IF(N740="","",IF(M740=0,N(INDEX(Equipamentos!$V$2:$V$61,N740)),N(INDEX(TrocasEquip!$I$2:$I$1000,M740))))</f>
        <v/>
      </c>
      <c r="Q740">
        <f>IF(N740="","",IF(M740=0,INDEX(Equipamentos!$T$2:$T$61,N740),IF(INDEX(TrocasEquip!$H$2:$H$1000,M740)="",INDEX(Equipamentos!$T$2:$T$61,N740),INDEX(TrocasEquip!$H$2:$H$1000,M740))))</f>
        <v/>
      </c>
    </row>
    <row r="741">
      <c r="A741" s="54" t="n"/>
      <c r="B741" s="55" t="n"/>
      <c r="C741">
        <f>IF(B741="","",IF(N741="","posição não encontrada",IF(M741=0,INDEX(Equipamentos!$S$2:$S$61,N741),INDEX(TrocasEquip!$G$2:$G$1000,M741))))</f>
        <v/>
      </c>
      <c r="D741" s="56">
        <f>IF(OR(A741="",N741=""),"",P741+IF(E741="dias",MAX(0,A741-O741),IF(INDEX(Equipamentos!$D$2:$D$61,N741)=2,SUMIFS(Producao!$D:$D,Producao!$A:$A,"&gt;="&amp;O741,Producao!$A:$A,"&lt;"&amp;A741),IF(INDEX(Equipamentos!$D$2:$D$61,N741)=3,SUMIFS(Producao!$E:$E,Producao!$A:$A,"&gt;="&amp;O741,Producao!$A:$A,"&lt;"&amp;A741),SUMIFS(Producao!$B:$B,Producao!$A:$A,"&gt;="&amp;O741,Producao!$A:$A,"&lt;"&amp;A741)))))</f>
        <v/>
      </c>
      <c r="E741">
        <f>IF(N741="","",INDEX(Equipamentos!$C$2:$C$61,N741))</f>
        <v/>
      </c>
      <c r="F741" s="57">
        <f>IF(OR(D741="",N(Q741)&lt;=0),"",D741/Q741)</f>
        <v/>
      </c>
      <c r="G741" s="55" t="n"/>
      <c r="H741" s="58" t="n"/>
      <c r="I741" s="58" t="n"/>
      <c r="J741" s="55" t="n"/>
      <c r="K741" s="55" t="n"/>
      <c r="L741">
        <f>IF(OR(A741="",B741=""),"",_xlfn.MAXIFS(TrocasEquip!$A$2:$A$1000,TrocasEquip!$B$2:$B$1000,B741,TrocasEquip!$A$2:$A$1000,"&lt;"&amp;A741))</f>
        <v/>
      </c>
      <c r="M741">
        <f>IF(N(L741)=0,0,MATCH(1,INDEX((TrocasEquip!$B$2:$B$1000=B741)*(TrocasEquip!$A$2:$A$1000=L741),0),0))</f>
        <v/>
      </c>
      <c r="N741">
        <f>IF(B741="","",IFERROR(MATCH(B741,Equipamentos!$P$2:$P$61,0),""))</f>
        <v/>
      </c>
      <c r="O741">
        <f>IF(N741="","",IF(M741=0,INDEX(Equipamentos!$U$2:$U$61,N741),L741))</f>
        <v/>
      </c>
      <c r="P741">
        <f>IF(N741="","",IF(M741=0,N(INDEX(Equipamentos!$V$2:$V$61,N741)),N(INDEX(TrocasEquip!$I$2:$I$1000,M741))))</f>
        <v/>
      </c>
      <c r="Q741">
        <f>IF(N741="","",IF(M741=0,INDEX(Equipamentos!$T$2:$T$61,N741),IF(INDEX(TrocasEquip!$H$2:$H$1000,M741)="",INDEX(Equipamentos!$T$2:$T$61,N741),INDEX(TrocasEquip!$H$2:$H$1000,M741))))</f>
        <v/>
      </c>
    </row>
    <row r="742">
      <c r="A742" s="54" t="n"/>
      <c r="B742" s="55" t="n"/>
      <c r="C742">
        <f>IF(B742="","",IF(N742="","posição não encontrada",IF(M742=0,INDEX(Equipamentos!$S$2:$S$61,N742),INDEX(TrocasEquip!$G$2:$G$1000,M742))))</f>
        <v/>
      </c>
      <c r="D742" s="56">
        <f>IF(OR(A742="",N742=""),"",P742+IF(E742="dias",MAX(0,A742-O742),IF(INDEX(Equipamentos!$D$2:$D$61,N742)=2,SUMIFS(Producao!$D:$D,Producao!$A:$A,"&gt;="&amp;O742,Producao!$A:$A,"&lt;"&amp;A742),IF(INDEX(Equipamentos!$D$2:$D$61,N742)=3,SUMIFS(Producao!$E:$E,Producao!$A:$A,"&gt;="&amp;O742,Producao!$A:$A,"&lt;"&amp;A742),SUMIFS(Producao!$B:$B,Producao!$A:$A,"&gt;="&amp;O742,Producao!$A:$A,"&lt;"&amp;A742)))))</f>
        <v/>
      </c>
      <c r="E742">
        <f>IF(N742="","",INDEX(Equipamentos!$C$2:$C$61,N742))</f>
        <v/>
      </c>
      <c r="F742" s="57">
        <f>IF(OR(D742="",N(Q742)&lt;=0),"",D742/Q742)</f>
        <v/>
      </c>
      <c r="G742" s="55" t="n"/>
      <c r="H742" s="58" t="n"/>
      <c r="I742" s="58" t="n"/>
      <c r="J742" s="55" t="n"/>
      <c r="K742" s="55" t="n"/>
      <c r="L742">
        <f>IF(OR(A742="",B742=""),"",_xlfn.MAXIFS(TrocasEquip!$A$2:$A$1000,TrocasEquip!$B$2:$B$1000,B742,TrocasEquip!$A$2:$A$1000,"&lt;"&amp;A742))</f>
        <v/>
      </c>
      <c r="M742">
        <f>IF(N(L742)=0,0,MATCH(1,INDEX((TrocasEquip!$B$2:$B$1000=B742)*(TrocasEquip!$A$2:$A$1000=L742),0),0))</f>
        <v/>
      </c>
      <c r="N742">
        <f>IF(B742="","",IFERROR(MATCH(B742,Equipamentos!$P$2:$P$61,0),""))</f>
        <v/>
      </c>
      <c r="O742">
        <f>IF(N742="","",IF(M742=0,INDEX(Equipamentos!$U$2:$U$61,N742),L742))</f>
        <v/>
      </c>
      <c r="P742">
        <f>IF(N742="","",IF(M742=0,N(INDEX(Equipamentos!$V$2:$V$61,N742)),N(INDEX(TrocasEquip!$I$2:$I$1000,M742))))</f>
        <v/>
      </c>
      <c r="Q742">
        <f>IF(N742="","",IF(M742=0,INDEX(Equipamentos!$T$2:$T$61,N742),IF(INDEX(TrocasEquip!$H$2:$H$1000,M742)="",INDEX(Equipamentos!$T$2:$T$61,N742),INDEX(TrocasEquip!$H$2:$H$1000,M742))))</f>
        <v/>
      </c>
    </row>
    <row r="743">
      <c r="A743" s="54" t="n"/>
      <c r="B743" s="55" t="n"/>
      <c r="C743">
        <f>IF(B743="","",IF(N743="","posição não encontrada",IF(M743=0,INDEX(Equipamentos!$S$2:$S$61,N743),INDEX(TrocasEquip!$G$2:$G$1000,M743))))</f>
        <v/>
      </c>
      <c r="D743" s="56">
        <f>IF(OR(A743="",N743=""),"",P743+IF(E743="dias",MAX(0,A743-O743),IF(INDEX(Equipamentos!$D$2:$D$61,N743)=2,SUMIFS(Producao!$D:$D,Producao!$A:$A,"&gt;="&amp;O743,Producao!$A:$A,"&lt;"&amp;A743),IF(INDEX(Equipamentos!$D$2:$D$61,N743)=3,SUMIFS(Producao!$E:$E,Producao!$A:$A,"&gt;="&amp;O743,Producao!$A:$A,"&lt;"&amp;A743),SUMIFS(Producao!$B:$B,Producao!$A:$A,"&gt;="&amp;O743,Producao!$A:$A,"&lt;"&amp;A743)))))</f>
        <v/>
      </c>
      <c r="E743">
        <f>IF(N743="","",INDEX(Equipamentos!$C$2:$C$61,N743))</f>
        <v/>
      </c>
      <c r="F743" s="57">
        <f>IF(OR(D743="",N(Q743)&lt;=0),"",D743/Q743)</f>
        <v/>
      </c>
      <c r="G743" s="55" t="n"/>
      <c r="H743" s="58" t="n"/>
      <c r="I743" s="58" t="n"/>
      <c r="J743" s="55" t="n"/>
      <c r="K743" s="55" t="n"/>
      <c r="L743">
        <f>IF(OR(A743="",B743=""),"",_xlfn.MAXIFS(TrocasEquip!$A$2:$A$1000,TrocasEquip!$B$2:$B$1000,B743,TrocasEquip!$A$2:$A$1000,"&lt;"&amp;A743))</f>
        <v/>
      </c>
      <c r="M743">
        <f>IF(N(L743)=0,0,MATCH(1,INDEX((TrocasEquip!$B$2:$B$1000=B743)*(TrocasEquip!$A$2:$A$1000=L743),0),0))</f>
        <v/>
      </c>
      <c r="N743">
        <f>IF(B743="","",IFERROR(MATCH(B743,Equipamentos!$P$2:$P$61,0),""))</f>
        <v/>
      </c>
      <c r="O743">
        <f>IF(N743="","",IF(M743=0,INDEX(Equipamentos!$U$2:$U$61,N743),L743))</f>
        <v/>
      </c>
      <c r="P743">
        <f>IF(N743="","",IF(M743=0,N(INDEX(Equipamentos!$V$2:$V$61,N743)),N(INDEX(TrocasEquip!$I$2:$I$1000,M743))))</f>
        <v/>
      </c>
      <c r="Q743">
        <f>IF(N743="","",IF(M743=0,INDEX(Equipamentos!$T$2:$T$61,N743),IF(INDEX(TrocasEquip!$H$2:$H$1000,M743)="",INDEX(Equipamentos!$T$2:$T$61,N743),INDEX(TrocasEquip!$H$2:$H$1000,M743))))</f>
        <v/>
      </c>
    </row>
    <row r="744">
      <c r="A744" s="54" t="n"/>
      <c r="B744" s="55" t="n"/>
      <c r="C744">
        <f>IF(B744="","",IF(N744="","posição não encontrada",IF(M744=0,INDEX(Equipamentos!$S$2:$S$61,N744),INDEX(TrocasEquip!$G$2:$G$1000,M744))))</f>
        <v/>
      </c>
      <c r="D744" s="56">
        <f>IF(OR(A744="",N744=""),"",P744+IF(E744="dias",MAX(0,A744-O744),IF(INDEX(Equipamentos!$D$2:$D$61,N744)=2,SUMIFS(Producao!$D:$D,Producao!$A:$A,"&gt;="&amp;O744,Producao!$A:$A,"&lt;"&amp;A744),IF(INDEX(Equipamentos!$D$2:$D$61,N744)=3,SUMIFS(Producao!$E:$E,Producao!$A:$A,"&gt;="&amp;O744,Producao!$A:$A,"&lt;"&amp;A744),SUMIFS(Producao!$B:$B,Producao!$A:$A,"&gt;="&amp;O744,Producao!$A:$A,"&lt;"&amp;A744)))))</f>
        <v/>
      </c>
      <c r="E744">
        <f>IF(N744="","",INDEX(Equipamentos!$C$2:$C$61,N744))</f>
        <v/>
      </c>
      <c r="F744" s="57">
        <f>IF(OR(D744="",N(Q744)&lt;=0),"",D744/Q744)</f>
        <v/>
      </c>
      <c r="G744" s="55" t="n"/>
      <c r="H744" s="58" t="n"/>
      <c r="I744" s="58" t="n"/>
      <c r="J744" s="55" t="n"/>
      <c r="K744" s="55" t="n"/>
      <c r="L744">
        <f>IF(OR(A744="",B744=""),"",_xlfn.MAXIFS(TrocasEquip!$A$2:$A$1000,TrocasEquip!$B$2:$B$1000,B744,TrocasEquip!$A$2:$A$1000,"&lt;"&amp;A744))</f>
        <v/>
      </c>
      <c r="M744">
        <f>IF(N(L744)=0,0,MATCH(1,INDEX((TrocasEquip!$B$2:$B$1000=B744)*(TrocasEquip!$A$2:$A$1000=L744),0),0))</f>
        <v/>
      </c>
      <c r="N744">
        <f>IF(B744="","",IFERROR(MATCH(B744,Equipamentos!$P$2:$P$61,0),""))</f>
        <v/>
      </c>
      <c r="O744">
        <f>IF(N744="","",IF(M744=0,INDEX(Equipamentos!$U$2:$U$61,N744),L744))</f>
        <v/>
      </c>
      <c r="P744">
        <f>IF(N744="","",IF(M744=0,N(INDEX(Equipamentos!$V$2:$V$61,N744)),N(INDEX(TrocasEquip!$I$2:$I$1000,M744))))</f>
        <v/>
      </c>
      <c r="Q744">
        <f>IF(N744="","",IF(M744=0,INDEX(Equipamentos!$T$2:$T$61,N744),IF(INDEX(TrocasEquip!$H$2:$H$1000,M744)="",INDEX(Equipamentos!$T$2:$T$61,N744),INDEX(TrocasEquip!$H$2:$H$1000,M744))))</f>
        <v/>
      </c>
    </row>
    <row r="745">
      <c r="A745" s="54" t="n"/>
      <c r="B745" s="55" t="n"/>
      <c r="C745">
        <f>IF(B745="","",IF(N745="","posição não encontrada",IF(M745=0,INDEX(Equipamentos!$S$2:$S$61,N745),INDEX(TrocasEquip!$G$2:$G$1000,M745))))</f>
        <v/>
      </c>
      <c r="D745" s="56">
        <f>IF(OR(A745="",N745=""),"",P745+IF(E745="dias",MAX(0,A745-O745),IF(INDEX(Equipamentos!$D$2:$D$61,N745)=2,SUMIFS(Producao!$D:$D,Producao!$A:$A,"&gt;="&amp;O745,Producao!$A:$A,"&lt;"&amp;A745),IF(INDEX(Equipamentos!$D$2:$D$61,N745)=3,SUMIFS(Producao!$E:$E,Producao!$A:$A,"&gt;="&amp;O745,Producao!$A:$A,"&lt;"&amp;A745),SUMIFS(Producao!$B:$B,Producao!$A:$A,"&gt;="&amp;O745,Producao!$A:$A,"&lt;"&amp;A745)))))</f>
        <v/>
      </c>
      <c r="E745">
        <f>IF(N745="","",INDEX(Equipamentos!$C$2:$C$61,N745))</f>
        <v/>
      </c>
      <c r="F745" s="57">
        <f>IF(OR(D745="",N(Q745)&lt;=0),"",D745/Q745)</f>
        <v/>
      </c>
      <c r="G745" s="55" t="n"/>
      <c r="H745" s="58" t="n"/>
      <c r="I745" s="58" t="n"/>
      <c r="J745" s="55" t="n"/>
      <c r="K745" s="55" t="n"/>
      <c r="L745">
        <f>IF(OR(A745="",B745=""),"",_xlfn.MAXIFS(TrocasEquip!$A$2:$A$1000,TrocasEquip!$B$2:$B$1000,B745,TrocasEquip!$A$2:$A$1000,"&lt;"&amp;A745))</f>
        <v/>
      </c>
      <c r="M745">
        <f>IF(N(L745)=0,0,MATCH(1,INDEX((TrocasEquip!$B$2:$B$1000=B745)*(TrocasEquip!$A$2:$A$1000=L745),0),0))</f>
        <v/>
      </c>
      <c r="N745">
        <f>IF(B745="","",IFERROR(MATCH(B745,Equipamentos!$P$2:$P$61,0),""))</f>
        <v/>
      </c>
      <c r="O745">
        <f>IF(N745="","",IF(M745=0,INDEX(Equipamentos!$U$2:$U$61,N745),L745))</f>
        <v/>
      </c>
      <c r="P745">
        <f>IF(N745="","",IF(M745=0,N(INDEX(Equipamentos!$V$2:$V$61,N745)),N(INDEX(TrocasEquip!$I$2:$I$1000,M745))))</f>
        <v/>
      </c>
      <c r="Q745">
        <f>IF(N745="","",IF(M745=0,INDEX(Equipamentos!$T$2:$T$61,N745),IF(INDEX(TrocasEquip!$H$2:$H$1000,M745)="",INDEX(Equipamentos!$T$2:$T$61,N745),INDEX(TrocasEquip!$H$2:$H$1000,M745))))</f>
        <v/>
      </c>
    </row>
    <row r="746">
      <c r="A746" s="54" t="n"/>
      <c r="B746" s="55" t="n"/>
      <c r="C746">
        <f>IF(B746="","",IF(N746="","posição não encontrada",IF(M746=0,INDEX(Equipamentos!$S$2:$S$61,N746),INDEX(TrocasEquip!$G$2:$G$1000,M746))))</f>
        <v/>
      </c>
      <c r="D746" s="56">
        <f>IF(OR(A746="",N746=""),"",P746+IF(E746="dias",MAX(0,A746-O746),IF(INDEX(Equipamentos!$D$2:$D$61,N746)=2,SUMIFS(Producao!$D:$D,Producao!$A:$A,"&gt;="&amp;O746,Producao!$A:$A,"&lt;"&amp;A746),IF(INDEX(Equipamentos!$D$2:$D$61,N746)=3,SUMIFS(Producao!$E:$E,Producao!$A:$A,"&gt;="&amp;O746,Producao!$A:$A,"&lt;"&amp;A746),SUMIFS(Producao!$B:$B,Producao!$A:$A,"&gt;="&amp;O746,Producao!$A:$A,"&lt;"&amp;A746)))))</f>
        <v/>
      </c>
      <c r="E746">
        <f>IF(N746="","",INDEX(Equipamentos!$C$2:$C$61,N746))</f>
        <v/>
      </c>
      <c r="F746" s="57">
        <f>IF(OR(D746="",N(Q746)&lt;=0),"",D746/Q746)</f>
        <v/>
      </c>
      <c r="G746" s="55" t="n"/>
      <c r="H746" s="58" t="n"/>
      <c r="I746" s="58" t="n"/>
      <c r="J746" s="55" t="n"/>
      <c r="K746" s="55" t="n"/>
      <c r="L746">
        <f>IF(OR(A746="",B746=""),"",_xlfn.MAXIFS(TrocasEquip!$A$2:$A$1000,TrocasEquip!$B$2:$B$1000,B746,TrocasEquip!$A$2:$A$1000,"&lt;"&amp;A746))</f>
        <v/>
      </c>
      <c r="M746">
        <f>IF(N(L746)=0,0,MATCH(1,INDEX((TrocasEquip!$B$2:$B$1000=B746)*(TrocasEquip!$A$2:$A$1000=L746),0),0))</f>
        <v/>
      </c>
      <c r="N746">
        <f>IF(B746="","",IFERROR(MATCH(B746,Equipamentos!$P$2:$P$61,0),""))</f>
        <v/>
      </c>
      <c r="O746">
        <f>IF(N746="","",IF(M746=0,INDEX(Equipamentos!$U$2:$U$61,N746),L746))</f>
        <v/>
      </c>
      <c r="P746">
        <f>IF(N746="","",IF(M746=0,N(INDEX(Equipamentos!$V$2:$V$61,N746)),N(INDEX(TrocasEquip!$I$2:$I$1000,M746))))</f>
        <v/>
      </c>
      <c r="Q746">
        <f>IF(N746="","",IF(M746=0,INDEX(Equipamentos!$T$2:$T$61,N746),IF(INDEX(TrocasEquip!$H$2:$H$1000,M746)="",INDEX(Equipamentos!$T$2:$T$61,N746),INDEX(TrocasEquip!$H$2:$H$1000,M746))))</f>
        <v/>
      </c>
    </row>
    <row r="747">
      <c r="A747" s="54" t="n"/>
      <c r="B747" s="55" t="n"/>
      <c r="C747">
        <f>IF(B747="","",IF(N747="","posição não encontrada",IF(M747=0,INDEX(Equipamentos!$S$2:$S$61,N747),INDEX(TrocasEquip!$G$2:$G$1000,M747))))</f>
        <v/>
      </c>
      <c r="D747" s="56">
        <f>IF(OR(A747="",N747=""),"",P747+IF(E747="dias",MAX(0,A747-O747),IF(INDEX(Equipamentos!$D$2:$D$61,N747)=2,SUMIFS(Producao!$D:$D,Producao!$A:$A,"&gt;="&amp;O747,Producao!$A:$A,"&lt;"&amp;A747),IF(INDEX(Equipamentos!$D$2:$D$61,N747)=3,SUMIFS(Producao!$E:$E,Producao!$A:$A,"&gt;="&amp;O747,Producao!$A:$A,"&lt;"&amp;A747),SUMIFS(Producao!$B:$B,Producao!$A:$A,"&gt;="&amp;O747,Producao!$A:$A,"&lt;"&amp;A747)))))</f>
        <v/>
      </c>
      <c r="E747">
        <f>IF(N747="","",INDEX(Equipamentos!$C$2:$C$61,N747))</f>
        <v/>
      </c>
      <c r="F747" s="57">
        <f>IF(OR(D747="",N(Q747)&lt;=0),"",D747/Q747)</f>
        <v/>
      </c>
      <c r="G747" s="55" t="n"/>
      <c r="H747" s="58" t="n"/>
      <c r="I747" s="58" t="n"/>
      <c r="J747" s="55" t="n"/>
      <c r="K747" s="55" t="n"/>
      <c r="L747">
        <f>IF(OR(A747="",B747=""),"",_xlfn.MAXIFS(TrocasEquip!$A$2:$A$1000,TrocasEquip!$B$2:$B$1000,B747,TrocasEquip!$A$2:$A$1000,"&lt;"&amp;A747))</f>
        <v/>
      </c>
      <c r="M747">
        <f>IF(N(L747)=0,0,MATCH(1,INDEX((TrocasEquip!$B$2:$B$1000=B747)*(TrocasEquip!$A$2:$A$1000=L747),0),0))</f>
        <v/>
      </c>
      <c r="N747">
        <f>IF(B747="","",IFERROR(MATCH(B747,Equipamentos!$P$2:$P$61,0),""))</f>
        <v/>
      </c>
      <c r="O747">
        <f>IF(N747="","",IF(M747=0,INDEX(Equipamentos!$U$2:$U$61,N747),L747))</f>
        <v/>
      </c>
      <c r="P747">
        <f>IF(N747="","",IF(M747=0,N(INDEX(Equipamentos!$V$2:$V$61,N747)),N(INDEX(TrocasEquip!$I$2:$I$1000,M747))))</f>
        <v/>
      </c>
      <c r="Q747">
        <f>IF(N747="","",IF(M747=0,INDEX(Equipamentos!$T$2:$T$61,N747),IF(INDEX(TrocasEquip!$H$2:$H$1000,M747)="",INDEX(Equipamentos!$T$2:$T$61,N747),INDEX(TrocasEquip!$H$2:$H$1000,M747))))</f>
        <v/>
      </c>
    </row>
    <row r="748">
      <c r="A748" s="54" t="n"/>
      <c r="B748" s="55" t="n"/>
      <c r="C748">
        <f>IF(B748="","",IF(N748="","posição não encontrada",IF(M748=0,INDEX(Equipamentos!$S$2:$S$61,N748),INDEX(TrocasEquip!$G$2:$G$1000,M748))))</f>
        <v/>
      </c>
      <c r="D748" s="56">
        <f>IF(OR(A748="",N748=""),"",P748+IF(E748="dias",MAX(0,A748-O748),IF(INDEX(Equipamentos!$D$2:$D$61,N748)=2,SUMIFS(Producao!$D:$D,Producao!$A:$A,"&gt;="&amp;O748,Producao!$A:$A,"&lt;"&amp;A748),IF(INDEX(Equipamentos!$D$2:$D$61,N748)=3,SUMIFS(Producao!$E:$E,Producao!$A:$A,"&gt;="&amp;O748,Producao!$A:$A,"&lt;"&amp;A748),SUMIFS(Producao!$B:$B,Producao!$A:$A,"&gt;="&amp;O748,Producao!$A:$A,"&lt;"&amp;A748)))))</f>
        <v/>
      </c>
      <c r="E748">
        <f>IF(N748="","",INDEX(Equipamentos!$C$2:$C$61,N748))</f>
        <v/>
      </c>
      <c r="F748" s="57">
        <f>IF(OR(D748="",N(Q748)&lt;=0),"",D748/Q748)</f>
        <v/>
      </c>
      <c r="G748" s="55" t="n"/>
      <c r="H748" s="58" t="n"/>
      <c r="I748" s="58" t="n"/>
      <c r="J748" s="55" t="n"/>
      <c r="K748" s="55" t="n"/>
      <c r="L748">
        <f>IF(OR(A748="",B748=""),"",_xlfn.MAXIFS(TrocasEquip!$A$2:$A$1000,TrocasEquip!$B$2:$B$1000,B748,TrocasEquip!$A$2:$A$1000,"&lt;"&amp;A748))</f>
        <v/>
      </c>
      <c r="M748">
        <f>IF(N(L748)=0,0,MATCH(1,INDEX((TrocasEquip!$B$2:$B$1000=B748)*(TrocasEquip!$A$2:$A$1000=L748),0),0))</f>
        <v/>
      </c>
      <c r="N748">
        <f>IF(B748="","",IFERROR(MATCH(B748,Equipamentos!$P$2:$P$61,0),""))</f>
        <v/>
      </c>
      <c r="O748">
        <f>IF(N748="","",IF(M748=0,INDEX(Equipamentos!$U$2:$U$61,N748),L748))</f>
        <v/>
      </c>
      <c r="P748">
        <f>IF(N748="","",IF(M748=0,N(INDEX(Equipamentos!$V$2:$V$61,N748)),N(INDEX(TrocasEquip!$I$2:$I$1000,M748))))</f>
        <v/>
      </c>
      <c r="Q748">
        <f>IF(N748="","",IF(M748=0,INDEX(Equipamentos!$T$2:$T$61,N748),IF(INDEX(TrocasEquip!$H$2:$H$1000,M748)="",INDEX(Equipamentos!$T$2:$T$61,N748),INDEX(TrocasEquip!$H$2:$H$1000,M748))))</f>
        <v/>
      </c>
    </row>
    <row r="749">
      <c r="A749" s="54" t="n"/>
      <c r="B749" s="55" t="n"/>
      <c r="C749">
        <f>IF(B749="","",IF(N749="","posição não encontrada",IF(M749=0,INDEX(Equipamentos!$S$2:$S$61,N749),INDEX(TrocasEquip!$G$2:$G$1000,M749))))</f>
        <v/>
      </c>
      <c r="D749" s="56">
        <f>IF(OR(A749="",N749=""),"",P749+IF(E749="dias",MAX(0,A749-O749),IF(INDEX(Equipamentos!$D$2:$D$61,N749)=2,SUMIFS(Producao!$D:$D,Producao!$A:$A,"&gt;="&amp;O749,Producao!$A:$A,"&lt;"&amp;A749),IF(INDEX(Equipamentos!$D$2:$D$61,N749)=3,SUMIFS(Producao!$E:$E,Producao!$A:$A,"&gt;="&amp;O749,Producao!$A:$A,"&lt;"&amp;A749),SUMIFS(Producao!$B:$B,Producao!$A:$A,"&gt;="&amp;O749,Producao!$A:$A,"&lt;"&amp;A749)))))</f>
        <v/>
      </c>
      <c r="E749">
        <f>IF(N749="","",INDEX(Equipamentos!$C$2:$C$61,N749))</f>
        <v/>
      </c>
      <c r="F749" s="57">
        <f>IF(OR(D749="",N(Q749)&lt;=0),"",D749/Q749)</f>
        <v/>
      </c>
      <c r="G749" s="55" t="n"/>
      <c r="H749" s="58" t="n"/>
      <c r="I749" s="58" t="n"/>
      <c r="J749" s="55" t="n"/>
      <c r="K749" s="55" t="n"/>
      <c r="L749">
        <f>IF(OR(A749="",B749=""),"",_xlfn.MAXIFS(TrocasEquip!$A$2:$A$1000,TrocasEquip!$B$2:$B$1000,B749,TrocasEquip!$A$2:$A$1000,"&lt;"&amp;A749))</f>
        <v/>
      </c>
      <c r="M749">
        <f>IF(N(L749)=0,0,MATCH(1,INDEX((TrocasEquip!$B$2:$B$1000=B749)*(TrocasEquip!$A$2:$A$1000=L749),0),0))</f>
        <v/>
      </c>
      <c r="N749">
        <f>IF(B749="","",IFERROR(MATCH(B749,Equipamentos!$P$2:$P$61,0),""))</f>
        <v/>
      </c>
      <c r="O749">
        <f>IF(N749="","",IF(M749=0,INDEX(Equipamentos!$U$2:$U$61,N749),L749))</f>
        <v/>
      </c>
      <c r="P749">
        <f>IF(N749="","",IF(M749=0,N(INDEX(Equipamentos!$V$2:$V$61,N749)),N(INDEX(TrocasEquip!$I$2:$I$1000,M749))))</f>
        <v/>
      </c>
      <c r="Q749">
        <f>IF(N749="","",IF(M749=0,INDEX(Equipamentos!$T$2:$T$61,N749),IF(INDEX(TrocasEquip!$H$2:$H$1000,M749)="",INDEX(Equipamentos!$T$2:$T$61,N749),INDEX(TrocasEquip!$H$2:$H$1000,M749))))</f>
        <v/>
      </c>
    </row>
    <row r="750">
      <c r="A750" s="54" t="n"/>
      <c r="B750" s="55" t="n"/>
      <c r="C750">
        <f>IF(B750="","",IF(N750="","posição não encontrada",IF(M750=0,INDEX(Equipamentos!$S$2:$S$61,N750),INDEX(TrocasEquip!$G$2:$G$1000,M750))))</f>
        <v/>
      </c>
      <c r="D750" s="56">
        <f>IF(OR(A750="",N750=""),"",P750+IF(E750="dias",MAX(0,A750-O750),IF(INDEX(Equipamentos!$D$2:$D$61,N750)=2,SUMIFS(Producao!$D:$D,Producao!$A:$A,"&gt;="&amp;O750,Producao!$A:$A,"&lt;"&amp;A750),IF(INDEX(Equipamentos!$D$2:$D$61,N750)=3,SUMIFS(Producao!$E:$E,Producao!$A:$A,"&gt;="&amp;O750,Producao!$A:$A,"&lt;"&amp;A750),SUMIFS(Producao!$B:$B,Producao!$A:$A,"&gt;="&amp;O750,Producao!$A:$A,"&lt;"&amp;A750)))))</f>
        <v/>
      </c>
      <c r="E750">
        <f>IF(N750="","",INDEX(Equipamentos!$C$2:$C$61,N750))</f>
        <v/>
      </c>
      <c r="F750" s="57">
        <f>IF(OR(D750="",N(Q750)&lt;=0),"",D750/Q750)</f>
        <v/>
      </c>
      <c r="G750" s="55" t="n"/>
      <c r="H750" s="58" t="n"/>
      <c r="I750" s="58" t="n"/>
      <c r="J750" s="55" t="n"/>
      <c r="K750" s="55" t="n"/>
      <c r="L750">
        <f>IF(OR(A750="",B750=""),"",_xlfn.MAXIFS(TrocasEquip!$A$2:$A$1000,TrocasEquip!$B$2:$B$1000,B750,TrocasEquip!$A$2:$A$1000,"&lt;"&amp;A750))</f>
        <v/>
      </c>
      <c r="M750">
        <f>IF(N(L750)=0,0,MATCH(1,INDEX((TrocasEquip!$B$2:$B$1000=B750)*(TrocasEquip!$A$2:$A$1000=L750),0),0))</f>
        <v/>
      </c>
      <c r="N750">
        <f>IF(B750="","",IFERROR(MATCH(B750,Equipamentos!$P$2:$P$61,0),""))</f>
        <v/>
      </c>
      <c r="O750">
        <f>IF(N750="","",IF(M750=0,INDEX(Equipamentos!$U$2:$U$61,N750),L750))</f>
        <v/>
      </c>
      <c r="P750">
        <f>IF(N750="","",IF(M750=0,N(INDEX(Equipamentos!$V$2:$V$61,N750)),N(INDEX(TrocasEquip!$I$2:$I$1000,M750))))</f>
        <v/>
      </c>
      <c r="Q750">
        <f>IF(N750="","",IF(M750=0,INDEX(Equipamentos!$T$2:$T$61,N750),IF(INDEX(TrocasEquip!$H$2:$H$1000,M750)="",INDEX(Equipamentos!$T$2:$T$61,N750),INDEX(TrocasEquip!$H$2:$H$1000,M750))))</f>
        <v/>
      </c>
    </row>
    <row r="751">
      <c r="A751" s="54" t="n"/>
      <c r="B751" s="55" t="n"/>
      <c r="C751">
        <f>IF(B751="","",IF(N751="","posição não encontrada",IF(M751=0,INDEX(Equipamentos!$S$2:$S$61,N751),INDEX(TrocasEquip!$G$2:$G$1000,M751))))</f>
        <v/>
      </c>
      <c r="D751" s="56">
        <f>IF(OR(A751="",N751=""),"",P751+IF(E751="dias",MAX(0,A751-O751),IF(INDEX(Equipamentos!$D$2:$D$61,N751)=2,SUMIFS(Producao!$D:$D,Producao!$A:$A,"&gt;="&amp;O751,Producao!$A:$A,"&lt;"&amp;A751),IF(INDEX(Equipamentos!$D$2:$D$61,N751)=3,SUMIFS(Producao!$E:$E,Producao!$A:$A,"&gt;="&amp;O751,Producao!$A:$A,"&lt;"&amp;A751),SUMIFS(Producao!$B:$B,Producao!$A:$A,"&gt;="&amp;O751,Producao!$A:$A,"&lt;"&amp;A751)))))</f>
        <v/>
      </c>
      <c r="E751">
        <f>IF(N751="","",INDEX(Equipamentos!$C$2:$C$61,N751))</f>
        <v/>
      </c>
      <c r="F751" s="57">
        <f>IF(OR(D751="",N(Q751)&lt;=0),"",D751/Q751)</f>
        <v/>
      </c>
      <c r="G751" s="55" t="n"/>
      <c r="H751" s="58" t="n"/>
      <c r="I751" s="58" t="n"/>
      <c r="J751" s="55" t="n"/>
      <c r="K751" s="55" t="n"/>
      <c r="L751">
        <f>IF(OR(A751="",B751=""),"",_xlfn.MAXIFS(TrocasEquip!$A$2:$A$1000,TrocasEquip!$B$2:$B$1000,B751,TrocasEquip!$A$2:$A$1000,"&lt;"&amp;A751))</f>
        <v/>
      </c>
      <c r="M751">
        <f>IF(N(L751)=0,0,MATCH(1,INDEX((TrocasEquip!$B$2:$B$1000=B751)*(TrocasEquip!$A$2:$A$1000=L751),0),0))</f>
        <v/>
      </c>
      <c r="N751">
        <f>IF(B751="","",IFERROR(MATCH(B751,Equipamentos!$P$2:$P$61,0),""))</f>
        <v/>
      </c>
      <c r="O751">
        <f>IF(N751="","",IF(M751=0,INDEX(Equipamentos!$U$2:$U$61,N751),L751))</f>
        <v/>
      </c>
      <c r="P751">
        <f>IF(N751="","",IF(M751=0,N(INDEX(Equipamentos!$V$2:$V$61,N751)),N(INDEX(TrocasEquip!$I$2:$I$1000,M751))))</f>
        <v/>
      </c>
      <c r="Q751">
        <f>IF(N751="","",IF(M751=0,INDEX(Equipamentos!$T$2:$T$61,N751),IF(INDEX(TrocasEquip!$H$2:$H$1000,M751)="",INDEX(Equipamentos!$T$2:$T$61,N751),INDEX(TrocasEquip!$H$2:$H$1000,M751))))</f>
        <v/>
      </c>
    </row>
    <row r="752">
      <c r="A752" s="54" t="n"/>
      <c r="B752" s="55" t="n"/>
      <c r="C752">
        <f>IF(B752="","",IF(N752="","posição não encontrada",IF(M752=0,INDEX(Equipamentos!$S$2:$S$61,N752),INDEX(TrocasEquip!$G$2:$G$1000,M752))))</f>
        <v/>
      </c>
      <c r="D752" s="56">
        <f>IF(OR(A752="",N752=""),"",P752+IF(E752="dias",MAX(0,A752-O752),IF(INDEX(Equipamentos!$D$2:$D$61,N752)=2,SUMIFS(Producao!$D:$D,Producao!$A:$A,"&gt;="&amp;O752,Producao!$A:$A,"&lt;"&amp;A752),IF(INDEX(Equipamentos!$D$2:$D$61,N752)=3,SUMIFS(Producao!$E:$E,Producao!$A:$A,"&gt;="&amp;O752,Producao!$A:$A,"&lt;"&amp;A752),SUMIFS(Producao!$B:$B,Producao!$A:$A,"&gt;="&amp;O752,Producao!$A:$A,"&lt;"&amp;A752)))))</f>
        <v/>
      </c>
      <c r="E752">
        <f>IF(N752="","",INDEX(Equipamentos!$C$2:$C$61,N752))</f>
        <v/>
      </c>
      <c r="F752" s="57">
        <f>IF(OR(D752="",N(Q752)&lt;=0),"",D752/Q752)</f>
        <v/>
      </c>
      <c r="G752" s="55" t="n"/>
      <c r="H752" s="58" t="n"/>
      <c r="I752" s="58" t="n"/>
      <c r="J752" s="55" t="n"/>
      <c r="K752" s="55" t="n"/>
      <c r="L752">
        <f>IF(OR(A752="",B752=""),"",_xlfn.MAXIFS(TrocasEquip!$A$2:$A$1000,TrocasEquip!$B$2:$B$1000,B752,TrocasEquip!$A$2:$A$1000,"&lt;"&amp;A752))</f>
        <v/>
      </c>
      <c r="M752">
        <f>IF(N(L752)=0,0,MATCH(1,INDEX((TrocasEquip!$B$2:$B$1000=B752)*(TrocasEquip!$A$2:$A$1000=L752),0),0))</f>
        <v/>
      </c>
      <c r="N752">
        <f>IF(B752="","",IFERROR(MATCH(B752,Equipamentos!$P$2:$P$61,0),""))</f>
        <v/>
      </c>
      <c r="O752">
        <f>IF(N752="","",IF(M752=0,INDEX(Equipamentos!$U$2:$U$61,N752),L752))</f>
        <v/>
      </c>
      <c r="P752">
        <f>IF(N752="","",IF(M752=0,N(INDEX(Equipamentos!$V$2:$V$61,N752)),N(INDEX(TrocasEquip!$I$2:$I$1000,M752))))</f>
        <v/>
      </c>
      <c r="Q752">
        <f>IF(N752="","",IF(M752=0,INDEX(Equipamentos!$T$2:$T$61,N752),IF(INDEX(TrocasEquip!$H$2:$H$1000,M752)="",INDEX(Equipamentos!$T$2:$T$61,N752),INDEX(TrocasEquip!$H$2:$H$1000,M752))))</f>
        <v/>
      </c>
    </row>
    <row r="753">
      <c r="A753" s="54" t="n"/>
      <c r="B753" s="55" t="n"/>
      <c r="C753">
        <f>IF(B753="","",IF(N753="","posição não encontrada",IF(M753=0,INDEX(Equipamentos!$S$2:$S$61,N753),INDEX(TrocasEquip!$G$2:$G$1000,M753))))</f>
        <v/>
      </c>
      <c r="D753" s="56">
        <f>IF(OR(A753="",N753=""),"",P753+IF(E753="dias",MAX(0,A753-O753),IF(INDEX(Equipamentos!$D$2:$D$61,N753)=2,SUMIFS(Producao!$D:$D,Producao!$A:$A,"&gt;="&amp;O753,Producao!$A:$A,"&lt;"&amp;A753),IF(INDEX(Equipamentos!$D$2:$D$61,N753)=3,SUMIFS(Producao!$E:$E,Producao!$A:$A,"&gt;="&amp;O753,Producao!$A:$A,"&lt;"&amp;A753),SUMIFS(Producao!$B:$B,Producao!$A:$A,"&gt;="&amp;O753,Producao!$A:$A,"&lt;"&amp;A753)))))</f>
        <v/>
      </c>
      <c r="E753">
        <f>IF(N753="","",INDEX(Equipamentos!$C$2:$C$61,N753))</f>
        <v/>
      </c>
      <c r="F753" s="57">
        <f>IF(OR(D753="",N(Q753)&lt;=0),"",D753/Q753)</f>
        <v/>
      </c>
      <c r="G753" s="55" t="n"/>
      <c r="H753" s="58" t="n"/>
      <c r="I753" s="58" t="n"/>
      <c r="J753" s="55" t="n"/>
      <c r="K753" s="55" t="n"/>
      <c r="L753">
        <f>IF(OR(A753="",B753=""),"",_xlfn.MAXIFS(TrocasEquip!$A$2:$A$1000,TrocasEquip!$B$2:$B$1000,B753,TrocasEquip!$A$2:$A$1000,"&lt;"&amp;A753))</f>
        <v/>
      </c>
      <c r="M753">
        <f>IF(N(L753)=0,0,MATCH(1,INDEX((TrocasEquip!$B$2:$B$1000=B753)*(TrocasEquip!$A$2:$A$1000=L753),0),0))</f>
        <v/>
      </c>
      <c r="N753">
        <f>IF(B753="","",IFERROR(MATCH(B753,Equipamentos!$P$2:$P$61,0),""))</f>
        <v/>
      </c>
      <c r="O753">
        <f>IF(N753="","",IF(M753=0,INDEX(Equipamentos!$U$2:$U$61,N753),L753))</f>
        <v/>
      </c>
      <c r="P753">
        <f>IF(N753="","",IF(M753=0,N(INDEX(Equipamentos!$V$2:$V$61,N753)),N(INDEX(TrocasEquip!$I$2:$I$1000,M753))))</f>
        <v/>
      </c>
      <c r="Q753">
        <f>IF(N753="","",IF(M753=0,INDEX(Equipamentos!$T$2:$T$61,N753),IF(INDEX(TrocasEquip!$H$2:$H$1000,M753)="",INDEX(Equipamentos!$T$2:$T$61,N753),INDEX(TrocasEquip!$H$2:$H$1000,M753))))</f>
        <v/>
      </c>
    </row>
    <row r="754">
      <c r="A754" s="54" t="n"/>
      <c r="B754" s="55" t="n"/>
      <c r="C754">
        <f>IF(B754="","",IF(N754="","posição não encontrada",IF(M754=0,INDEX(Equipamentos!$S$2:$S$61,N754),INDEX(TrocasEquip!$G$2:$G$1000,M754))))</f>
        <v/>
      </c>
      <c r="D754" s="56">
        <f>IF(OR(A754="",N754=""),"",P754+IF(E754="dias",MAX(0,A754-O754),IF(INDEX(Equipamentos!$D$2:$D$61,N754)=2,SUMIFS(Producao!$D:$D,Producao!$A:$A,"&gt;="&amp;O754,Producao!$A:$A,"&lt;"&amp;A754),IF(INDEX(Equipamentos!$D$2:$D$61,N754)=3,SUMIFS(Producao!$E:$E,Producao!$A:$A,"&gt;="&amp;O754,Producao!$A:$A,"&lt;"&amp;A754),SUMIFS(Producao!$B:$B,Producao!$A:$A,"&gt;="&amp;O754,Producao!$A:$A,"&lt;"&amp;A754)))))</f>
        <v/>
      </c>
      <c r="E754">
        <f>IF(N754="","",INDEX(Equipamentos!$C$2:$C$61,N754))</f>
        <v/>
      </c>
      <c r="F754" s="57">
        <f>IF(OR(D754="",N(Q754)&lt;=0),"",D754/Q754)</f>
        <v/>
      </c>
      <c r="G754" s="55" t="n"/>
      <c r="H754" s="58" t="n"/>
      <c r="I754" s="58" t="n"/>
      <c r="J754" s="55" t="n"/>
      <c r="K754" s="55" t="n"/>
      <c r="L754">
        <f>IF(OR(A754="",B754=""),"",_xlfn.MAXIFS(TrocasEquip!$A$2:$A$1000,TrocasEquip!$B$2:$B$1000,B754,TrocasEquip!$A$2:$A$1000,"&lt;"&amp;A754))</f>
        <v/>
      </c>
      <c r="M754">
        <f>IF(N(L754)=0,0,MATCH(1,INDEX((TrocasEquip!$B$2:$B$1000=B754)*(TrocasEquip!$A$2:$A$1000=L754),0),0))</f>
        <v/>
      </c>
      <c r="N754">
        <f>IF(B754="","",IFERROR(MATCH(B754,Equipamentos!$P$2:$P$61,0),""))</f>
        <v/>
      </c>
      <c r="O754">
        <f>IF(N754="","",IF(M754=0,INDEX(Equipamentos!$U$2:$U$61,N754),L754))</f>
        <v/>
      </c>
      <c r="P754">
        <f>IF(N754="","",IF(M754=0,N(INDEX(Equipamentos!$V$2:$V$61,N754)),N(INDEX(TrocasEquip!$I$2:$I$1000,M754))))</f>
        <v/>
      </c>
      <c r="Q754">
        <f>IF(N754="","",IF(M754=0,INDEX(Equipamentos!$T$2:$T$61,N754),IF(INDEX(TrocasEquip!$H$2:$H$1000,M754)="",INDEX(Equipamentos!$T$2:$T$61,N754),INDEX(TrocasEquip!$H$2:$H$1000,M754))))</f>
        <v/>
      </c>
    </row>
    <row r="755">
      <c r="A755" s="54" t="n"/>
      <c r="B755" s="55" t="n"/>
      <c r="C755">
        <f>IF(B755="","",IF(N755="","posição não encontrada",IF(M755=0,INDEX(Equipamentos!$S$2:$S$61,N755),INDEX(TrocasEquip!$G$2:$G$1000,M755))))</f>
        <v/>
      </c>
      <c r="D755" s="56">
        <f>IF(OR(A755="",N755=""),"",P755+IF(E755="dias",MAX(0,A755-O755),IF(INDEX(Equipamentos!$D$2:$D$61,N755)=2,SUMIFS(Producao!$D:$D,Producao!$A:$A,"&gt;="&amp;O755,Producao!$A:$A,"&lt;"&amp;A755),IF(INDEX(Equipamentos!$D$2:$D$61,N755)=3,SUMIFS(Producao!$E:$E,Producao!$A:$A,"&gt;="&amp;O755,Producao!$A:$A,"&lt;"&amp;A755),SUMIFS(Producao!$B:$B,Producao!$A:$A,"&gt;="&amp;O755,Producao!$A:$A,"&lt;"&amp;A755)))))</f>
        <v/>
      </c>
      <c r="E755">
        <f>IF(N755="","",INDEX(Equipamentos!$C$2:$C$61,N755))</f>
        <v/>
      </c>
      <c r="F755" s="57">
        <f>IF(OR(D755="",N(Q755)&lt;=0),"",D755/Q755)</f>
        <v/>
      </c>
      <c r="G755" s="55" t="n"/>
      <c r="H755" s="58" t="n"/>
      <c r="I755" s="58" t="n"/>
      <c r="J755" s="55" t="n"/>
      <c r="K755" s="55" t="n"/>
      <c r="L755">
        <f>IF(OR(A755="",B755=""),"",_xlfn.MAXIFS(TrocasEquip!$A$2:$A$1000,TrocasEquip!$B$2:$B$1000,B755,TrocasEquip!$A$2:$A$1000,"&lt;"&amp;A755))</f>
        <v/>
      </c>
      <c r="M755">
        <f>IF(N(L755)=0,0,MATCH(1,INDEX((TrocasEquip!$B$2:$B$1000=B755)*(TrocasEquip!$A$2:$A$1000=L755),0),0))</f>
        <v/>
      </c>
      <c r="N755">
        <f>IF(B755="","",IFERROR(MATCH(B755,Equipamentos!$P$2:$P$61,0),""))</f>
        <v/>
      </c>
      <c r="O755">
        <f>IF(N755="","",IF(M755=0,INDEX(Equipamentos!$U$2:$U$61,N755),L755))</f>
        <v/>
      </c>
      <c r="P755">
        <f>IF(N755="","",IF(M755=0,N(INDEX(Equipamentos!$V$2:$V$61,N755)),N(INDEX(TrocasEquip!$I$2:$I$1000,M755))))</f>
        <v/>
      </c>
      <c r="Q755">
        <f>IF(N755="","",IF(M755=0,INDEX(Equipamentos!$T$2:$T$61,N755),IF(INDEX(TrocasEquip!$H$2:$H$1000,M755)="",INDEX(Equipamentos!$T$2:$T$61,N755),INDEX(TrocasEquip!$H$2:$H$1000,M755))))</f>
        <v/>
      </c>
    </row>
    <row r="756">
      <c r="A756" s="54" t="n"/>
      <c r="B756" s="55" t="n"/>
      <c r="C756">
        <f>IF(B756="","",IF(N756="","posição não encontrada",IF(M756=0,INDEX(Equipamentos!$S$2:$S$61,N756),INDEX(TrocasEquip!$G$2:$G$1000,M756))))</f>
        <v/>
      </c>
      <c r="D756" s="56">
        <f>IF(OR(A756="",N756=""),"",P756+IF(E756="dias",MAX(0,A756-O756),IF(INDEX(Equipamentos!$D$2:$D$61,N756)=2,SUMIFS(Producao!$D:$D,Producao!$A:$A,"&gt;="&amp;O756,Producao!$A:$A,"&lt;"&amp;A756),IF(INDEX(Equipamentos!$D$2:$D$61,N756)=3,SUMIFS(Producao!$E:$E,Producao!$A:$A,"&gt;="&amp;O756,Producao!$A:$A,"&lt;"&amp;A756),SUMIFS(Producao!$B:$B,Producao!$A:$A,"&gt;="&amp;O756,Producao!$A:$A,"&lt;"&amp;A756)))))</f>
        <v/>
      </c>
      <c r="E756">
        <f>IF(N756="","",INDEX(Equipamentos!$C$2:$C$61,N756))</f>
        <v/>
      </c>
      <c r="F756" s="57">
        <f>IF(OR(D756="",N(Q756)&lt;=0),"",D756/Q756)</f>
        <v/>
      </c>
      <c r="G756" s="55" t="n"/>
      <c r="H756" s="58" t="n"/>
      <c r="I756" s="58" t="n"/>
      <c r="J756" s="55" t="n"/>
      <c r="K756" s="55" t="n"/>
      <c r="L756">
        <f>IF(OR(A756="",B756=""),"",_xlfn.MAXIFS(TrocasEquip!$A$2:$A$1000,TrocasEquip!$B$2:$B$1000,B756,TrocasEquip!$A$2:$A$1000,"&lt;"&amp;A756))</f>
        <v/>
      </c>
      <c r="M756">
        <f>IF(N(L756)=0,0,MATCH(1,INDEX((TrocasEquip!$B$2:$B$1000=B756)*(TrocasEquip!$A$2:$A$1000=L756),0),0))</f>
        <v/>
      </c>
      <c r="N756">
        <f>IF(B756="","",IFERROR(MATCH(B756,Equipamentos!$P$2:$P$61,0),""))</f>
        <v/>
      </c>
      <c r="O756">
        <f>IF(N756="","",IF(M756=0,INDEX(Equipamentos!$U$2:$U$61,N756),L756))</f>
        <v/>
      </c>
      <c r="P756">
        <f>IF(N756="","",IF(M756=0,N(INDEX(Equipamentos!$V$2:$V$61,N756)),N(INDEX(TrocasEquip!$I$2:$I$1000,M756))))</f>
        <v/>
      </c>
      <c r="Q756">
        <f>IF(N756="","",IF(M756=0,INDEX(Equipamentos!$T$2:$T$61,N756),IF(INDEX(TrocasEquip!$H$2:$H$1000,M756)="",INDEX(Equipamentos!$T$2:$T$61,N756),INDEX(TrocasEquip!$H$2:$H$1000,M756))))</f>
        <v/>
      </c>
    </row>
    <row r="757">
      <c r="A757" s="54" t="n"/>
      <c r="B757" s="55" t="n"/>
      <c r="C757">
        <f>IF(B757="","",IF(N757="","posição não encontrada",IF(M757=0,INDEX(Equipamentos!$S$2:$S$61,N757),INDEX(TrocasEquip!$G$2:$G$1000,M757))))</f>
        <v/>
      </c>
      <c r="D757" s="56">
        <f>IF(OR(A757="",N757=""),"",P757+IF(E757="dias",MAX(0,A757-O757),IF(INDEX(Equipamentos!$D$2:$D$61,N757)=2,SUMIFS(Producao!$D:$D,Producao!$A:$A,"&gt;="&amp;O757,Producao!$A:$A,"&lt;"&amp;A757),IF(INDEX(Equipamentos!$D$2:$D$61,N757)=3,SUMIFS(Producao!$E:$E,Producao!$A:$A,"&gt;="&amp;O757,Producao!$A:$A,"&lt;"&amp;A757),SUMIFS(Producao!$B:$B,Producao!$A:$A,"&gt;="&amp;O757,Producao!$A:$A,"&lt;"&amp;A757)))))</f>
        <v/>
      </c>
      <c r="E757">
        <f>IF(N757="","",INDEX(Equipamentos!$C$2:$C$61,N757))</f>
        <v/>
      </c>
      <c r="F757" s="57">
        <f>IF(OR(D757="",N(Q757)&lt;=0),"",D757/Q757)</f>
        <v/>
      </c>
      <c r="G757" s="55" t="n"/>
      <c r="H757" s="58" t="n"/>
      <c r="I757" s="58" t="n"/>
      <c r="J757" s="55" t="n"/>
      <c r="K757" s="55" t="n"/>
      <c r="L757">
        <f>IF(OR(A757="",B757=""),"",_xlfn.MAXIFS(TrocasEquip!$A$2:$A$1000,TrocasEquip!$B$2:$B$1000,B757,TrocasEquip!$A$2:$A$1000,"&lt;"&amp;A757))</f>
        <v/>
      </c>
      <c r="M757">
        <f>IF(N(L757)=0,0,MATCH(1,INDEX((TrocasEquip!$B$2:$B$1000=B757)*(TrocasEquip!$A$2:$A$1000=L757),0),0))</f>
        <v/>
      </c>
      <c r="N757">
        <f>IF(B757="","",IFERROR(MATCH(B757,Equipamentos!$P$2:$P$61,0),""))</f>
        <v/>
      </c>
      <c r="O757">
        <f>IF(N757="","",IF(M757=0,INDEX(Equipamentos!$U$2:$U$61,N757),L757))</f>
        <v/>
      </c>
      <c r="P757">
        <f>IF(N757="","",IF(M757=0,N(INDEX(Equipamentos!$V$2:$V$61,N757)),N(INDEX(TrocasEquip!$I$2:$I$1000,M757))))</f>
        <v/>
      </c>
      <c r="Q757">
        <f>IF(N757="","",IF(M757=0,INDEX(Equipamentos!$T$2:$T$61,N757),IF(INDEX(TrocasEquip!$H$2:$H$1000,M757)="",INDEX(Equipamentos!$T$2:$T$61,N757),INDEX(TrocasEquip!$H$2:$H$1000,M757))))</f>
        <v/>
      </c>
    </row>
    <row r="758">
      <c r="A758" s="54" t="n"/>
      <c r="B758" s="55" t="n"/>
      <c r="C758">
        <f>IF(B758="","",IF(N758="","posição não encontrada",IF(M758=0,INDEX(Equipamentos!$S$2:$S$61,N758),INDEX(TrocasEquip!$G$2:$G$1000,M758))))</f>
        <v/>
      </c>
      <c r="D758" s="56">
        <f>IF(OR(A758="",N758=""),"",P758+IF(E758="dias",MAX(0,A758-O758),IF(INDEX(Equipamentos!$D$2:$D$61,N758)=2,SUMIFS(Producao!$D:$D,Producao!$A:$A,"&gt;="&amp;O758,Producao!$A:$A,"&lt;"&amp;A758),IF(INDEX(Equipamentos!$D$2:$D$61,N758)=3,SUMIFS(Producao!$E:$E,Producao!$A:$A,"&gt;="&amp;O758,Producao!$A:$A,"&lt;"&amp;A758),SUMIFS(Producao!$B:$B,Producao!$A:$A,"&gt;="&amp;O758,Producao!$A:$A,"&lt;"&amp;A758)))))</f>
        <v/>
      </c>
      <c r="E758">
        <f>IF(N758="","",INDEX(Equipamentos!$C$2:$C$61,N758))</f>
        <v/>
      </c>
      <c r="F758" s="57">
        <f>IF(OR(D758="",N(Q758)&lt;=0),"",D758/Q758)</f>
        <v/>
      </c>
      <c r="G758" s="55" t="n"/>
      <c r="H758" s="58" t="n"/>
      <c r="I758" s="58" t="n"/>
      <c r="J758" s="55" t="n"/>
      <c r="K758" s="55" t="n"/>
      <c r="L758">
        <f>IF(OR(A758="",B758=""),"",_xlfn.MAXIFS(TrocasEquip!$A$2:$A$1000,TrocasEquip!$B$2:$B$1000,B758,TrocasEquip!$A$2:$A$1000,"&lt;"&amp;A758))</f>
        <v/>
      </c>
      <c r="M758">
        <f>IF(N(L758)=0,0,MATCH(1,INDEX((TrocasEquip!$B$2:$B$1000=B758)*(TrocasEquip!$A$2:$A$1000=L758),0),0))</f>
        <v/>
      </c>
      <c r="N758">
        <f>IF(B758="","",IFERROR(MATCH(B758,Equipamentos!$P$2:$P$61,0),""))</f>
        <v/>
      </c>
      <c r="O758">
        <f>IF(N758="","",IF(M758=0,INDEX(Equipamentos!$U$2:$U$61,N758),L758))</f>
        <v/>
      </c>
      <c r="P758">
        <f>IF(N758="","",IF(M758=0,N(INDEX(Equipamentos!$V$2:$V$61,N758)),N(INDEX(TrocasEquip!$I$2:$I$1000,M758))))</f>
        <v/>
      </c>
      <c r="Q758">
        <f>IF(N758="","",IF(M758=0,INDEX(Equipamentos!$T$2:$T$61,N758),IF(INDEX(TrocasEquip!$H$2:$H$1000,M758)="",INDEX(Equipamentos!$T$2:$T$61,N758),INDEX(TrocasEquip!$H$2:$H$1000,M758))))</f>
        <v/>
      </c>
    </row>
    <row r="759">
      <c r="A759" s="54" t="n"/>
      <c r="B759" s="55" t="n"/>
      <c r="C759">
        <f>IF(B759="","",IF(N759="","posição não encontrada",IF(M759=0,INDEX(Equipamentos!$S$2:$S$61,N759),INDEX(TrocasEquip!$G$2:$G$1000,M759))))</f>
        <v/>
      </c>
      <c r="D759" s="56">
        <f>IF(OR(A759="",N759=""),"",P759+IF(E759="dias",MAX(0,A759-O759),IF(INDEX(Equipamentos!$D$2:$D$61,N759)=2,SUMIFS(Producao!$D:$D,Producao!$A:$A,"&gt;="&amp;O759,Producao!$A:$A,"&lt;"&amp;A759),IF(INDEX(Equipamentos!$D$2:$D$61,N759)=3,SUMIFS(Producao!$E:$E,Producao!$A:$A,"&gt;="&amp;O759,Producao!$A:$A,"&lt;"&amp;A759),SUMIFS(Producao!$B:$B,Producao!$A:$A,"&gt;="&amp;O759,Producao!$A:$A,"&lt;"&amp;A759)))))</f>
        <v/>
      </c>
      <c r="E759">
        <f>IF(N759="","",INDEX(Equipamentos!$C$2:$C$61,N759))</f>
        <v/>
      </c>
      <c r="F759" s="57">
        <f>IF(OR(D759="",N(Q759)&lt;=0),"",D759/Q759)</f>
        <v/>
      </c>
      <c r="G759" s="55" t="n"/>
      <c r="H759" s="58" t="n"/>
      <c r="I759" s="58" t="n"/>
      <c r="J759" s="55" t="n"/>
      <c r="K759" s="55" t="n"/>
      <c r="L759">
        <f>IF(OR(A759="",B759=""),"",_xlfn.MAXIFS(TrocasEquip!$A$2:$A$1000,TrocasEquip!$B$2:$B$1000,B759,TrocasEquip!$A$2:$A$1000,"&lt;"&amp;A759))</f>
        <v/>
      </c>
      <c r="M759">
        <f>IF(N(L759)=0,0,MATCH(1,INDEX((TrocasEquip!$B$2:$B$1000=B759)*(TrocasEquip!$A$2:$A$1000=L759),0),0))</f>
        <v/>
      </c>
      <c r="N759">
        <f>IF(B759="","",IFERROR(MATCH(B759,Equipamentos!$P$2:$P$61,0),""))</f>
        <v/>
      </c>
      <c r="O759">
        <f>IF(N759="","",IF(M759=0,INDEX(Equipamentos!$U$2:$U$61,N759),L759))</f>
        <v/>
      </c>
      <c r="P759">
        <f>IF(N759="","",IF(M759=0,N(INDEX(Equipamentos!$V$2:$V$61,N759)),N(INDEX(TrocasEquip!$I$2:$I$1000,M759))))</f>
        <v/>
      </c>
      <c r="Q759">
        <f>IF(N759="","",IF(M759=0,INDEX(Equipamentos!$T$2:$T$61,N759),IF(INDEX(TrocasEquip!$H$2:$H$1000,M759)="",INDEX(Equipamentos!$T$2:$T$61,N759),INDEX(TrocasEquip!$H$2:$H$1000,M759))))</f>
        <v/>
      </c>
    </row>
    <row r="760">
      <c r="A760" s="54" t="n"/>
      <c r="B760" s="55" t="n"/>
      <c r="C760">
        <f>IF(B760="","",IF(N760="","posição não encontrada",IF(M760=0,INDEX(Equipamentos!$S$2:$S$61,N760),INDEX(TrocasEquip!$G$2:$G$1000,M760))))</f>
        <v/>
      </c>
      <c r="D760" s="56">
        <f>IF(OR(A760="",N760=""),"",P760+IF(E760="dias",MAX(0,A760-O760),IF(INDEX(Equipamentos!$D$2:$D$61,N760)=2,SUMIFS(Producao!$D:$D,Producao!$A:$A,"&gt;="&amp;O760,Producao!$A:$A,"&lt;"&amp;A760),IF(INDEX(Equipamentos!$D$2:$D$61,N760)=3,SUMIFS(Producao!$E:$E,Producao!$A:$A,"&gt;="&amp;O760,Producao!$A:$A,"&lt;"&amp;A760),SUMIFS(Producao!$B:$B,Producao!$A:$A,"&gt;="&amp;O760,Producao!$A:$A,"&lt;"&amp;A760)))))</f>
        <v/>
      </c>
      <c r="E760">
        <f>IF(N760="","",INDEX(Equipamentos!$C$2:$C$61,N760))</f>
        <v/>
      </c>
      <c r="F760" s="57">
        <f>IF(OR(D760="",N(Q760)&lt;=0),"",D760/Q760)</f>
        <v/>
      </c>
      <c r="G760" s="55" t="n"/>
      <c r="H760" s="58" t="n"/>
      <c r="I760" s="58" t="n"/>
      <c r="J760" s="55" t="n"/>
      <c r="K760" s="55" t="n"/>
      <c r="L760">
        <f>IF(OR(A760="",B760=""),"",_xlfn.MAXIFS(TrocasEquip!$A$2:$A$1000,TrocasEquip!$B$2:$B$1000,B760,TrocasEquip!$A$2:$A$1000,"&lt;"&amp;A760))</f>
        <v/>
      </c>
      <c r="M760">
        <f>IF(N(L760)=0,0,MATCH(1,INDEX((TrocasEquip!$B$2:$B$1000=B760)*(TrocasEquip!$A$2:$A$1000=L760),0),0))</f>
        <v/>
      </c>
      <c r="N760">
        <f>IF(B760="","",IFERROR(MATCH(B760,Equipamentos!$P$2:$P$61,0),""))</f>
        <v/>
      </c>
      <c r="O760">
        <f>IF(N760="","",IF(M760=0,INDEX(Equipamentos!$U$2:$U$61,N760),L760))</f>
        <v/>
      </c>
      <c r="P760">
        <f>IF(N760="","",IF(M760=0,N(INDEX(Equipamentos!$V$2:$V$61,N760)),N(INDEX(TrocasEquip!$I$2:$I$1000,M760))))</f>
        <v/>
      </c>
      <c r="Q760">
        <f>IF(N760="","",IF(M760=0,INDEX(Equipamentos!$T$2:$T$61,N760),IF(INDEX(TrocasEquip!$H$2:$H$1000,M760)="",INDEX(Equipamentos!$T$2:$T$61,N760),INDEX(TrocasEquip!$H$2:$H$1000,M760))))</f>
        <v/>
      </c>
    </row>
    <row r="761">
      <c r="A761" s="54" t="n"/>
      <c r="B761" s="55" t="n"/>
      <c r="C761">
        <f>IF(B761="","",IF(N761="","posição não encontrada",IF(M761=0,INDEX(Equipamentos!$S$2:$S$61,N761),INDEX(TrocasEquip!$G$2:$G$1000,M761))))</f>
        <v/>
      </c>
      <c r="D761" s="56">
        <f>IF(OR(A761="",N761=""),"",P761+IF(E761="dias",MAX(0,A761-O761),IF(INDEX(Equipamentos!$D$2:$D$61,N761)=2,SUMIFS(Producao!$D:$D,Producao!$A:$A,"&gt;="&amp;O761,Producao!$A:$A,"&lt;"&amp;A761),IF(INDEX(Equipamentos!$D$2:$D$61,N761)=3,SUMIFS(Producao!$E:$E,Producao!$A:$A,"&gt;="&amp;O761,Producao!$A:$A,"&lt;"&amp;A761),SUMIFS(Producao!$B:$B,Producao!$A:$A,"&gt;="&amp;O761,Producao!$A:$A,"&lt;"&amp;A761)))))</f>
        <v/>
      </c>
      <c r="E761">
        <f>IF(N761="","",INDEX(Equipamentos!$C$2:$C$61,N761))</f>
        <v/>
      </c>
      <c r="F761" s="57">
        <f>IF(OR(D761="",N(Q761)&lt;=0),"",D761/Q761)</f>
        <v/>
      </c>
      <c r="G761" s="55" t="n"/>
      <c r="H761" s="58" t="n"/>
      <c r="I761" s="58" t="n"/>
      <c r="J761" s="55" t="n"/>
      <c r="K761" s="55" t="n"/>
      <c r="L761">
        <f>IF(OR(A761="",B761=""),"",_xlfn.MAXIFS(TrocasEquip!$A$2:$A$1000,TrocasEquip!$B$2:$B$1000,B761,TrocasEquip!$A$2:$A$1000,"&lt;"&amp;A761))</f>
        <v/>
      </c>
      <c r="M761">
        <f>IF(N(L761)=0,0,MATCH(1,INDEX((TrocasEquip!$B$2:$B$1000=B761)*(TrocasEquip!$A$2:$A$1000=L761),0),0))</f>
        <v/>
      </c>
      <c r="N761">
        <f>IF(B761="","",IFERROR(MATCH(B761,Equipamentos!$P$2:$P$61,0),""))</f>
        <v/>
      </c>
      <c r="O761">
        <f>IF(N761="","",IF(M761=0,INDEX(Equipamentos!$U$2:$U$61,N761),L761))</f>
        <v/>
      </c>
      <c r="P761">
        <f>IF(N761="","",IF(M761=0,N(INDEX(Equipamentos!$V$2:$V$61,N761)),N(INDEX(TrocasEquip!$I$2:$I$1000,M761))))</f>
        <v/>
      </c>
      <c r="Q761">
        <f>IF(N761="","",IF(M761=0,INDEX(Equipamentos!$T$2:$T$61,N761),IF(INDEX(TrocasEquip!$H$2:$H$1000,M761)="",INDEX(Equipamentos!$T$2:$T$61,N761),INDEX(TrocasEquip!$H$2:$H$1000,M761))))</f>
        <v/>
      </c>
    </row>
    <row r="762">
      <c r="A762" s="54" t="n"/>
      <c r="B762" s="55" t="n"/>
      <c r="C762">
        <f>IF(B762="","",IF(N762="","posição não encontrada",IF(M762=0,INDEX(Equipamentos!$S$2:$S$61,N762),INDEX(TrocasEquip!$G$2:$G$1000,M762))))</f>
        <v/>
      </c>
      <c r="D762" s="56">
        <f>IF(OR(A762="",N762=""),"",P762+IF(E762="dias",MAX(0,A762-O762),IF(INDEX(Equipamentos!$D$2:$D$61,N762)=2,SUMIFS(Producao!$D:$D,Producao!$A:$A,"&gt;="&amp;O762,Producao!$A:$A,"&lt;"&amp;A762),IF(INDEX(Equipamentos!$D$2:$D$61,N762)=3,SUMIFS(Producao!$E:$E,Producao!$A:$A,"&gt;="&amp;O762,Producao!$A:$A,"&lt;"&amp;A762),SUMIFS(Producao!$B:$B,Producao!$A:$A,"&gt;="&amp;O762,Producao!$A:$A,"&lt;"&amp;A762)))))</f>
        <v/>
      </c>
      <c r="E762">
        <f>IF(N762="","",INDEX(Equipamentos!$C$2:$C$61,N762))</f>
        <v/>
      </c>
      <c r="F762" s="57">
        <f>IF(OR(D762="",N(Q762)&lt;=0),"",D762/Q762)</f>
        <v/>
      </c>
      <c r="G762" s="55" t="n"/>
      <c r="H762" s="58" t="n"/>
      <c r="I762" s="58" t="n"/>
      <c r="J762" s="55" t="n"/>
      <c r="K762" s="55" t="n"/>
      <c r="L762">
        <f>IF(OR(A762="",B762=""),"",_xlfn.MAXIFS(TrocasEquip!$A$2:$A$1000,TrocasEquip!$B$2:$B$1000,B762,TrocasEquip!$A$2:$A$1000,"&lt;"&amp;A762))</f>
        <v/>
      </c>
      <c r="M762">
        <f>IF(N(L762)=0,0,MATCH(1,INDEX((TrocasEquip!$B$2:$B$1000=B762)*(TrocasEquip!$A$2:$A$1000=L762),0),0))</f>
        <v/>
      </c>
      <c r="N762">
        <f>IF(B762="","",IFERROR(MATCH(B762,Equipamentos!$P$2:$P$61,0),""))</f>
        <v/>
      </c>
      <c r="O762">
        <f>IF(N762="","",IF(M762=0,INDEX(Equipamentos!$U$2:$U$61,N762),L762))</f>
        <v/>
      </c>
      <c r="P762">
        <f>IF(N762="","",IF(M762=0,N(INDEX(Equipamentos!$V$2:$V$61,N762)),N(INDEX(TrocasEquip!$I$2:$I$1000,M762))))</f>
        <v/>
      </c>
      <c r="Q762">
        <f>IF(N762="","",IF(M762=0,INDEX(Equipamentos!$T$2:$T$61,N762),IF(INDEX(TrocasEquip!$H$2:$H$1000,M762)="",INDEX(Equipamentos!$T$2:$T$61,N762),INDEX(TrocasEquip!$H$2:$H$1000,M762))))</f>
        <v/>
      </c>
    </row>
    <row r="763">
      <c r="A763" s="54" t="n"/>
      <c r="B763" s="55" t="n"/>
      <c r="C763">
        <f>IF(B763="","",IF(N763="","posição não encontrada",IF(M763=0,INDEX(Equipamentos!$S$2:$S$61,N763),INDEX(TrocasEquip!$G$2:$G$1000,M763))))</f>
        <v/>
      </c>
      <c r="D763" s="56">
        <f>IF(OR(A763="",N763=""),"",P763+IF(E763="dias",MAX(0,A763-O763),IF(INDEX(Equipamentos!$D$2:$D$61,N763)=2,SUMIFS(Producao!$D:$D,Producao!$A:$A,"&gt;="&amp;O763,Producao!$A:$A,"&lt;"&amp;A763),IF(INDEX(Equipamentos!$D$2:$D$61,N763)=3,SUMIFS(Producao!$E:$E,Producao!$A:$A,"&gt;="&amp;O763,Producao!$A:$A,"&lt;"&amp;A763),SUMIFS(Producao!$B:$B,Producao!$A:$A,"&gt;="&amp;O763,Producao!$A:$A,"&lt;"&amp;A763)))))</f>
        <v/>
      </c>
      <c r="E763">
        <f>IF(N763="","",INDEX(Equipamentos!$C$2:$C$61,N763))</f>
        <v/>
      </c>
      <c r="F763" s="57">
        <f>IF(OR(D763="",N(Q763)&lt;=0),"",D763/Q763)</f>
        <v/>
      </c>
      <c r="G763" s="55" t="n"/>
      <c r="H763" s="58" t="n"/>
      <c r="I763" s="58" t="n"/>
      <c r="J763" s="55" t="n"/>
      <c r="K763" s="55" t="n"/>
      <c r="L763">
        <f>IF(OR(A763="",B763=""),"",_xlfn.MAXIFS(TrocasEquip!$A$2:$A$1000,TrocasEquip!$B$2:$B$1000,B763,TrocasEquip!$A$2:$A$1000,"&lt;"&amp;A763))</f>
        <v/>
      </c>
      <c r="M763">
        <f>IF(N(L763)=0,0,MATCH(1,INDEX((TrocasEquip!$B$2:$B$1000=B763)*(TrocasEquip!$A$2:$A$1000=L763),0),0))</f>
        <v/>
      </c>
      <c r="N763">
        <f>IF(B763="","",IFERROR(MATCH(B763,Equipamentos!$P$2:$P$61,0),""))</f>
        <v/>
      </c>
      <c r="O763">
        <f>IF(N763="","",IF(M763=0,INDEX(Equipamentos!$U$2:$U$61,N763),L763))</f>
        <v/>
      </c>
      <c r="P763">
        <f>IF(N763="","",IF(M763=0,N(INDEX(Equipamentos!$V$2:$V$61,N763)),N(INDEX(TrocasEquip!$I$2:$I$1000,M763))))</f>
        <v/>
      </c>
      <c r="Q763">
        <f>IF(N763="","",IF(M763=0,INDEX(Equipamentos!$T$2:$T$61,N763),IF(INDEX(TrocasEquip!$H$2:$H$1000,M763)="",INDEX(Equipamentos!$T$2:$T$61,N763),INDEX(TrocasEquip!$H$2:$H$1000,M763))))</f>
        <v/>
      </c>
    </row>
    <row r="764">
      <c r="A764" s="54" t="n"/>
      <c r="B764" s="55" t="n"/>
      <c r="C764">
        <f>IF(B764="","",IF(N764="","posição não encontrada",IF(M764=0,INDEX(Equipamentos!$S$2:$S$61,N764),INDEX(TrocasEquip!$G$2:$G$1000,M764))))</f>
        <v/>
      </c>
      <c r="D764" s="56">
        <f>IF(OR(A764="",N764=""),"",P764+IF(E764="dias",MAX(0,A764-O764),IF(INDEX(Equipamentos!$D$2:$D$61,N764)=2,SUMIFS(Producao!$D:$D,Producao!$A:$A,"&gt;="&amp;O764,Producao!$A:$A,"&lt;"&amp;A764),IF(INDEX(Equipamentos!$D$2:$D$61,N764)=3,SUMIFS(Producao!$E:$E,Producao!$A:$A,"&gt;="&amp;O764,Producao!$A:$A,"&lt;"&amp;A764),SUMIFS(Producao!$B:$B,Producao!$A:$A,"&gt;="&amp;O764,Producao!$A:$A,"&lt;"&amp;A764)))))</f>
        <v/>
      </c>
      <c r="E764">
        <f>IF(N764="","",INDEX(Equipamentos!$C$2:$C$61,N764))</f>
        <v/>
      </c>
      <c r="F764" s="57">
        <f>IF(OR(D764="",N(Q764)&lt;=0),"",D764/Q764)</f>
        <v/>
      </c>
      <c r="G764" s="55" t="n"/>
      <c r="H764" s="58" t="n"/>
      <c r="I764" s="58" t="n"/>
      <c r="J764" s="55" t="n"/>
      <c r="K764" s="55" t="n"/>
      <c r="L764">
        <f>IF(OR(A764="",B764=""),"",_xlfn.MAXIFS(TrocasEquip!$A$2:$A$1000,TrocasEquip!$B$2:$B$1000,B764,TrocasEquip!$A$2:$A$1000,"&lt;"&amp;A764))</f>
        <v/>
      </c>
      <c r="M764">
        <f>IF(N(L764)=0,0,MATCH(1,INDEX((TrocasEquip!$B$2:$B$1000=B764)*(TrocasEquip!$A$2:$A$1000=L764),0),0))</f>
        <v/>
      </c>
      <c r="N764">
        <f>IF(B764="","",IFERROR(MATCH(B764,Equipamentos!$P$2:$P$61,0),""))</f>
        <v/>
      </c>
      <c r="O764">
        <f>IF(N764="","",IF(M764=0,INDEX(Equipamentos!$U$2:$U$61,N764),L764))</f>
        <v/>
      </c>
      <c r="P764">
        <f>IF(N764="","",IF(M764=0,N(INDEX(Equipamentos!$V$2:$V$61,N764)),N(INDEX(TrocasEquip!$I$2:$I$1000,M764))))</f>
        <v/>
      </c>
      <c r="Q764">
        <f>IF(N764="","",IF(M764=0,INDEX(Equipamentos!$T$2:$T$61,N764),IF(INDEX(TrocasEquip!$H$2:$H$1000,M764)="",INDEX(Equipamentos!$T$2:$T$61,N764),INDEX(TrocasEquip!$H$2:$H$1000,M764))))</f>
        <v/>
      </c>
    </row>
    <row r="765">
      <c r="A765" s="54" t="n"/>
      <c r="B765" s="55" t="n"/>
      <c r="C765">
        <f>IF(B765="","",IF(N765="","posição não encontrada",IF(M765=0,INDEX(Equipamentos!$S$2:$S$61,N765),INDEX(TrocasEquip!$G$2:$G$1000,M765))))</f>
        <v/>
      </c>
      <c r="D765" s="56">
        <f>IF(OR(A765="",N765=""),"",P765+IF(E765="dias",MAX(0,A765-O765),IF(INDEX(Equipamentos!$D$2:$D$61,N765)=2,SUMIFS(Producao!$D:$D,Producao!$A:$A,"&gt;="&amp;O765,Producao!$A:$A,"&lt;"&amp;A765),IF(INDEX(Equipamentos!$D$2:$D$61,N765)=3,SUMIFS(Producao!$E:$E,Producao!$A:$A,"&gt;="&amp;O765,Producao!$A:$A,"&lt;"&amp;A765),SUMIFS(Producao!$B:$B,Producao!$A:$A,"&gt;="&amp;O765,Producao!$A:$A,"&lt;"&amp;A765)))))</f>
        <v/>
      </c>
      <c r="E765">
        <f>IF(N765="","",INDEX(Equipamentos!$C$2:$C$61,N765))</f>
        <v/>
      </c>
      <c r="F765" s="57">
        <f>IF(OR(D765="",N(Q765)&lt;=0),"",D765/Q765)</f>
        <v/>
      </c>
      <c r="G765" s="55" t="n"/>
      <c r="H765" s="58" t="n"/>
      <c r="I765" s="58" t="n"/>
      <c r="J765" s="55" t="n"/>
      <c r="K765" s="55" t="n"/>
      <c r="L765">
        <f>IF(OR(A765="",B765=""),"",_xlfn.MAXIFS(TrocasEquip!$A$2:$A$1000,TrocasEquip!$B$2:$B$1000,B765,TrocasEquip!$A$2:$A$1000,"&lt;"&amp;A765))</f>
        <v/>
      </c>
      <c r="M765">
        <f>IF(N(L765)=0,0,MATCH(1,INDEX((TrocasEquip!$B$2:$B$1000=B765)*(TrocasEquip!$A$2:$A$1000=L765),0),0))</f>
        <v/>
      </c>
      <c r="N765">
        <f>IF(B765="","",IFERROR(MATCH(B765,Equipamentos!$P$2:$P$61,0),""))</f>
        <v/>
      </c>
      <c r="O765">
        <f>IF(N765="","",IF(M765=0,INDEX(Equipamentos!$U$2:$U$61,N765),L765))</f>
        <v/>
      </c>
      <c r="P765">
        <f>IF(N765="","",IF(M765=0,N(INDEX(Equipamentos!$V$2:$V$61,N765)),N(INDEX(TrocasEquip!$I$2:$I$1000,M765))))</f>
        <v/>
      </c>
      <c r="Q765">
        <f>IF(N765="","",IF(M765=0,INDEX(Equipamentos!$T$2:$T$61,N765),IF(INDEX(TrocasEquip!$H$2:$H$1000,M765)="",INDEX(Equipamentos!$T$2:$T$61,N765),INDEX(TrocasEquip!$H$2:$H$1000,M765))))</f>
        <v/>
      </c>
    </row>
    <row r="766">
      <c r="A766" s="54" t="n"/>
      <c r="B766" s="55" t="n"/>
      <c r="C766">
        <f>IF(B766="","",IF(N766="","posição não encontrada",IF(M766=0,INDEX(Equipamentos!$S$2:$S$61,N766),INDEX(TrocasEquip!$G$2:$G$1000,M766))))</f>
        <v/>
      </c>
      <c r="D766" s="56">
        <f>IF(OR(A766="",N766=""),"",P766+IF(E766="dias",MAX(0,A766-O766),IF(INDEX(Equipamentos!$D$2:$D$61,N766)=2,SUMIFS(Producao!$D:$D,Producao!$A:$A,"&gt;="&amp;O766,Producao!$A:$A,"&lt;"&amp;A766),IF(INDEX(Equipamentos!$D$2:$D$61,N766)=3,SUMIFS(Producao!$E:$E,Producao!$A:$A,"&gt;="&amp;O766,Producao!$A:$A,"&lt;"&amp;A766),SUMIFS(Producao!$B:$B,Producao!$A:$A,"&gt;="&amp;O766,Producao!$A:$A,"&lt;"&amp;A766)))))</f>
        <v/>
      </c>
      <c r="E766">
        <f>IF(N766="","",INDEX(Equipamentos!$C$2:$C$61,N766))</f>
        <v/>
      </c>
      <c r="F766" s="57">
        <f>IF(OR(D766="",N(Q766)&lt;=0),"",D766/Q766)</f>
        <v/>
      </c>
      <c r="G766" s="55" t="n"/>
      <c r="H766" s="58" t="n"/>
      <c r="I766" s="58" t="n"/>
      <c r="J766" s="55" t="n"/>
      <c r="K766" s="55" t="n"/>
      <c r="L766">
        <f>IF(OR(A766="",B766=""),"",_xlfn.MAXIFS(TrocasEquip!$A$2:$A$1000,TrocasEquip!$B$2:$B$1000,B766,TrocasEquip!$A$2:$A$1000,"&lt;"&amp;A766))</f>
        <v/>
      </c>
      <c r="M766">
        <f>IF(N(L766)=0,0,MATCH(1,INDEX((TrocasEquip!$B$2:$B$1000=B766)*(TrocasEquip!$A$2:$A$1000=L766),0),0))</f>
        <v/>
      </c>
      <c r="N766">
        <f>IF(B766="","",IFERROR(MATCH(B766,Equipamentos!$P$2:$P$61,0),""))</f>
        <v/>
      </c>
      <c r="O766">
        <f>IF(N766="","",IF(M766=0,INDEX(Equipamentos!$U$2:$U$61,N766),L766))</f>
        <v/>
      </c>
      <c r="P766">
        <f>IF(N766="","",IF(M766=0,N(INDEX(Equipamentos!$V$2:$V$61,N766)),N(INDEX(TrocasEquip!$I$2:$I$1000,M766))))</f>
        <v/>
      </c>
      <c r="Q766">
        <f>IF(N766="","",IF(M766=0,INDEX(Equipamentos!$T$2:$T$61,N766),IF(INDEX(TrocasEquip!$H$2:$H$1000,M766)="",INDEX(Equipamentos!$T$2:$T$61,N766),INDEX(TrocasEquip!$H$2:$H$1000,M766))))</f>
        <v/>
      </c>
    </row>
    <row r="767">
      <c r="A767" s="54" t="n"/>
      <c r="B767" s="55" t="n"/>
      <c r="C767">
        <f>IF(B767="","",IF(N767="","posição não encontrada",IF(M767=0,INDEX(Equipamentos!$S$2:$S$61,N767),INDEX(TrocasEquip!$G$2:$G$1000,M767))))</f>
        <v/>
      </c>
      <c r="D767" s="56">
        <f>IF(OR(A767="",N767=""),"",P767+IF(E767="dias",MAX(0,A767-O767),IF(INDEX(Equipamentos!$D$2:$D$61,N767)=2,SUMIFS(Producao!$D:$D,Producao!$A:$A,"&gt;="&amp;O767,Producao!$A:$A,"&lt;"&amp;A767),IF(INDEX(Equipamentos!$D$2:$D$61,N767)=3,SUMIFS(Producao!$E:$E,Producao!$A:$A,"&gt;="&amp;O767,Producao!$A:$A,"&lt;"&amp;A767),SUMIFS(Producao!$B:$B,Producao!$A:$A,"&gt;="&amp;O767,Producao!$A:$A,"&lt;"&amp;A767)))))</f>
        <v/>
      </c>
      <c r="E767">
        <f>IF(N767="","",INDEX(Equipamentos!$C$2:$C$61,N767))</f>
        <v/>
      </c>
      <c r="F767" s="57">
        <f>IF(OR(D767="",N(Q767)&lt;=0),"",D767/Q767)</f>
        <v/>
      </c>
      <c r="G767" s="55" t="n"/>
      <c r="H767" s="58" t="n"/>
      <c r="I767" s="58" t="n"/>
      <c r="J767" s="55" t="n"/>
      <c r="K767" s="55" t="n"/>
      <c r="L767">
        <f>IF(OR(A767="",B767=""),"",_xlfn.MAXIFS(TrocasEquip!$A$2:$A$1000,TrocasEquip!$B$2:$B$1000,B767,TrocasEquip!$A$2:$A$1000,"&lt;"&amp;A767))</f>
        <v/>
      </c>
      <c r="M767">
        <f>IF(N(L767)=0,0,MATCH(1,INDEX((TrocasEquip!$B$2:$B$1000=B767)*(TrocasEquip!$A$2:$A$1000=L767),0),0))</f>
        <v/>
      </c>
      <c r="N767">
        <f>IF(B767="","",IFERROR(MATCH(B767,Equipamentos!$P$2:$P$61,0),""))</f>
        <v/>
      </c>
      <c r="O767">
        <f>IF(N767="","",IF(M767=0,INDEX(Equipamentos!$U$2:$U$61,N767),L767))</f>
        <v/>
      </c>
      <c r="P767">
        <f>IF(N767="","",IF(M767=0,N(INDEX(Equipamentos!$V$2:$V$61,N767)),N(INDEX(TrocasEquip!$I$2:$I$1000,M767))))</f>
        <v/>
      </c>
      <c r="Q767">
        <f>IF(N767="","",IF(M767=0,INDEX(Equipamentos!$T$2:$T$61,N767),IF(INDEX(TrocasEquip!$H$2:$H$1000,M767)="",INDEX(Equipamentos!$T$2:$T$61,N767),INDEX(TrocasEquip!$H$2:$H$1000,M767))))</f>
        <v/>
      </c>
    </row>
    <row r="768">
      <c r="A768" s="54" t="n"/>
      <c r="B768" s="55" t="n"/>
      <c r="C768">
        <f>IF(B768="","",IF(N768="","posição não encontrada",IF(M768=0,INDEX(Equipamentos!$S$2:$S$61,N768),INDEX(TrocasEquip!$G$2:$G$1000,M768))))</f>
        <v/>
      </c>
      <c r="D768" s="56">
        <f>IF(OR(A768="",N768=""),"",P768+IF(E768="dias",MAX(0,A768-O768),IF(INDEX(Equipamentos!$D$2:$D$61,N768)=2,SUMIFS(Producao!$D:$D,Producao!$A:$A,"&gt;="&amp;O768,Producao!$A:$A,"&lt;"&amp;A768),IF(INDEX(Equipamentos!$D$2:$D$61,N768)=3,SUMIFS(Producao!$E:$E,Producao!$A:$A,"&gt;="&amp;O768,Producao!$A:$A,"&lt;"&amp;A768),SUMIFS(Producao!$B:$B,Producao!$A:$A,"&gt;="&amp;O768,Producao!$A:$A,"&lt;"&amp;A768)))))</f>
        <v/>
      </c>
      <c r="E768">
        <f>IF(N768="","",INDEX(Equipamentos!$C$2:$C$61,N768))</f>
        <v/>
      </c>
      <c r="F768" s="57">
        <f>IF(OR(D768="",N(Q768)&lt;=0),"",D768/Q768)</f>
        <v/>
      </c>
      <c r="G768" s="55" t="n"/>
      <c r="H768" s="58" t="n"/>
      <c r="I768" s="58" t="n"/>
      <c r="J768" s="55" t="n"/>
      <c r="K768" s="55" t="n"/>
      <c r="L768">
        <f>IF(OR(A768="",B768=""),"",_xlfn.MAXIFS(TrocasEquip!$A$2:$A$1000,TrocasEquip!$B$2:$B$1000,B768,TrocasEquip!$A$2:$A$1000,"&lt;"&amp;A768))</f>
        <v/>
      </c>
      <c r="M768">
        <f>IF(N(L768)=0,0,MATCH(1,INDEX((TrocasEquip!$B$2:$B$1000=B768)*(TrocasEquip!$A$2:$A$1000=L768),0),0))</f>
        <v/>
      </c>
      <c r="N768">
        <f>IF(B768="","",IFERROR(MATCH(B768,Equipamentos!$P$2:$P$61,0),""))</f>
        <v/>
      </c>
      <c r="O768">
        <f>IF(N768="","",IF(M768=0,INDEX(Equipamentos!$U$2:$U$61,N768),L768))</f>
        <v/>
      </c>
      <c r="P768">
        <f>IF(N768="","",IF(M768=0,N(INDEX(Equipamentos!$V$2:$V$61,N768)),N(INDEX(TrocasEquip!$I$2:$I$1000,M768))))</f>
        <v/>
      </c>
      <c r="Q768">
        <f>IF(N768="","",IF(M768=0,INDEX(Equipamentos!$T$2:$T$61,N768),IF(INDEX(TrocasEquip!$H$2:$H$1000,M768)="",INDEX(Equipamentos!$T$2:$T$61,N768),INDEX(TrocasEquip!$H$2:$H$1000,M768))))</f>
        <v/>
      </c>
    </row>
    <row r="769">
      <c r="A769" s="54" t="n"/>
      <c r="B769" s="55" t="n"/>
      <c r="C769">
        <f>IF(B769="","",IF(N769="","posição não encontrada",IF(M769=0,INDEX(Equipamentos!$S$2:$S$61,N769),INDEX(TrocasEquip!$G$2:$G$1000,M769))))</f>
        <v/>
      </c>
      <c r="D769" s="56">
        <f>IF(OR(A769="",N769=""),"",P769+IF(E769="dias",MAX(0,A769-O769),IF(INDEX(Equipamentos!$D$2:$D$61,N769)=2,SUMIFS(Producao!$D:$D,Producao!$A:$A,"&gt;="&amp;O769,Producao!$A:$A,"&lt;"&amp;A769),IF(INDEX(Equipamentos!$D$2:$D$61,N769)=3,SUMIFS(Producao!$E:$E,Producao!$A:$A,"&gt;="&amp;O769,Producao!$A:$A,"&lt;"&amp;A769),SUMIFS(Producao!$B:$B,Producao!$A:$A,"&gt;="&amp;O769,Producao!$A:$A,"&lt;"&amp;A769)))))</f>
        <v/>
      </c>
      <c r="E769">
        <f>IF(N769="","",INDEX(Equipamentos!$C$2:$C$61,N769))</f>
        <v/>
      </c>
      <c r="F769" s="57">
        <f>IF(OR(D769="",N(Q769)&lt;=0),"",D769/Q769)</f>
        <v/>
      </c>
      <c r="G769" s="55" t="n"/>
      <c r="H769" s="58" t="n"/>
      <c r="I769" s="58" t="n"/>
      <c r="J769" s="55" t="n"/>
      <c r="K769" s="55" t="n"/>
      <c r="L769">
        <f>IF(OR(A769="",B769=""),"",_xlfn.MAXIFS(TrocasEquip!$A$2:$A$1000,TrocasEquip!$B$2:$B$1000,B769,TrocasEquip!$A$2:$A$1000,"&lt;"&amp;A769))</f>
        <v/>
      </c>
      <c r="M769">
        <f>IF(N(L769)=0,0,MATCH(1,INDEX((TrocasEquip!$B$2:$B$1000=B769)*(TrocasEquip!$A$2:$A$1000=L769),0),0))</f>
        <v/>
      </c>
      <c r="N769">
        <f>IF(B769="","",IFERROR(MATCH(B769,Equipamentos!$P$2:$P$61,0),""))</f>
        <v/>
      </c>
      <c r="O769">
        <f>IF(N769="","",IF(M769=0,INDEX(Equipamentos!$U$2:$U$61,N769),L769))</f>
        <v/>
      </c>
      <c r="P769">
        <f>IF(N769="","",IF(M769=0,N(INDEX(Equipamentos!$V$2:$V$61,N769)),N(INDEX(TrocasEquip!$I$2:$I$1000,M769))))</f>
        <v/>
      </c>
      <c r="Q769">
        <f>IF(N769="","",IF(M769=0,INDEX(Equipamentos!$T$2:$T$61,N769),IF(INDEX(TrocasEquip!$H$2:$H$1000,M769)="",INDEX(Equipamentos!$T$2:$T$61,N769),INDEX(TrocasEquip!$H$2:$H$1000,M769))))</f>
        <v/>
      </c>
    </row>
    <row r="770">
      <c r="A770" s="54" t="n"/>
      <c r="B770" s="55" t="n"/>
      <c r="C770">
        <f>IF(B770="","",IF(N770="","posição não encontrada",IF(M770=0,INDEX(Equipamentos!$S$2:$S$61,N770),INDEX(TrocasEquip!$G$2:$G$1000,M770))))</f>
        <v/>
      </c>
      <c r="D770" s="56">
        <f>IF(OR(A770="",N770=""),"",P770+IF(E770="dias",MAX(0,A770-O770),IF(INDEX(Equipamentos!$D$2:$D$61,N770)=2,SUMIFS(Producao!$D:$D,Producao!$A:$A,"&gt;="&amp;O770,Producao!$A:$A,"&lt;"&amp;A770),IF(INDEX(Equipamentos!$D$2:$D$61,N770)=3,SUMIFS(Producao!$E:$E,Producao!$A:$A,"&gt;="&amp;O770,Producao!$A:$A,"&lt;"&amp;A770),SUMIFS(Producao!$B:$B,Producao!$A:$A,"&gt;="&amp;O770,Producao!$A:$A,"&lt;"&amp;A770)))))</f>
        <v/>
      </c>
      <c r="E770">
        <f>IF(N770="","",INDEX(Equipamentos!$C$2:$C$61,N770))</f>
        <v/>
      </c>
      <c r="F770" s="57">
        <f>IF(OR(D770="",N(Q770)&lt;=0),"",D770/Q770)</f>
        <v/>
      </c>
      <c r="G770" s="55" t="n"/>
      <c r="H770" s="58" t="n"/>
      <c r="I770" s="58" t="n"/>
      <c r="J770" s="55" t="n"/>
      <c r="K770" s="55" t="n"/>
      <c r="L770">
        <f>IF(OR(A770="",B770=""),"",_xlfn.MAXIFS(TrocasEquip!$A$2:$A$1000,TrocasEquip!$B$2:$B$1000,B770,TrocasEquip!$A$2:$A$1000,"&lt;"&amp;A770))</f>
        <v/>
      </c>
      <c r="M770">
        <f>IF(N(L770)=0,0,MATCH(1,INDEX((TrocasEquip!$B$2:$B$1000=B770)*(TrocasEquip!$A$2:$A$1000=L770),0),0))</f>
        <v/>
      </c>
      <c r="N770">
        <f>IF(B770="","",IFERROR(MATCH(B770,Equipamentos!$P$2:$P$61,0),""))</f>
        <v/>
      </c>
      <c r="O770">
        <f>IF(N770="","",IF(M770=0,INDEX(Equipamentos!$U$2:$U$61,N770),L770))</f>
        <v/>
      </c>
      <c r="P770">
        <f>IF(N770="","",IF(M770=0,N(INDEX(Equipamentos!$V$2:$V$61,N770)),N(INDEX(TrocasEquip!$I$2:$I$1000,M770))))</f>
        <v/>
      </c>
      <c r="Q770">
        <f>IF(N770="","",IF(M770=0,INDEX(Equipamentos!$T$2:$T$61,N770),IF(INDEX(TrocasEquip!$H$2:$H$1000,M770)="",INDEX(Equipamentos!$T$2:$T$61,N770),INDEX(TrocasEquip!$H$2:$H$1000,M770))))</f>
        <v/>
      </c>
    </row>
    <row r="771">
      <c r="A771" s="54" t="n"/>
      <c r="B771" s="55" t="n"/>
      <c r="C771">
        <f>IF(B771="","",IF(N771="","posição não encontrada",IF(M771=0,INDEX(Equipamentos!$S$2:$S$61,N771),INDEX(TrocasEquip!$G$2:$G$1000,M771))))</f>
        <v/>
      </c>
      <c r="D771" s="56">
        <f>IF(OR(A771="",N771=""),"",P771+IF(E771="dias",MAX(0,A771-O771),IF(INDEX(Equipamentos!$D$2:$D$61,N771)=2,SUMIFS(Producao!$D:$D,Producao!$A:$A,"&gt;="&amp;O771,Producao!$A:$A,"&lt;"&amp;A771),IF(INDEX(Equipamentos!$D$2:$D$61,N771)=3,SUMIFS(Producao!$E:$E,Producao!$A:$A,"&gt;="&amp;O771,Producao!$A:$A,"&lt;"&amp;A771),SUMIFS(Producao!$B:$B,Producao!$A:$A,"&gt;="&amp;O771,Producao!$A:$A,"&lt;"&amp;A771)))))</f>
        <v/>
      </c>
      <c r="E771">
        <f>IF(N771="","",INDEX(Equipamentos!$C$2:$C$61,N771))</f>
        <v/>
      </c>
      <c r="F771" s="57">
        <f>IF(OR(D771="",N(Q771)&lt;=0),"",D771/Q771)</f>
        <v/>
      </c>
      <c r="G771" s="55" t="n"/>
      <c r="H771" s="58" t="n"/>
      <c r="I771" s="58" t="n"/>
      <c r="J771" s="55" t="n"/>
      <c r="K771" s="55" t="n"/>
      <c r="L771">
        <f>IF(OR(A771="",B771=""),"",_xlfn.MAXIFS(TrocasEquip!$A$2:$A$1000,TrocasEquip!$B$2:$B$1000,B771,TrocasEquip!$A$2:$A$1000,"&lt;"&amp;A771))</f>
        <v/>
      </c>
      <c r="M771">
        <f>IF(N(L771)=0,0,MATCH(1,INDEX((TrocasEquip!$B$2:$B$1000=B771)*(TrocasEquip!$A$2:$A$1000=L771),0),0))</f>
        <v/>
      </c>
      <c r="N771">
        <f>IF(B771="","",IFERROR(MATCH(B771,Equipamentos!$P$2:$P$61,0),""))</f>
        <v/>
      </c>
      <c r="O771">
        <f>IF(N771="","",IF(M771=0,INDEX(Equipamentos!$U$2:$U$61,N771),L771))</f>
        <v/>
      </c>
      <c r="P771">
        <f>IF(N771="","",IF(M771=0,N(INDEX(Equipamentos!$V$2:$V$61,N771)),N(INDEX(TrocasEquip!$I$2:$I$1000,M771))))</f>
        <v/>
      </c>
      <c r="Q771">
        <f>IF(N771="","",IF(M771=0,INDEX(Equipamentos!$T$2:$T$61,N771),IF(INDEX(TrocasEquip!$H$2:$H$1000,M771)="",INDEX(Equipamentos!$T$2:$T$61,N771),INDEX(TrocasEquip!$H$2:$H$1000,M771))))</f>
        <v/>
      </c>
    </row>
    <row r="772">
      <c r="A772" s="54" t="n"/>
      <c r="B772" s="55" t="n"/>
      <c r="C772">
        <f>IF(B772="","",IF(N772="","posição não encontrada",IF(M772=0,INDEX(Equipamentos!$S$2:$S$61,N772),INDEX(TrocasEquip!$G$2:$G$1000,M772))))</f>
        <v/>
      </c>
      <c r="D772" s="56">
        <f>IF(OR(A772="",N772=""),"",P772+IF(E772="dias",MAX(0,A772-O772),IF(INDEX(Equipamentos!$D$2:$D$61,N772)=2,SUMIFS(Producao!$D:$D,Producao!$A:$A,"&gt;="&amp;O772,Producao!$A:$A,"&lt;"&amp;A772),IF(INDEX(Equipamentos!$D$2:$D$61,N772)=3,SUMIFS(Producao!$E:$E,Producao!$A:$A,"&gt;="&amp;O772,Producao!$A:$A,"&lt;"&amp;A772),SUMIFS(Producao!$B:$B,Producao!$A:$A,"&gt;="&amp;O772,Producao!$A:$A,"&lt;"&amp;A772)))))</f>
        <v/>
      </c>
      <c r="E772">
        <f>IF(N772="","",INDEX(Equipamentos!$C$2:$C$61,N772))</f>
        <v/>
      </c>
      <c r="F772" s="57">
        <f>IF(OR(D772="",N(Q772)&lt;=0),"",D772/Q772)</f>
        <v/>
      </c>
      <c r="G772" s="55" t="n"/>
      <c r="H772" s="58" t="n"/>
      <c r="I772" s="58" t="n"/>
      <c r="J772" s="55" t="n"/>
      <c r="K772" s="55" t="n"/>
      <c r="L772">
        <f>IF(OR(A772="",B772=""),"",_xlfn.MAXIFS(TrocasEquip!$A$2:$A$1000,TrocasEquip!$B$2:$B$1000,B772,TrocasEquip!$A$2:$A$1000,"&lt;"&amp;A772))</f>
        <v/>
      </c>
      <c r="M772">
        <f>IF(N(L772)=0,0,MATCH(1,INDEX((TrocasEquip!$B$2:$B$1000=B772)*(TrocasEquip!$A$2:$A$1000=L772),0),0))</f>
        <v/>
      </c>
      <c r="N772">
        <f>IF(B772="","",IFERROR(MATCH(B772,Equipamentos!$P$2:$P$61,0),""))</f>
        <v/>
      </c>
      <c r="O772">
        <f>IF(N772="","",IF(M772=0,INDEX(Equipamentos!$U$2:$U$61,N772),L772))</f>
        <v/>
      </c>
      <c r="P772">
        <f>IF(N772="","",IF(M772=0,N(INDEX(Equipamentos!$V$2:$V$61,N772)),N(INDEX(TrocasEquip!$I$2:$I$1000,M772))))</f>
        <v/>
      </c>
      <c r="Q772">
        <f>IF(N772="","",IF(M772=0,INDEX(Equipamentos!$T$2:$T$61,N772),IF(INDEX(TrocasEquip!$H$2:$H$1000,M772)="",INDEX(Equipamentos!$T$2:$T$61,N772),INDEX(TrocasEquip!$H$2:$H$1000,M772))))</f>
        <v/>
      </c>
    </row>
    <row r="773">
      <c r="A773" s="54" t="n"/>
      <c r="B773" s="55" t="n"/>
      <c r="C773">
        <f>IF(B773="","",IF(N773="","posição não encontrada",IF(M773=0,INDEX(Equipamentos!$S$2:$S$61,N773),INDEX(TrocasEquip!$G$2:$G$1000,M773))))</f>
        <v/>
      </c>
      <c r="D773" s="56">
        <f>IF(OR(A773="",N773=""),"",P773+IF(E773="dias",MAX(0,A773-O773),IF(INDEX(Equipamentos!$D$2:$D$61,N773)=2,SUMIFS(Producao!$D:$D,Producao!$A:$A,"&gt;="&amp;O773,Producao!$A:$A,"&lt;"&amp;A773),IF(INDEX(Equipamentos!$D$2:$D$61,N773)=3,SUMIFS(Producao!$E:$E,Producao!$A:$A,"&gt;="&amp;O773,Producao!$A:$A,"&lt;"&amp;A773),SUMIFS(Producao!$B:$B,Producao!$A:$A,"&gt;="&amp;O773,Producao!$A:$A,"&lt;"&amp;A773)))))</f>
        <v/>
      </c>
      <c r="E773">
        <f>IF(N773="","",INDEX(Equipamentos!$C$2:$C$61,N773))</f>
        <v/>
      </c>
      <c r="F773" s="57">
        <f>IF(OR(D773="",N(Q773)&lt;=0),"",D773/Q773)</f>
        <v/>
      </c>
      <c r="G773" s="55" t="n"/>
      <c r="H773" s="58" t="n"/>
      <c r="I773" s="58" t="n"/>
      <c r="J773" s="55" t="n"/>
      <c r="K773" s="55" t="n"/>
      <c r="L773">
        <f>IF(OR(A773="",B773=""),"",_xlfn.MAXIFS(TrocasEquip!$A$2:$A$1000,TrocasEquip!$B$2:$B$1000,B773,TrocasEquip!$A$2:$A$1000,"&lt;"&amp;A773))</f>
        <v/>
      </c>
      <c r="M773">
        <f>IF(N(L773)=0,0,MATCH(1,INDEX((TrocasEquip!$B$2:$B$1000=B773)*(TrocasEquip!$A$2:$A$1000=L773),0),0))</f>
        <v/>
      </c>
      <c r="N773">
        <f>IF(B773="","",IFERROR(MATCH(B773,Equipamentos!$P$2:$P$61,0),""))</f>
        <v/>
      </c>
      <c r="O773">
        <f>IF(N773="","",IF(M773=0,INDEX(Equipamentos!$U$2:$U$61,N773),L773))</f>
        <v/>
      </c>
      <c r="P773">
        <f>IF(N773="","",IF(M773=0,N(INDEX(Equipamentos!$V$2:$V$61,N773)),N(INDEX(TrocasEquip!$I$2:$I$1000,M773))))</f>
        <v/>
      </c>
      <c r="Q773">
        <f>IF(N773="","",IF(M773=0,INDEX(Equipamentos!$T$2:$T$61,N773),IF(INDEX(TrocasEquip!$H$2:$H$1000,M773)="",INDEX(Equipamentos!$T$2:$T$61,N773),INDEX(TrocasEquip!$H$2:$H$1000,M773))))</f>
        <v/>
      </c>
    </row>
    <row r="774">
      <c r="A774" s="54" t="n"/>
      <c r="B774" s="55" t="n"/>
      <c r="C774">
        <f>IF(B774="","",IF(N774="","posição não encontrada",IF(M774=0,INDEX(Equipamentos!$S$2:$S$61,N774),INDEX(TrocasEquip!$G$2:$G$1000,M774))))</f>
        <v/>
      </c>
      <c r="D774" s="56">
        <f>IF(OR(A774="",N774=""),"",P774+IF(E774="dias",MAX(0,A774-O774),IF(INDEX(Equipamentos!$D$2:$D$61,N774)=2,SUMIFS(Producao!$D:$D,Producao!$A:$A,"&gt;="&amp;O774,Producao!$A:$A,"&lt;"&amp;A774),IF(INDEX(Equipamentos!$D$2:$D$61,N774)=3,SUMIFS(Producao!$E:$E,Producao!$A:$A,"&gt;="&amp;O774,Producao!$A:$A,"&lt;"&amp;A774),SUMIFS(Producao!$B:$B,Producao!$A:$A,"&gt;="&amp;O774,Producao!$A:$A,"&lt;"&amp;A774)))))</f>
        <v/>
      </c>
      <c r="E774">
        <f>IF(N774="","",INDEX(Equipamentos!$C$2:$C$61,N774))</f>
        <v/>
      </c>
      <c r="F774" s="57">
        <f>IF(OR(D774="",N(Q774)&lt;=0),"",D774/Q774)</f>
        <v/>
      </c>
      <c r="G774" s="55" t="n"/>
      <c r="H774" s="58" t="n"/>
      <c r="I774" s="58" t="n"/>
      <c r="J774" s="55" t="n"/>
      <c r="K774" s="55" t="n"/>
      <c r="L774">
        <f>IF(OR(A774="",B774=""),"",_xlfn.MAXIFS(TrocasEquip!$A$2:$A$1000,TrocasEquip!$B$2:$B$1000,B774,TrocasEquip!$A$2:$A$1000,"&lt;"&amp;A774))</f>
        <v/>
      </c>
      <c r="M774">
        <f>IF(N(L774)=0,0,MATCH(1,INDEX((TrocasEquip!$B$2:$B$1000=B774)*(TrocasEquip!$A$2:$A$1000=L774),0),0))</f>
        <v/>
      </c>
      <c r="N774">
        <f>IF(B774="","",IFERROR(MATCH(B774,Equipamentos!$P$2:$P$61,0),""))</f>
        <v/>
      </c>
      <c r="O774">
        <f>IF(N774="","",IF(M774=0,INDEX(Equipamentos!$U$2:$U$61,N774),L774))</f>
        <v/>
      </c>
      <c r="P774">
        <f>IF(N774="","",IF(M774=0,N(INDEX(Equipamentos!$V$2:$V$61,N774)),N(INDEX(TrocasEquip!$I$2:$I$1000,M774))))</f>
        <v/>
      </c>
      <c r="Q774">
        <f>IF(N774="","",IF(M774=0,INDEX(Equipamentos!$T$2:$T$61,N774),IF(INDEX(TrocasEquip!$H$2:$H$1000,M774)="",INDEX(Equipamentos!$T$2:$T$61,N774),INDEX(TrocasEquip!$H$2:$H$1000,M774))))</f>
        <v/>
      </c>
    </row>
    <row r="775">
      <c r="A775" s="54" t="n"/>
      <c r="B775" s="55" t="n"/>
      <c r="C775">
        <f>IF(B775="","",IF(N775="","posição não encontrada",IF(M775=0,INDEX(Equipamentos!$S$2:$S$61,N775),INDEX(TrocasEquip!$G$2:$G$1000,M775))))</f>
        <v/>
      </c>
      <c r="D775" s="56">
        <f>IF(OR(A775="",N775=""),"",P775+IF(E775="dias",MAX(0,A775-O775),IF(INDEX(Equipamentos!$D$2:$D$61,N775)=2,SUMIFS(Producao!$D:$D,Producao!$A:$A,"&gt;="&amp;O775,Producao!$A:$A,"&lt;"&amp;A775),IF(INDEX(Equipamentos!$D$2:$D$61,N775)=3,SUMIFS(Producao!$E:$E,Producao!$A:$A,"&gt;="&amp;O775,Producao!$A:$A,"&lt;"&amp;A775),SUMIFS(Producao!$B:$B,Producao!$A:$A,"&gt;="&amp;O775,Producao!$A:$A,"&lt;"&amp;A775)))))</f>
        <v/>
      </c>
      <c r="E775">
        <f>IF(N775="","",INDEX(Equipamentos!$C$2:$C$61,N775))</f>
        <v/>
      </c>
      <c r="F775" s="57">
        <f>IF(OR(D775="",N(Q775)&lt;=0),"",D775/Q775)</f>
        <v/>
      </c>
      <c r="G775" s="55" t="n"/>
      <c r="H775" s="58" t="n"/>
      <c r="I775" s="58" t="n"/>
      <c r="J775" s="55" t="n"/>
      <c r="K775" s="55" t="n"/>
      <c r="L775">
        <f>IF(OR(A775="",B775=""),"",_xlfn.MAXIFS(TrocasEquip!$A$2:$A$1000,TrocasEquip!$B$2:$B$1000,B775,TrocasEquip!$A$2:$A$1000,"&lt;"&amp;A775))</f>
        <v/>
      </c>
      <c r="M775">
        <f>IF(N(L775)=0,0,MATCH(1,INDEX((TrocasEquip!$B$2:$B$1000=B775)*(TrocasEquip!$A$2:$A$1000=L775),0),0))</f>
        <v/>
      </c>
      <c r="N775">
        <f>IF(B775="","",IFERROR(MATCH(B775,Equipamentos!$P$2:$P$61,0),""))</f>
        <v/>
      </c>
      <c r="O775">
        <f>IF(N775="","",IF(M775=0,INDEX(Equipamentos!$U$2:$U$61,N775),L775))</f>
        <v/>
      </c>
      <c r="P775">
        <f>IF(N775="","",IF(M775=0,N(INDEX(Equipamentos!$V$2:$V$61,N775)),N(INDEX(TrocasEquip!$I$2:$I$1000,M775))))</f>
        <v/>
      </c>
      <c r="Q775">
        <f>IF(N775="","",IF(M775=0,INDEX(Equipamentos!$T$2:$T$61,N775),IF(INDEX(TrocasEquip!$H$2:$H$1000,M775)="",INDEX(Equipamentos!$T$2:$T$61,N775),INDEX(TrocasEquip!$H$2:$H$1000,M775))))</f>
        <v/>
      </c>
    </row>
    <row r="776">
      <c r="A776" s="54" t="n"/>
      <c r="B776" s="55" t="n"/>
      <c r="C776">
        <f>IF(B776="","",IF(N776="","posição não encontrada",IF(M776=0,INDEX(Equipamentos!$S$2:$S$61,N776),INDEX(TrocasEquip!$G$2:$G$1000,M776))))</f>
        <v/>
      </c>
      <c r="D776" s="56">
        <f>IF(OR(A776="",N776=""),"",P776+IF(E776="dias",MAX(0,A776-O776),IF(INDEX(Equipamentos!$D$2:$D$61,N776)=2,SUMIFS(Producao!$D:$D,Producao!$A:$A,"&gt;="&amp;O776,Producao!$A:$A,"&lt;"&amp;A776),IF(INDEX(Equipamentos!$D$2:$D$61,N776)=3,SUMIFS(Producao!$E:$E,Producao!$A:$A,"&gt;="&amp;O776,Producao!$A:$A,"&lt;"&amp;A776),SUMIFS(Producao!$B:$B,Producao!$A:$A,"&gt;="&amp;O776,Producao!$A:$A,"&lt;"&amp;A776)))))</f>
        <v/>
      </c>
      <c r="E776">
        <f>IF(N776="","",INDEX(Equipamentos!$C$2:$C$61,N776))</f>
        <v/>
      </c>
      <c r="F776" s="57">
        <f>IF(OR(D776="",N(Q776)&lt;=0),"",D776/Q776)</f>
        <v/>
      </c>
      <c r="G776" s="55" t="n"/>
      <c r="H776" s="58" t="n"/>
      <c r="I776" s="58" t="n"/>
      <c r="J776" s="55" t="n"/>
      <c r="K776" s="55" t="n"/>
      <c r="L776">
        <f>IF(OR(A776="",B776=""),"",_xlfn.MAXIFS(TrocasEquip!$A$2:$A$1000,TrocasEquip!$B$2:$B$1000,B776,TrocasEquip!$A$2:$A$1000,"&lt;"&amp;A776))</f>
        <v/>
      </c>
      <c r="M776">
        <f>IF(N(L776)=0,0,MATCH(1,INDEX((TrocasEquip!$B$2:$B$1000=B776)*(TrocasEquip!$A$2:$A$1000=L776),0),0))</f>
        <v/>
      </c>
      <c r="N776">
        <f>IF(B776="","",IFERROR(MATCH(B776,Equipamentos!$P$2:$P$61,0),""))</f>
        <v/>
      </c>
      <c r="O776">
        <f>IF(N776="","",IF(M776=0,INDEX(Equipamentos!$U$2:$U$61,N776),L776))</f>
        <v/>
      </c>
      <c r="P776">
        <f>IF(N776="","",IF(M776=0,N(INDEX(Equipamentos!$V$2:$V$61,N776)),N(INDEX(TrocasEquip!$I$2:$I$1000,M776))))</f>
        <v/>
      </c>
      <c r="Q776">
        <f>IF(N776="","",IF(M776=0,INDEX(Equipamentos!$T$2:$T$61,N776),IF(INDEX(TrocasEquip!$H$2:$H$1000,M776)="",INDEX(Equipamentos!$T$2:$T$61,N776),INDEX(TrocasEquip!$H$2:$H$1000,M776))))</f>
        <v/>
      </c>
    </row>
    <row r="777">
      <c r="A777" s="54" t="n"/>
      <c r="B777" s="55" t="n"/>
      <c r="C777">
        <f>IF(B777="","",IF(N777="","posição não encontrada",IF(M777=0,INDEX(Equipamentos!$S$2:$S$61,N777),INDEX(TrocasEquip!$G$2:$G$1000,M777))))</f>
        <v/>
      </c>
      <c r="D777" s="56">
        <f>IF(OR(A777="",N777=""),"",P777+IF(E777="dias",MAX(0,A777-O777),IF(INDEX(Equipamentos!$D$2:$D$61,N777)=2,SUMIFS(Producao!$D:$D,Producao!$A:$A,"&gt;="&amp;O777,Producao!$A:$A,"&lt;"&amp;A777),IF(INDEX(Equipamentos!$D$2:$D$61,N777)=3,SUMIFS(Producao!$E:$E,Producao!$A:$A,"&gt;="&amp;O777,Producao!$A:$A,"&lt;"&amp;A777),SUMIFS(Producao!$B:$B,Producao!$A:$A,"&gt;="&amp;O777,Producao!$A:$A,"&lt;"&amp;A777)))))</f>
        <v/>
      </c>
      <c r="E777">
        <f>IF(N777="","",INDEX(Equipamentos!$C$2:$C$61,N777))</f>
        <v/>
      </c>
      <c r="F777" s="57">
        <f>IF(OR(D777="",N(Q777)&lt;=0),"",D777/Q777)</f>
        <v/>
      </c>
      <c r="G777" s="55" t="n"/>
      <c r="H777" s="58" t="n"/>
      <c r="I777" s="58" t="n"/>
      <c r="J777" s="55" t="n"/>
      <c r="K777" s="55" t="n"/>
      <c r="L777">
        <f>IF(OR(A777="",B777=""),"",_xlfn.MAXIFS(TrocasEquip!$A$2:$A$1000,TrocasEquip!$B$2:$B$1000,B777,TrocasEquip!$A$2:$A$1000,"&lt;"&amp;A777))</f>
        <v/>
      </c>
      <c r="M777">
        <f>IF(N(L777)=0,0,MATCH(1,INDEX((TrocasEquip!$B$2:$B$1000=B777)*(TrocasEquip!$A$2:$A$1000=L777),0),0))</f>
        <v/>
      </c>
      <c r="N777">
        <f>IF(B777="","",IFERROR(MATCH(B777,Equipamentos!$P$2:$P$61,0),""))</f>
        <v/>
      </c>
      <c r="O777">
        <f>IF(N777="","",IF(M777=0,INDEX(Equipamentos!$U$2:$U$61,N777),L777))</f>
        <v/>
      </c>
      <c r="P777">
        <f>IF(N777="","",IF(M777=0,N(INDEX(Equipamentos!$V$2:$V$61,N777)),N(INDEX(TrocasEquip!$I$2:$I$1000,M777))))</f>
        <v/>
      </c>
      <c r="Q777">
        <f>IF(N777="","",IF(M777=0,INDEX(Equipamentos!$T$2:$T$61,N777),IF(INDEX(TrocasEquip!$H$2:$H$1000,M777)="",INDEX(Equipamentos!$T$2:$T$61,N777),INDEX(TrocasEquip!$H$2:$H$1000,M777))))</f>
        <v/>
      </c>
    </row>
    <row r="778">
      <c r="A778" s="54" t="n"/>
      <c r="B778" s="55" t="n"/>
      <c r="C778">
        <f>IF(B778="","",IF(N778="","posição não encontrada",IF(M778=0,INDEX(Equipamentos!$S$2:$S$61,N778),INDEX(TrocasEquip!$G$2:$G$1000,M778))))</f>
        <v/>
      </c>
      <c r="D778" s="56">
        <f>IF(OR(A778="",N778=""),"",P778+IF(E778="dias",MAX(0,A778-O778),IF(INDEX(Equipamentos!$D$2:$D$61,N778)=2,SUMIFS(Producao!$D:$D,Producao!$A:$A,"&gt;="&amp;O778,Producao!$A:$A,"&lt;"&amp;A778),IF(INDEX(Equipamentos!$D$2:$D$61,N778)=3,SUMIFS(Producao!$E:$E,Producao!$A:$A,"&gt;="&amp;O778,Producao!$A:$A,"&lt;"&amp;A778),SUMIFS(Producao!$B:$B,Producao!$A:$A,"&gt;="&amp;O778,Producao!$A:$A,"&lt;"&amp;A778)))))</f>
        <v/>
      </c>
      <c r="E778">
        <f>IF(N778="","",INDEX(Equipamentos!$C$2:$C$61,N778))</f>
        <v/>
      </c>
      <c r="F778" s="57">
        <f>IF(OR(D778="",N(Q778)&lt;=0),"",D778/Q778)</f>
        <v/>
      </c>
      <c r="G778" s="55" t="n"/>
      <c r="H778" s="58" t="n"/>
      <c r="I778" s="58" t="n"/>
      <c r="J778" s="55" t="n"/>
      <c r="K778" s="55" t="n"/>
      <c r="L778">
        <f>IF(OR(A778="",B778=""),"",_xlfn.MAXIFS(TrocasEquip!$A$2:$A$1000,TrocasEquip!$B$2:$B$1000,B778,TrocasEquip!$A$2:$A$1000,"&lt;"&amp;A778))</f>
        <v/>
      </c>
      <c r="M778">
        <f>IF(N(L778)=0,0,MATCH(1,INDEX((TrocasEquip!$B$2:$B$1000=B778)*(TrocasEquip!$A$2:$A$1000=L778),0),0))</f>
        <v/>
      </c>
      <c r="N778">
        <f>IF(B778="","",IFERROR(MATCH(B778,Equipamentos!$P$2:$P$61,0),""))</f>
        <v/>
      </c>
      <c r="O778">
        <f>IF(N778="","",IF(M778=0,INDEX(Equipamentos!$U$2:$U$61,N778),L778))</f>
        <v/>
      </c>
      <c r="P778">
        <f>IF(N778="","",IF(M778=0,N(INDEX(Equipamentos!$V$2:$V$61,N778)),N(INDEX(TrocasEquip!$I$2:$I$1000,M778))))</f>
        <v/>
      </c>
      <c r="Q778">
        <f>IF(N778="","",IF(M778=0,INDEX(Equipamentos!$T$2:$T$61,N778),IF(INDEX(TrocasEquip!$H$2:$H$1000,M778)="",INDEX(Equipamentos!$T$2:$T$61,N778),INDEX(TrocasEquip!$H$2:$H$1000,M778))))</f>
        <v/>
      </c>
    </row>
    <row r="779">
      <c r="A779" s="54" t="n"/>
      <c r="B779" s="55" t="n"/>
      <c r="C779">
        <f>IF(B779="","",IF(N779="","posição não encontrada",IF(M779=0,INDEX(Equipamentos!$S$2:$S$61,N779),INDEX(TrocasEquip!$G$2:$G$1000,M779))))</f>
        <v/>
      </c>
      <c r="D779" s="56">
        <f>IF(OR(A779="",N779=""),"",P779+IF(E779="dias",MAX(0,A779-O779),IF(INDEX(Equipamentos!$D$2:$D$61,N779)=2,SUMIFS(Producao!$D:$D,Producao!$A:$A,"&gt;="&amp;O779,Producao!$A:$A,"&lt;"&amp;A779),IF(INDEX(Equipamentos!$D$2:$D$61,N779)=3,SUMIFS(Producao!$E:$E,Producao!$A:$A,"&gt;="&amp;O779,Producao!$A:$A,"&lt;"&amp;A779),SUMIFS(Producao!$B:$B,Producao!$A:$A,"&gt;="&amp;O779,Producao!$A:$A,"&lt;"&amp;A779)))))</f>
        <v/>
      </c>
      <c r="E779">
        <f>IF(N779="","",INDEX(Equipamentos!$C$2:$C$61,N779))</f>
        <v/>
      </c>
      <c r="F779" s="57">
        <f>IF(OR(D779="",N(Q779)&lt;=0),"",D779/Q779)</f>
        <v/>
      </c>
      <c r="G779" s="55" t="n"/>
      <c r="H779" s="58" t="n"/>
      <c r="I779" s="58" t="n"/>
      <c r="J779" s="55" t="n"/>
      <c r="K779" s="55" t="n"/>
      <c r="L779">
        <f>IF(OR(A779="",B779=""),"",_xlfn.MAXIFS(TrocasEquip!$A$2:$A$1000,TrocasEquip!$B$2:$B$1000,B779,TrocasEquip!$A$2:$A$1000,"&lt;"&amp;A779))</f>
        <v/>
      </c>
      <c r="M779">
        <f>IF(N(L779)=0,0,MATCH(1,INDEX((TrocasEquip!$B$2:$B$1000=B779)*(TrocasEquip!$A$2:$A$1000=L779),0),0))</f>
        <v/>
      </c>
      <c r="N779">
        <f>IF(B779="","",IFERROR(MATCH(B779,Equipamentos!$P$2:$P$61,0),""))</f>
        <v/>
      </c>
      <c r="O779">
        <f>IF(N779="","",IF(M779=0,INDEX(Equipamentos!$U$2:$U$61,N779),L779))</f>
        <v/>
      </c>
      <c r="P779">
        <f>IF(N779="","",IF(M779=0,N(INDEX(Equipamentos!$V$2:$V$61,N779)),N(INDEX(TrocasEquip!$I$2:$I$1000,M779))))</f>
        <v/>
      </c>
      <c r="Q779">
        <f>IF(N779="","",IF(M779=0,INDEX(Equipamentos!$T$2:$T$61,N779),IF(INDEX(TrocasEquip!$H$2:$H$1000,M779)="",INDEX(Equipamentos!$T$2:$T$61,N779),INDEX(TrocasEquip!$H$2:$H$1000,M779))))</f>
        <v/>
      </c>
    </row>
    <row r="780">
      <c r="A780" s="54" t="n"/>
      <c r="B780" s="55" t="n"/>
      <c r="C780">
        <f>IF(B780="","",IF(N780="","posição não encontrada",IF(M780=0,INDEX(Equipamentos!$S$2:$S$61,N780),INDEX(TrocasEquip!$G$2:$G$1000,M780))))</f>
        <v/>
      </c>
      <c r="D780" s="56">
        <f>IF(OR(A780="",N780=""),"",P780+IF(E780="dias",MAX(0,A780-O780),IF(INDEX(Equipamentos!$D$2:$D$61,N780)=2,SUMIFS(Producao!$D:$D,Producao!$A:$A,"&gt;="&amp;O780,Producao!$A:$A,"&lt;"&amp;A780),IF(INDEX(Equipamentos!$D$2:$D$61,N780)=3,SUMIFS(Producao!$E:$E,Producao!$A:$A,"&gt;="&amp;O780,Producao!$A:$A,"&lt;"&amp;A780),SUMIFS(Producao!$B:$B,Producao!$A:$A,"&gt;="&amp;O780,Producao!$A:$A,"&lt;"&amp;A780)))))</f>
        <v/>
      </c>
      <c r="E780">
        <f>IF(N780="","",INDEX(Equipamentos!$C$2:$C$61,N780))</f>
        <v/>
      </c>
      <c r="F780" s="57">
        <f>IF(OR(D780="",N(Q780)&lt;=0),"",D780/Q780)</f>
        <v/>
      </c>
      <c r="G780" s="55" t="n"/>
      <c r="H780" s="58" t="n"/>
      <c r="I780" s="58" t="n"/>
      <c r="J780" s="55" t="n"/>
      <c r="K780" s="55" t="n"/>
      <c r="L780">
        <f>IF(OR(A780="",B780=""),"",_xlfn.MAXIFS(TrocasEquip!$A$2:$A$1000,TrocasEquip!$B$2:$B$1000,B780,TrocasEquip!$A$2:$A$1000,"&lt;"&amp;A780))</f>
        <v/>
      </c>
      <c r="M780">
        <f>IF(N(L780)=0,0,MATCH(1,INDEX((TrocasEquip!$B$2:$B$1000=B780)*(TrocasEquip!$A$2:$A$1000=L780),0),0))</f>
        <v/>
      </c>
      <c r="N780">
        <f>IF(B780="","",IFERROR(MATCH(B780,Equipamentos!$P$2:$P$61,0),""))</f>
        <v/>
      </c>
      <c r="O780">
        <f>IF(N780="","",IF(M780=0,INDEX(Equipamentos!$U$2:$U$61,N780),L780))</f>
        <v/>
      </c>
      <c r="P780">
        <f>IF(N780="","",IF(M780=0,N(INDEX(Equipamentos!$V$2:$V$61,N780)),N(INDEX(TrocasEquip!$I$2:$I$1000,M780))))</f>
        <v/>
      </c>
      <c r="Q780">
        <f>IF(N780="","",IF(M780=0,INDEX(Equipamentos!$T$2:$T$61,N780),IF(INDEX(TrocasEquip!$H$2:$H$1000,M780)="",INDEX(Equipamentos!$T$2:$T$61,N780),INDEX(TrocasEquip!$H$2:$H$1000,M780))))</f>
        <v/>
      </c>
    </row>
    <row r="781">
      <c r="A781" s="54" t="n"/>
      <c r="B781" s="55" t="n"/>
      <c r="C781">
        <f>IF(B781="","",IF(N781="","posição não encontrada",IF(M781=0,INDEX(Equipamentos!$S$2:$S$61,N781),INDEX(TrocasEquip!$G$2:$G$1000,M781))))</f>
        <v/>
      </c>
      <c r="D781" s="56">
        <f>IF(OR(A781="",N781=""),"",P781+IF(E781="dias",MAX(0,A781-O781),IF(INDEX(Equipamentos!$D$2:$D$61,N781)=2,SUMIFS(Producao!$D:$D,Producao!$A:$A,"&gt;="&amp;O781,Producao!$A:$A,"&lt;"&amp;A781),IF(INDEX(Equipamentos!$D$2:$D$61,N781)=3,SUMIFS(Producao!$E:$E,Producao!$A:$A,"&gt;="&amp;O781,Producao!$A:$A,"&lt;"&amp;A781),SUMIFS(Producao!$B:$B,Producao!$A:$A,"&gt;="&amp;O781,Producao!$A:$A,"&lt;"&amp;A781)))))</f>
        <v/>
      </c>
      <c r="E781">
        <f>IF(N781="","",INDEX(Equipamentos!$C$2:$C$61,N781))</f>
        <v/>
      </c>
      <c r="F781" s="57">
        <f>IF(OR(D781="",N(Q781)&lt;=0),"",D781/Q781)</f>
        <v/>
      </c>
      <c r="G781" s="55" t="n"/>
      <c r="H781" s="58" t="n"/>
      <c r="I781" s="58" t="n"/>
      <c r="J781" s="55" t="n"/>
      <c r="K781" s="55" t="n"/>
      <c r="L781">
        <f>IF(OR(A781="",B781=""),"",_xlfn.MAXIFS(TrocasEquip!$A$2:$A$1000,TrocasEquip!$B$2:$B$1000,B781,TrocasEquip!$A$2:$A$1000,"&lt;"&amp;A781))</f>
        <v/>
      </c>
      <c r="M781">
        <f>IF(N(L781)=0,0,MATCH(1,INDEX((TrocasEquip!$B$2:$B$1000=B781)*(TrocasEquip!$A$2:$A$1000=L781),0),0))</f>
        <v/>
      </c>
      <c r="N781">
        <f>IF(B781="","",IFERROR(MATCH(B781,Equipamentos!$P$2:$P$61,0),""))</f>
        <v/>
      </c>
      <c r="O781">
        <f>IF(N781="","",IF(M781=0,INDEX(Equipamentos!$U$2:$U$61,N781),L781))</f>
        <v/>
      </c>
      <c r="P781">
        <f>IF(N781="","",IF(M781=0,N(INDEX(Equipamentos!$V$2:$V$61,N781)),N(INDEX(TrocasEquip!$I$2:$I$1000,M781))))</f>
        <v/>
      </c>
      <c r="Q781">
        <f>IF(N781="","",IF(M781=0,INDEX(Equipamentos!$T$2:$T$61,N781),IF(INDEX(TrocasEquip!$H$2:$H$1000,M781)="",INDEX(Equipamentos!$T$2:$T$61,N781),INDEX(TrocasEquip!$H$2:$H$1000,M781))))</f>
        <v/>
      </c>
    </row>
    <row r="782">
      <c r="A782" s="54" t="n"/>
      <c r="B782" s="55" t="n"/>
      <c r="C782">
        <f>IF(B782="","",IF(N782="","posição não encontrada",IF(M782=0,INDEX(Equipamentos!$S$2:$S$61,N782),INDEX(TrocasEquip!$G$2:$G$1000,M782))))</f>
        <v/>
      </c>
      <c r="D782" s="56">
        <f>IF(OR(A782="",N782=""),"",P782+IF(E782="dias",MAX(0,A782-O782),IF(INDEX(Equipamentos!$D$2:$D$61,N782)=2,SUMIFS(Producao!$D:$D,Producao!$A:$A,"&gt;="&amp;O782,Producao!$A:$A,"&lt;"&amp;A782),IF(INDEX(Equipamentos!$D$2:$D$61,N782)=3,SUMIFS(Producao!$E:$E,Producao!$A:$A,"&gt;="&amp;O782,Producao!$A:$A,"&lt;"&amp;A782),SUMIFS(Producao!$B:$B,Producao!$A:$A,"&gt;="&amp;O782,Producao!$A:$A,"&lt;"&amp;A782)))))</f>
        <v/>
      </c>
      <c r="E782">
        <f>IF(N782="","",INDEX(Equipamentos!$C$2:$C$61,N782))</f>
        <v/>
      </c>
      <c r="F782" s="57">
        <f>IF(OR(D782="",N(Q782)&lt;=0),"",D782/Q782)</f>
        <v/>
      </c>
      <c r="G782" s="55" t="n"/>
      <c r="H782" s="58" t="n"/>
      <c r="I782" s="58" t="n"/>
      <c r="J782" s="55" t="n"/>
      <c r="K782" s="55" t="n"/>
      <c r="L782">
        <f>IF(OR(A782="",B782=""),"",_xlfn.MAXIFS(TrocasEquip!$A$2:$A$1000,TrocasEquip!$B$2:$B$1000,B782,TrocasEquip!$A$2:$A$1000,"&lt;"&amp;A782))</f>
        <v/>
      </c>
      <c r="M782">
        <f>IF(N(L782)=0,0,MATCH(1,INDEX((TrocasEquip!$B$2:$B$1000=B782)*(TrocasEquip!$A$2:$A$1000=L782),0),0))</f>
        <v/>
      </c>
      <c r="N782">
        <f>IF(B782="","",IFERROR(MATCH(B782,Equipamentos!$P$2:$P$61,0),""))</f>
        <v/>
      </c>
      <c r="O782">
        <f>IF(N782="","",IF(M782=0,INDEX(Equipamentos!$U$2:$U$61,N782),L782))</f>
        <v/>
      </c>
      <c r="P782">
        <f>IF(N782="","",IF(M782=0,N(INDEX(Equipamentos!$V$2:$V$61,N782)),N(INDEX(TrocasEquip!$I$2:$I$1000,M782))))</f>
        <v/>
      </c>
      <c r="Q782">
        <f>IF(N782="","",IF(M782=0,INDEX(Equipamentos!$T$2:$T$61,N782),IF(INDEX(TrocasEquip!$H$2:$H$1000,M782)="",INDEX(Equipamentos!$T$2:$T$61,N782),INDEX(TrocasEquip!$H$2:$H$1000,M782))))</f>
        <v/>
      </c>
    </row>
    <row r="783">
      <c r="A783" s="54" t="n"/>
      <c r="B783" s="55" t="n"/>
      <c r="C783">
        <f>IF(B783="","",IF(N783="","posição não encontrada",IF(M783=0,INDEX(Equipamentos!$S$2:$S$61,N783),INDEX(TrocasEquip!$G$2:$G$1000,M783))))</f>
        <v/>
      </c>
      <c r="D783" s="56">
        <f>IF(OR(A783="",N783=""),"",P783+IF(E783="dias",MAX(0,A783-O783),IF(INDEX(Equipamentos!$D$2:$D$61,N783)=2,SUMIFS(Producao!$D:$D,Producao!$A:$A,"&gt;="&amp;O783,Producao!$A:$A,"&lt;"&amp;A783),IF(INDEX(Equipamentos!$D$2:$D$61,N783)=3,SUMIFS(Producao!$E:$E,Producao!$A:$A,"&gt;="&amp;O783,Producao!$A:$A,"&lt;"&amp;A783),SUMIFS(Producao!$B:$B,Producao!$A:$A,"&gt;="&amp;O783,Producao!$A:$A,"&lt;"&amp;A783)))))</f>
        <v/>
      </c>
      <c r="E783">
        <f>IF(N783="","",INDEX(Equipamentos!$C$2:$C$61,N783))</f>
        <v/>
      </c>
      <c r="F783" s="57">
        <f>IF(OR(D783="",N(Q783)&lt;=0),"",D783/Q783)</f>
        <v/>
      </c>
      <c r="G783" s="55" t="n"/>
      <c r="H783" s="58" t="n"/>
      <c r="I783" s="58" t="n"/>
      <c r="J783" s="55" t="n"/>
      <c r="K783" s="55" t="n"/>
      <c r="L783">
        <f>IF(OR(A783="",B783=""),"",_xlfn.MAXIFS(TrocasEquip!$A$2:$A$1000,TrocasEquip!$B$2:$B$1000,B783,TrocasEquip!$A$2:$A$1000,"&lt;"&amp;A783))</f>
        <v/>
      </c>
      <c r="M783">
        <f>IF(N(L783)=0,0,MATCH(1,INDEX((TrocasEquip!$B$2:$B$1000=B783)*(TrocasEquip!$A$2:$A$1000=L783),0),0))</f>
        <v/>
      </c>
      <c r="N783">
        <f>IF(B783="","",IFERROR(MATCH(B783,Equipamentos!$P$2:$P$61,0),""))</f>
        <v/>
      </c>
      <c r="O783">
        <f>IF(N783="","",IF(M783=0,INDEX(Equipamentos!$U$2:$U$61,N783),L783))</f>
        <v/>
      </c>
      <c r="P783">
        <f>IF(N783="","",IF(M783=0,N(INDEX(Equipamentos!$V$2:$V$61,N783)),N(INDEX(TrocasEquip!$I$2:$I$1000,M783))))</f>
        <v/>
      </c>
      <c r="Q783">
        <f>IF(N783="","",IF(M783=0,INDEX(Equipamentos!$T$2:$T$61,N783),IF(INDEX(TrocasEquip!$H$2:$H$1000,M783)="",INDEX(Equipamentos!$T$2:$T$61,N783),INDEX(TrocasEquip!$H$2:$H$1000,M783))))</f>
        <v/>
      </c>
    </row>
    <row r="784">
      <c r="A784" s="54" t="n"/>
      <c r="B784" s="55" t="n"/>
      <c r="C784">
        <f>IF(B784="","",IF(N784="","posição não encontrada",IF(M784=0,INDEX(Equipamentos!$S$2:$S$61,N784),INDEX(TrocasEquip!$G$2:$G$1000,M784))))</f>
        <v/>
      </c>
      <c r="D784" s="56">
        <f>IF(OR(A784="",N784=""),"",P784+IF(E784="dias",MAX(0,A784-O784),IF(INDEX(Equipamentos!$D$2:$D$61,N784)=2,SUMIFS(Producao!$D:$D,Producao!$A:$A,"&gt;="&amp;O784,Producao!$A:$A,"&lt;"&amp;A784),IF(INDEX(Equipamentos!$D$2:$D$61,N784)=3,SUMIFS(Producao!$E:$E,Producao!$A:$A,"&gt;="&amp;O784,Producao!$A:$A,"&lt;"&amp;A784),SUMIFS(Producao!$B:$B,Producao!$A:$A,"&gt;="&amp;O784,Producao!$A:$A,"&lt;"&amp;A784)))))</f>
        <v/>
      </c>
      <c r="E784">
        <f>IF(N784="","",INDEX(Equipamentos!$C$2:$C$61,N784))</f>
        <v/>
      </c>
      <c r="F784" s="57">
        <f>IF(OR(D784="",N(Q784)&lt;=0),"",D784/Q784)</f>
        <v/>
      </c>
      <c r="G784" s="55" t="n"/>
      <c r="H784" s="58" t="n"/>
      <c r="I784" s="58" t="n"/>
      <c r="J784" s="55" t="n"/>
      <c r="K784" s="55" t="n"/>
      <c r="L784">
        <f>IF(OR(A784="",B784=""),"",_xlfn.MAXIFS(TrocasEquip!$A$2:$A$1000,TrocasEquip!$B$2:$B$1000,B784,TrocasEquip!$A$2:$A$1000,"&lt;"&amp;A784))</f>
        <v/>
      </c>
      <c r="M784">
        <f>IF(N(L784)=0,0,MATCH(1,INDEX((TrocasEquip!$B$2:$B$1000=B784)*(TrocasEquip!$A$2:$A$1000=L784),0),0))</f>
        <v/>
      </c>
      <c r="N784">
        <f>IF(B784="","",IFERROR(MATCH(B784,Equipamentos!$P$2:$P$61,0),""))</f>
        <v/>
      </c>
      <c r="O784">
        <f>IF(N784="","",IF(M784=0,INDEX(Equipamentos!$U$2:$U$61,N784),L784))</f>
        <v/>
      </c>
      <c r="P784">
        <f>IF(N784="","",IF(M784=0,N(INDEX(Equipamentos!$V$2:$V$61,N784)),N(INDEX(TrocasEquip!$I$2:$I$1000,M784))))</f>
        <v/>
      </c>
      <c r="Q784">
        <f>IF(N784="","",IF(M784=0,INDEX(Equipamentos!$T$2:$T$61,N784),IF(INDEX(TrocasEquip!$H$2:$H$1000,M784)="",INDEX(Equipamentos!$T$2:$T$61,N784),INDEX(TrocasEquip!$H$2:$H$1000,M784))))</f>
        <v/>
      </c>
    </row>
    <row r="785">
      <c r="A785" s="54" t="n"/>
      <c r="B785" s="55" t="n"/>
      <c r="C785">
        <f>IF(B785="","",IF(N785="","posição não encontrada",IF(M785=0,INDEX(Equipamentos!$S$2:$S$61,N785),INDEX(TrocasEquip!$G$2:$G$1000,M785))))</f>
        <v/>
      </c>
      <c r="D785" s="56">
        <f>IF(OR(A785="",N785=""),"",P785+IF(E785="dias",MAX(0,A785-O785),IF(INDEX(Equipamentos!$D$2:$D$61,N785)=2,SUMIFS(Producao!$D:$D,Producao!$A:$A,"&gt;="&amp;O785,Producao!$A:$A,"&lt;"&amp;A785),IF(INDEX(Equipamentos!$D$2:$D$61,N785)=3,SUMIFS(Producao!$E:$E,Producao!$A:$A,"&gt;="&amp;O785,Producao!$A:$A,"&lt;"&amp;A785),SUMIFS(Producao!$B:$B,Producao!$A:$A,"&gt;="&amp;O785,Producao!$A:$A,"&lt;"&amp;A785)))))</f>
        <v/>
      </c>
      <c r="E785">
        <f>IF(N785="","",INDEX(Equipamentos!$C$2:$C$61,N785))</f>
        <v/>
      </c>
      <c r="F785" s="57">
        <f>IF(OR(D785="",N(Q785)&lt;=0),"",D785/Q785)</f>
        <v/>
      </c>
      <c r="G785" s="55" t="n"/>
      <c r="H785" s="58" t="n"/>
      <c r="I785" s="58" t="n"/>
      <c r="J785" s="55" t="n"/>
      <c r="K785" s="55" t="n"/>
      <c r="L785">
        <f>IF(OR(A785="",B785=""),"",_xlfn.MAXIFS(TrocasEquip!$A$2:$A$1000,TrocasEquip!$B$2:$B$1000,B785,TrocasEquip!$A$2:$A$1000,"&lt;"&amp;A785))</f>
        <v/>
      </c>
      <c r="M785">
        <f>IF(N(L785)=0,0,MATCH(1,INDEX((TrocasEquip!$B$2:$B$1000=B785)*(TrocasEquip!$A$2:$A$1000=L785),0),0))</f>
        <v/>
      </c>
      <c r="N785">
        <f>IF(B785="","",IFERROR(MATCH(B785,Equipamentos!$P$2:$P$61,0),""))</f>
        <v/>
      </c>
      <c r="O785">
        <f>IF(N785="","",IF(M785=0,INDEX(Equipamentos!$U$2:$U$61,N785),L785))</f>
        <v/>
      </c>
      <c r="P785">
        <f>IF(N785="","",IF(M785=0,N(INDEX(Equipamentos!$V$2:$V$61,N785)),N(INDEX(TrocasEquip!$I$2:$I$1000,M785))))</f>
        <v/>
      </c>
      <c r="Q785">
        <f>IF(N785="","",IF(M785=0,INDEX(Equipamentos!$T$2:$T$61,N785),IF(INDEX(TrocasEquip!$H$2:$H$1000,M785)="",INDEX(Equipamentos!$T$2:$T$61,N785),INDEX(TrocasEquip!$H$2:$H$1000,M785))))</f>
        <v/>
      </c>
    </row>
    <row r="786">
      <c r="A786" s="54" t="n"/>
      <c r="B786" s="55" t="n"/>
      <c r="C786">
        <f>IF(B786="","",IF(N786="","posição não encontrada",IF(M786=0,INDEX(Equipamentos!$S$2:$S$61,N786),INDEX(TrocasEquip!$G$2:$G$1000,M786))))</f>
        <v/>
      </c>
      <c r="D786" s="56">
        <f>IF(OR(A786="",N786=""),"",P786+IF(E786="dias",MAX(0,A786-O786),IF(INDEX(Equipamentos!$D$2:$D$61,N786)=2,SUMIFS(Producao!$D:$D,Producao!$A:$A,"&gt;="&amp;O786,Producao!$A:$A,"&lt;"&amp;A786),IF(INDEX(Equipamentos!$D$2:$D$61,N786)=3,SUMIFS(Producao!$E:$E,Producao!$A:$A,"&gt;="&amp;O786,Producao!$A:$A,"&lt;"&amp;A786),SUMIFS(Producao!$B:$B,Producao!$A:$A,"&gt;="&amp;O786,Producao!$A:$A,"&lt;"&amp;A786)))))</f>
        <v/>
      </c>
      <c r="E786">
        <f>IF(N786="","",INDEX(Equipamentos!$C$2:$C$61,N786))</f>
        <v/>
      </c>
      <c r="F786" s="57">
        <f>IF(OR(D786="",N(Q786)&lt;=0),"",D786/Q786)</f>
        <v/>
      </c>
      <c r="G786" s="55" t="n"/>
      <c r="H786" s="58" t="n"/>
      <c r="I786" s="58" t="n"/>
      <c r="J786" s="55" t="n"/>
      <c r="K786" s="55" t="n"/>
      <c r="L786">
        <f>IF(OR(A786="",B786=""),"",_xlfn.MAXIFS(TrocasEquip!$A$2:$A$1000,TrocasEquip!$B$2:$B$1000,B786,TrocasEquip!$A$2:$A$1000,"&lt;"&amp;A786))</f>
        <v/>
      </c>
      <c r="M786">
        <f>IF(N(L786)=0,0,MATCH(1,INDEX((TrocasEquip!$B$2:$B$1000=B786)*(TrocasEquip!$A$2:$A$1000=L786),0),0))</f>
        <v/>
      </c>
      <c r="N786">
        <f>IF(B786="","",IFERROR(MATCH(B786,Equipamentos!$P$2:$P$61,0),""))</f>
        <v/>
      </c>
      <c r="O786">
        <f>IF(N786="","",IF(M786=0,INDEX(Equipamentos!$U$2:$U$61,N786),L786))</f>
        <v/>
      </c>
      <c r="P786">
        <f>IF(N786="","",IF(M786=0,N(INDEX(Equipamentos!$V$2:$V$61,N786)),N(INDEX(TrocasEquip!$I$2:$I$1000,M786))))</f>
        <v/>
      </c>
      <c r="Q786">
        <f>IF(N786="","",IF(M786=0,INDEX(Equipamentos!$T$2:$T$61,N786),IF(INDEX(TrocasEquip!$H$2:$H$1000,M786)="",INDEX(Equipamentos!$T$2:$T$61,N786),INDEX(TrocasEquip!$H$2:$H$1000,M786))))</f>
        <v/>
      </c>
    </row>
    <row r="787">
      <c r="A787" s="54" t="n"/>
      <c r="B787" s="55" t="n"/>
      <c r="C787">
        <f>IF(B787="","",IF(N787="","posição não encontrada",IF(M787=0,INDEX(Equipamentos!$S$2:$S$61,N787),INDEX(TrocasEquip!$G$2:$G$1000,M787))))</f>
        <v/>
      </c>
      <c r="D787" s="56">
        <f>IF(OR(A787="",N787=""),"",P787+IF(E787="dias",MAX(0,A787-O787),IF(INDEX(Equipamentos!$D$2:$D$61,N787)=2,SUMIFS(Producao!$D:$D,Producao!$A:$A,"&gt;="&amp;O787,Producao!$A:$A,"&lt;"&amp;A787),IF(INDEX(Equipamentos!$D$2:$D$61,N787)=3,SUMIFS(Producao!$E:$E,Producao!$A:$A,"&gt;="&amp;O787,Producao!$A:$A,"&lt;"&amp;A787),SUMIFS(Producao!$B:$B,Producao!$A:$A,"&gt;="&amp;O787,Producao!$A:$A,"&lt;"&amp;A787)))))</f>
        <v/>
      </c>
      <c r="E787">
        <f>IF(N787="","",INDEX(Equipamentos!$C$2:$C$61,N787))</f>
        <v/>
      </c>
      <c r="F787" s="57">
        <f>IF(OR(D787="",N(Q787)&lt;=0),"",D787/Q787)</f>
        <v/>
      </c>
      <c r="G787" s="55" t="n"/>
      <c r="H787" s="58" t="n"/>
      <c r="I787" s="58" t="n"/>
      <c r="J787" s="55" t="n"/>
      <c r="K787" s="55" t="n"/>
      <c r="L787">
        <f>IF(OR(A787="",B787=""),"",_xlfn.MAXIFS(TrocasEquip!$A$2:$A$1000,TrocasEquip!$B$2:$B$1000,B787,TrocasEquip!$A$2:$A$1000,"&lt;"&amp;A787))</f>
        <v/>
      </c>
      <c r="M787">
        <f>IF(N(L787)=0,0,MATCH(1,INDEX((TrocasEquip!$B$2:$B$1000=B787)*(TrocasEquip!$A$2:$A$1000=L787),0),0))</f>
        <v/>
      </c>
      <c r="N787">
        <f>IF(B787="","",IFERROR(MATCH(B787,Equipamentos!$P$2:$P$61,0),""))</f>
        <v/>
      </c>
      <c r="O787">
        <f>IF(N787="","",IF(M787=0,INDEX(Equipamentos!$U$2:$U$61,N787),L787))</f>
        <v/>
      </c>
      <c r="P787">
        <f>IF(N787="","",IF(M787=0,N(INDEX(Equipamentos!$V$2:$V$61,N787)),N(INDEX(TrocasEquip!$I$2:$I$1000,M787))))</f>
        <v/>
      </c>
      <c r="Q787">
        <f>IF(N787="","",IF(M787=0,INDEX(Equipamentos!$T$2:$T$61,N787),IF(INDEX(TrocasEquip!$H$2:$H$1000,M787)="",INDEX(Equipamentos!$T$2:$T$61,N787),INDEX(TrocasEquip!$H$2:$H$1000,M787))))</f>
        <v/>
      </c>
    </row>
    <row r="788">
      <c r="A788" s="54" t="n"/>
      <c r="B788" s="55" t="n"/>
      <c r="C788">
        <f>IF(B788="","",IF(N788="","posição não encontrada",IF(M788=0,INDEX(Equipamentos!$S$2:$S$61,N788),INDEX(TrocasEquip!$G$2:$G$1000,M788))))</f>
        <v/>
      </c>
      <c r="D788" s="56">
        <f>IF(OR(A788="",N788=""),"",P788+IF(E788="dias",MAX(0,A788-O788),IF(INDEX(Equipamentos!$D$2:$D$61,N788)=2,SUMIFS(Producao!$D:$D,Producao!$A:$A,"&gt;="&amp;O788,Producao!$A:$A,"&lt;"&amp;A788),IF(INDEX(Equipamentos!$D$2:$D$61,N788)=3,SUMIFS(Producao!$E:$E,Producao!$A:$A,"&gt;="&amp;O788,Producao!$A:$A,"&lt;"&amp;A788),SUMIFS(Producao!$B:$B,Producao!$A:$A,"&gt;="&amp;O788,Producao!$A:$A,"&lt;"&amp;A788)))))</f>
        <v/>
      </c>
      <c r="E788">
        <f>IF(N788="","",INDEX(Equipamentos!$C$2:$C$61,N788))</f>
        <v/>
      </c>
      <c r="F788" s="57">
        <f>IF(OR(D788="",N(Q788)&lt;=0),"",D788/Q788)</f>
        <v/>
      </c>
      <c r="G788" s="55" t="n"/>
      <c r="H788" s="58" t="n"/>
      <c r="I788" s="58" t="n"/>
      <c r="J788" s="55" t="n"/>
      <c r="K788" s="55" t="n"/>
      <c r="L788">
        <f>IF(OR(A788="",B788=""),"",_xlfn.MAXIFS(TrocasEquip!$A$2:$A$1000,TrocasEquip!$B$2:$B$1000,B788,TrocasEquip!$A$2:$A$1000,"&lt;"&amp;A788))</f>
        <v/>
      </c>
      <c r="M788">
        <f>IF(N(L788)=0,0,MATCH(1,INDEX((TrocasEquip!$B$2:$B$1000=B788)*(TrocasEquip!$A$2:$A$1000=L788),0),0))</f>
        <v/>
      </c>
      <c r="N788">
        <f>IF(B788="","",IFERROR(MATCH(B788,Equipamentos!$P$2:$P$61,0),""))</f>
        <v/>
      </c>
      <c r="O788">
        <f>IF(N788="","",IF(M788=0,INDEX(Equipamentos!$U$2:$U$61,N788),L788))</f>
        <v/>
      </c>
      <c r="P788">
        <f>IF(N788="","",IF(M788=0,N(INDEX(Equipamentos!$V$2:$V$61,N788)),N(INDEX(TrocasEquip!$I$2:$I$1000,M788))))</f>
        <v/>
      </c>
      <c r="Q788">
        <f>IF(N788="","",IF(M788=0,INDEX(Equipamentos!$T$2:$T$61,N788),IF(INDEX(TrocasEquip!$H$2:$H$1000,M788)="",INDEX(Equipamentos!$T$2:$T$61,N788),INDEX(TrocasEquip!$H$2:$H$1000,M788))))</f>
        <v/>
      </c>
    </row>
    <row r="789">
      <c r="A789" s="54" t="n"/>
      <c r="B789" s="55" t="n"/>
      <c r="C789">
        <f>IF(B789="","",IF(N789="","posição não encontrada",IF(M789=0,INDEX(Equipamentos!$S$2:$S$61,N789),INDEX(TrocasEquip!$G$2:$G$1000,M789))))</f>
        <v/>
      </c>
      <c r="D789" s="56">
        <f>IF(OR(A789="",N789=""),"",P789+IF(E789="dias",MAX(0,A789-O789),IF(INDEX(Equipamentos!$D$2:$D$61,N789)=2,SUMIFS(Producao!$D:$D,Producao!$A:$A,"&gt;="&amp;O789,Producao!$A:$A,"&lt;"&amp;A789),IF(INDEX(Equipamentos!$D$2:$D$61,N789)=3,SUMIFS(Producao!$E:$E,Producao!$A:$A,"&gt;="&amp;O789,Producao!$A:$A,"&lt;"&amp;A789),SUMIFS(Producao!$B:$B,Producao!$A:$A,"&gt;="&amp;O789,Producao!$A:$A,"&lt;"&amp;A789)))))</f>
        <v/>
      </c>
      <c r="E789">
        <f>IF(N789="","",INDEX(Equipamentos!$C$2:$C$61,N789))</f>
        <v/>
      </c>
      <c r="F789" s="57">
        <f>IF(OR(D789="",N(Q789)&lt;=0),"",D789/Q789)</f>
        <v/>
      </c>
      <c r="G789" s="55" t="n"/>
      <c r="H789" s="58" t="n"/>
      <c r="I789" s="58" t="n"/>
      <c r="J789" s="55" t="n"/>
      <c r="K789" s="55" t="n"/>
      <c r="L789">
        <f>IF(OR(A789="",B789=""),"",_xlfn.MAXIFS(TrocasEquip!$A$2:$A$1000,TrocasEquip!$B$2:$B$1000,B789,TrocasEquip!$A$2:$A$1000,"&lt;"&amp;A789))</f>
        <v/>
      </c>
      <c r="M789">
        <f>IF(N(L789)=0,0,MATCH(1,INDEX((TrocasEquip!$B$2:$B$1000=B789)*(TrocasEquip!$A$2:$A$1000=L789),0),0))</f>
        <v/>
      </c>
      <c r="N789">
        <f>IF(B789="","",IFERROR(MATCH(B789,Equipamentos!$P$2:$P$61,0),""))</f>
        <v/>
      </c>
      <c r="O789">
        <f>IF(N789="","",IF(M789=0,INDEX(Equipamentos!$U$2:$U$61,N789),L789))</f>
        <v/>
      </c>
      <c r="P789">
        <f>IF(N789="","",IF(M789=0,N(INDEX(Equipamentos!$V$2:$V$61,N789)),N(INDEX(TrocasEquip!$I$2:$I$1000,M789))))</f>
        <v/>
      </c>
      <c r="Q789">
        <f>IF(N789="","",IF(M789=0,INDEX(Equipamentos!$T$2:$T$61,N789),IF(INDEX(TrocasEquip!$H$2:$H$1000,M789)="",INDEX(Equipamentos!$T$2:$T$61,N789),INDEX(TrocasEquip!$H$2:$H$1000,M789))))</f>
        <v/>
      </c>
    </row>
    <row r="790">
      <c r="A790" s="54" t="n"/>
      <c r="B790" s="55" t="n"/>
      <c r="C790">
        <f>IF(B790="","",IF(N790="","posição não encontrada",IF(M790=0,INDEX(Equipamentos!$S$2:$S$61,N790),INDEX(TrocasEquip!$G$2:$G$1000,M790))))</f>
        <v/>
      </c>
      <c r="D790" s="56">
        <f>IF(OR(A790="",N790=""),"",P790+IF(E790="dias",MAX(0,A790-O790),IF(INDEX(Equipamentos!$D$2:$D$61,N790)=2,SUMIFS(Producao!$D:$D,Producao!$A:$A,"&gt;="&amp;O790,Producao!$A:$A,"&lt;"&amp;A790),IF(INDEX(Equipamentos!$D$2:$D$61,N790)=3,SUMIFS(Producao!$E:$E,Producao!$A:$A,"&gt;="&amp;O790,Producao!$A:$A,"&lt;"&amp;A790),SUMIFS(Producao!$B:$B,Producao!$A:$A,"&gt;="&amp;O790,Producao!$A:$A,"&lt;"&amp;A790)))))</f>
        <v/>
      </c>
      <c r="E790">
        <f>IF(N790="","",INDEX(Equipamentos!$C$2:$C$61,N790))</f>
        <v/>
      </c>
      <c r="F790" s="57">
        <f>IF(OR(D790="",N(Q790)&lt;=0),"",D790/Q790)</f>
        <v/>
      </c>
      <c r="G790" s="55" t="n"/>
      <c r="H790" s="58" t="n"/>
      <c r="I790" s="58" t="n"/>
      <c r="J790" s="55" t="n"/>
      <c r="K790" s="55" t="n"/>
      <c r="L790">
        <f>IF(OR(A790="",B790=""),"",_xlfn.MAXIFS(TrocasEquip!$A$2:$A$1000,TrocasEquip!$B$2:$B$1000,B790,TrocasEquip!$A$2:$A$1000,"&lt;"&amp;A790))</f>
        <v/>
      </c>
      <c r="M790">
        <f>IF(N(L790)=0,0,MATCH(1,INDEX((TrocasEquip!$B$2:$B$1000=B790)*(TrocasEquip!$A$2:$A$1000=L790),0),0))</f>
        <v/>
      </c>
      <c r="N790">
        <f>IF(B790="","",IFERROR(MATCH(B790,Equipamentos!$P$2:$P$61,0),""))</f>
        <v/>
      </c>
      <c r="O790">
        <f>IF(N790="","",IF(M790=0,INDEX(Equipamentos!$U$2:$U$61,N790),L790))</f>
        <v/>
      </c>
      <c r="P790">
        <f>IF(N790="","",IF(M790=0,N(INDEX(Equipamentos!$V$2:$V$61,N790)),N(INDEX(TrocasEquip!$I$2:$I$1000,M790))))</f>
        <v/>
      </c>
      <c r="Q790">
        <f>IF(N790="","",IF(M790=0,INDEX(Equipamentos!$T$2:$T$61,N790),IF(INDEX(TrocasEquip!$H$2:$H$1000,M790)="",INDEX(Equipamentos!$T$2:$T$61,N790),INDEX(TrocasEquip!$H$2:$H$1000,M790))))</f>
        <v/>
      </c>
    </row>
    <row r="791">
      <c r="A791" s="54" t="n"/>
      <c r="B791" s="55" t="n"/>
      <c r="C791">
        <f>IF(B791="","",IF(N791="","posição não encontrada",IF(M791=0,INDEX(Equipamentos!$S$2:$S$61,N791),INDEX(TrocasEquip!$G$2:$G$1000,M791))))</f>
        <v/>
      </c>
      <c r="D791" s="56">
        <f>IF(OR(A791="",N791=""),"",P791+IF(E791="dias",MAX(0,A791-O791),IF(INDEX(Equipamentos!$D$2:$D$61,N791)=2,SUMIFS(Producao!$D:$D,Producao!$A:$A,"&gt;="&amp;O791,Producao!$A:$A,"&lt;"&amp;A791),IF(INDEX(Equipamentos!$D$2:$D$61,N791)=3,SUMIFS(Producao!$E:$E,Producao!$A:$A,"&gt;="&amp;O791,Producao!$A:$A,"&lt;"&amp;A791),SUMIFS(Producao!$B:$B,Producao!$A:$A,"&gt;="&amp;O791,Producao!$A:$A,"&lt;"&amp;A791)))))</f>
        <v/>
      </c>
      <c r="E791">
        <f>IF(N791="","",INDEX(Equipamentos!$C$2:$C$61,N791))</f>
        <v/>
      </c>
      <c r="F791" s="57">
        <f>IF(OR(D791="",N(Q791)&lt;=0),"",D791/Q791)</f>
        <v/>
      </c>
      <c r="G791" s="55" t="n"/>
      <c r="H791" s="58" t="n"/>
      <c r="I791" s="58" t="n"/>
      <c r="J791" s="55" t="n"/>
      <c r="K791" s="55" t="n"/>
      <c r="L791">
        <f>IF(OR(A791="",B791=""),"",_xlfn.MAXIFS(TrocasEquip!$A$2:$A$1000,TrocasEquip!$B$2:$B$1000,B791,TrocasEquip!$A$2:$A$1000,"&lt;"&amp;A791))</f>
        <v/>
      </c>
      <c r="M791">
        <f>IF(N(L791)=0,0,MATCH(1,INDEX((TrocasEquip!$B$2:$B$1000=B791)*(TrocasEquip!$A$2:$A$1000=L791),0),0))</f>
        <v/>
      </c>
      <c r="N791">
        <f>IF(B791="","",IFERROR(MATCH(B791,Equipamentos!$P$2:$P$61,0),""))</f>
        <v/>
      </c>
      <c r="O791">
        <f>IF(N791="","",IF(M791=0,INDEX(Equipamentos!$U$2:$U$61,N791),L791))</f>
        <v/>
      </c>
      <c r="P791">
        <f>IF(N791="","",IF(M791=0,N(INDEX(Equipamentos!$V$2:$V$61,N791)),N(INDEX(TrocasEquip!$I$2:$I$1000,M791))))</f>
        <v/>
      </c>
      <c r="Q791">
        <f>IF(N791="","",IF(M791=0,INDEX(Equipamentos!$T$2:$T$61,N791),IF(INDEX(TrocasEquip!$H$2:$H$1000,M791)="",INDEX(Equipamentos!$T$2:$T$61,N791),INDEX(TrocasEquip!$H$2:$H$1000,M791))))</f>
        <v/>
      </c>
    </row>
    <row r="792">
      <c r="A792" s="54" t="n"/>
      <c r="B792" s="55" t="n"/>
      <c r="C792">
        <f>IF(B792="","",IF(N792="","posição não encontrada",IF(M792=0,INDEX(Equipamentos!$S$2:$S$61,N792),INDEX(TrocasEquip!$G$2:$G$1000,M792))))</f>
        <v/>
      </c>
      <c r="D792" s="56">
        <f>IF(OR(A792="",N792=""),"",P792+IF(E792="dias",MAX(0,A792-O792),IF(INDEX(Equipamentos!$D$2:$D$61,N792)=2,SUMIFS(Producao!$D:$D,Producao!$A:$A,"&gt;="&amp;O792,Producao!$A:$A,"&lt;"&amp;A792),IF(INDEX(Equipamentos!$D$2:$D$61,N792)=3,SUMIFS(Producao!$E:$E,Producao!$A:$A,"&gt;="&amp;O792,Producao!$A:$A,"&lt;"&amp;A792),SUMIFS(Producao!$B:$B,Producao!$A:$A,"&gt;="&amp;O792,Producao!$A:$A,"&lt;"&amp;A792)))))</f>
        <v/>
      </c>
      <c r="E792">
        <f>IF(N792="","",INDEX(Equipamentos!$C$2:$C$61,N792))</f>
        <v/>
      </c>
      <c r="F792" s="57">
        <f>IF(OR(D792="",N(Q792)&lt;=0),"",D792/Q792)</f>
        <v/>
      </c>
      <c r="G792" s="55" t="n"/>
      <c r="H792" s="58" t="n"/>
      <c r="I792" s="58" t="n"/>
      <c r="J792" s="55" t="n"/>
      <c r="K792" s="55" t="n"/>
      <c r="L792">
        <f>IF(OR(A792="",B792=""),"",_xlfn.MAXIFS(TrocasEquip!$A$2:$A$1000,TrocasEquip!$B$2:$B$1000,B792,TrocasEquip!$A$2:$A$1000,"&lt;"&amp;A792))</f>
        <v/>
      </c>
      <c r="M792">
        <f>IF(N(L792)=0,0,MATCH(1,INDEX((TrocasEquip!$B$2:$B$1000=B792)*(TrocasEquip!$A$2:$A$1000=L792),0),0))</f>
        <v/>
      </c>
      <c r="N792">
        <f>IF(B792="","",IFERROR(MATCH(B792,Equipamentos!$P$2:$P$61,0),""))</f>
        <v/>
      </c>
      <c r="O792">
        <f>IF(N792="","",IF(M792=0,INDEX(Equipamentos!$U$2:$U$61,N792),L792))</f>
        <v/>
      </c>
      <c r="P792">
        <f>IF(N792="","",IF(M792=0,N(INDEX(Equipamentos!$V$2:$V$61,N792)),N(INDEX(TrocasEquip!$I$2:$I$1000,M792))))</f>
        <v/>
      </c>
      <c r="Q792">
        <f>IF(N792="","",IF(M792=0,INDEX(Equipamentos!$T$2:$T$61,N792),IF(INDEX(TrocasEquip!$H$2:$H$1000,M792)="",INDEX(Equipamentos!$T$2:$T$61,N792),INDEX(TrocasEquip!$H$2:$H$1000,M792))))</f>
        <v/>
      </c>
    </row>
    <row r="793">
      <c r="A793" s="54" t="n"/>
      <c r="B793" s="55" t="n"/>
      <c r="C793">
        <f>IF(B793="","",IF(N793="","posição não encontrada",IF(M793=0,INDEX(Equipamentos!$S$2:$S$61,N793),INDEX(TrocasEquip!$G$2:$G$1000,M793))))</f>
        <v/>
      </c>
      <c r="D793" s="56">
        <f>IF(OR(A793="",N793=""),"",P793+IF(E793="dias",MAX(0,A793-O793),IF(INDEX(Equipamentos!$D$2:$D$61,N793)=2,SUMIFS(Producao!$D:$D,Producao!$A:$A,"&gt;="&amp;O793,Producao!$A:$A,"&lt;"&amp;A793),IF(INDEX(Equipamentos!$D$2:$D$61,N793)=3,SUMIFS(Producao!$E:$E,Producao!$A:$A,"&gt;="&amp;O793,Producao!$A:$A,"&lt;"&amp;A793),SUMIFS(Producao!$B:$B,Producao!$A:$A,"&gt;="&amp;O793,Producao!$A:$A,"&lt;"&amp;A793)))))</f>
        <v/>
      </c>
      <c r="E793">
        <f>IF(N793="","",INDEX(Equipamentos!$C$2:$C$61,N793))</f>
        <v/>
      </c>
      <c r="F793" s="57">
        <f>IF(OR(D793="",N(Q793)&lt;=0),"",D793/Q793)</f>
        <v/>
      </c>
      <c r="G793" s="55" t="n"/>
      <c r="H793" s="58" t="n"/>
      <c r="I793" s="58" t="n"/>
      <c r="J793" s="55" t="n"/>
      <c r="K793" s="55" t="n"/>
      <c r="L793">
        <f>IF(OR(A793="",B793=""),"",_xlfn.MAXIFS(TrocasEquip!$A$2:$A$1000,TrocasEquip!$B$2:$B$1000,B793,TrocasEquip!$A$2:$A$1000,"&lt;"&amp;A793))</f>
        <v/>
      </c>
      <c r="M793">
        <f>IF(N(L793)=0,0,MATCH(1,INDEX((TrocasEquip!$B$2:$B$1000=B793)*(TrocasEquip!$A$2:$A$1000=L793),0),0))</f>
        <v/>
      </c>
      <c r="N793">
        <f>IF(B793="","",IFERROR(MATCH(B793,Equipamentos!$P$2:$P$61,0),""))</f>
        <v/>
      </c>
      <c r="O793">
        <f>IF(N793="","",IF(M793=0,INDEX(Equipamentos!$U$2:$U$61,N793),L793))</f>
        <v/>
      </c>
      <c r="P793">
        <f>IF(N793="","",IF(M793=0,N(INDEX(Equipamentos!$V$2:$V$61,N793)),N(INDEX(TrocasEquip!$I$2:$I$1000,M793))))</f>
        <v/>
      </c>
      <c r="Q793">
        <f>IF(N793="","",IF(M793=0,INDEX(Equipamentos!$T$2:$T$61,N793),IF(INDEX(TrocasEquip!$H$2:$H$1000,M793)="",INDEX(Equipamentos!$T$2:$T$61,N793),INDEX(TrocasEquip!$H$2:$H$1000,M793))))</f>
        <v/>
      </c>
    </row>
    <row r="794">
      <c r="A794" s="54" t="n"/>
      <c r="B794" s="55" t="n"/>
      <c r="C794">
        <f>IF(B794="","",IF(N794="","posição não encontrada",IF(M794=0,INDEX(Equipamentos!$S$2:$S$61,N794),INDEX(TrocasEquip!$G$2:$G$1000,M794))))</f>
        <v/>
      </c>
      <c r="D794" s="56">
        <f>IF(OR(A794="",N794=""),"",P794+IF(E794="dias",MAX(0,A794-O794),IF(INDEX(Equipamentos!$D$2:$D$61,N794)=2,SUMIFS(Producao!$D:$D,Producao!$A:$A,"&gt;="&amp;O794,Producao!$A:$A,"&lt;"&amp;A794),IF(INDEX(Equipamentos!$D$2:$D$61,N794)=3,SUMIFS(Producao!$E:$E,Producao!$A:$A,"&gt;="&amp;O794,Producao!$A:$A,"&lt;"&amp;A794),SUMIFS(Producao!$B:$B,Producao!$A:$A,"&gt;="&amp;O794,Producao!$A:$A,"&lt;"&amp;A794)))))</f>
        <v/>
      </c>
      <c r="E794">
        <f>IF(N794="","",INDEX(Equipamentos!$C$2:$C$61,N794))</f>
        <v/>
      </c>
      <c r="F794" s="57">
        <f>IF(OR(D794="",N(Q794)&lt;=0),"",D794/Q794)</f>
        <v/>
      </c>
      <c r="G794" s="55" t="n"/>
      <c r="H794" s="58" t="n"/>
      <c r="I794" s="58" t="n"/>
      <c r="J794" s="55" t="n"/>
      <c r="K794" s="55" t="n"/>
      <c r="L794">
        <f>IF(OR(A794="",B794=""),"",_xlfn.MAXIFS(TrocasEquip!$A$2:$A$1000,TrocasEquip!$B$2:$B$1000,B794,TrocasEquip!$A$2:$A$1000,"&lt;"&amp;A794))</f>
        <v/>
      </c>
      <c r="M794">
        <f>IF(N(L794)=0,0,MATCH(1,INDEX((TrocasEquip!$B$2:$B$1000=B794)*(TrocasEquip!$A$2:$A$1000=L794),0),0))</f>
        <v/>
      </c>
      <c r="N794">
        <f>IF(B794="","",IFERROR(MATCH(B794,Equipamentos!$P$2:$P$61,0),""))</f>
        <v/>
      </c>
      <c r="O794">
        <f>IF(N794="","",IF(M794=0,INDEX(Equipamentos!$U$2:$U$61,N794),L794))</f>
        <v/>
      </c>
      <c r="P794">
        <f>IF(N794="","",IF(M794=0,N(INDEX(Equipamentos!$V$2:$V$61,N794)),N(INDEX(TrocasEquip!$I$2:$I$1000,M794))))</f>
        <v/>
      </c>
      <c r="Q794">
        <f>IF(N794="","",IF(M794=0,INDEX(Equipamentos!$T$2:$T$61,N794),IF(INDEX(TrocasEquip!$H$2:$H$1000,M794)="",INDEX(Equipamentos!$T$2:$T$61,N794),INDEX(TrocasEquip!$H$2:$H$1000,M794))))</f>
        <v/>
      </c>
    </row>
    <row r="795">
      <c r="A795" s="54" t="n"/>
      <c r="B795" s="55" t="n"/>
      <c r="C795">
        <f>IF(B795="","",IF(N795="","posição não encontrada",IF(M795=0,INDEX(Equipamentos!$S$2:$S$61,N795),INDEX(TrocasEquip!$G$2:$G$1000,M795))))</f>
        <v/>
      </c>
      <c r="D795" s="56">
        <f>IF(OR(A795="",N795=""),"",P795+IF(E795="dias",MAX(0,A795-O795),IF(INDEX(Equipamentos!$D$2:$D$61,N795)=2,SUMIFS(Producao!$D:$D,Producao!$A:$A,"&gt;="&amp;O795,Producao!$A:$A,"&lt;"&amp;A795),IF(INDEX(Equipamentos!$D$2:$D$61,N795)=3,SUMIFS(Producao!$E:$E,Producao!$A:$A,"&gt;="&amp;O795,Producao!$A:$A,"&lt;"&amp;A795),SUMIFS(Producao!$B:$B,Producao!$A:$A,"&gt;="&amp;O795,Producao!$A:$A,"&lt;"&amp;A795)))))</f>
        <v/>
      </c>
      <c r="E795">
        <f>IF(N795="","",INDEX(Equipamentos!$C$2:$C$61,N795))</f>
        <v/>
      </c>
      <c r="F795" s="57">
        <f>IF(OR(D795="",N(Q795)&lt;=0),"",D795/Q795)</f>
        <v/>
      </c>
      <c r="G795" s="55" t="n"/>
      <c r="H795" s="58" t="n"/>
      <c r="I795" s="58" t="n"/>
      <c r="J795" s="55" t="n"/>
      <c r="K795" s="55" t="n"/>
      <c r="L795">
        <f>IF(OR(A795="",B795=""),"",_xlfn.MAXIFS(TrocasEquip!$A$2:$A$1000,TrocasEquip!$B$2:$B$1000,B795,TrocasEquip!$A$2:$A$1000,"&lt;"&amp;A795))</f>
        <v/>
      </c>
      <c r="M795">
        <f>IF(N(L795)=0,0,MATCH(1,INDEX((TrocasEquip!$B$2:$B$1000=B795)*(TrocasEquip!$A$2:$A$1000=L795),0),0))</f>
        <v/>
      </c>
      <c r="N795">
        <f>IF(B795="","",IFERROR(MATCH(B795,Equipamentos!$P$2:$P$61,0),""))</f>
        <v/>
      </c>
      <c r="O795">
        <f>IF(N795="","",IF(M795=0,INDEX(Equipamentos!$U$2:$U$61,N795),L795))</f>
        <v/>
      </c>
      <c r="P795">
        <f>IF(N795="","",IF(M795=0,N(INDEX(Equipamentos!$V$2:$V$61,N795)),N(INDEX(TrocasEquip!$I$2:$I$1000,M795))))</f>
        <v/>
      </c>
      <c r="Q795">
        <f>IF(N795="","",IF(M795=0,INDEX(Equipamentos!$T$2:$T$61,N795),IF(INDEX(TrocasEquip!$H$2:$H$1000,M795)="",INDEX(Equipamentos!$T$2:$T$61,N795),INDEX(TrocasEquip!$H$2:$H$1000,M795))))</f>
        <v/>
      </c>
    </row>
    <row r="796">
      <c r="A796" s="54" t="n"/>
      <c r="B796" s="55" t="n"/>
      <c r="C796">
        <f>IF(B796="","",IF(N796="","posição não encontrada",IF(M796=0,INDEX(Equipamentos!$S$2:$S$61,N796),INDEX(TrocasEquip!$G$2:$G$1000,M796))))</f>
        <v/>
      </c>
      <c r="D796" s="56">
        <f>IF(OR(A796="",N796=""),"",P796+IF(E796="dias",MAX(0,A796-O796),IF(INDEX(Equipamentos!$D$2:$D$61,N796)=2,SUMIFS(Producao!$D:$D,Producao!$A:$A,"&gt;="&amp;O796,Producao!$A:$A,"&lt;"&amp;A796),IF(INDEX(Equipamentos!$D$2:$D$61,N796)=3,SUMIFS(Producao!$E:$E,Producao!$A:$A,"&gt;="&amp;O796,Producao!$A:$A,"&lt;"&amp;A796),SUMIFS(Producao!$B:$B,Producao!$A:$A,"&gt;="&amp;O796,Producao!$A:$A,"&lt;"&amp;A796)))))</f>
        <v/>
      </c>
      <c r="E796">
        <f>IF(N796="","",INDEX(Equipamentos!$C$2:$C$61,N796))</f>
        <v/>
      </c>
      <c r="F796" s="57">
        <f>IF(OR(D796="",N(Q796)&lt;=0),"",D796/Q796)</f>
        <v/>
      </c>
      <c r="G796" s="55" t="n"/>
      <c r="H796" s="58" t="n"/>
      <c r="I796" s="58" t="n"/>
      <c r="J796" s="55" t="n"/>
      <c r="K796" s="55" t="n"/>
      <c r="L796">
        <f>IF(OR(A796="",B796=""),"",_xlfn.MAXIFS(TrocasEquip!$A$2:$A$1000,TrocasEquip!$B$2:$B$1000,B796,TrocasEquip!$A$2:$A$1000,"&lt;"&amp;A796))</f>
        <v/>
      </c>
      <c r="M796">
        <f>IF(N(L796)=0,0,MATCH(1,INDEX((TrocasEquip!$B$2:$B$1000=B796)*(TrocasEquip!$A$2:$A$1000=L796),0),0))</f>
        <v/>
      </c>
      <c r="N796">
        <f>IF(B796="","",IFERROR(MATCH(B796,Equipamentos!$P$2:$P$61,0),""))</f>
        <v/>
      </c>
      <c r="O796">
        <f>IF(N796="","",IF(M796=0,INDEX(Equipamentos!$U$2:$U$61,N796),L796))</f>
        <v/>
      </c>
      <c r="P796">
        <f>IF(N796="","",IF(M796=0,N(INDEX(Equipamentos!$V$2:$V$61,N796)),N(INDEX(TrocasEquip!$I$2:$I$1000,M796))))</f>
        <v/>
      </c>
      <c r="Q796">
        <f>IF(N796="","",IF(M796=0,INDEX(Equipamentos!$T$2:$T$61,N796),IF(INDEX(TrocasEquip!$H$2:$H$1000,M796)="",INDEX(Equipamentos!$T$2:$T$61,N796),INDEX(TrocasEquip!$H$2:$H$1000,M796))))</f>
        <v/>
      </c>
    </row>
    <row r="797">
      <c r="A797" s="54" t="n"/>
      <c r="B797" s="55" t="n"/>
      <c r="C797">
        <f>IF(B797="","",IF(N797="","posição não encontrada",IF(M797=0,INDEX(Equipamentos!$S$2:$S$61,N797),INDEX(TrocasEquip!$G$2:$G$1000,M797))))</f>
        <v/>
      </c>
      <c r="D797" s="56">
        <f>IF(OR(A797="",N797=""),"",P797+IF(E797="dias",MAX(0,A797-O797),IF(INDEX(Equipamentos!$D$2:$D$61,N797)=2,SUMIFS(Producao!$D:$D,Producao!$A:$A,"&gt;="&amp;O797,Producao!$A:$A,"&lt;"&amp;A797),IF(INDEX(Equipamentos!$D$2:$D$61,N797)=3,SUMIFS(Producao!$E:$E,Producao!$A:$A,"&gt;="&amp;O797,Producao!$A:$A,"&lt;"&amp;A797),SUMIFS(Producao!$B:$B,Producao!$A:$A,"&gt;="&amp;O797,Producao!$A:$A,"&lt;"&amp;A797)))))</f>
        <v/>
      </c>
      <c r="E797">
        <f>IF(N797="","",INDEX(Equipamentos!$C$2:$C$61,N797))</f>
        <v/>
      </c>
      <c r="F797" s="57">
        <f>IF(OR(D797="",N(Q797)&lt;=0),"",D797/Q797)</f>
        <v/>
      </c>
      <c r="G797" s="55" t="n"/>
      <c r="H797" s="58" t="n"/>
      <c r="I797" s="58" t="n"/>
      <c r="J797" s="55" t="n"/>
      <c r="K797" s="55" t="n"/>
      <c r="L797">
        <f>IF(OR(A797="",B797=""),"",_xlfn.MAXIFS(TrocasEquip!$A$2:$A$1000,TrocasEquip!$B$2:$B$1000,B797,TrocasEquip!$A$2:$A$1000,"&lt;"&amp;A797))</f>
        <v/>
      </c>
      <c r="M797">
        <f>IF(N(L797)=0,0,MATCH(1,INDEX((TrocasEquip!$B$2:$B$1000=B797)*(TrocasEquip!$A$2:$A$1000=L797),0),0))</f>
        <v/>
      </c>
      <c r="N797">
        <f>IF(B797="","",IFERROR(MATCH(B797,Equipamentos!$P$2:$P$61,0),""))</f>
        <v/>
      </c>
      <c r="O797">
        <f>IF(N797="","",IF(M797=0,INDEX(Equipamentos!$U$2:$U$61,N797),L797))</f>
        <v/>
      </c>
      <c r="P797">
        <f>IF(N797="","",IF(M797=0,N(INDEX(Equipamentos!$V$2:$V$61,N797)),N(INDEX(TrocasEquip!$I$2:$I$1000,M797))))</f>
        <v/>
      </c>
      <c r="Q797">
        <f>IF(N797="","",IF(M797=0,INDEX(Equipamentos!$T$2:$T$61,N797),IF(INDEX(TrocasEquip!$H$2:$H$1000,M797)="",INDEX(Equipamentos!$T$2:$T$61,N797),INDEX(TrocasEquip!$H$2:$H$1000,M797))))</f>
        <v/>
      </c>
    </row>
    <row r="798">
      <c r="A798" s="54" t="n"/>
      <c r="B798" s="55" t="n"/>
      <c r="C798">
        <f>IF(B798="","",IF(N798="","posição não encontrada",IF(M798=0,INDEX(Equipamentos!$S$2:$S$61,N798),INDEX(TrocasEquip!$G$2:$G$1000,M798))))</f>
        <v/>
      </c>
      <c r="D798" s="56">
        <f>IF(OR(A798="",N798=""),"",P798+IF(E798="dias",MAX(0,A798-O798),IF(INDEX(Equipamentos!$D$2:$D$61,N798)=2,SUMIFS(Producao!$D:$D,Producao!$A:$A,"&gt;="&amp;O798,Producao!$A:$A,"&lt;"&amp;A798),IF(INDEX(Equipamentos!$D$2:$D$61,N798)=3,SUMIFS(Producao!$E:$E,Producao!$A:$A,"&gt;="&amp;O798,Producao!$A:$A,"&lt;"&amp;A798),SUMIFS(Producao!$B:$B,Producao!$A:$A,"&gt;="&amp;O798,Producao!$A:$A,"&lt;"&amp;A798)))))</f>
        <v/>
      </c>
      <c r="E798">
        <f>IF(N798="","",INDEX(Equipamentos!$C$2:$C$61,N798))</f>
        <v/>
      </c>
      <c r="F798" s="57">
        <f>IF(OR(D798="",N(Q798)&lt;=0),"",D798/Q798)</f>
        <v/>
      </c>
      <c r="G798" s="55" t="n"/>
      <c r="H798" s="58" t="n"/>
      <c r="I798" s="58" t="n"/>
      <c r="J798" s="55" t="n"/>
      <c r="K798" s="55" t="n"/>
      <c r="L798">
        <f>IF(OR(A798="",B798=""),"",_xlfn.MAXIFS(TrocasEquip!$A$2:$A$1000,TrocasEquip!$B$2:$B$1000,B798,TrocasEquip!$A$2:$A$1000,"&lt;"&amp;A798))</f>
        <v/>
      </c>
      <c r="M798">
        <f>IF(N(L798)=0,0,MATCH(1,INDEX((TrocasEquip!$B$2:$B$1000=B798)*(TrocasEquip!$A$2:$A$1000=L798),0),0))</f>
        <v/>
      </c>
      <c r="N798">
        <f>IF(B798="","",IFERROR(MATCH(B798,Equipamentos!$P$2:$P$61,0),""))</f>
        <v/>
      </c>
      <c r="O798">
        <f>IF(N798="","",IF(M798=0,INDEX(Equipamentos!$U$2:$U$61,N798),L798))</f>
        <v/>
      </c>
      <c r="P798">
        <f>IF(N798="","",IF(M798=0,N(INDEX(Equipamentos!$V$2:$V$61,N798)),N(INDEX(TrocasEquip!$I$2:$I$1000,M798))))</f>
        <v/>
      </c>
      <c r="Q798">
        <f>IF(N798="","",IF(M798=0,INDEX(Equipamentos!$T$2:$T$61,N798),IF(INDEX(TrocasEquip!$H$2:$H$1000,M798)="",INDEX(Equipamentos!$T$2:$T$61,N798),INDEX(TrocasEquip!$H$2:$H$1000,M798))))</f>
        <v/>
      </c>
    </row>
    <row r="799">
      <c r="A799" s="54" t="n"/>
      <c r="B799" s="55" t="n"/>
      <c r="C799">
        <f>IF(B799="","",IF(N799="","posição não encontrada",IF(M799=0,INDEX(Equipamentos!$S$2:$S$61,N799),INDEX(TrocasEquip!$G$2:$G$1000,M799))))</f>
        <v/>
      </c>
      <c r="D799" s="56">
        <f>IF(OR(A799="",N799=""),"",P799+IF(E799="dias",MAX(0,A799-O799),IF(INDEX(Equipamentos!$D$2:$D$61,N799)=2,SUMIFS(Producao!$D:$D,Producao!$A:$A,"&gt;="&amp;O799,Producao!$A:$A,"&lt;"&amp;A799),IF(INDEX(Equipamentos!$D$2:$D$61,N799)=3,SUMIFS(Producao!$E:$E,Producao!$A:$A,"&gt;="&amp;O799,Producao!$A:$A,"&lt;"&amp;A799),SUMIFS(Producao!$B:$B,Producao!$A:$A,"&gt;="&amp;O799,Producao!$A:$A,"&lt;"&amp;A799)))))</f>
        <v/>
      </c>
      <c r="E799">
        <f>IF(N799="","",INDEX(Equipamentos!$C$2:$C$61,N799))</f>
        <v/>
      </c>
      <c r="F799" s="57">
        <f>IF(OR(D799="",N(Q799)&lt;=0),"",D799/Q799)</f>
        <v/>
      </c>
      <c r="G799" s="55" t="n"/>
      <c r="H799" s="58" t="n"/>
      <c r="I799" s="58" t="n"/>
      <c r="J799" s="55" t="n"/>
      <c r="K799" s="55" t="n"/>
      <c r="L799">
        <f>IF(OR(A799="",B799=""),"",_xlfn.MAXIFS(TrocasEquip!$A$2:$A$1000,TrocasEquip!$B$2:$B$1000,B799,TrocasEquip!$A$2:$A$1000,"&lt;"&amp;A799))</f>
        <v/>
      </c>
      <c r="M799">
        <f>IF(N(L799)=0,0,MATCH(1,INDEX((TrocasEquip!$B$2:$B$1000=B799)*(TrocasEquip!$A$2:$A$1000=L799),0),0))</f>
        <v/>
      </c>
      <c r="N799">
        <f>IF(B799="","",IFERROR(MATCH(B799,Equipamentos!$P$2:$P$61,0),""))</f>
        <v/>
      </c>
      <c r="O799">
        <f>IF(N799="","",IF(M799=0,INDEX(Equipamentos!$U$2:$U$61,N799),L799))</f>
        <v/>
      </c>
      <c r="P799">
        <f>IF(N799="","",IF(M799=0,N(INDEX(Equipamentos!$V$2:$V$61,N799)),N(INDEX(TrocasEquip!$I$2:$I$1000,M799))))</f>
        <v/>
      </c>
      <c r="Q799">
        <f>IF(N799="","",IF(M799=0,INDEX(Equipamentos!$T$2:$T$61,N799),IF(INDEX(TrocasEquip!$H$2:$H$1000,M799)="",INDEX(Equipamentos!$T$2:$T$61,N799),INDEX(TrocasEquip!$H$2:$H$1000,M799))))</f>
        <v/>
      </c>
    </row>
    <row r="800">
      <c r="A800" s="54" t="n"/>
      <c r="B800" s="55" t="n"/>
      <c r="C800">
        <f>IF(B800="","",IF(N800="","posição não encontrada",IF(M800=0,INDEX(Equipamentos!$S$2:$S$61,N800),INDEX(TrocasEquip!$G$2:$G$1000,M800))))</f>
        <v/>
      </c>
      <c r="D800" s="56">
        <f>IF(OR(A800="",N800=""),"",P800+IF(E800="dias",MAX(0,A800-O800),IF(INDEX(Equipamentos!$D$2:$D$61,N800)=2,SUMIFS(Producao!$D:$D,Producao!$A:$A,"&gt;="&amp;O800,Producao!$A:$A,"&lt;"&amp;A800),IF(INDEX(Equipamentos!$D$2:$D$61,N800)=3,SUMIFS(Producao!$E:$E,Producao!$A:$A,"&gt;="&amp;O800,Producao!$A:$A,"&lt;"&amp;A800),SUMIFS(Producao!$B:$B,Producao!$A:$A,"&gt;="&amp;O800,Producao!$A:$A,"&lt;"&amp;A800)))))</f>
        <v/>
      </c>
      <c r="E800">
        <f>IF(N800="","",INDEX(Equipamentos!$C$2:$C$61,N800))</f>
        <v/>
      </c>
      <c r="F800" s="57">
        <f>IF(OR(D800="",N(Q800)&lt;=0),"",D800/Q800)</f>
        <v/>
      </c>
      <c r="G800" s="55" t="n"/>
      <c r="H800" s="58" t="n"/>
      <c r="I800" s="58" t="n"/>
      <c r="J800" s="55" t="n"/>
      <c r="K800" s="55" t="n"/>
      <c r="L800">
        <f>IF(OR(A800="",B800=""),"",_xlfn.MAXIFS(TrocasEquip!$A$2:$A$1000,TrocasEquip!$B$2:$B$1000,B800,TrocasEquip!$A$2:$A$1000,"&lt;"&amp;A800))</f>
        <v/>
      </c>
      <c r="M800">
        <f>IF(N(L800)=0,0,MATCH(1,INDEX((TrocasEquip!$B$2:$B$1000=B800)*(TrocasEquip!$A$2:$A$1000=L800),0),0))</f>
        <v/>
      </c>
      <c r="N800">
        <f>IF(B800="","",IFERROR(MATCH(B800,Equipamentos!$P$2:$P$61,0),""))</f>
        <v/>
      </c>
      <c r="O800">
        <f>IF(N800="","",IF(M800=0,INDEX(Equipamentos!$U$2:$U$61,N800),L800))</f>
        <v/>
      </c>
      <c r="P800">
        <f>IF(N800="","",IF(M800=0,N(INDEX(Equipamentos!$V$2:$V$61,N800)),N(INDEX(TrocasEquip!$I$2:$I$1000,M800))))</f>
        <v/>
      </c>
      <c r="Q800">
        <f>IF(N800="","",IF(M800=0,INDEX(Equipamentos!$T$2:$T$61,N800),IF(INDEX(TrocasEquip!$H$2:$H$1000,M800)="",INDEX(Equipamentos!$T$2:$T$61,N800),INDEX(TrocasEquip!$H$2:$H$1000,M800))))</f>
        <v/>
      </c>
    </row>
    <row r="801">
      <c r="A801" s="54" t="n"/>
      <c r="B801" s="55" t="n"/>
      <c r="C801">
        <f>IF(B801="","",IF(N801="","posição não encontrada",IF(M801=0,INDEX(Equipamentos!$S$2:$S$61,N801),INDEX(TrocasEquip!$G$2:$G$1000,M801))))</f>
        <v/>
      </c>
      <c r="D801" s="56">
        <f>IF(OR(A801="",N801=""),"",P801+IF(E801="dias",MAX(0,A801-O801),IF(INDEX(Equipamentos!$D$2:$D$61,N801)=2,SUMIFS(Producao!$D:$D,Producao!$A:$A,"&gt;="&amp;O801,Producao!$A:$A,"&lt;"&amp;A801),IF(INDEX(Equipamentos!$D$2:$D$61,N801)=3,SUMIFS(Producao!$E:$E,Producao!$A:$A,"&gt;="&amp;O801,Producao!$A:$A,"&lt;"&amp;A801),SUMIFS(Producao!$B:$B,Producao!$A:$A,"&gt;="&amp;O801,Producao!$A:$A,"&lt;"&amp;A801)))))</f>
        <v/>
      </c>
      <c r="E801">
        <f>IF(N801="","",INDEX(Equipamentos!$C$2:$C$61,N801))</f>
        <v/>
      </c>
      <c r="F801" s="57">
        <f>IF(OR(D801="",N(Q801)&lt;=0),"",D801/Q801)</f>
        <v/>
      </c>
      <c r="G801" s="55" t="n"/>
      <c r="H801" s="58" t="n"/>
      <c r="I801" s="58" t="n"/>
      <c r="J801" s="55" t="n"/>
      <c r="K801" s="55" t="n"/>
      <c r="L801">
        <f>IF(OR(A801="",B801=""),"",_xlfn.MAXIFS(TrocasEquip!$A$2:$A$1000,TrocasEquip!$B$2:$B$1000,B801,TrocasEquip!$A$2:$A$1000,"&lt;"&amp;A801))</f>
        <v/>
      </c>
      <c r="M801">
        <f>IF(N(L801)=0,0,MATCH(1,INDEX((TrocasEquip!$B$2:$B$1000=B801)*(TrocasEquip!$A$2:$A$1000=L801),0),0))</f>
        <v/>
      </c>
      <c r="N801">
        <f>IF(B801="","",IFERROR(MATCH(B801,Equipamentos!$P$2:$P$61,0),""))</f>
        <v/>
      </c>
      <c r="O801">
        <f>IF(N801="","",IF(M801=0,INDEX(Equipamentos!$U$2:$U$61,N801),L801))</f>
        <v/>
      </c>
      <c r="P801">
        <f>IF(N801="","",IF(M801=0,N(INDEX(Equipamentos!$V$2:$V$61,N801)),N(INDEX(TrocasEquip!$I$2:$I$1000,M801))))</f>
        <v/>
      </c>
      <c r="Q801">
        <f>IF(N801="","",IF(M801=0,INDEX(Equipamentos!$T$2:$T$61,N801),IF(INDEX(TrocasEquip!$H$2:$H$1000,M801)="",INDEX(Equipamentos!$T$2:$T$61,N801),INDEX(TrocasEquip!$H$2:$H$1000,M801))))</f>
        <v/>
      </c>
    </row>
    <row r="802">
      <c r="A802" s="54" t="n"/>
      <c r="B802" s="55" t="n"/>
      <c r="C802">
        <f>IF(B802="","",IF(N802="","posição não encontrada",IF(M802=0,INDEX(Equipamentos!$S$2:$S$61,N802),INDEX(TrocasEquip!$G$2:$G$1000,M802))))</f>
        <v/>
      </c>
      <c r="D802" s="56">
        <f>IF(OR(A802="",N802=""),"",P802+IF(E802="dias",MAX(0,A802-O802),IF(INDEX(Equipamentos!$D$2:$D$61,N802)=2,SUMIFS(Producao!$D:$D,Producao!$A:$A,"&gt;="&amp;O802,Producao!$A:$A,"&lt;"&amp;A802),IF(INDEX(Equipamentos!$D$2:$D$61,N802)=3,SUMIFS(Producao!$E:$E,Producao!$A:$A,"&gt;="&amp;O802,Producao!$A:$A,"&lt;"&amp;A802),SUMIFS(Producao!$B:$B,Producao!$A:$A,"&gt;="&amp;O802,Producao!$A:$A,"&lt;"&amp;A802)))))</f>
        <v/>
      </c>
      <c r="E802">
        <f>IF(N802="","",INDEX(Equipamentos!$C$2:$C$61,N802))</f>
        <v/>
      </c>
      <c r="F802" s="57">
        <f>IF(OR(D802="",N(Q802)&lt;=0),"",D802/Q802)</f>
        <v/>
      </c>
      <c r="G802" s="55" t="n"/>
      <c r="H802" s="58" t="n"/>
      <c r="I802" s="58" t="n"/>
      <c r="J802" s="55" t="n"/>
      <c r="K802" s="55" t="n"/>
      <c r="L802">
        <f>IF(OR(A802="",B802=""),"",_xlfn.MAXIFS(TrocasEquip!$A$2:$A$1000,TrocasEquip!$B$2:$B$1000,B802,TrocasEquip!$A$2:$A$1000,"&lt;"&amp;A802))</f>
        <v/>
      </c>
      <c r="M802">
        <f>IF(N(L802)=0,0,MATCH(1,INDEX((TrocasEquip!$B$2:$B$1000=B802)*(TrocasEquip!$A$2:$A$1000=L802),0),0))</f>
        <v/>
      </c>
      <c r="N802">
        <f>IF(B802="","",IFERROR(MATCH(B802,Equipamentos!$P$2:$P$61,0),""))</f>
        <v/>
      </c>
      <c r="O802">
        <f>IF(N802="","",IF(M802=0,INDEX(Equipamentos!$U$2:$U$61,N802),L802))</f>
        <v/>
      </c>
      <c r="P802">
        <f>IF(N802="","",IF(M802=0,N(INDEX(Equipamentos!$V$2:$V$61,N802)),N(INDEX(TrocasEquip!$I$2:$I$1000,M802))))</f>
        <v/>
      </c>
      <c r="Q802">
        <f>IF(N802="","",IF(M802=0,INDEX(Equipamentos!$T$2:$T$61,N802),IF(INDEX(TrocasEquip!$H$2:$H$1000,M802)="",INDEX(Equipamentos!$T$2:$T$61,N802),INDEX(TrocasEquip!$H$2:$H$1000,M802))))</f>
        <v/>
      </c>
    </row>
    <row r="803">
      <c r="A803" s="54" t="n"/>
      <c r="B803" s="55" t="n"/>
      <c r="C803">
        <f>IF(B803="","",IF(N803="","posição não encontrada",IF(M803=0,INDEX(Equipamentos!$S$2:$S$61,N803),INDEX(TrocasEquip!$G$2:$G$1000,M803))))</f>
        <v/>
      </c>
      <c r="D803" s="56">
        <f>IF(OR(A803="",N803=""),"",P803+IF(E803="dias",MAX(0,A803-O803),IF(INDEX(Equipamentos!$D$2:$D$61,N803)=2,SUMIFS(Producao!$D:$D,Producao!$A:$A,"&gt;="&amp;O803,Producao!$A:$A,"&lt;"&amp;A803),IF(INDEX(Equipamentos!$D$2:$D$61,N803)=3,SUMIFS(Producao!$E:$E,Producao!$A:$A,"&gt;="&amp;O803,Producao!$A:$A,"&lt;"&amp;A803),SUMIFS(Producao!$B:$B,Producao!$A:$A,"&gt;="&amp;O803,Producao!$A:$A,"&lt;"&amp;A803)))))</f>
        <v/>
      </c>
      <c r="E803">
        <f>IF(N803="","",INDEX(Equipamentos!$C$2:$C$61,N803))</f>
        <v/>
      </c>
      <c r="F803" s="57">
        <f>IF(OR(D803="",N(Q803)&lt;=0),"",D803/Q803)</f>
        <v/>
      </c>
      <c r="G803" s="55" t="n"/>
      <c r="H803" s="58" t="n"/>
      <c r="I803" s="58" t="n"/>
      <c r="J803" s="55" t="n"/>
      <c r="K803" s="55" t="n"/>
      <c r="L803">
        <f>IF(OR(A803="",B803=""),"",_xlfn.MAXIFS(TrocasEquip!$A$2:$A$1000,TrocasEquip!$B$2:$B$1000,B803,TrocasEquip!$A$2:$A$1000,"&lt;"&amp;A803))</f>
        <v/>
      </c>
      <c r="M803">
        <f>IF(N(L803)=0,0,MATCH(1,INDEX((TrocasEquip!$B$2:$B$1000=B803)*(TrocasEquip!$A$2:$A$1000=L803),0),0))</f>
        <v/>
      </c>
      <c r="N803">
        <f>IF(B803="","",IFERROR(MATCH(B803,Equipamentos!$P$2:$P$61,0),""))</f>
        <v/>
      </c>
      <c r="O803">
        <f>IF(N803="","",IF(M803=0,INDEX(Equipamentos!$U$2:$U$61,N803),L803))</f>
        <v/>
      </c>
      <c r="P803">
        <f>IF(N803="","",IF(M803=0,N(INDEX(Equipamentos!$V$2:$V$61,N803)),N(INDEX(TrocasEquip!$I$2:$I$1000,M803))))</f>
        <v/>
      </c>
      <c r="Q803">
        <f>IF(N803="","",IF(M803=0,INDEX(Equipamentos!$T$2:$T$61,N803),IF(INDEX(TrocasEquip!$H$2:$H$1000,M803)="",INDEX(Equipamentos!$T$2:$T$61,N803),INDEX(TrocasEquip!$H$2:$H$1000,M803))))</f>
        <v/>
      </c>
    </row>
    <row r="804">
      <c r="A804" s="54" t="n"/>
      <c r="B804" s="55" t="n"/>
      <c r="C804">
        <f>IF(B804="","",IF(N804="","posição não encontrada",IF(M804=0,INDEX(Equipamentos!$S$2:$S$61,N804),INDEX(TrocasEquip!$G$2:$G$1000,M804))))</f>
        <v/>
      </c>
      <c r="D804" s="56">
        <f>IF(OR(A804="",N804=""),"",P804+IF(E804="dias",MAX(0,A804-O804),IF(INDEX(Equipamentos!$D$2:$D$61,N804)=2,SUMIFS(Producao!$D:$D,Producao!$A:$A,"&gt;="&amp;O804,Producao!$A:$A,"&lt;"&amp;A804),IF(INDEX(Equipamentos!$D$2:$D$61,N804)=3,SUMIFS(Producao!$E:$E,Producao!$A:$A,"&gt;="&amp;O804,Producao!$A:$A,"&lt;"&amp;A804),SUMIFS(Producao!$B:$B,Producao!$A:$A,"&gt;="&amp;O804,Producao!$A:$A,"&lt;"&amp;A804)))))</f>
        <v/>
      </c>
      <c r="E804">
        <f>IF(N804="","",INDEX(Equipamentos!$C$2:$C$61,N804))</f>
        <v/>
      </c>
      <c r="F804" s="57">
        <f>IF(OR(D804="",N(Q804)&lt;=0),"",D804/Q804)</f>
        <v/>
      </c>
      <c r="G804" s="55" t="n"/>
      <c r="H804" s="58" t="n"/>
      <c r="I804" s="58" t="n"/>
      <c r="J804" s="55" t="n"/>
      <c r="K804" s="55" t="n"/>
      <c r="L804">
        <f>IF(OR(A804="",B804=""),"",_xlfn.MAXIFS(TrocasEquip!$A$2:$A$1000,TrocasEquip!$B$2:$B$1000,B804,TrocasEquip!$A$2:$A$1000,"&lt;"&amp;A804))</f>
        <v/>
      </c>
      <c r="M804">
        <f>IF(N(L804)=0,0,MATCH(1,INDEX((TrocasEquip!$B$2:$B$1000=B804)*(TrocasEquip!$A$2:$A$1000=L804),0),0))</f>
        <v/>
      </c>
      <c r="N804">
        <f>IF(B804="","",IFERROR(MATCH(B804,Equipamentos!$P$2:$P$61,0),""))</f>
        <v/>
      </c>
      <c r="O804">
        <f>IF(N804="","",IF(M804=0,INDEX(Equipamentos!$U$2:$U$61,N804),L804))</f>
        <v/>
      </c>
      <c r="P804">
        <f>IF(N804="","",IF(M804=0,N(INDEX(Equipamentos!$V$2:$V$61,N804)),N(INDEX(TrocasEquip!$I$2:$I$1000,M804))))</f>
        <v/>
      </c>
      <c r="Q804">
        <f>IF(N804="","",IF(M804=0,INDEX(Equipamentos!$T$2:$T$61,N804),IF(INDEX(TrocasEquip!$H$2:$H$1000,M804)="",INDEX(Equipamentos!$T$2:$T$61,N804),INDEX(TrocasEquip!$H$2:$H$1000,M804))))</f>
        <v/>
      </c>
    </row>
    <row r="805">
      <c r="A805" s="54" t="n"/>
      <c r="B805" s="55" t="n"/>
      <c r="C805">
        <f>IF(B805="","",IF(N805="","posição não encontrada",IF(M805=0,INDEX(Equipamentos!$S$2:$S$61,N805),INDEX(TrocasEquip!$G$2:$G$1000,M805))))</f>
        <v/>
      </c>
      <c r="D805" s="56">
        <f>IF(OR(A805="",N805=""),"",P805+IF(E805="dias",MAX(0,A805-O805),IF(INDEX(Equipamentos!$D$2:$D$61,N805)=2,SUMIFS(Producao!$D:$D,Producao!$A:$A,"&gt;="&amp;O805,Producao!$A:$A,"&lt;"&amp;A805),IF(INDEX(Equipamentos!$D$2:$D$61,N805)=3,SUMIFS(Producao!$E:$E,Producao!$A:$A,"&gt;="&amp;O805,Producao!$A:$A,"&lt;"&amp;A805),SUMIFS(Producao!$B:$B,Producao!$A:$A,"&gt;="&amp;O805,Producao!$A:$A,"&lt;"&amp;A805)))))</f>
        <v/>
      </c>
      <c r="E805">
        <f>IF(N805="","",INDEX(Equipamentos!$C$2:$C$61,N805))</f>
        <v/>
      </c>
      <c r="F805" s="57">
        <f>IF(OR(D805="",N(Q805)&lt;=0),"",D805/Q805)</f>
        <v/>
      </c>
      <c r="G805" s="55" t="n"/>
      <c r="H805" s="58" t="n"/>
      <c r="I805" s="58" t="n"/>
      <c r="J805" s="55" t="n"/>
      <c r="K805" s="55" t="n"/>
      <c r="L805">
        <f>IF(OR(A805="",B805=""),"",_xlfn.MAXIFS(TrocasEquip!$A$2:$A$1000,TrocasEquip!$B$2:$B$1000,B805,TrocasEquip!$A$2:$A$1000,"&lt;"&amp;A805))</f>
        <v/>
      </c>
      <c r="M805">
        <f>IF(N(L805)=0,0,MATCH(1,INDEX((TrocasEquip!$B$2:$B$1000=B805)*(TrocasEquip!$A$2:$A$1000=L805),0),0))</f>
        <v/>
      </c>
      <c r="N805">
        <f>IF(B805="","",IFERROR(MATCH(B805,Equipamentos!$P$2:$P$61,0),""))</f>
        <v/>
      </c>
      <c r="O805">
        <f>IF(N805="","",IF(M805=0,INDEX(Equipamentos!$U$2:$U$61,N805),L805))</f>
        <v/>
      </c>
      <c r="P805">
        <f>IF(N805="","",IF(M805=0,N(INDEX(Equipamentos!$V$2:$V$61,N805)),N(INDEX(TrocasEquip!$I$2:$I$1000,M805))))</f>
        <v/>
      </c>
      <c r="Q805">
        <f>IF(N805="","",IF(M805=0,INDEX(Equipamentos!$T$2:$T$61,N805),IF(INDEX(TrocasEquip!$H$2:$H$1000,M805)="",INDEX(Equipamentos!$T$2:$T$61,N805),INDEX(TrocasEquip!$H$2:$H$1000,M805))))</f>
        <v/>
      </c>
    </row>
    <row r="806">
      <c r="A806" s="54" t="n"/>
      <c r="B806" s="55" t="n"/>
      <c r="C806">
        <f>IF(B806="","",IF(N806="","posição não encontrada",IF(M806=0,INDEX(Equipamentos!$S$2:$S$61,N806),INDEX(TrocasEquip!$G$2:$G$1000,M806))))</f>
        <v/>
      </c>
      <c r="D806" s="56">
        <f>IF(OR(A806="",N806=""),"",P806+IF(E806="dias",MAX(0,A806-O806),IF(INDEX(Equipamentos!$D$2:$D$61,N806)=2,SUMIFS(Producao!$D:$D,Producao!$A:$A,"&gt;="&amp;O806,Producao!$A:$A,"&lt;"&amp;A806),IF(INDEX(Equipamentos!$D$2:$D$61,N806)=3,SUMIFS(Producao!$E:$E,Producao!$A:$A,"&gt;="&amp;O806,Producao!$A:$A,"&lt;"&amp;A806),SUMIFS(Producao!$B:$B,Producao!$A:$A,"&gt;="&amp;O806,Producao!$A:$A,"&lt;"&amp;A806)))))</f>
        <v/>
      </c>
      <c r="E806">
        <f>IF(N806="","",INDEX(Equipamentos!$C$2:$C$61,N806))</f>
        <v/>
      </c>
      <c r="F806" s="57">
        <f>IF(OR(D806="",N(Q806)&lt;=0),"",D806/Q806)</f>
        <v/>
      </c>
      <c r="G806" s="55" t="n"/>
      <c r="H806" s="58" t="n"/>
      <c r="I806" s="58" t="n"/>
      <c r="J806" s="55" t="n"/>
      <c r="K806" s="55" t="n"/>
      <c r="L806">
        <f>IF(OR(A806="",B806=""),"",_xlfn.MAXIFS(TrocasEquip!$A$2:$A$1000,TrocasEquip!$B$2:$B$1000,B806,TrocasEquip!$A$2:$A$1000,"&lt;"&amp;A806))</f>
        <v/>
      </c>
      <c r="M806">
        <f>IF(N(L806)=0,0,MATCH(1,INDEX((TrocasEquip!$B$2:$B$1000=B806)*(TrocasEquip!$A$2:$A$1000=L806),0),0))</f>
        <v/>
      </c>
      <c r="N806">
        <f>IF(B806="","",IFERROR(MATCH(B806,Equipamentos!$P$2:$P$61,0),""))</f>
        <v/>
      </c>
      <c r="O806">
        <f>IF(N806="","",IF(M806=0,INDEX(Equipamentos!$U$2:$U$61,N806),L806))</f>
        <v/>
      </c>
      <c r="P806">
        <f>IF(N806="","",IF(M806=0,N(INDEX(Equipamentos!$V$2:$V$61,N806)),N(INDEX(TrocasEquip!$I$2:$I$1000,M806))))</f>
        <v/>
      </c>
      <c r="Q806">
        <f>IF(N806="","",IF(M806=0,INDEX(Equipamentos!$T$2:$T$61,N806),IF(INDEX(TrocasEquip!$H$2:$H$1000,M806)="",INDEX(Equipamentos!$T$2:$T$61,N806),INDEX(TrocasEquip!$H$2:$H$1000,M806))))</f>
        <v/>
      </c>
    </row>
    <row r="807">
      <c r="A807" s="54" t="n"/>
      <c r="B807" s="55" t="n"/>
      <c r="C807">
        <f>IF(B807="","",IF(N807="","posição não encontrada",IF(M807=0,INDEX(Equipamentos!$S$2:$S$61,N807),INDEX(TrocasEquip!$G$2:$G$1000,M807))))</f>
        <v/>
      </c>
      <c r="D807" s="56">
        <f>IF(OR(A807="",N807=""),"",P807+IF(E807="dias",MAX(0,A807-O807),IF(INDEX(Equipamentos!$D$2:$D$61,N807)=2,SUMIFS(Producao!$D:$D,Producao!$A:$A,"&gt;="&amp;O807,Producao!$A:$A,"&lt;"&amp;A807),IF(INDEX(Equipamentos!$D$2:$D$61,N807)=3,SUMIFS(Producao!$E:$E,Producao!$A:$A,"&gt;="&amp;O807,Producao!$A:$A,"&lt;"&amp;A807),SUMIFS(Producao!$B:$B,Producao!$A:$A,"&gt;="&amp;O807,Producao!$A:$A,"&lt;"&amp;A807)))))</f>
        <v/>
      </c>
      <c r="E807">
        <f>IF(N807="","",INDEX(Equipamentos!$C$2:$C$61,N807))</f>
        <v/>
      </c>
      <c r="F807" s="57">
        <f>IF(OR(D807="",N(Q807)&lt;=0),"",D807/Q807)</f>
        <v/>
      </c>
      <c r="G807" s="55" t="n"/>
      <c r="H807" s="58" t="n"/>
      <c r="I807" s="58" t="n"/>
      <c r="J807" s="55" t="n"/>
      <c r="K807" s="55" t="n"/>
      <c r="L807">
        <f>IF(OR(A807="",B807=""),"",_xlfn.MAXIFS(TrocasEquip!$A$2:$A$1000,TrocasEquip!$B$2:$B$1000,B807,TrocasEquip!$A$2:$A$1000,"&lt;"&amp;A807))</f>
        <v/>
      </c>
      <c r="M807">
        <f>IF(N(L807)=0,0,MATCH(1,INDEX((TrocasEquip!$B$2:$B$1000=B807)*(TrocasEquip!$A$2:$A$1000=L807),0),0))</f>
        <v/>
      </c>
      <c r="N807">
        <f>IF(B807="","",IFERROR(MATCH(B807,Equipamentos!$P$2:$P$61,0),""))</f>
        <v/>
      </c>
      <c r="O807">
        <f>IF(N807="","",IF(M807=0,INDEX(Equipamentos!$U$2:$U$61,N807),L807))</f>
        <v/>
      </c>
      <c r="P807">
        <f>IF(N807="","",IF(M807=0,N(INDEX(Equipamentos!$V$2:$V$61,N807)),N(INDEX(TrocasEquip!$I$2:$I$1000,M807))))</f>
        <v/>
      </c>
      <c r="Q807">
        <f>IF(N807="","",IF(M807=0,INDEX(Equipamentos!$T$2:$T$61,N807),IF(INDEX(TrocasEquip!$H$2:$H$1000,M807)="",INDEX(Equipamentos!$T$2:$T$61,N807),INDEX(TrocasEquip!$H$2:$H$1000,M807))))</f>
        <v/>
      </c>
    </row>
    <row r="808">
      <c r="A808" s="54" t="n"/>
      <c r="B808" s="55" t="n"/>
      <c r="C808">
        <f>IF(B808="","",IF(N808="","posição não encontrada",IF(M808=0,INDEX(Equipamentos!$S$2:$S$61,N808),INDEX(TrocasEquip!$G$2:$G$1000,M808))))</f>
        <v/>
      </c>
      <c r="D808" s="56">
        <f>IF(OR(A808="",N808=""),"",P808+IF(E808="dias",MAX(0,A808-O808),IF(INDEX(Equipamentos!$D$2:$D$61,N808)=2,SUMIFS(Producao!$D:$D,Producao!$A:$A,"&gt;="&amp;O808,Producao!$A:$A,"&lt;"&amp;A808),IF(INDEX(Equipamentos!$D$2:$D$61,N808)=3,SUMIFS(Producao!$E:$E,Producao!$A:$A,"&gt;="&amp;O808,Producao!$A:$A,"&lt;"&amp;A808),SUMIFS(Producao!$B:$B,Producao!$A:$A,"&gt;="&amp;O808,Producao!$A:$A,"&lt;"&amp;A808)))))</f>
        <v/>
      </c>
      <c r="E808">
        <f>IF(N808="","",INDEX(Equipamentos!$C$2:$C$61,N808))</f>
        <v/>
      </c>
      <c r="F808" s="57">
        <f>IF(OR(D808="",N(Q808)&lt;=0),"",D808/Q808)</f>
        <v/>
      </c>
      <c r="G808" s="55" t="n"/>
      <c r="H808" s="58" t="n"/>
      <c r="I808" s="58" t="n"/>
      <c r="J808" s="55" t="n"/>
      <c r="K808" s="55" t="n"/>
      <c r="L808">
        <f>IF(OR(A808="",B808=""),"",_xlfn.MAXIFS(TrocasEquip!$A$2:$A$1000,TrocasEquip!$B$2:$B$1000,B808,TrocasEquip!$A$2:$A$1000,"&lt;"&amp;A808))</f>
        <v/>
      </c>
      <c r="M808">
        <f>IF(N(L808)=0,0,MATCH(1,INDEX((TrocasEquip!$B$2:$B$1000=B808)*(TrocasEquip!$A$2:$A$1000=L808),0),0))</f>
        <v/>
      </c>
      <c r="N808">
        <f>IF(B808="","",IFERROR(MATCH(B808,Equipamentos!$P$2:$P$61,0),""))</f>
        <v/>
      </c>
      <c r="O808">
        <f>IF(N808="","",IF(M808=0,INDEX(Equipamentos!$U$2:$U$61,N808),L808))</f>
        <v/>
      </c>
      <c r="P808">
        <f>IF(N808="","",IF(M808=0,N(INDEX(Equipamentos!$V$2:$V$61,N808)),N(INDEX(TrocasEquip!$I$2:$I$1000,M808))))</f>
        <v/>
      </c>
      <c r="Q808">
        <f>IF(N808="","",IF(M808=0,INDEX(Equipamentos!$T$2:$T$61,N808),IF(INDEX(TrocasEquip!$H$2:$H$1000,M808)="",INDEX(Equipamentos!$T$2:$T$61,N808),INDEX(TrocasEquip!$H$2:$H$1000,M808))))</f>
        <v/>
      </c>
    </row>
    <row r="809">
      <c r="A809" s="54" t="n"/>
      <c r="B809" s="55" t="n"/>
      <c r="C809">
        <f>IF(B809="","",IF(N809="","posição não encontrada",IF(M809=0,INDEX(Equipamentos!$S$2:$S$61,N809),INDEX(TrocasEquip!$G$2:$G$1000,M809))))</f>
        <v/>
      </c>
      <c r="D809" s="56">
        <f>IF(OR(A809="",N809=""),"",P809+IF(E809="dias",MAX(0,A809-O809),IF(INDEX(Equipamentos!$D$2:$D$61,N809)=2,SUMIFS(Producao!$D:$D,Producao!$A:$A,"&gt;="&amp;O809,Producao!$A:$A,"&lt;"&amp;A809),IF(INDEX(Equipamentos!$D$2:$D$61,N809)=3,SUMIFS(Producao!$E:$E,Producao!$A:$A,"&gt;="&amp;O809,Producao!$A:$A,"&lt;"&amp;A809),SUMIFS(Producao!$B:$B,Producao!$A:$A,"&gt;="&amp;O809,Producao!$A:$A,"&lt;"&amp;A809)))))</f>
        <v/>
      </c>
      <c r="E809">
        <f>IF(N809="","",INDEX(Equipamentos!$C$2:$C$61,N809))</f>
        <v/>
      </c>
      <c r="F809" s="57">
        <f>IF(OR(D809="",N(Q809)&lt;=0),"",D809/Q809)</f>
        <v/>
      </c>
      <c r="G809" s="55" t="n"/>
      <c r="H809" s="58" t="n"/>
      <c r="I809" s="58" t="n"/>
      <c r="J809" s="55" t="n"/>
      <c r="K809" s="55" t="n"/>
      <c r="L809">
        <f>IF(OR(A809="",B809=""),"",_xlfn.MAXIFS(TrocasEquip!$A$2:$A$1000,TrocasEquip!$B$2:$B$1000,B809,TrocasEquip!$A$2:$A$1000,"&lt;"&amp;A809))</f>
        <v/>
      </c>
      <c r="M809">
        <f>IF(N(L809)=0,0,MATCH(1,INDEX((TrocasEquip!$B$2:$B$1000=B809)*(TrocasEquip!$A$2:$A$1000=L809),0),0))</f>
        <v/>
      </c>
      <c r="N809">
        <f>IF(B809="","",IFERROR(MATCH(B809,Equipamentos!$P$2:$P$61,0),""))</f>
        <v/>
      </c>
      <c r="O809">
        <f>IF(N809="","",IF(M809=0,INDEX(Equipamentos!$U$2:$U$61,N809),L809))</f>
        <v/>
      </c>
      <c r="P809">
        <f>IF(N809="","",IF(M809=0,N(INDEX(Equipamentos!$V$2:$V$61,N809)),N(INDEX(TrocasEquip!$I$2:$I$1000,M809))))</f>
        <v/>
      </c>
      <c r="Q809">
        <f>IF(N809="","",IF(M809=0,INDEX(Equipamentos!$T$2:$T$61,N809),IF(INDEX(TrocasEquip!$H$2:$H$1000,M809)="",INDEX(Equipamentos!$T$2:$T$61,N809),INDEX(TrocasEquip!$H$2:$H$1000,M809))))</f>
        <v/>
      </c>
    </row>
    <row r="810">
      <c r="A810" s="54" t="n"/>
      <c r="B810" s="55" t="n"/>
      <c r="C810">
        <f>IF(B810="","",IF(N810="","posição não encontrada",IF(M810=0,INDEX(Equipamentos!$S$2:$S$61,N810),INDEX(TrocasEquip!$G$2:$G$1000,M810))))</f>
        <v/>
      </c>
      <c r="D810" s="56">
        <f>IF(OR(A810="",N810=""),"",P810+IF(E810="dias",MAX(0,A810-O810),IF(INDEX(Equipamentos!$D$2:$D$61,N810)=2,SUMIFS(Producao!$D:$D,Producao!$A:$A,"&gt;="&amp;O810,Producao!$A:$A,"&lt;"&amp;A810),IF(INDEX(Equipamentos!$D$2:$D$61,N810)=3,SUMIFS(Producao!$E:$E,Producao!$A:$A,"&gt;="&amp;O810,Producao!$A:$A,"&lt;"&amp;A810),SUMIFS(Producao!$B:$B,Producao!$A:$A,"&gt;="&amp;O810,Producao!$A:$A,"&lt;"&amp;A810)))))</f>
        <v/>
      </c>
      <c r="E810">
        <f>IF(N810="","",INDEX(Equipamentos!$C$2:$C$61,N810))</f>
        <v/>
      </c>
      <c r="F810" s="57">
        <f>IF(OR(D810="",N(Q810)&lt;=0),"",D810/Q810)</f>
        <v/>
      </c>
      <c r="G810" s="55" t="n"/>
      <c r="H810" s="58" t="n"/>
      <c r="I810" s="58" t="n"/>
      <c r="J810" s="55" t="n"/>
      <c r="K810" s="55" t="n"/>
      <c r="L810">
        <f>IF(OR(A810="",B810=""),"",_xlfn.MAXIFS(TrocasEquip!$A$2:$A$1000,TrocasEquip!$B$2:$B$1000,B810,TrocasEquip!$A$2:$A$1000,"&lt;"&amp;A810))</f>
        <v/>
      </c>
      <c r="M810">
        <f>IF(N(L810)=0,0,MATCH(1,INDEX((TrocasEquip!$B$2:$B$1000=B810)*(TrocasEquip!$A$2:$A$1000=L810),0),0))</f>
        <v/>
      </c>
      <c r="N810">
        <f>IF(B810="","",IFERROR(MATCH(B810,Equipamentos!$P$2:$P$61,0),""))</f>
        <v/>
      </c>
      <c r="O810">
        <f>IF(N810="","",IF(M810=0,INDEX(Equipamentos!$U$2:$U$61,N810),L810))</f>
        <v/>
      </c>
      <c r="P810">
        <f>IF(N810="","",IF(M810=0,N(INDEX(Equipamentos!$V$2:$V$61,N810)),N(INDEX(TrocasEquip!$I$2:$I$1000,M810))))</f>
        <v/>
      </c>
      <c r="Q810">
        <f>IF(N810="","",IF(M810=0,INDEX(Equipamentos!$T$2:$T$61,N810),IF(INDEX(TrocasEquip!$H$2:$H$1000,M810)="",INDEX(Equipamentos!$T$2:$T$61,N810),INDEX(TrocasEquip!$H$2:$H$1000,M810))))</f>
        <v/>
      </c>
    </row>
    <row r="811">
      <c r="A811" s="54" t="n"/>
      <c r="B811" s="55" t="n"/>
      <c r="C811">
        <f>IF(B811="","",IF(N811="","posição não encontrada",IF(M811=0,INDEX(Equipamentos!$S$2:$S$61,N811),INDEX(TrocasEquip!$G$2:$G$1000,M811))))</f>
        <v/>
      </c>
      <c r="D811" s="56">
        <f>IF(OR(A811="",N811=""),"",P811+IF(E811="dias",MAX(0,A811-O811),IF(INDEX(Equipamentos!$D$2:$D$61,N811)=2,SUMIFS(Producao!$D:$D,Producao!$A:$A,"&gt;="&amp;O811,Producao!$A:$A,"&lt;"&amp;A811),IF(INDEX(Equipamentos!$D$2:$D$61,N811)=3,SUMIFS(Producao!$E:$E,Producao!$A:$A,"&gt;="&amp;O811,Producao!$A:$A,"&lt;"&amp;A811),SUMIFS(Producao!$B:$B,Producao!$A:$A,"&gt;="&amp;O811,Producao!$A:$A,"&lt;"&amp;A811)))))</f>
        <v/>
      </c>
      <c r="E811">
        <f>IF(N811="","",INDEX(Equipamentos!$C$2:$C$61,N811))</f>
        <v/>
      </c>
      <c r="F811" s="57">
        <f>IF(OR(D811="",N(Q811)&lt;=0),"",D811/Q811)</f>
        <v/>
      </c>
      <c r="G811" s="55" t="n"/>
      <c r="H811" s="58" t="n"/>
      <c r="I811" s="58" t="n"/>
      <c r="J811" s="55" t="n"/>
      <c r="K811" s="55" t="n"/>
      <c r="L811">
        <f>IF(OR(A811="",B811=""),"",_xlfn.MAXIFS(TrocasEquip!$A$2:$A$1000,TrocasEquip!$B$2:$B$1000,B811,TrocasEquip!$A$2:$A$1000,"&lt;"&amp;A811))</f>
        <v/>
      </c>
      <c r="M811">
        <f>IF(N(L811)=0,0,MATCH(1,INDEX((TrocasEquip!$B$2:$B$1000=B811)*(TrocasEquip!$A$2:$A$1000=L811),0),0))</f>
        <v/>
      </c>
      <c r="N811">
        <f>IF(B811="","",IFERROR(MATCH(B811,Equipamentos!$P$2:$P$61,0),""))</f>
        <v/>
      </c>
      <c r="O811">
        <f>IF(N811="","",IF(M811=0,INDEX(Equipamentos!$U$2:$U$61,N811),L811))</f>
        <v/>
      </c>
      <c r="P811">
        <f>IF(N811="","",IF(M811=0,N(INDEX(Equipamentos!$V$2:$V$61,N811)),N(INDEX(TrocasEquip!$I$2:$I$1000,M811))))</f>
        <v/>
      </c>
      <c r="Q811">
        <f>IF(N811="","",IF(M811=0,INDEX(Equipamentos!$T$2:$T$61,N811),IF(INDEX(TrocasEquip!$H$2:$H$1000,M811)="",INDEX(Equipamentos!$T$2:$T$61,N811),INDEX(TrocasEquip!$H$2:$H$1000,M811))))</f>
        <v/>
      </c>
    </row>
    <row r="812">
      <c r="A812" s="54" t="n"/>
      <c r="B812" s="55" t="n"/>
      <c r="C812">
        <f>IF(B812="","",IF(N812="","posição não encontrada",IF(M812=0,INDEX(Equipamentos!$S$2:$S$61,N812),INDEX(TrocasEquip!$G$2:$G$1000,M812))))</f>
        <v/>
      </c>
      <c r="D812" s="56">
        <f>IF(OR(A812="",N812=""),"",P812+IF(E812="dias",MAX(0,A812-O812),IF(INDEX(Equipamentos!$D$2:$D$61,N812)=2,SUMIFS(Producao!$D:$D,Producao!$A:$A,"&gt;="&amp;O812,Producao!$A:$A,"&lt;"&amp;A812),IF(INDEX(Equipamentos!$D$2:$D$61,N812)=3,SUMIFS(Producao!$E:$E,Producao!$A:$A,"&gt;="&amp;O812,Producao!$A:$A,"&lt;"&amp;A812),SUMIFS(Producao!$B:$B,Producao!$A:$A,"&gt;="&amp;O812,Producao!$A:$A,"&lt;"&amp;A812)))))</f>
        <v/>
      </c>
      <c r="E812">
        <f>IF(N812="","",INDEX(Equipamentos!$C$2:$C$61,N812))</f>
        <v/>
      </c>
      <c r="F812" s="57">
        <f>IF(OR(D812="",N(Q812)&lt;=0),"",D812/Q812)</f>
        <v/>
      </c>
      <c r="G812" s="55" t="n"/>
      <c r="H812" s="58" t="n"/>
      <c r="I812" s="58" t="n"/>
      <c r="J812" s="55" t="n"/>
      <c r="K812" s="55" t="n"/>
      <c r="L812">
        <f>IF(OR(A812="",B812=""),"",_xlfn.MAXIFS(TrocasEquip!$A$2:$A$1000,TrocasEquip!$B$2:$B$1000,B812,TrocasEquip!$A$2:$A$1000,"&lt;"&amp;A812))</f>
        <v/>
      </c>
      <c r="M812">
        <f>IF(N(L812)=0,0,MATCH(1,INDEX((TrocasEquip!$B$2:$B$1000=B812)*(TrocasEquip!$A$2:$A$1000=L812),0),0))</f>
        <v/>
      </c>
      <c r="N812">
        <f>IF(B812="","",IFERROR(MATCH(B812,Equipamentos!$P$2:$P$61,0),""))</f>
        <v/>
      </c>
      <c r="O812">
        <f>IF(N812="","",IF(M812=0,INDEX(Equipamentos!$U$2:$U$61,N812),L812))</f>
        <v/>
      </c>
      <c r="P812">
        <f>IF(N812="","",IF(M812=0,N(INDEX(Equipamentos!$V$2:$V$61,N812)),N(INDEX(TrocasEquip!$I$2:$I$1000,M812))))</f>
        <v/>
      </c>
      <c r="Q812">
        <f>IF(N812="","",IF(M812=0,INDEX(Equipamentos!$T$2:$T$61,N812),IF(INDEX(TrocasEquip!$H$2:$H$1000,M812)="",INDEX(Equipamentos!$T$2:$T$61,N812),INDEX(TrocasEquip!$H$2:$H$1000,M812))))</f>
        <v/>
      </c>
    </row>
    <row r="813">
      <c r="A813" s="54" t="n"/>
      <c r="B813" s="55" t="n"/>
      <c r="C813">
        <f>IF(B813="","",IF(N813="","posição não encontrada",IF(M813=0,INDEX(Equipamentos!$S$2:$S$61,N813),INDEX(TrocasEquip!$G$2:$G$1000,M813))))</f>
        <v/>
      </c>
      <c r="D813" s="56">
        <f>IF(OR(A813="",N813=""),"",P813+IF(E813="dias",MAX(0,A813-O813),IF(INDEX(Equipamentos!$D$2:$D$61,N813)=2,SUMIFS(Producao!$D:$D,Producao!$A:$A,"&gt;="&amp;O813,Producao!$A:$A,"&lt;"&amp;A813),IF(INDEX(Equipamentos!$D$2:$D$61,N813)=3,SUMIFS(Producao!$E:$E,Producao!$A:$A,"&gt;="&amp;O813,Producao!$A:$A,"&lt;"&amp;A813),SUMIFS(Producao!$B:$B,Producao!$A:$A,"&gt;="&amp;O813,Producao!$A:$A,"&lt;"&amp;A813)))))</f>
        <v/>
      </c>
      <c r="E813">
        <f>IF(N813="","",INDEX(Equipamentos!$C$2:$C$61,N813))</f>
        <v/>
      </c>
      <c r="F813" s="57">
        <f>IF(OR(D813="",N(Q813)&lt;=0),"",D813/Q813)</f>
        <v/>
      </c>
      <c r="G813" s="55" t="n"/>
      <c r="H813" s="58" t="n"/>
      <c r="I813" s="58" t="n"/>
      <c r="J813" s="55" t="n"/>
      <c r="K813" s="55" t="n"/>
      <c r="L813">
        <f>IF(OR(A813="",B813=""),"",_xlfn.MAXIFS(TrocasEquip!$A$2:$A$1000,TrocasEquip!$B$2:$B$1000,B813,TrocasEquip!$A$2:$A$1000,"&lt;"&amp;A813))</f>
        <v/>
      </c>
      <c r="M813">
        <f>IF(N(L813)=0,0,MATCH(1,INDEX((TrocasEquip!$B$2:$B$1000=B813)*(TrocasEquip!$A$2:$A$1000=L813),0),0))</f>
        <v/>
      </c>
      <c r="N813">
        <f>IF(B813="","",IFERROR(MATCH(B813,Equipamentos!$P$2:$P$61,0),""))</f>
        <v/>
      </c>
      <c r="O813">
        <f>IF(N813="","",IF(M813=0,INDEX(Equipamentos!$U$2:$U$61,N813),L813))</f>
        <v/>
      </c>
      <c r="P813">
        <f>IF(N813="","",IF(M813=0,N(INDEX(Equipamentos!$V$2:$V$61,N813)),N(INDEX(TrocasEquip!$I$2:$I$1000,M813))))</f>
        <v/>
      </c>
      <c r="Q813">
        <f>IF(N813="","",IF(M813=0,INDEX(Equipamentos!$T$2:$T$61,N813),IF(INDEX(TrocasEquip!$H$2:$H$1000,M813)="",INDEX(Equipamentos!$T$2:$T$61,N813),INDEX(TrocasEquip!$H$2:$H$1000,M813))))</f>
        <v/>
      </c>
    </row>
    <row r="814">
      <c r="A814" s="54" t="n"/>
      <c r="B814" s="55" t="n"/>
      <c r="C814">
        <f>IF(B814="","",IF(N814="","posição não encontrada",IF(M814=0,INDEX(Equipamentos!$S$2:$S$61,N814),INDEX(TrocasEquip!$G$2:$G$1000,M814))))</f>
        <v/>
      </c>
      <c r="D814" s="56">
        <f>IF(OR(A814="",N814=""),"",P814+IF(E814="dias",MAX(0,A814-O814),IF(INDEX(Equipamentos!$D$2:$D$61,N814)=2,SUMIFS(Producao!$D:$D,Producao!$A:$A,"&gt;="&amp;O814,Producao!$A:$A,"&lt;"&amp;A814),IF(INDEX(Equipamentos!$D$2:$D$61,N814)=3,SUMIFS(Producao!$E:$E,Producao!$A:$A,"&gt;="&amp;O814,Producao!$A:$A,"&lt;"&amp;A814),SUMIFS(Producao!$B:$B,Producao!$A:$A,"&gt;="&amp;O814,Producao!$A:$A,"&lt;"&amp;A814)))))</f>
        <v/>
      </c>
      <c r="E814">
        <f>IF(N814="","",INDEX(Equipamentos!$C$2:$C$61,N814))</f>
        <v/>
      </c>
      <c r="F814" s="57">
        <f>IF(OR(D814="",N(Q814)&lt;=0),"",D814/Q814)</f>
        <v/>
      </c>
      <c r="G814" s="55" t="n"/>
      <c r="H814" s="58" t="n"/>
      <c r="I814" s="58" t="n"/>
      <c r="J814" s="55" t="n"/>
      <c r="K814" s="55" t="n"/>
      <c r="L814">
        <f>IF(OR(A814="",B814=""),"",_xlfn.MAXIFS(TrocasEquip!$A$2:$A$1000,TrocasEquip!$B$2:$B$1000,B814,TrocasEquip!$A$2:$A$1000,"&lt;"&amp;A814))</f>
        <v/>
      </c>
      <c r="M814">
        <f>IF(N(L814)=0,0,MATCH(1,INDEX((TrocasEquip!$B$2:$B$1000=B814)*(TrocasEquip!$A$2:$A$1000=L814),0),0))</f>
        <v/>
      </c>
      <c r="N814">
        <f>IF(B814="","",IFERROR(MATCH(B814,Equipamentos!$P$2:$P$61,0),""))</f>
        <v/>
      </c>
      <c r="O814">
        <f>IF(N814="","",IF(M814=0,INDEX(Equipamentos!$U$2:$U$61,N814),L814))</f>
        <v/>
      </c>
      <c r="P814">
        <f>IF(N814="","",IF(M814=0,N(INDEX(Equipamentos!$V$2:$V$61,N814)),N(INDEX(TrocasEquip!$I$2:$I$1000,M814))))</f>
        <v/>
      </c>
      <c r="Q814">
        <f>IF(N814="","",IF(M814=0,INDEX(Equipamentos!$T$2:$T$61,N814),IF(INDEX(TrocasEquip!$H$2:$H$1000,M814)="",INDEX(Equipamentos!$T$2:$T$61,N814),INDEX(TrocasEquip!$H$2:$H$1000,M814))))</f>
        <v/>
      </c>
    </row>
    <row r="815">
      <c r="A815" s="54" t="n"/>
      <c r="B815" s="55" t="n"/>
      <c r="C815">
        <f>IF(B815="","",IF(N815="","posição não encontrada",IF(M815=0,INDEX(Equipamentos!$S$2:$S$61,N815),INDEX(TrocasEquip!$G$2:$G$1000,M815))))</f>
        <v/>
      </c>
      <c r="D815" s="56">
        <f>IF(OR(A815="",N815=""),"",P815+IF(E815="dias",MAX(0,A815-O815),IF(INDEX(Equipamentos!$D$2:$D$61,N815)=2,SUMIFS(Producao!$D:$D,Producao!$A:$A,"&gt;="&amp;O815,Producao!$A:$A,"&lt;"&amp;A815),IF(INDEX(Equipamentos!$D$2:$D$61,N815)=3,SUMIFS(Producao!$E:$E,Producao!$A:$A,"&gt;="&amp;O815,Producao!$A:$A,"&lt;"&amp;A815),SUMIFS(Producao!$B:$B,Producao!$A:$A,"&gt;="&amp;O815,Producao!$A:$A,"&lt;"&amp;A815)))))</f>
        <v/>
      </c>
      <c r="E815">
        <f>IF(N815="","",INDEX(Equipamentos!$C$2:$C$61,N815))</f>
        <v/>
      </c>
      <c r="F815" s="57">
        <f>IF(OR(D815="",N(Q815)&lt;=0),"",D815/Q815)</f>
        <v/>
      </c>
      <c r="G815" s="55" t="n"/>
      <c r="H815" s="58" t="n"/>
      <c r="I815" s="58" t="n"/>
      <c r="J815" s="55" t="n"/>
      <c r="K815" s="55" t="n"/>
      <c r="L815">
        <f>IF(OR(A815="",B815=""),"",_xlfn.MAXIFS(TrocasEquip!$A$2:$A$1000,TrocasEquip!$B$2:$B$1000,B815,TrocasEquip!$A$2:$A$1000,"&lt;"&amp;A815))</f>
        <v/>
      </c>
      <c r="M815">
        <f>IF(N(L815)=0,0,MATCH(1,INDEX((TrocasEquip!$B$2:$B$1000=B815)*(TrocasEquip!$A$2:$A$1000=L815),0),0))</f>
        <v/>
      </c>
      <c r="N815">
        <f>IF(B815="","",IFERROR(MATCH(B815,Equipamentos!$P$2:$P$61,0),""))</f>
        <v/>
      </c>
      <c r="O815">
        <f>IF(N815="","",IF(M815=0,INDEX(Equipamentos!$U$2:$U$61,N815),L815))</f>
        <v/>
      </c>
      <c r="P815">
        <f>IF(N815="","",IF(M815=0,N(INDEX(Equipamentos!$V$2:$V$61,N815)),N(INDEX(TrocasEquip!$I$2:$I$1000,M815))))</f>
        <v/>
      </c>
      <c r="Q815">
        <f>IF(N815="","",IF(M815=0,INDEX(Equipamentos!$T$2:$T$61,N815),IF(INDEX(TrocasEquip!$H$2:$H$1000,M815)="",INDEX(Equipamentos!$T$2:$T$61,N815),INDEX(TrocasEquip!$H$2:$H$1000,M815))))</f>
        <v/>
      </c>
    </row>
    <row r="816">
      <c r="A816" s="54" t="n"/>
      <c r="B816" s="55" t="n"/>
      <c r="C816">
        <f>IF(B816="","",IF(N816="","posição não encontrada",IF(M816=0,INDEX(Equipamentos!$S$2:$S$61,N816),INDEX(TrocasEquip!$G$2:$G$1000,M816))))</f>
        <v/>
      </c>
      <c r="D816" s="56">
        <f>IF(OR(A816="",N816=""),"",P816+IF(E816="dias",MAX(0,A816-O816),IF(INDEX(Equipamentos!$D$2:$D$61,N816)=2,SUMIFS(Producao!$D:$D,Producao!$A:$A,"&gt;="&amp;O816,Producao!$A:$A,"&lt;"&amp;A816),IF(INDEX(Equipamentos!$D$2:$D$61,N816)=3,SUMIFS(Producao!$E:$E,Producao!$A:$A,"&gt;="&amp;O816,Producao!$A:$A,"&lt;"&amp;A816),SUMIFS(Producao!$B:$B,Producao!$A:$A,"&gt;="&amp;O816,Producao!$A:$A,"&lt;"&amp;A816)))))</f>
        <v/>
      </c>
      <c r="E816">
        <f>IF(N816="","",INDEX(Equipamentos!$C$2:$C$61,N816))</f>
        <v/>
      </c>
      <c r="F816" s="57">
        <f>IF(OR(D816="",N(Q816)&lt;=0),"",D816/Q816)</f>
        <v/>
      </c>
      <c r="G816" s="55" t="n"/>
      <c r="H816" s="58" t="n"/>
      <c r="I816" s="58" t="n"/>
      <c r="J816" s="55" t="n"/>
      <c r="K816" s="55" t="n"/>
      <c r="L816">
        <f>IF(OR(A816="",B816=""),"",_xlfn.MAXIFS(TrocasEquip!$A$2:$A$1000,TrocasEquip!$B$2:$B$1000,B816,TrocasEquip!$A$2:$A$1000,"&lt;"&amp;A816))</f>
        <v/>
      </c>
      <c r="M816">
        <f>IF(N(L816)=0,0,MATCH(1,INDEX((TrocasEquip!$B$2:$B$1000=B816)*(TrocasEquip!$A$2:$A$1000=L816),0),0))</f>
        <v/>
      </c>
      <c r="N816">
        <f>IF(B816="","",IFERROR(MATCH(B816,Equipamentos!$P$2:$P$61,0),""))</f>
        <v/>
      </c>
      <c r="O816">
        <f>IF(N816="","",IF(M816=0,INDEX(Equipamentos!$U$2:$U$61,N816),L816))</f>
        <v/>
      </c>
      <c r="P816">
        <f>IF(N816="","",IF(M816=0,N(INDEX(Equipamentos!$V$2:$V$61,N816)),N(INDEX(TrocasEquip!$I$2:$I$1000,M816))))</f>
        <v/>
      </c>
      <c r="Q816">
        <f>IF(N816="","",IF(M816=0,INDEX(Equipamentos!$T$2:$T$61,N816),IF(INDEX(TrocasEquip!$H$2:$H$1000,M816)="",INDEX(Equipamentos!$T$2:$T$61,N816),INDEX(TrocasEquip!$H$2:$H$1000,M816))))</f>
        <v/>
      </c>
    </row>
    <row r="817">
      <c r="A817" s="54" t="n"/>
      <c r="B817" s="55" t="n"/>
      <c r="C817">
        <f>IF(B817="","",IF(N817="","posição não encontrada",IF(M817=0,INDEX(Equipamentos!$S$2:$S$61,N817),INDEX(TrocasEquip!$G$2:$G$1000,M817))))</f>
        <v/>
      </c>
      <c r="D817" s="56">
        <f>IF(OR(A817="",N817=""),"",P817+IF(E817="dias",MAX(0,A817-O817),IF(INDEX(Equipamentos!$D$2:$D$61,N817)=2,SUMIFS(Producao!$D:$D,Producao!$A:$A,"&gt;="&amp;O817,Producao!$A:$A,"&lt;"&amp;A817),IF(INDEX(Equipamentos!$D$2:$D$61,N817)=3,SUMIFS(Producao!$E:$E,Producao!$A:$A,"&gt;="&amp;O817,Producao!$A:$A,"&lt;"&amp;A817),SUMIFS(Producao!$B:$B,Producao!$A:$A,"&gt;="&amp;O817,Producao!$A:$A,"&lt;"&amp;A817)))))</f>
        <v/>
      </c>
      <c r="E817">
        <f>IF(N817="","",INDEX(Equipamentos!$C$2:$C$61,N817))</f>
        <v/>
      </c>
      <c r="F817" s="57">
        <f>IF(OR(D817="",N(Q817)&lt;=0),"",D817/Q817)</f>
        <v/>
      </c>
      <c r="G817" s="55" t="n"/>
      <c r="H817" s="58" t="n"/>
      <c r="I817" s="58" t="n"/>
      <c r="J817" s="55" t="n"/>
      <c r="K817" s="55" t="n"/>
      <c r="L817">
        <f>IF(OR(A817="",B817=""),"",_xlfn.MAXIFS(TrocasEquip!$A$2:$A$1000,TrocasEquip!$B$2:$B$1000,B817,TrocasEquip!$A$2:$A$1000,"&lt;"&amp;A817))</f>
        <v/>
      </c>
      <c r="M817">
        <f>IF(N(L817)=0,0,MATCH(1,INDEX((TrocasEquip!$B$2:$B$1000=B817)*(TrocasEquip!$A$2:$A$1000=L817),0),0))</f>
        <v/>
      </c>
      <c r="N817">
        <f>IF(B817="","",IFERROR(MATCH(B817,Equipamentos!$P$2:$P$61,0),""))</f>
        <v/>
      </c>
      <c r="O817">
        <f>IF(N817="","",IF(M817=0,INDEX(Equipamentos!$U$2:$U$61,N817),L817))</f>
        <v/>
      </c>
      <c r="P817">
        <f>IF(N817="","",IF(M817=0,N(INDEX(Equipamentos!$V$2:$V$61,N817)),N(INDEX(TrocasEquip!$I$2:$I$1000,M817))))</f>
        <v/>
      </c>
      <c r="Q817">
        <f>IF(N817="","",IF(M817=0,INDEX(Equipamentos!$T$2:$T$61,N817),IF(INDEX(TrocasEquip!$H$2:$H$1000,M817)="",INDEX(Equipamentos!$T$2:$T$61,N817),INDEX(TrocasEquip!$H$2:$H$1000,M817))))</f>
        <v/>
      </c>
    </row>
    <row r="818">
      <c r="A818" s="54" t="n"/>
      <c r="B818" s="55" t="n"/>
      <c r="C818">
        <f>IF(B818="","",IF(N818="","posição não encontrada",IF(M818=0,INDEX(Equipamentos!$S$2:$S$61,N818),INDEX(TrocasEquip!$G$2:$G$1000,M818))))</f>
        <v/>
      </c>
      <c r="D818" s="56">
        <f>IF(OR(A818="",N818=""),"",P818+IF(E818="dias",MAX(0,A818-O818),IF(INDEX(Equipamentos!$D$2:$D$61,N818)=2,SUMIFS(Producao!$D:$D,Producao!$A:$A,"&gt;="&amp;O818,Producao!$A:$A,"&lt;"&amp;A818),IF(INDEX(Equipamentos!$D$2:$D$61,N818)=3,SUMIFS(Producao!$E:$E,Producao!$A:$A,"&gt;="&amp;O818,Producao!$A:$A,"&lt;"&amp;A818),SUMIFS(Producao!$B:$B,Producao!$A:$A,"&gt;="&amp;O818,Producao!$A:$A,"&lt;"&amp;A818)))))</f>
        <v/>
      </c>
      <c r="E818">
        <f>IF(N818="","",INDEX(Equipamentos!$C$2:$C$61,N818))</f>
        <v/>
      </c>
      <c r="F818" s="57">
        <f>IF(OR(D818="",N(Q818)&lt;=0),"",D818/Q818)</f>
        <v/>
      </c>
      <c r="G818" s="55" t="n"/>
      <c r="H818" s="58" t="n"/>
      <c r="I818" s="58" t="n"/>
      <c r="J818" s="55" t="n"/>
      <c r="K818" s="55" t="n"/>
      <c r="L818">
        <f>IF(OR(A818="",B818=""),"",_xlfn.MAXIFS(TrocasEquip!$A$2:$A$1000,TrocasEquip!$B$2:$B$1000,B818,TrocasEquip!$A$2:$A$1000,"&lt;"&amp;A818))</f>
        <v/>
      </c>
      <c r="M818">
        <f>IF(N(L818)=0,0,MATCH(1,INDEX((TrocasEquip!$B$2:$B$1000=B818)*(TrocasEquip!$A$2:$A$1000=L818),0),0))</f>
        <v/>
      </c>
      <c r="N818">
        <f>IF(B818="","",IFERROR(MATCH(B818,Equipamentos!$P$2:$P$61,0),""))</f>
        <v/>
      </c>
      <c r="O818">
        <f>IF(N818="","",IF(M818=0,INDEX(Equipamentos!$U$2:$U$61,N818),L818))</f>
        <v/>
      </c>
      <c r="P818">
        <f>IF(N818="","",IF(M818=0,N(INDEX(Equipamentos!$V$2:$V$61,N818)),N(INDEX(TrocasEquip!$I$2:$I$1000,M818))))</f>
        <v/>
      </c>
      <c r="Q818">
        <f>IF(N818="","",IF(M818=0,INDEX(Equipamentos!$T$2:$T$61,N818),IF(INDEX(TrocasEquip!$H$2:$H$1000,M818)="",INDEX(Equipamentos!$T$2:$T$61,N818),INDEX(TrocasEquip!$H$2:$H$1000,M818))))</f>
        <v/>
      </c>
    </row>
    <row r="819">
      <c r="A819" s="54" t="n"/>
      <c r="B819" s="55" t="n"/>
      <c r="C819">
        <f>IF(B819="","",IF(N819="","posição não encontrada",IF(M819=0,INDEX(Equipamentos!$S$2:$S$61,N819),INDEX(TrocasEquip!$G$2:$G$1000,M819))))</f>
        <v/>
      </c>
      <c r="D819" s="56">
        <f>IF(OR(A819="",N819=""),"",P819+IF(E819="dias",MAX(0,A819-O819),IF(INDEX(Equipamentos!$D$2:$D$61,N819)=2,SUMIFS(Producao!$D:$D,Producao!$A:$A,"&gt;="&amp;O819,Producao!$A:$A,"&lt;"&amp;A819),IF(INDEX(Equipamentos!$D$2:$D$61,N819)=3,SUMIFS(Producao!$E:$E,Producao!$A:$A,"&gt;="&amp;O819,Producao!$A:$A,"&lt;"&amp;A819),SUMIFS(Producao!$B:$B,Producao!$A:$A,"&gt;="&amp;O819,Producao!$A:$A,"&lt;"&amp;A819)))))</f>
        <v/>
      </c>
      <c r="E819">
        <f>IF(N819="","",INDEX(Equipamentos!$C$2:$C$61,N819))</f>
        <v/>
      </c>
      <c r="F819" s="57">
        <f>IF(OR(D819="",N(Q819)&lt;=0),"",D819/Q819)</f>
        <v/>
      </c>
      <c r="G819" s="55" t="n"/>
      <c r="H819" s="58" t="n"/>
      <c r="I819" s="58" t="n"/>
      <c r="J819" s="55" t="n"/>
      <c r="K819" s="55" t="n"/>
      <c r="L819">
        <f>IF(OR(A819="",B819=""),"",_xlfn.MAXIFS(TrocasEquip!$A$2:$A$1000,TrocasEquip!$B$2:$B$1000,B819,TrocasEquip!$A$2:$A$1000,"&lt;"&amp;A819))</f>
        <v/>
      </c>
      <c r="M819">
        <f>IF(N(L819)=0,0,MATCH(1,INDEX((TrocasEquip!$B$2:$B$1000=B819)*(TrocasEquip!$A$2:$A$1000=L819),0),0))</f>
        <v/>
      </c>
      <c r="N819">
        <f>IF(B819="","",IFERROR(MATCH(B819,Equipamentos!$P$2:$P$61,0),""))</f>
        <v/>
      </c>
      <c r="O819">
        <f>IF(N819="","",IF(M819=0,INDEX(Equipamentos!$U$2:$U$61,N819),L819))</f>
        <v/>
      </c>
      <c r="P819">
        <f>IF(N819="","",IF(M819=0,N(INDEX(Equipamentos!$V$2:$V$61,N819)),N(INDEX(TrocasEquip!$I$2:$I$1000,M819))))</f>
        <v/>
      </c>
      <c r="Q819">
        <f>IF(N819="","",IF(M819=0,INDEX(Equipamentos!$T$2:$T$61,N819),IF(INDEX(TrocasEquip!$H$2:$H$1000,M819)="",INDEX(Equipamentos!$T$2:$T$61,N819),INDEX(TrocasEquip!$H$2:$H$1000,M819))))</f>
        <v/>
      </c>
    </row>
    <row r="820">
      <c r="A820" s="54" t="n"/>
      <c r="B820" s="55" t="n"/>
      <c r="C820">
        <f>IF(B820="","",IF(N820="","posição não encontrada",IF(M820=0,INDEX(Equipamentos!$S$2:$S$61,N820),INDEX(TrocasEquip!$G$2:$G$1000,M820))))</f>
        <v/>
      </c>
      <c r="D820" s="56">
        <f>IF(OR(A820="",N820=""),"",P820+IF(E820="dias",MAX(0,A820-O820),IF(INDEX(Equipamentos!$D$2:$D$61,N820)=2,SUMIFS(Producao!$D:$D,Producao!$A:$A,"&gt;="&amp;O820,Producao!$A:$A,"&lt;"&amp;A820),IF(INDEX(Equipamentos!$D$2:$D$61,N820)=3,SUMIFS(Producao!$E:$E,Producao!$A:$A,"&gt;="&amp;O820,Producao!$A:$A,"&lt;"&amp;A820),SUMIFS(Producao!$B:$B,Producao!$A:$A,"&gt;="&amp;O820,Producao!$A:$A,"&lt;"&amp;A820)))))</f>
        <v/>
      </c>
      <c r="E820">
        <f>IF(N820="","",INDEX(Equipamentos!$C$2:$C$61,N820))</f>
        <v/>
      </c>
      <c r="F820" s="57">
        <f>IF(OR(D820="",N(Q820)&lt;=0),"",D820/Q820)</f>
        <v/>
      </c>
      <c r="G820" s="55" t="n"/>
      <c r="H820" s="58" t="n"/>
      <c r="I820" s="58" t="n"/>
      <c r="J820" s="55" t="n"/>
      <c r="K820" s="55" t="n"/>
      <c r="L820">
        <f>IF(OR(A820="",B820=""),"",_xlfn.MAXIFS(TrocasEquip!$A$2:$A$1000,TrocasEquip!$B$2:$B$1000,B820,TrocasEquip!$A$2:$A$1000,"&lt;"&amp;A820))</f>
        <v/>
      </c>
      <c r="M820">
        <f>IF(N(L820)=0,0,MATCH(1,INDEX((TrocasEquip!$B$2:$B$1000=B820)*(TrocasEquip!$A$2:$A$1000=L820),0),0))</f>
        <v/>
      </c>
      <c r="N820">
        <f>IF(B820="","",IFERROR(MATCH(B820,Equipamentos!$P$2:$P$61,0),""))</f>
        <v/>
      </c>
      <c r="O820">
        <f>IF(N820="","",IF(M820=0,INDEX(Equipamentos!$U$2:$U$61,N820),L820))</f>
        <v/>
      </c>
      <c r="P820">
        <f>IF(N820="","",IF(M820=0,N(INDEX(Equipamentos!$V$2:$V$61,N820)),N(INDEX(TrocasEquip!$I$2:$I$1000,M820))))</f>
        <v/>
      </c>
      <c r="Q820">
        <f>IF(N820="","",IF(M820=0,INDEX(Equipamentos!$T$2:$T$61,N820),IF(INDEX(TrocasEquip!$H$2:$H$1000,M820)="",INDEX(Equipamentos!$T$2:$T$61,N820),INDEX(TrocasEquip!$H$2:$H$1000,M820))))</f>
        <v/>
      </c>
    </row>
    <row r="821">
      <c r="A821" s="54" t="n"/>
      <c r="B821" s="55" t="n"/>
      <c r="C821">
        <f>IF(B821="","",IF(N821="","posição não encontrada",IF(M821=0,INDEX(Equipamentos!$S$2:$S$61,N821),INDEX(TrocasEquip!$G$2:$G$1000,M821))))</f>
        <v/>
      </c>
      <c r="D821" s="56">
        <f>IF(OR(A821="",N821=""),"",P821+IF(E821="dias",MAX(0,A821-O821),IF(INDEX(Equipamentos!$D$2:$D$61,N821)=2,SUMIFS(Producao!$D:$D,Producao!$A:$A,"&gt;="&amp;O821,Producao!$A:$A,"&lt;"&amp;A821),IF(INDEX(Equipamentos!$D$2:$D$61,N821)=3,SUMIFS(Producao!$E:$E,Producao!$A:$A,"&gt;="&amp;O821,Producao!$A:$A,"&lt;"&amp;A821),SUMIFS(Producao!$B:$B,Producao!$A:$A,"&gt;="&amp;O821,Producao!$A:$A,"&lt;"&amp;A821)))))</f>
        <v/>
      </c>
      <c r="E821">
        <f>IF(N821="","",INDEX(Equipamentos!$C$2:$C$61,N821))</f>
        <v/>
      </c>
      <c r="F821" s="57">
        <f>IF(OR(D821="",N(Q821)&lt;=0),"",D821/Q821)</f>
        <v/>
      </c>
      <c r="G821" s="55" t="n"/>
      <c r="H821" s="58" t="n"/>
      <c r="I821" s="58" t="n"/>
      <c r="J821" s="55" t="n"/>
      <c r="K821" s="55" t="n"/>
      <c r="L821">
        <f>IF(OR(A821="",B821=""),"",_xlfn.MAXIFS(TrocasEquip!$A$2:$A$1000,TrocasEquip!$B$2:$B$1000,B821,TrocasEquip!$A$2:$A$1000,"&lt;"&amp;A821))</f>
        <v/>
      </c>
      <c r="M821">
        <f>IF(N(L821)=0,0,MATCH(1,INDEX((TrocasEquip!$B$2:$B$1000=B821)*(TrocasEquip!$A$2:$A$1000=L821),0),0))</f>
        <v/>
      </c>
      <c r="N821">
        <f>IF(B821="","",IFERROR(MATCH(B821,Equipamentos!$P$2:$P$61,0),""))</f>
        <v/>
      </c>
      <c r="O821">
        <f>IF(N821="","",IF(M821=0,INDEX(Equipamentos!$U$2:$U$61,N821),L821))</f>
        <v/>
      </c>
      <c r="P821">
        <f>IF(N821="","",IF(M821=0,N(INDEX(Equipamentos!$V$2:$V$61,N821)),N(INDEX(TrocasEquip!$I$2:$I$1000,M821))))</f>
        <v/>
      </c>
      <c r="Q821">
        <f>IF(N821="","",IF(M821=0,INDEX(Equipamentos!$T$2:$T$61,N821),IF(INDEX(TrocasEquip!$H$2:$H$1000,M821)="",INDEX(Equipamentos!$T$2:$T$61,N821),INDEX(TrocasEquip!$H$2:$H$1000,M821))))</f>
        <v/>
      </c>
    </row>
    <row r="822">
      <c r="A822" s="54" t="n"/>
      <c r="B822" s="55" t="n"/>
      <c r="C822">
        <f>IF(B822="","",IF(N822="","posição não encontrada",IF(M822=0,INDEX(Equipamentos!$S$2:$S$61,N822),INDEX(TrocasEquip!$G$2:$G$1000,M822))))</f>
        <v/>
      </c>
      <c r="D822" s="56">
        <f>IF(OR(A822="",N822=""),"",P822+IF(E822="dias",MAX(0,A822-O822),IF(INDEX(Equipamentos!$D$2:$D$61,N822)=2,SUMIFS(Producao!$D:$D,Producao!$A:$A,"&gt;="&amp;O822,Producao!$A:$A,"&lt;"&amp;A822),IF(INDEX(Equipamentos!$D$2:$D$61,N822)=3,SUMIFS(Producao!$E:$E,Producao!$A:$A,"&gt;="&amp;O822,Producao!$A:$A,"&lt;"&amp;A822),SUMIFS(Producao!$B:$B,Producao!$A:$A,"&gt;="&amp;O822,Producao!$A:$A,"&lt;"&amp;A822)))))</f>
        <v/>
      </c>
      <c r="E822">
        <f>IF(N822="","",INDEX(Equipamentos!$C$2:$C$61,N822))</f>
        <v/>
      </c>
      <c r="F822" s="57">
        <f>IF(OR(D822="",N(Q822)&lt;=0),"",D822/Q822)</f>
        <v/>
      </c>
      <c r="G822" s="55" t="n"/>
      <c r="H822" s="58" t="n"/>
      <c r="I822" s="58" t="n"/>
      <c r="J822" s="55" t="n"/>
      <c r="K822" s="55" t="n"/>
      <c r="L822">
        <f>IF(OR(A822="",B822=""),"",_xlfn.MAXIFS(TrocasEquip!$A$2:$A$1000,TrocasEquip!$B$2:$B$1000,B822,TrocasEquip!$A$2:$A$1000,"&lt;"&amp;A822))</f>
        <v/>
      </c>
      <c r="M822">
        <f>IF(N(L822)=0,0,MATCH(1,INDEX((TrocasEquip!$B$2:$B$1000=B822)*(TrocasEquip!$A$2:$A$1000=L822),0),0))</f>
        <v/>
      </c>
      <c r="N822">
        <f>IF(B822="","",IFERROR(MATCH(B822,Equipamentos!$P$2:$P$61,0),""))</f>
        <v/>
      </c>
      <c r="O822">
        <f>IF(N822="","",IF(M822=0,INDEX(Equipamentos!$U$2:$U$61,N822),L822))</f>
        <v/>
      </c>
      <c r="P822">
        <f>IF(N822="","",IF(M822=0,N(INDEX(Equipamentos!$V$2:$V$61,N822)),N(INDEX(TrocasEquip!$I$2:$I$1000,M822))))</f>
        <v/>
      </c>
      <c r="Q822">
        <f>IF(N822="","",IF(M822=0,INDEX(Equipamentos!$T$2:$T$61,N822),IF(INDEX(TrocasEquip!$H$2:$H$1000,M822)="",INDEX(Equipamentos!$T$2:$T$61,N822),INDEX(TrocasEquip!$H$2:$H$1000,M822))))</f>
        <v/>
      </c>
    </row>
    <row r="823">
      <c r="A823" s="54" t="n"/>
      <c r="B823" s="55" t="n"/>
      <c r="C823">
        <f>IF(B823="","",IF(N823="","posição não encontrada",IF(M823=0,INDEX(Equipamentos!$S$2:$S$61,N823),INDEX(TrocasEquip!$G$2:$G$1000,M823))))</f>
        <v/>
      </c>
      <c r="D823" s="56">
        <f>IF(OR(A823="",N823=""),"",P823+IF(E823="dias",MAX(0,A823-O823),IF(INDEX(Equipamentos!$D$2:$D$61,N823)=2,SUMIFS(Producao!$D:$D,Producao!$A:$A,"&gt;="&amp;O823,Producao!$A:$A,"&lt;"&amp;A823),IF(INDEX(Equipamentos!$D$2:$D$61,N823)=3,SUMIFS(Producao!$E:$E,Producao!$A:$A,"&gt;="&amp;O823,Producao!$A:$A,"&lt;"&amp;A823),SUMIFS(Producao!$B:$B,Producao!$A:$A,"&gt;="&amp;O823,Producao!$A:$A,"&lt;"&amp;A823)))))</f>
        <v/>
      </c>
      <c r="E823">
        <f>IF(N823="","",INDEX(Equipamentos!$C$2:$C$61,N823))</f>
        <v/>
      </c>
      <c r="F823" s="57">
        <f>IF(OR(D823="",N(Q823)&lt;=0),"",D823/Q823)</f>
        <v/>
      </c>
      <c r="G823" s="55" t="n"/>
      <c r="H823" s="58" t="n"/>
      <c r="I823" s="58" t="n"/>
      <c r="J823" s="55" t="n"/>
      <c r="K823" s="55" t="n"/>
      <c r="L823">
        <f>IF(OR(A823="",B823=""),"",_xlfn.MAXIFS(TrocasEquip!$A$2:$A$1000,TrocasEquip!$B$2:$B$1000,B823,TrocasEquip!$A$2:$A$1000,"&lt;"&amp;A823))</f>
        <v/>
      </c>
      <c r="M823">
        <f>IF(N(L823)=0,0,MATCH(1,INDEX((TrocasEquip!$B$2:$B$1000=B823)*(TrocasEquip!$A$2:$A$1000=L823),0),0))</f>
        <v/>
      </c>
      <c r="N823">
        <f>IF(B823="","",IFERROR(MATCH(B823,Equipamentos!$P$2:$P$61,0),""))</f>
        <v/>
      </c>
      <c r="O823">
        <f>IF(N823="","",IF(M823=0,INDEX(Equipamentos!$U$2:$U$61,N823),L823))</f>
        <v/>
      </c>
      <c r="P823">
        <f>IF(N823="","",IF(M823=0,N(INDEX(Equipamentos!$V$2:$V$61,N823)),N(INDEX(TrocasEquip!$I$2:$I$1000,M823))))</f>
        <v/>
      </c>
      <c r="Q823">
        <f>IF(N823="","",IF(M823=0,INDEX(Equipamentos!$T$2:$T$61,N823),IF(INDEX(TrocasEquip!$H$2:$H$1000,M823)="",INDEX(Equipamentos!$T$2:$T$61,N823),INDEX(TrocasEquip!$H$2:$H$1000,M823))))</f>
        <v/>
      </c>
    </row>
    <row r="824">
      <c r="A824" s="54" t="n"/>
      <c r="B824" s="55" t="n"/>
      <c r="C824">
        <f>IF(B824="","",IF(N824="","posição não encontrada",IF(M824=0,INDEX(Equipamentos!$S$2:$S$61,N824),INDEX(TrocasEquip!$G$2:$G$1000,M824))))</f>
        <v/>
      </c>
      <c r="D824" s="56">
        <f>IF(OR(A824="",N824=""),"",P824+IF(E824="dias",MAX(0,A824-O824),IF(INDEX(Equipamentos!$D$2:$D$61,N824)=2,SUMIFS(Producao!$D:$D,Producao!$A:$A,"&gt;="&amp;O824,Producao!$A:$A,"&lt;"&amp;A824),IF(INDEX(Equipamentos!$D$2:$D$61,N824)=3,SUMIFS(Producao!$E:$E,Producao!$A:$A,"&gt;="&amp;O824,Producao!$A:$A,"&lt;"&amp;A824),SUMIFS(Producao!$B:$B,Producao!$A:$A,"&gt;="&amp;O824,Producao!$A:$A,"&lt;"&amp;A824)))))</f>
        <v/>
      </c>
      <c r="E824">
        <f>IF(N824="","",INDEX(Equipamentos!$C$2:$C$61,N824))</f>
        <v/>
      </c>
      <c r="F824" s="57">
        <f>IF(OR(D824="",N(Q824)&lt;=0),"",D824/Q824)</f>
        <v/>
      </c>
      <c r="G824" s="55" t="n"/>
      <c r="H824" s="58" t="n"/>
      <c r="I824" s="58" t="n"/>
      <c r="J824" s="55" t="n"/>
      <c r="K824" s="55" t="n"/>
      <c r="L824">
        <f>IF(OR(A824="",B824=""),"",_xlfn.MAXIFS(TrocasEquip!$A$2:$A$1000,TrocasEquip!$B$2:$B$1000,B824,TrocasEquip!$A$2:$A$1000,"&lt;"&amp;A824))</f>
        <v/>
      </c>
      <c r="M824">
        <f>IF(N(L824)=0,0,MATCH(1,INDEX((TrocasEquip!$B$2:$B$1000=B824)*(TrocasEquip!$A$2:$A$1000=L824),0),0))</f>
        <v/>
      </c>
      <c r="N824">
        <f>IF(B824="","",IFERROR(MATCH(B824,Equipamentos!$P$2:$P$61,0),""))</f>
        <v/>
      </c>
      <c r="O824">
        <f>IF(N824="","",IF(M824=0,INDEX(Equipamentos!$U$2:$U$61,N824),L824))</f>
        <v/>
      </c>
      <c r="P824">
        <f>IF(N824="","",IF(M824=0,N(INDEX(Equipamentos!$V$2:$V$61,N824)),N(INDEX(TrocasEquip!$I$2:$I$1000,M824))))</f>
        <v/>
      </c>
      <c r="Q824">
        <f>IF(N824="","",IF(M824=0,INDEX(Equipamentos!$T$2:$T$61,N824),IF(INDEX(TrocasEquip!$H$2:$H$1000,M824)="",INDEX(Equipamentos!$T$2:$T$61,N824),INDEX(TrocasEquip!$H$2:$H$1000,M824))))</f>
        <v/>
      </c>
    </row>
    <row r="825">
      <c r="A825" s="54" t="n"/>
      <c r="B825" s="55" t="n"/>
      <c r="C825">
        <f>IF(B825="","",IF(N825="","posição não encontrada",IF(M825=0,INDEX(Equipamentos!$S$2:$S$61,N825),INDEX(TrocasEquip!$G$2:$G$1000,M825))))</f>
        <v/>
      </c>
      <c r="D825" s="56">
        <f>IF(OR(A825="",N825=""),"",P825+IF(E825="dias",MAX(0,A825-O825),IF(INDEX(Equipamentos!$D$2:$D$61,N825)=2,SUMIFS(Producao!$D:$D,Producao!$A:$A,"&gt;="&amp;O825,Producao!$A:$A,"&lt;"&amp;A825),IF(INDEX(Equipamentos!$D$2:$D$61,N825)=3,SUMIFS(Producao!$E:$E,Producao!$A:$A,"&gt;="&amp;O825,Producao!$A:$A,"&lt;"&amp;A825),SUMIFS(Producao!$B:$B,Producao!$A:$A,"&gt;="&amp;O825,Producao!$A:$A,"&lt;"&amp;A825)))))</f>
        <v/>
      </c>
      <c r="E825">
        <f>IF(N825="","",INDEX(Equipamentos!$C$2:$C$61,N825))</f>
        <v/>
      </c>
      <c r="F825" s="57">
        <f>IF(OR(D825="",N(Q825)&lt;=0),"",D825/Q825)</f>
        <v/>
      </c>
      <c r="G825" s="55" t="n"/>
      <c r="H825" s="58" t="n"/>
      <c r="I825" s="58" t="n"/>
      <c r="J825" s="55" t="n"/>
      <c r="K825" s="55" t="n"/>
      <c r="L825">
        <f>IF(OR(A825="",B825=""),"",_xlfn.MAXIFS(TrocasEquip!$A$2:$A$1000,TrocasEquip!$B$2:$B$1000,B825,TrocasEquip!$A$2:$A$1000,"&lt;"&amp;A825))</f>
        <v/>
      </c>
      <c r="M825">
        <f>IF(N(L825)=0,0,MATCH(1,INDEX((TrocasEquip!$B$2:$B$1000=B825)*(TrocasEquip!$A$2:$A$1000=L825),0),0))</f>
        <v/>
      </c>
      <c r="N825">
        <f>IF(B825="","",IFERROR(MATCH(B825,Equipamentos!$P$2:$P$61,0),""))</f>
        <v/>
      </c>
      <c r="O825">
        <f>IF(N825="","",IF(M825=0,INDEX(Equipamentos!$U$2:$U$61,N825),L825))</f>
        <v/>
      </c>
      <c r="P825">
        <f>IF(N825="","",IF(M825=0,N(INDEX(Equipamentos!$V$2:$V$61,N825)),N(INDEX(TrocasEquip!$I$2:$I$1000,M825))))</f>
        <v/>
      </c>
      <c r="Q825">
        <f>IF(N825="","",IF(M825=0,INDEX(Equipamentos!$T$2:$T$61,N825),IF(INDEX(TrocasEquip!$H$2:$H$1000,M825)="",INDEX(Equipamentos!$T$2:$T$61,N825),INDEX(TrocasEquip!$H$2:$H$1000,M825))))</f>
        <v/>
      </c>
    </row>
    <row r="826">
      <c r="A826" s="54" t="n"/>
      <c r="B826" s="55" t="n"/>
      <c r="C826">
        <f>IF(B826="","",IF(N826="","posição não encontrada",IF(M826=0,INDEX(Equipamentos!$S$2:$S$61,N826),INDEX(TrocasEquip!$G$2:$G$1000,M826))))</f>
        <v/>
      </c>
      <c r="D826" s="56">
        <f>IF(OR(A826="",N826=""),"",P826+IF(E826="dias",MAX(0,A826-O826),IF(INDEX(Equipamentos!$D$2:$D$61,N826)=2,SUMIFS(Producao!$D:$D,Producao!$A:$A,"&gt;="&amp;O826,Producao!$A:$A,"&lt;"&amp;A826),IF(INDEX(Equipamentos!$D$2:$D$61,N826)=3,SUMIFS(Producao!$E:$E,Producao!$A:$A,"&gt;="&amp;O826,Producao!$A:$A,"&lt;"&amp;A826),SUMIFS(Producao!$B:$B,Producao!$A:$A,"&gt;="&amp;O826,Producao!$A:$A,"&lt;"&amp;A826)))))</f>
        <v/>
      </c>
      <c r="E826">
        <f>IF(N826="","",INDEX(Equipamentos!$C$2:$C$61,N826))</f>
        <v/>
      </c>
      <c r="F826" s="57">
        <f>IF(OR(D826="",N(Q826)&lt;=0),"",D826/Q826)</f>
        <v/>
      </c>
      <c r="G826" s="55" t="n"/>
      <c r="H826" s="58" t="n"/>
      <c r="I826" s="58" t="n"/>
      <c r="J826" s="55" t="n"/>
      <c r="K826" s="55" t="n"/>
      <c r="L826">
        <f>IF(OR(A826="",B826=""),"",_xlfn.MAXIFS(TrocasEquip!$A$2:$A$1000,TrocasEquip!$B$2:$B$1000,B826,TrocasEquip!$A$2:$A$1000,"&lt;"&amp;A826))</f>
        <v/>
      </c>
      <c r="M826">
        <f>IF(N(L826)=0,0,MATCH(1,INDEX((TrocasEquip!$B$2:$B$1000=B826)*(TrocasEquip!$A$2:$A$1000=L826),0),0))</f>
        <v/>
      </c>
      <c r="N826">
        <f>IF(B826="","",IFERROR(MATCH(B826,Equipamentos!$P$2:$P$61,0),""))</f>
        <v/>
      </c>
      <c r="O826">
        <f>IF(N826="","",IF(M826=0,INDEX(Equipamentos!$U$2:$U$61,N826),L826))</f>
        <v/>
      </c>
      <c r="P826">
        <f>IF(N826="","",IF(M826=0,N(INDEX(Equipamentos!$V$2:$V$61,N826)),N(INDEX(TrocasEquip!$I$2:$I$1000,M826))))</f>
        <v/>
      </c>
      <c r="Q826">
        <f>IF(N826="","",IF(M826=0,INDEX(Equipamentos!$T$2:$T$61,N826),IF(INDEX(TrocasEquip!$H$2:$H$1000,M826)="",INDEX(Equipamentos!$T$2:$T$61,N826),INDEX(TrocasEquip!$H$2:$H$1000,M826))))</f>
        <v/>
      </c>
    </row>
    <row r="827">
      <c r="A827" s="54" t="n"/>
      <c r="B827" s="55" t="n"/>
      <c r="C827">
        <f>IF(B827="","",IF(N827="","posição não encontrada",IF(M827=0,INDEX(Equipamentos!$S$2:$S$61,N827),INDEX(TrocasEquip!$G$2:$G$1000,M827))))</f>
        <v/>
      </c>
      <c r="D827" s="56">
        <f>IF(OR(A827="",N827=""),"",P827+IF(E827="dias",MAX(0,A827-O827),IF(INDEX(Equipamentos!$D$2:$D$61,N827)=2,SUMIFS(Producao!$D:$D,Producao!$A:$A,"&gt;="&amp;O827,Producao!$A:$A,"&lt;"&amp;A827),IF(INDEX(Equipamentos!$D$2:$D$61,N827)=3,SUMIFS(Producao!$E:$E,Producao!$A:$A,"&gt;="&amp;O827,Producao!$A:$A,"&lt;"&amp;A827),SUMIFS(Producao!$B:$B,Producao!$A:$A,"&gt;="&amp;O827,Producao!$A:$A,"&lt;"&amp;A827)))))</f>
        <v/>
      </c>
      <c r="E827">
        <f>IF(N827="","",INDEX(Equipamentos!$C$2:$C$61,N827))</f>
        <v/>
      </c>
      <c r="F827" s="57">
        <f>IF(OR(D827="",N(Q827)&lt;=0),"",D827/Q827)</f>
        <v/>
      </c>
      <c r="G827" s="55" t="n"/>
      <c r="H827" s="58" t="n"/>
      <c r="I827" s="58" t="n"/>
      <c r="J827" s="55" t="n"/>
      <c r="K827" s="55" t="n"/>
      <c r="L827">
        <f>IF(OR(A827="",B827=""),"",_xlfn.MAXIFS(TrocasEquip!$A$2:$A$1000,TrocasEquip!$B$2:$B$1000,B827,TrocasEquip!$A$2:$A$1000,"&lt;"&amp;A827))</f>
        <v/>
      </c>
      <c r="M827">
        <f>IF(N(L827)=0,0,MATCH(1,INDEX((TrocasEquip!$B$2:$B$1000=B827)*(TrocasEquip!$A$2:$A$1000=L827),0),0))</f>
        <v/>
      </c>
      <c r="N827">
        <f>IF(B827="","",IFERROR(MATCH(B827,Equipamentos!$P$2:$P$61,0),""))</f>
        <v/>
      </c>
      <c r="O827">
        <f>IF(N827="","",IF(M827=0,INDEX(Equipamentos!$U$2:$U$61,N827),L827))</f>
        <v/>
      </c>
      <c r="P827">
        <f>IF(N827="","",IF(M827=0,N(INDEX(Equipamentos!$V$2:$V$61,N827)),N(INDEX(TrocasEquip!$I$2:$I$1000,M827))))</f>
        <v/>
      </c>
      <c r="Q827">
        <f>IF(N827="","",IF(M827=0,INDEX(Equipamentos!$T$2:$T$61,N827),IF(INDEX(TrocasEquip!$H$2:$H$1000,M827)="",INDEX(Equipamentos!$T$2:$T$61,N827),INDEX(TrocasEquip!$H$2:$H$1000,M827))))</f>
        <v/>
      </c>
    </row>
    <row r="828">
      <c r="A828" s="54" t="n"/>
      <c r="B828" s="55" t="n"/>
      <c r="C828">
        <f>IF(B828="","",IF(N828="","posição não encontrada",IF(M828=0,INDEX(Equipamentos!$S$2:$S$61,N828),INDEX(TrocasEquip!$G$2:$G$1000,M828))))</f>
        <v/>
      </c>
      <c r="D828" s="56">
        <f>IF(OR(A828="",N828=""),"",P828+IF(E828="dias",MAX(0,A828-O828),IF(INDEX(Equipamentos!$D$2:$D$61,N828)=2,SUMIFS(Producao!$D:$D,Producao!$A:$A,"&gt;="&amp;O828,Producao!$A:$A,"&lt;"&amp;A828),IF(INDEX(Equipamentos!$D$2:$D$61,N828)=3,SUMIFS(Producao!$E:$E,Producao!$A:$A,"&gt;="&amp;O828,Producao!$A:$A,"&lt;"&amp;A828),SUMIFS(Producao!$B:$B,Producao!$A:$A,"&gt;="&amp;O828,Producao!$A:$A,"&lt;"&amp;A828)))))</f>
        <v/>
      </c>
      <c r="E828">
        <f>IF(N828="","",INDEX(Equipamentos!$C$2:$C$61,N828))</f>
        <v/>
      </c>
      <c r="F828" s="57">
        <f>IF(OR(D828="",N(Q828)&lt;=0),"",D828/Q828)</f>
        <v/>
      </c>
      <c r="G828" s="55" t="n"/>
      <c r="H828" s="58" t="n"/>
      <c r="I828" s="58" t="n"/>
      <c r="J828" s="55" t="n"/>
      <c r="K828" s="55" t="n"/>
      <c r="L828">
        <f>IF(OR(A828="",B828=""),"",_xlfn.MAXIFS(TrocasEquip!$A$2:$A$1000,TrocasEquip!$B$2:$B$1000,B828,TrocasEquip!$A$2:$A$1000,"&lt;"&amp;A828))</f>
        <v/>
      </c>
      <c r="M828">
        <f>IF(N(L828)=0,0,MATCH(1,INDEX((TrocasEquip!$B$2:$B$1000=B828)*(TrocasEquip!$A$2:$A$1000=L828),0),0))</f>
        <v/>
      </c>
      <c r="N828">
        <f>IF(B828="","",IFERROR(MATCH(B828,Equipamentos!$P$2:$P$61,0),""))</f>
        <v/>
      </c>
      <c r="O828">
        <f>IF(N828="","",IF(M828=0,INDEX(Equipamentos!$U$2:$U$61,N828),L828))</f>
        <v/>
      </c>
      <c r="P828">
        <f>IF(N828="","",IF(M828=0,N(INDEX(Equipamentos!$V$2:$V$61,N828)),N(INDEX(TrocasEquip!$I$2:$I$1000,M828))))</f>
        <v/>
      </c>
      <c r="Q828">
        <f>IF(N828="","",IF(M828=0,INDEX(Equipamentos!$T$2:$T$61,N828),IF(INDEX(TrocasEquip!$H$2:$H$1000,M828)="",INDEX(Equipamentos!$T$2:$T$61,N828),INDEX(TrocasEquip!$H$2:$H$1000,M828))))</f>
        <v/>
      </c>
    </row>
    <row r="829">
      <c r="A829" s="54" t="n"/>
      <c r="B829" s="55" t="n"/>
      <c r="C829">
        <f>IF(B829="","",IF(N829="","posição não encontrada",IF(M829=0,INDEX(Equipamentos!$S$2:$S$61,N829),INDEX(TrocasEquip!$G$2:$G$1000,M829))))</f>
        <v/>
      </c>
      <c r="D829" s="56">
        <f>IF(OR(A829="",N829=""),"",P829+IF(E829="dias",MAX(0,A829-O829),IF(INDEX(Equipamentos!$D$2:$D$61,N829)=2,SUMIFS(Producao!$D:$D,Producao!$A:$A,"&gt;="&amp;O829,Producao!$A:$A,"&lt;"&amp;A829),IF(INDEX(Equipamentos!$D$2:$D$61,N829)=3,SUMIFS(Producao!$E:$E,Producao!$A:$A,"&gt;="&amp;O829,Producao!$A:$A,"&lt;"&amp;A829),SUMIFS(Producao!$B:$B,Producao!$A:$A,"&gt;="&amp;O829,Producao!$A:$A,"&lt;"&amp;A829)))))</f>
        <v/>
      </c>
      <c r="E829">
        <f>IF(N829="","",INDEX(Equipamentos!$C$2:$C$61,N829))</f>
        <v/>
      </c>
      <c r="F829" s="57">
        <f>IF(OR(D829="",N(Q829)&lt;=0),"",D829/Q829)</f>
        <v/>
      </c>
      <c r="G829" s="55" t="n"/>
      <c r="H829" s="58" t="n"/>
      <c r="I829" s="58" t="n"/>
      <c r="J829" s="55" t="n"/>
      <c r="K829" s="55" t="n"/>
      <c r="L829">
        <f>IF(OR(A829="",B829=""),"",_xlfn.MAXIFS(TrocasEquip!$A$2:$A$1000,TrocasEquip!$B$2:$B$1000,B829,TrocasEquip!$A$2:$A$1000,"&lt;"&amp;A829))</f>
        <v/>
      </c>
      <c r="M829">
        <f>IF(N(L829)=0,0,MATCH(1,INDEX((TrocasEquip!$B$2:$B$1000=B829)*(TrocasEquip!$A$2:$A$1000=L829),0),0))</f>
        <v/>
      </c>
      <c r="N829">
        <f>IF(B829="","",IFERROR(MATCH(B829,Equipamentos!$P$2:$P$61,0),""))</f>
        <v/>
      </c>
      <c r="O829">
        <f>IF(N829="","",IF(M829=0,INDEX(Equipamentos!$U$2:$U$61,N829),L829))</f>
        <v/>
      </c>
      <c r="P829">
        <f>IF(N829="","",IF(M829=0,N(INDEX(Equipamentos!$V$2:$V$61,N829)),N(INDEX(TrocasEquip!$I$2:$I$1000,M829))))</f>
        <v/>
      </c>
      <c r="Q829">
        <f>IF(N829="","",IF(M829=0,INDEX(Equipamentos!$T$2:$T$61,N829),IF(INDEX(TrocasEquip!$H$2:$H$1000,M829)="",INDEX(Equipamentos!$T$2:$T$61,N829),INDEX(TrocasEquip!$H$2:$H$1000,M829))))</f>
        <v/>
      </c>
    </row>
    <row r="830">
      <c r="A830" s="54" t="n"/>
      <c r="B830" s="55" t="n"/>
      <c r="C830">
        <f>IF(B830="","",IF(N830="","posição não encontrada",IF(M830=0,INDEX(Equipamentos!$S$2:$S$61,N830),INDEX(TrocasEquip!$G$2:$G$1000,M830))))</f>
        <v/>
      </c>
      <c r="D830" s="56">
        <f>IF(OR(A830="",N830=""),"",P830+IF(E830="dias",MAX(0,A830-O830),IF(INDEX(Equipamentos!$D$2:$D$61,N830)=2,SUMIFS(Producao!$D:$D,Producao!$A:$A,"&gt;="&amp;O830,Producao!$A:$A,"&lt;"&amp;A830),IF(INDEX(Equipamentos!$D$2:$D$61,N830)=3,SUMIFS(Producao!$E:$E,Producao!$A:$A,"&gt;="&amp;O830,Producao!$A:$A,"&lt;"&amp;A830),SUMIFS(Producao!$B:$B,Producao!$A:$A,"&gt;="&amp;O830,Producao!$A:$A,"&lt;"&amp;A830)))))</f>
        <v/>
      </c>
      <c r="E830">
        <f>IF(N830="","",INDEX(Equipamentos!$C$2:$C$61,N830))</f>
        <v/>
      </c>
      <c r="F830" s="57">
        <f>IF(OR(D830="",N(Q830)&lt;=0),"",D830/Q830)</f>
        <v/>
      </c>
      <c r="G830" s="55" t="n"/>
      <c r="H830" s="58" t="n"/>
      <c r="I830" s="58" t="n"/>
      <c r="J830" s="55" t="n"/>
      <c r="K830" s="55" t="n"/>
      <c r="L830">
        <f>IF(OR(A830="",B830=""),"",_xlfn.MAXIFS(TrocasEquip!$A$2:$A$1000,TrocasEquip!$B$2:$B$1000,B830,TrocasEquip!$A$2:$A$1000,"&lt;"&amp;A830))</f>
        <v/>
      </c>
      <c r="M830">
        <f>IF(N(L830)=0,0,MATCH(1,INDEX((TrocasEquip!$B$2:$B$1000=B830)*(TrocasEquip!$A$2:$A$1000=L830),0),0))</f>
        <v/>
      </c>
      <c r="N830">
        <f>IF(B830="","",IFERROR(MATCH(B830,Equipamentos!$P$2:$P$61,0),""))</f>
        <v/>
      </c>
      <c r="O830">
        <f>IF(N830="","",IF(M830=0,INDEX(Equipamentos!$U$2:$U$61,N830),L830))</f>
        <v/>
      </c>
      <c r="P830">
        <f>IF(N830="","",IF(M830=0,N(INDEX(Equipamentos!$V$2:$V$61,N830)),N(INDEX(TrocasEquip!$I$2:$I$1000,M830))))</f>
        <v/>
      </c>
      <c r="Q830">
        <f>IF(N830="","",IF(M830=0,INDEX(Equipamentos!$T$2:$T$61,N830),IF(INDEX(TrocasEquip!$H$2:$H$1000,M830)="",INDEX(Equipamentos!$T$2:$T$61,N830),INDEX(TrocasEquip!$H$2:$H$1000,M830))))</f>
        <v/>
      </c>
    </row>
    <row r="831">
      <c r="A831" s="54" t="n"/>
      <c r="B831" s="55" t="n"/>
      <c r="C831">
        <f>IF(B831="","",IF(N831="","posição não encontrada",IF(M831=0,INDEX(Equipamentos!$S$2:$S$61,N831),INDEX(TrocasEquip!$G$2:$G$1000,M831))))</f>
        <v/>
      </c>
      <c r="D831" s="56">
        <f>IF(OR(A831="",N831=""),"",P831+IF(E831="dias",MAX(0,A831-O831),IF(INDEX(Equipamentos!$D$2:$D$61,N831)=2,SUMIFS(Producao!$D:$D,Producao!$A:$A,"&gt;="&amp;O831,Producao!$A:$A,"&lt;"&amp;A831),IF(INDEX(Equipamentos!$D$2:$D$61,N831)=3,SUMIFS(Producao!$E:$E,Producao!$A:$A,"&gt;="&amp;O831,Producao!$A:$A,"&lt;"&amp;A831),SUMIFS(Producao!$B:$B,Producao!$A:$A,"&gt;="&amp;O831,Producao!$A:$A,"&lt;"&amp;A831)))))</f>
        <v/>
      </c>
      <c r="E831">
        <f>IF(N831="","",INDEX(Equipamentos!$C$2:$C$61,N831))</f>
        <v/>
      </c>
      <c r="F831" s="57">
        <f>IF(OR(D831="",N(Q831)&lt;=0),"",D831/Q831)</f>
        <v/>
      </c>
      <c r="G831" s="55" t="n"/>
      <c r="H831" s="58" t="n"/>
      <c r="I831" s="58" t="n"/>
      <c r="J831" s="55" t="n"/>
      <c r="K831" s="55" t="n"/>
      <c r="L831">
        <f>IF(OR(A831="",B831=""),"",_xlfn.MAXIFS(TrocasEquip!$A$2:$A$1000,TrocasEquip!$B$2:$B$1000,B831,TrocasEquip!$A$2:$A$1000,"&lt;"&amp;A831))</f>
        <v/>
      </c>
      <c r="M831">
        <f>IF(N(L831)=0,0,MATCH(1,INDEX((TrocasEquip!$B$2:$B$1000=B831)*(TrocasEquip!$A$2:$A$1000=L831),0),0))</f>
        <v/>
      </c>
      <c r="N831">
        <f>IF(B831="","",IFERROR(MATCH(B831,Equipamentos!$P$2:$P$61,0),""))</f>
        <v/>
      </c>
      <c r="O831">
        <f>IF(N831="","",IF(M831=0,INDEX(Equipamentos!$U$2:$U$61,N831),L831))</f>
        <v/>
      </c>
      <c r="P831">
        <f>IF(N831="","",IF(M831=0,N(INDEX(Equipamentos!$V$2:$V$61,N831)),N(INDEX(TrocasEquip!$I$2:$I$1000,M831))))</f>
        <v/>
      </c>
      <c r="Q831">
        <f>IF(N831="","",IF(M831=0,INDEX(Equipamentos!$T$2:$T$61,N831),IF(INDEX(TrocasEquip!$H$2:$H$1000,M831)="",INDEX(Equipamentos!$T$2:$T$61,N831),INDEX(TrocasEquip!$H$2:$H$1000,M831))))</f>
        <v/>
      </c>
    </row>
    <row r="832">
      <c r="A832" s="54" t="n"/>
      <c r="B832" s="55" t="n"/>
      <c r="C832">
        <f>IF(B832="","",IF(N832="","posição não encontrada",IF(M832=0,INDEX(Equipamentos!$S$2:$S$61,N832),INDEX(TrocasEquip!$G$2:$G$1000,M832))))</f>
        <v/>
      </c>
      <c r="D832" s="56">
        <f>IF(OR(A832="",N832=""),"",P832+IF(E832="dias",MAX(0,A832-O832),IF(INDEX(Equipamentos!$D$2:$D$61,N832)=2,SUMIFS(Producao!$D:$D,Producao!$A:$A,"&gt;="&amp;O832,Producao!$A:$A,"&lt;"&amp;A832),IF(INDEX(Equipamentos!$D$2:$D$61,N832)=3,SUMIFS(Producao!$E:$E,Producao!$A:$A,"&gt;="&amp;O832,Producao!$A:$A,"&lt;"&amp;A832),SUMIFS(Producao!$B:$B,Producao!$A:$A,"&gt;="&amp;O832,Producao!$A:$A,"&lt;"&amp;A832)))))</f>
        <v/>
      </c>
      <c r="E832">
        <f>IF(N832="","",INDEX(Equipamentos!$C$2:$C$61,N832))</f>
        <v/>
      </c>
      <c r="F832" s="57">
        <f>IF(OR(D832="",N(Q832)&lt;=0),"",D832/Q832)</f>
        <v/>
      </c>
      <c r="G832" s="55" t="n"/>
      <c r="H832" s="58" t="n"/>
      <c r="I832" s="58" t="n"/>
      <c r="J832" s="55" t="n"/>
      <c r="K832" s="55" t="n"/>
      <c r="L832">
        <f>IF(OR(A832="",B832=""),"",_xlfn.MAXIFS(TrocasEquip!$A$2:$A$1000,TrocasEquip!$B$2:$B$1000,B832,TrocasEquip!$A$2:$A$1000,"&lt;"&amp;A832))</f>
        <v/>
      </c>
      <c r="M832">
        <f>IF(N(L832)=0,0,MATCH(1,INDEX((TrocasEquip!$B$2:$B$1000=B832)*(TrocasEquip!$A$2:$A$1000=L832),0),0))</f>
        <v/>
      </c>
      <c r="N832">
        <f>IF(B832="","",IFERROR(MATCH(B832,Equipamentos!$P$2:$P$61,0),""))</f>
        <v/>
      </c>
      <c r="O832">
        <f>IF(N832="","",IF(M832=0,INDEX(Equipamentos!$U$2:$U$61,N832),L832))</f>
        <v/>
      </c>
      <c r="P832">
        <f>IF(N832="","",IF(M832=0,N(INDEX(Equipamentos!$V$2:$V$61,N832)),N(INDEX(TrocasEquip!$I$2:$I$1000,M832))))</f>
        <v/>
      </c>
      <c r="Q832">
        <f>IF(N832="","",IF(M832=0,INDEX(Equipamentos!$T$2:$T$61,N832),IF(INDEX(TrocasEquip!$H$2:$H$1000,M832)="",INDEX(Equipamentos!$T$2:$T$61,N832),INDEX(TrocasEquip!$H$2:$H$1000,M832))))</f>
        <v/>
      </c>
    </row>
    <row r="833">
      <c r="A833" s="54" t="n"/>
      <c r="B833" s="55" t="n"/>
      <c r="C833">
        <f>IF(B833="","",IF(N833="","posição não encontrada",IF(M833=0,INDEX(Equipamentos!$S$2:$S$61,N833),INDEX(TrocasEquip!$G$2:$G$1000,M833))))</f>
        <v/>
      </c>
      <c r="D833" s="56">
        <f>IF(OR(A833="",N833=""),"",P833+IF(E833="dias",MAX(0,A833-O833),IF(INDEX(Equipamentos!$D$2:$D$61,N833)=2,SUMIFS(Producao!$D:$D,Producao!$A:$A,"&gt;="&amp;O833,Producao!$A:$A,"&lt;"&amp;A833),IF(INDEX(Equipamentos!$D$2:$D$61,N833)=3,SUMIFS(Producao!$E:$E,Producao!$A:$A,"&gt;="&amp;O833,Producao!$A:$A,"&lt;"&amp;A833),SUMIFS(Producao!$B:$B,Producao!$A:$A,"&gt;="&amp;O833,Producao!$A:$A,"&lt;"&amp;A833)))))</f>
        <v/>
      </c>
      <c r="E833">
        <f>IF(N833="","",INDEX(Equipamentos!$C$2:$C$61,N833))</f>
        <v/>
      </c>
      <c r="F833" s="57">
        <f>IF(OR(D833="",N(Q833)&lt;=0),"",D833/Q833)</f>
        <v/>
      </c>
      <c r="G833" s="55" t="n"/>
      <c r="H833" s="58" t="n"/>
      <c r="I833" s="58" t="n"/>
      <c r="J833" s="55" t="n"/>
      <c r="K833" s="55" t="n"/>
      <c r="L833">
        <f>IF(OR(A833="",B833=""),"",_xlfn.MAXIFS(TrocasEquip!$A$2:$A$1000,TrocasEquip!$B$2:$B$1000,B833,TrocasEquip!$A$2:$A$1000,"&lt;"&amp;A833))</f>
        <v/>
      </c>
      <c r="M833">
        <f>IF(N(L833)=0,0,MATCH(1,INDEX((TrocasEquip!$B$2:$B$1000=B833)*(TrocasEquip!$A$2:$A$1000=L833),0),0))</f>
        <v/>
      </c>
      <c r="N833">
        <f>IF(B833="","",IFERROR(MATCH(B833,Equipamentos!$P$2:$P$61,0),""))</f>
        <v/>
      </c>
      <c r="O833">
        <f>IF(N833="","",IF(M833=0,INDEX(Equipamentos!$U$2:$U$61,N833),L833))</f>
        <v/>
      </c>
      <c r="P833">
        <f>IF(N833="","",IF(M833=0,N(INDEX(Equipamentos!$V$2:$V$61,N833)),N(INDEX(TrocasEquip!$I$2:$I$1000,M833))))</f>
        <v/>
      </c>
      <c r="Q833">
        <f>IF(N833="","",IF(M833=0,INDEX(Equipamentos!$T$2:$T$61,N833),IF(INDEX(TrocasEquip!$H$2:$H$1000,M833)="",INDEX(Equipamentos!$T$2:$T$61,N833),INDEX(TrocasEquip!$H$2:$H$1000,M833))))</f>
        <v/>
      </c>
    </row>
    <row r="834">
      <c r="A834" s="54" t="n"/>
      <c r="B834" s="55" t="n"/>
      <c r="C834">
        <f>IF(B834="","",IF(N834="","posição não encontrada",IF(M834=0,INDEX(Equipamentos!$S$2:$S$61,N834),INDEX(TrocasEquip!$G$2:$G$1000,M834))))</f>
        <v/>
      </c>
      <c r="D834" s="56">
        <f>IF(OR(A834="",N834=""),"",P834+IF(E834="dias",MAX(0,A834-O834),IF(INDEX(Equipamentos!$D$2:$D$61,N834)=2,SUMIFS(Producao!$D:$D,Producao!$A:$A,"&gt;="&amp;O834,Producao!$A:$A,"&lt;"&amp;A834),IF(INDEX(Equipamentos!$D$2:$D$61,N834)=3,SUMIFS(Producao!$E:$E,Producao!$A:$A,"&gt;="&amp;O834,Producao!$A:$A,"&lt;"&amp;A834),SUMIFS(Producao!$B:$B,Producao!$A:$A,"&gt;="&amp;O834,Producao!$A:$A,"&lt;"&amp;A834)))))</f>
        <v/>
      </c>
      <c r="E834">
        <f>IF(N834="","",INDEX(Equipamentos!$C$2:$C$61,N834))</f>
        <v/>
      </c>
      <c r="F834" s="57">
        <f>IF(OR(D834="",N(Q834)&lt;=0),"",D834/Q834)</f>
        <v/>
      </c>
      <c r="G834" s="55" t="n"/>
      <c r="H834" s="58" t="n"/>
      <c r="I834" s="58" t="n"/>
      <c r="J834" s="55" t="n"/>
      <c r="K834" s="55" t="n"/>
      <c r="L834">
        <f>IF(OR(A834="",B834=""),"",_xlfn.MAXIFS(TrocasEquip!$A$2:$A$1000,TrocasEquip!$B$2:$B$1000,B834,TrocasEquip!$A$2:$A$1000,"&lt;"&amp;A834))</f>
        <v/>
      </c>
      <c r="M834">
        <f>IF(N(L834)=0,0,MATCH(1,INDEX((TrocasEquip!$B$2:$B$1000=B834)*(TrocasEquip!$A$2:$A$1000=L834),0),0))</f>
        <v/>
      </c>
      <c r="N834">
        <f>IF(B834="","",IFERROR(MATCH(B834,Equipamentos!$P$2:$P$61,0),""))</f>
        <v/>
      </c>
      <c r="O834">
        <f>IF(N834="","",IF(M834=0,INDEX(Equipamentos!$U$2:$U$61,N834),L834))</f>
        <v/>
      </c>
      <c r="P834">
        <f>IF(N834="","",IF(M834=0,N(INDEX(Equipamentos!$V$2:$V$61,N834)),N(INDEX(TrocasEquip!$I$2:$I$1000,M834))))</f>
        <v/>
      </c>
      <c r="Q834">
        <f>IF(N834="","",IF(M834=0,INDEX(Equipamentos!$T$2:$T$61,N834),IF(INDEX(TrocasEquip!$H$2:$H$1000,M834)="",INDEX(Equipamentos!$T$2:$T$61,N834),INDEX(TrocasEquip!$H$2:$H$1000,M834))))</f>
        <v/>
      </c>
    </row>
    <row r="835">
      <c r="A835" s="54" t="n"/>
      <c r="B835" s="55" t="n"/>
      <c r="C835">
        <f>IF(B835="","",IF(N835="","posição não encontrada",IF(M835=0,INDEX(Equipamentos!$S$2:$S$61,N835),INDEX(TrocasEquip!$G$2:$G$1000,M835))))</f>
        <v/>
      </c>
      <c r="D835" s="56">
        <f>IF(OR(A835="",N835=""),"",P835+IF(E835="dias",MAX(0,A835-O835),IF(INDEX(Equipamentos!$D$2:$D$61,N835)=2,SUMIFS(Producao!$D:$D,Producao!$A:$A,"&gt;="&amp;O835,Producao!$A:$A,"&lt;"&amp;A835),IF(INDEX(Equipamentos!$D$2:$D$61,N835)=3,SUMIFS(Producao!$E:$E,Producao!$A:$A,"&gt;="&amp;O835,Producao!$A:$A,"&lt;"&amp;A835),SUMIFS(Producao!$B:$B,Producao!$A:$A,"&gt;="&amp;O835,Producao!$A:$A,"&lt;"&amp;A835)))))</f>
        <v/>
      </c>
      <c r="E835">
        <f>IF(N835="","",INDEX(Equipamentos!$C$2:$C$61,N835))</f>
        <v/>
      </c>
      <c r="F835" s="57">
        <f>IF(OR(D835="",N(Q835)&lt;=0),"",D835/Q835)</f>
        <v/>
      </c>
      <c r="G835" s="55" t="n"/>
      <c r="H835" s="58" t="n"/>
      <c r="I835" s="58" t="n"/>
      <c r="J835" s="55" t="n"/>
      <c r="K835" s="55" t="n"/>
      <c r="L835">
        <f>IF(OR(A835="",B835=""),"",_xlfn.MAXIFS(TrocasEquip!$A$2:$A$1000,TrocasEquip!$B$2:$B$1000,B835,TrocasEquip!$A$2:$A$1000,"&lt;"&amp;A835))</f>
        <v/>
      </c>
      <c r="M835">
        <f>IF(N(L835)=0,0,MATCH(1,INDEX((TrocasEquip!$B$2:$B$1000=B835)*(TrocasEquip!$A$2:$A$1000=L835),0),0))</f>
        <v/>
      </c>
      <c r="N835">
        <f>IF(B835="","",IFERROR(MATCH(B835,Equipamentos!$P$2:$P$61,0),""))</f>
        <v/>
      </c>
      <c r="O835">
        <f>IF(N835="","",IF(M835=0,INDEX(Equipamentos!$U$2:$U$61,N835),L835))</f>
        <v/>
      </c>
      <c r="P835">
        <f>IF(N835="","",IF(M835=0,N(INDEX(Equipamentos!$V$2:$V$61,N835)),N(INDEX(TrocasEquip!$I$2:$I$1000,M835))))</f>
        <v/>
      </c>
      <c r="Q835">
        <f>IF(N835="","",IF(M835=0,INDEX(Equipamentos!$T$2:$T$61,N835),IF(INDEX(TrocasEquip!$H$2:$H$1000,M835)="",INDEX(Equipamentos!$T$2:$T$61,N835),INDEX(TrocasEquip!$H$2:$H$1000,M835))))</f>
        <v/>
      </c>
    </row>
    <row r="836">
      <c r="A836" s="54" t="n"/>
      <c r="B836" s="55" t="n"/>
      <c r="C836">
        <f>IF(B836="","",IF(N836="","posição não encontrada",IF(M836=0,INDEX(Equipamentos!$S$2:$S$61,N836),INDEX(TrocasEquip!$G$2:$G$1000,M836))))</f>
        <v/>
      </c>
      <c r="D836" s="56">
        <f>IF(OR(A836="",N836=""),"",P836+IF(E836="dias",MAX(0,A836-O836),IF(INDEX(Equipamentos!$D$2:$D$61,N836)=2,SUMIFS(Producao!$D:$D,Producao!$A:$A,"&gt;="&amp;O836,Producao!$A:$A,"&lt;"&amp;A836),IF(INDEX(Equipamentos!$D$2:$D$61,N836)=3,SUMIFS(Producao!$E:$E,Producao!$A:$A,"&gt;="&amp;O836,Producao!$A:$A,"&lt;"&amp;A836),SUMIFS(Producao!$B:$B,Producao!$A:$A,"&gt;="&amp;O836,Producao!$A:$A,"&lt;"&amp;A836)))))</f>
        <v/>
      </c>
      <c r="E836">
        <f>IF(N836="","",INDEX(Equipamentos!$C$2:$C$61,N836))</f>
        <v/>
      </c>
      <c r="F836" s="57">
        <f>IF(OR(D836="",N(Q836)&lt;=0),"",D836/Q836)</f>
        <v/>
      </c>
      <c r="G836" s="55" t="n"/>
      <c r="H836" s="58" t="n"/>
      <c r="I836" s="58" t="n"/>
      <c r="J836" s="55" t="n"/>
      <c r="K836" s="55" t="n"/>
      <c r="L836">
        <f>IF(OR(A836="",B836=""),"",_xlfn.MAXIFS(TrocasEquip!$A$2:$A$1000,TrocasEquip!$B$2:$B$1000,B836,TrocasEquip!$A$2:$A$1000,"&lt;"&amp;A836))</f>
        <v/>
      </c>
      <c r="M836">
        <f>IF(N(L836)=0,0,MATCH(1,INDEX((TrocasEquip!$B$2:$B$1000=B836)*(TrocasEquip!$A$2:$A$1000=L836),0),0))</f>
        <v/>
      </c>
      <c r="N836">
        <f>IF(B836="","",IFERROR(MATCH(B836,Equipamentos!$P$2:$P$61,0),""))</f>
        <v/>
      </c>
      <c r="O836">
        <f>IF(N836="","",IF(M836=0,INDEX(Equipamentos!$U$2:$U$61,N836),L836))</f>
        <v/>
      </c>
      <c r="P836">
        <f>IF(N836="","",IF(M836=0,N(INDEX(Equipamentos!$V$2:$V$61,N836)),N(INDEX(TrocasEquip!$I$2:$I$1000,M836))))</f>
        <v/>
      </c>
      <c r="Q836">
        <f>IF(N836="","",IF(M836=0,INDEX(Equipamentos!$T$2:$T$61,N836),IF(INDEX(TrocasEquip!$H$2:$H$1000,M836)="",INDEX(Equipamentos!$T$2:$T$61,N836),INDEX(TrocasEquip!$H$2:$H$1000,M836))))</f>
        <v/>
      </c>
    </row>
    <row r="837">
      <c r="A837" s="54" t="n"/>
      <c r="B837" s="55" t="n"/>
      <c r="C837">
        <f>IF(B837="","",IF(N837="","posição não encontrada",IF(M837=0,INDEX(Equipamentos!$S$2:$S$61,N837),INDEX(TrocasEquip!$G$2:$G$1000,M837))))</f>
        <v/>
      </c>
      <c r="D837" s="56">
        <f>IF(OR(A837="",N837=""),"",P837+IF(E837="dias",MAX(0,A837-O837),IF(INDEX(Equipamentos!$D$2:$D$61,N837)=2,SUMIFS(Producao!$D:$D,Producao!$A:$A,"&gt;="&amp;O837,Producao!$A:$A,"&lt;"&amp;A837),IF(INDEX(Equipamentos!$D$2:$D$61,N837)=3,SUMIFS(Producao!$E:$E,Producao!$A:$A,"&gt;="&amp;O837,Producao!$A:$A,"&lt;"&amp;A837),SUMIFS(Producao!$B:$B,Producao!$A:$A,"&gt;="&amp;O837,Producao!$A:$A,"&lt;"&amp;A837)))))</f>
        <v/>
      </c>
      <c r="E837">
        <f>IF(N837="","",INDEX(Equipamentos!$C$2:$C$61,N837))</f>
        <v/>
      </c>
      <c r="F837" s="57">
        <f>IF(OR(D837="",N(Q837)&lt;=0),"",D837/Q837)</f>
        <v/>
      </c>
      <c r="G837" s="55" t="n"/>
      <c r="H837" s="58" t="n"/>
      <c r="I837" s="58" t="n"/>
      <c r="J837" s="55" t="n"/>
      <c r="K837" s="55" t="n"/>
      <c r="L837">
        <f>IF(OR(A837="",B837=""),"",_xlfn.MAXIFS(TrocasEquip!$A$2:$A$1000,TrocasEquip!$B$2:$B$1000,B837,TrocasEquip!$A$2:$A$1000,"&lt;"&amp;A837))</f>
        <v/>
      </c>
      <c r="M837">
        <f>IF(N(L837)=0,0,MATCH(1,INDEX((TrocasEquip!$B$2:$B$1000=B837)*(TrocasEquip!$A$2:$A$1000=L837),0),0))</f>
        <v/>
      </c>
      <c r="N837">
        <f>IF(B837="","",IFERROR(MATCH(B837,Equipamentos!$P$2:$P$61,0),""))</f>
        <v/>
      </c>
      <c r="O837">
        <f>IF(N837="","",IF(M837=0,INDEX(Equipamentos!$U$2:$U$61,N837),L837))</f>
        <v/>
      </c>
      <c r="P837">
        <f>IF(N837="","",IF(M837=0,N(INDEX(Equipamentos!$V$2:$V$61,N837)),N(INDEX(TrocasEquip!$I$2:$I$1000,M837))))</f>
        <v/>
      </c>
      <c r="Q837">
        <f>IF(N837="","",IF(M837=0,INDEX(Equipamentos!$T$2:$T$61,N837),IF(INDEX(TrocasEquip!$H$2:$H$1000,M837)="",INDEX(Equipamentos!$T$2:$T$61,N837),INDEX(TrocasEquip!$H$2:$H$1000,M837))))</f>
        <v/>
      </c>
    </row>
    <row r="838">
      <c r="A838" s="54" t="n"/>
      <c r="B838" s="55" t="n"/>
      <c r="C838">
        <f>IF(B838="","",IF(N838="","posição não encontrada",IF(M838=0,INDEX(Equipamentos!$S$2:$S$61,N838),INDEX(TrocasEquip!$G$2:$G$1000,M838))))</f>
        <v/>
      </c>
      <c r="D838" s="56">
        <f>IF(OR(A838="",N838=""),"",P838+IF(E838="dias",MAX(0,A838-O838),IF(INDEX(Equipamentos!$D$2:$D$61,N838)=2,SUMIFS(Producao!$D:$D,Producao!$A:$A,"&gt;="&amp;O838,Producao!$A:$A,"&lt;"&amp;A838),IF(INDEX(Equipamentos!$D$2:$D$61,N838)=3,SUMIFS(Producao!$E:$E,Producao!$A:$A,"&gt;="&amp;O838,Producao!$A:$A,"&lt;"&amp;A838),SUMIFS(Producao!$B:$B,Producao!$A:$A,"&gt;="&amp;O838,Producao!$A:$A,"&lt;"&amp;A838)))))</f>
        <v/>
      </c>
      <c r="E838">
        <f>IF(N838="","",INDEX(Equipamentos!$C$2:$C$61,N838))</f>
        <v/>
      </c>
      <c r="F838" s="57">
        <f>IF(OR(D838="",N(Q838)&lt;=0),"",D838/Q838)</f>
        <v/>
      </c>
      <c r="G838" s="55" t="n"/>
      <c r="H838" s="58" t="n"/>
      <c r="I838" s="58" t="n"/>
      <c r="J838" s="55" t="n"/>
      <c r="K838" s="55" t="n"/>
      <c r="L838">
        <f>IF(OR(A838="",B838=""),"",_xlfn.MAXIFS(TrocasEquip!$A$2:$A$1000,TrocasEquip!$B$2:$B$1000,B838,TrocasEquip!$A$2:$A$1000,"&lt;"&amp;A838))</f>
        <v/>
      </c>
      <c r="M838">
        <f>IF(N(L838)=0,0,MATCH(1,INDEX((TrocasEquip!$B$2:$B$1000=B838)*(TrocasEquip!$A$2:$A$1000=L838),0),0))</f>
        <v/>
      </c>
      <c r="N838">
        <f>IF(B838="","",IFERROR(MATCH(B838,Equipamentos!$P$2:$P$61,0),""))</f>
        <v/>
      </c>
      <c r="O838">
        <f>IF(N838="","",IF(M838=0,INDEX(Equipamentos!$U$2:$U$61,N838),L838))</f>
        <v/>
      </c>
      <c r="P838">
        <f>IF(N838="","",IF(M838=0,N(INDEX(Equipamentos!$V$2:$V$61,N838)),N(INDEX(TrocasEquip!$I$2:$I$1000,M838))))</f>
        <v/>
      </c>
      <c r="Q838">
        <f>IF(N838="","",IF(M838=0,INDEX(Equipamentos!$T$2:$T$61,N838),IF(INDEX(TrocasEquip!$H$2:$H$1000,M838)="",INDEX(Equipamentos!$T$2:$T$61,N838),INDEX(TrocasEquip!$H$2:$H$1000,M838))))</f>
        <v/>
      </c>
    </row>
    <row r="839">
      <c r="A839" s="54" t="n"/>
      <c r="B839" s="55" t="n"/>
      <c r="C839">
        <f>IF(B839="","",IF(N839="","posição não encontrada",IF(M839=0,INDEX(Equipamentos!$S$2:$S$61,N839),INDEX(TrocasEquip!$G$2:$G$1000,M839))))</f>
        <v/>
      </c>
      <c r="D839" s="56">
        <f>IF(OR(A839="",N839=""),"",P839+IF(E839="dias",MAX(0,A839-O839),IF(INDEX(Equipamentos!$D$2:$D$61,N839)=2,SUMIFS(Producao!$D:$D,Producao!$A:$A,"&gt;="&amp;O839,Producao!$A:$A,"&lt;"&amp;A839),IF(INDEX(Equipamentos!$D$2:$D$61,N839)=3,SUMIFS(Producao!$E:$E,Producao!$A:$A,"&gt;="&amp;O839,Producao!$A:$A,"&lt;"&amp;A839),SUMIFS(Producao!$B:$B,Producao!$A:$A,"&gt;="&amp;O839,Producao!$A:$A,"&lt;"&amp;A839)))))</f>
        <v/>
      </c>
      <c r="E839">
        <f>IF(N839="","",INDEX(Equipamentos!$C$2:$C$61,N839))</f>
        <v/>
      </c>
      <c r="F839" s="57">
        <f>IF(OR(D839="",N(Q839)&lt;=0),"",D839/Q839)</f>
        <v/>
      </c>
      <c r="G839" s="55" t="n"/>
      <c r="H839" s="58" t="n"/>
      <c r="I839" s="58" t="n"/>
      <c r="J839" s="55" t="n"/>
      <c r="K839" s="55" t="n"/>
      <c r="L839">
        <f>IF(OR(A839="",B839=""),"",_xlfn.MAXIFS(TrocasEquip!$A$2:$A$1000,TrocasEquip!$B$2:$B$1000,B839,TrocasEquip!$A$2:$A$1000,"&lt;"&amp;A839))</f>
        <v/>
      </c>
      <c r="M839">
        <f>IF(N(L839)=0,0,MATCH(1,INDEX((TrocasEquip!$B$2:$B$1000=B839)*(TrocasEquip!$A$2:$A$1000=L839),0),0))</f>
        <v/>
      </c>
      <c r="N839">
        <f>IF(B839="","",IFERROR(MATCH(B839,Equipamentos!$P$2:$P$61,0),""))</f>
        <v/>
      </c>
      <c r="O839">
        <f>IF(N839="","",IF(M839=0,INDEX(Equipamentos!$U$2:$U$61,N839),L839))</f>
        <v/>
      </c>
      <c r="P839">
        <f>IF(N839="","",IF(M839=0,N(INDEX(Equipamentos!$V$2:$V$61,N839)),N(INDEX(TrocasEquip!$I$2:$I$1000,M839))))</f>
        <v/>
      </c>
      <c r="Q839">
        <f>IF(N839="","",IF(M839=0,INDEX(Equipamentos!$T$2:$T$61,N839),IF(INDEX(TrocasEquip!$H$2:$H$1000,M839)="",INDEX(Equipamentos!$T$2:$T$61,N839),INDEX(TrocasEquip!$H$2:$H$1000,M839))))</f>
        <v/>
      </c>
    </row>
    <row r="840">
      <c r="A840" s="54" t="n"/>
      <c r="B840" s="55" t="n"/>
      <c r="C840">
        <f>IF(B840="","",IF(N840="","posição não encontrada",IF(M840=0,INDEX(Equipamentos!$S$2:$S$61,N840),INDEX(TrocasEquip!$G$2:$G$1000,M840))))</f>
        <v/>
      </c>
      <c r="D840" s="56">
        <f>IF(OR(A840="",N840=""),"",P840+IF(E840="dias",MAX(0,A840-O840),IF(INDEX(Equipamentos!$D$2:$D$61,N840)=2,SUMIFS(Producao!$D:$D,Producao!$A:$A,"&gt;="&amp;O840,Producao!$A:$A,"&lt;"&amp;A840),IF(INDEX(Equipamentos!$D$2:$D$61,N840)=3,SUMIFS(Producao!$E:$E,Producao!$A:$A,"&gt;="&amp;O840,Producao!$A:$A,"&lt;"&amp;A840),SUMIFS(Producao!$B:$B,Producao!$A:$A,"&gt;="&amp;O840,Producao!$A:$A,"&lt;"&amp;A840)))))</f>
        <v/>
      </c>
      <c r="E840">
        <f>IF(N840="","",INDEX(Equipamentos!$C$2:$C$61,N840))</f>
        <v/>
      </c>
      <c r="F840" s="57">
        <f>IF(OR(D840="",N(Q840)&lt;=0),"",D840/Q840)</f>
        <v/>
      </c>
      <c r="G840" s="55" t="n"/>
      <c r="H840" s="58" t="n"/>
      <c r="I840" s="58" t="n"/>
      <c r="J840" s="55" t="n"/>
      <c r="K840" s="55" t="n"/>
      <c r="L840">
        <f>IF(OR(A840="",B840=""),"",_xlfn.MAXIFS(TrocasEquip!$A$2:$A$1000,TrocasEquip!$B$2:$B$1000,B840,TrocasEquip!$A$2:$A$1000,"&lt;"&amp;A840))</f>
        <v/>
      </c>
      <c r="M840">
        <f>IF(N(L840)=0,0,MATCH(1,INDEX((TrocasEquip!$B$2:$B$1000=B840)*(TrocasEquip!$A$2:$A$1000=L840),0),0))</f>
        <v/>
      </c>
      <c r="N840">
        <f>IF(B840="","",IFERROR(MATCH(B840,Equipamentos!$P$2:$P$61,0),""))</f>
        <v/>
      </c>
      <c r="O840">
        <f>IF(N840="","",IF(M840=0,INDEX(Equipamentos!$U$2:$U$61,N840),L840))</f>
        <v/>
      </c>
      <c r="P840">
        <f>IF(N840="","",IF(M840=0,N(INDEX(Equipamentos!$V$2:$V$61,N840)),N(INDEX(TrocasEquip!$I$2:$I$1000,M840))))</f>
        <v/>
      </c>
      <c r="Q840">
        <f>IF(N840="","",IF(M840=0,INDEX(Equipamentos!$T$2:$T$61,N840),IF(INDEX(TrocasEquip!$H$2:$H$1000,M840)="",INDEX(Equipamentos!$T$2:$T$61,N840),INDEX(TrocasEquip!$H$2:$H$1000,M840))))</f>
        <v/>
      </c>
    </row>
    <row r="841">
      <c r="A841" s="54" t="n"/>
      <c r="B841" s="55" t="n"/>
      <c r="C841">
        <f>IF(B841="","",IF(N841="","posição não encontrada",IF(M841=0,INDEX(Equipamentos!$S$2:$S$61,N841),INDEX(TrocasEquip!$G$2:$G$1000,M841))))</f>
        <v/>
      </c>
      <c r="D841" s="56">
        <f>IF(OR(A841="",N841=""),"",P841+IF(E841="dias",MAX(0,A841-O841),IF(INDEX(Equipamentos!$D$2:$D$61,N841)=2,SUMIFS(Producao!$D:$D,Producao!$A:$A,"&gt;="&amp;O841,Producao!$A:$A,"&lt;"&amp;A841),IF(INDEX(Equipamentos!$D$2:$D$61,N841)=3,SUMIFS(Producao!$E:$E,Producao!$A:$A,"&gt;="&amp;O841,Producao!$A:$A,"&lt;"&amp;A841),SUMIFS(Producao!$B:$B,Producao!$A:$A,"&gt;="&amp;O841,Producao!$A:$A,"&lt;"&amp;A841)))))</f>
        <v/>
      </c>
      <c r="E841">
        <f>IF(N841="","",INDEX(Equipamentos!$C$2:$C$61,N841))</f>
        <v/>
      </c>
      <c r="F841" s="57">
        <f>IF(OR(D841="",N(Q841)&lt;=0),"",D841/Q841)</f>
        <v/>
      </c>
      <c r="G841" s="55" t="n"/>
      <c r="H841" s="58" t="n"/>
      <c r="I841" s="58" t="n"/>
      <c r="J841" s="55" t="n"/>
      <c r="K841" s="55" t="n"/>
      <c r="L841">
        <f>IF(OR(A841="",B841=""),"",_xlfn.MAXIFS(TrocasEquip!$A$2:$A$1000,TrocasEquip!$B$2:$B$1000,B841,TrocasEquip!$A$2:$A$1000,"&lt;"&amp;A841))</f>
        <v/>
      </c>
      <c r="M841">
        <f>IF(N(L841)=0,0,MATCH(1,INDEX((TrocasEquip!$B$2:$B$1000=B841)*(TrocasEquip!$A$2:$A$1000=L841),0),0))</f>
        <v/>
      </c>
      <c r="N841">
        <f>IF(B841="","",IFERROR(MATCH(B841,Equipamentos!$P$2:$P$61,0),""))</f>
        <v/>
      </c>
      <c r="O841">
        <f>IF(N841="","",IF(M841=0,INDEX(Equipamentos!$U$2:$U$61,N841),L841))</f>
        <v/>
      </c>
      <c r="P841">
        <f>IF(N841="","",IF(M841=0,N(INDEX(Equipamentos!$V$2:$V$61,N841)),N(INDEX(TrocasEquip!$I$2:$I$1000,M841))))</f>
        <v/>
      </c>
      <c r="Q841">
        <f>IF(N841="","",IF(M841=0,INDEX(Equipamentos!$T$2:$T$61,N841),IF(INDEX(TrocasEquip!$H$2:$H$1000,M841)="",INDEX(Equipamentos!$T$2:$T$61,N841),INDEX(TrocasEquip!$H$2:$H$1000,M841))))</f>
        <v/>
      </c>
    </row>
    <row r="842">
      <c r="A842" s="54" t="n"/>
      <c r="B842" s="55" t="n"/>
      <c r="C842">
        <f>IF(B842="","",IF(N842="","posição não encontrada",IF(M842=0,INDEX(Equipamentos!$S$2:$S$61,N842),INDEX(TrocasEquip!$G$2:$G$1000,M842))))</f>
        <v/>
      </c>
      <c r="D842" s="56">
        <f>IF(OR(A842="",N842=""),"",P842+IF(E842="dias",MAX(0,A842-O842),IF(INDEX(Equipamentos!$D$2:$D$61,N842)=2,SUMIFS(Producao!$D:$D,Producao!$A:$A,"&gt;="&amp;O842,Producao!$A:$A,"&lt;"&amp;A842),IF(INDEX(Equipamentos!$D$2:$D$61,N842)=3,SUMIFS(Producao!$E:$E,Producao!$A:$A,"&gt;="&amp;O842,Producao!$A:$A,"&lt;"&amp;A842),SUMIFS(Producao!$B:$B,Producao!$A:$A,"&gt;="&amp;O842,Producao!$A:$A,"&lt;"&amp;A842)))))</f>
        <v/>
      </c>
      <c r="E842">
        <f>IF(N842="","",INDEX(Equipamentos!$C$2:$C$61,N842))</f>
        <v/>
      </c>
      <c r="F842" s="57">
        <f>IF(OR(D842="",N(Q842)&lt;=0),"",D842/Q842)</f>
        <v/>
      </c>
      <c r="G842" s="55" t="n"/>
      <c r="H842" s="58" t="n"/>
      <c r="I842" s="58" t="n"/>
      <c r="J842" s="55" t="n"/>
      <c r="K842" s="55" t="n"/>
      <c r="L842">
        <f>IF(OR(A842="",B842=""),"",_xlfn.MAXIFS(TrocasEquip!$A$2:$A$1000,TrocasEquip!$B$2:$B$1000,B842,TrocasEquip!$A$2:$A$1000,"&lt;"&amp;A842))</f>
        <v/>
      </c>
      <c r="M842">
        <f>IF(N(L842)=0,0,MATCH(1,INDEX((TrocasEquip!$B$2:$B$1000=B842)*(TrocasEquip!$A$2:$A$1000=L842),0),0))</f>
        <v/>
      </c>
      <c r="N842">
        <f>IF(B842="","",IFERROR(MATCH(B842,Equipamentos!$P$2:$P$61,0),""))</f>
        <v/>
      </c>
      <c r="O842">
        <f>IF(N842="","",IF(M842=0,INDEX(Equipamentos!$U$2:$U$61,N842),L842))</f>
        <v/>
      </c>
      <c r="P842">
        <f>IF(N842="","",IF(M842=0,N(INDEX(Equipamentos!$V$2:$V$61,N842)),N(INDEX(TrocasEquip!$I$2:$I$1000,M842))))</f>
        <v/>
      </c>
      <c r="Q842">
        <f>IF(N842="","",IF(M842=0,INDEX(Equipamentos!$T$2:$T$61,N842),IF(INDEX(TrocasEquip!$H$2:$H$1000,M842)="",INDEX(Equipamentos!$T$2:$T$61,N842),INDEX(TrocasEquip!$H$2:$H$1000,M842))))</f>
        <v/>
      </c>
    </row>
    <row r="843">
      <c r="A843" s="54" t="n"/>
      <c r="B843" s="55" t="n"/>
      <c r="C843">
        <f>IF(B843="","",IF(N843="","posição não encontrada",IF(M843=0,INDEX(Equipamentos!$S$2:$S$61,N843),INDEX(TrocasEquip!$G$2:$G$1000,M843))))</f>
        <v/>
      </c>
      <c r="D843" s="56">
        <f>IF(OR(A843="",N843=""),"",P843+IF(E843="dias",MAX(0,A843-O843),IF(INDEX(Equipamentos!$D$2:$D$61,N843)=2,SUMIFS(Producao!$D:$D,Producao!$A:$A,"&gt;="&amp;O843,Producao!$A:$A,"&lt;"&amp;A843),IF(INDEX(Equipamentos!$D$2:$D$61,N843)=3,SUMIFS(Producao!$E:$E,Producao!$A:$A,"&gt;="&amp;O843,Producao!$A:$A,"&lt;"&amp;A843),SUMIFS(Producao!$B:$B,Producao!$A:$A,"&gt;="&amp;O843,Producao!$A:$A,"&lt;"&amp;A843)))))</f>
        <v/>
      </c>
      <c r="E843">
        <f>IF(N843="","",INDEX(Equipamentos!$C$2:$C$61,N843))</f>
        <v/>
      </c>
      <c r="F843" s="57">
        <f>IF(OR(D843="",N(Q843)&lt;=0),"",D843/Q843)</f>
        <v/>
      </c>
      <c r="G843" s="55" t="n"/>
      <c r="H843" s="58" t="n"/>
      <c r="I843" s="58" t="n"/>
      <c r="J843" s="55" t="n"/>
      <c r="K843" s="55" t="n"/>
      <c r="L843">
        <f>IF(OR(A843="",B843=""),"",_xlfn.MAXIFS(TrocasEquip!$A$2:$A$1000,TrocasEquip!$B$2:$B$1000,B843,TrocasEquip!$A$2:$A$1000,"&lt;"&amp;A843))</f>
        <v/>
      </c>
      <c r="M843">
        <f>IF(N(L843)=0,0,MATCH(1,INDEX((TrocasEquip!$B$2:$B$1000=B843)*(TrocasEquip!$A$2:$A$1000=L843),0),0))</f>
        <v/>
      </c>
      <c r="N843">
        <f>IF(B843="","",IFERROR(MATCH(B843,Equipamentos!$P$2:$P$61,0),""))</f>
        <v/>
      </c>
      <c r="O843">
        <f>IF(N843="","",IF(M843=0,INDEX(Equipamentos!$U$2:$U$61,N843),L843))</f>
        <v/>
      </c>
      <c r="P843">
        <f>IF(N843="","",IF(M843=0,N(INDEX(Equipamentos!$V$2:$V$61,N843)),N(INDEX(TrocasEquip!$I$2:$I$1000,M843))))</f>
        <v/>
      </c>
      <c r="Q843">
        <f>IF(N843="","",IF(M843=0,INDEX(Equipamentos!$T$2:$T$61,N843),IF(INDEX(TrocasEquip!$H$2:$H$1000,M843)="",INDEX(Equipamentos!$T$2:$T$61,N843),INDEX(TrocasEquip!$H$2:$H$1000,M843))))</f>
        <v/>
      </c>
    </row>
    <row r="844">
      <c r="A844" s="54" t="n"/>
      <c r="B844" s="55" t="n"/>
      <c r="C844">
        <f>IF(B844="","",IF(N844="","posição não encontrada",IF(M844=0,INDEX(Equipamentos!$S$2:$S$61,N844),INDEX(TrocasEquip!$G$2:$G$1000,M844))))</f>
        <v/>
      </c>
      <c r="D844" s="56">
        <f>IF(OR(A844="",N844=""),"",P844+IF(E844="dias",MAX(0,A844-O844),IF(INDEX(Equipamentos!$D$2:$D$61,N844)=2,SUMIFS(Producao!$D:$D,Producao!$A:$A,"&gt;="&amp;O844,Producao!$A:$A,"&lt;"&amp;A844),IF(INDEX(Equipamentos!$D$2:$D$61,N844)=3,SUMIFS(Producao!$E:$E,Producao!$A:$A,"&gt;="&amp;O844,Producao!$A:$A,"&lt;"&amp;A844),SUMIFS(Producao!$B:$B,Producao!$A:$A,"&gt;="&amp;O844,Producao!$A:$A,"&lt;"&amp;A844)))))</f>
        <v/>
      </c>
      <c r="E844">
        <f>IF(N844="","",INDEX(Equipamentos!$C$2:$C$61,N844))</f>
        <v/>
      </c>
      <c r="F844" s="57">
        <f>IF(OR(D844="",N(Q844)&lt;=0),"",D844/Q844)</f>
        <v/>
      </c>
      <c r="G844" s="55" t="n"/>
      <c r="H844" s="58" t="n"/>
      <c r="I844" s="58" t="n"/>
      <c r="J844" s="55" t="n"/>
      <c r="K844" s="55" t="n"/>
      <c r="L844">
        <f>IF(OR(A844="",B844=""),"",_xlfn.MAXIFS(TrocasEquip!$A$2:$A$1000,TrocasEquip!$B$2:$B$1000,B844,TrocasEquip!$A$2:$A$1000,"&lt;"&amp;A844))</f>
        <v/>
      </c>
      <c r="M844">
        <f>IF(N(L844)=0,0,MATCH(1,INDEX((TrocasEquip!$B$2:$B$1000=B844)*(TrocasEquip!$A$2:$A$1000=L844),0),0))</f>
        <v/>
      </c>
      <c r="N844">
        <f>IF(B844="","",IFERROR(MATCH(B844,Equipamentos!$P$2:$P$61,0),""))</f>
        <v/>
      </c>
      <c r="O844">
        <f>IF(N844="","",IF(M844=0,INDEX(Equipamentos!$U$2:$U$61,N844),L844))</f>
        <v/>
      </c>
      <c r="P844">
        <f>IF(N844="","",IF(M844=0,N(INDEX(Equipamentos!$V$2:$V$61,N844)),N(INDEX(TrocasEquip!$I$2:$I$1000,M844))))</f>
        <v/>
      </c>
      <c r="Q844">
        <f>IF(N844="","",IF(M844=0,INDEX(Equipamentos!$T$2:$T$61,N844),IF(INDEX(TrocasEquip!$H$2:$H$1000,M844)="",INDEX(Equipamentos!$T$2:$T$61,N844),INDEX(TrocasEquip!$H$2:$H$1000,M844))))</f>
        <v/>
      </c>
    </row>
    <row r="845">
      <c r="A845" s="54" t="n"/>
      <c r="B845" s="55" t="n"/>
      <c r="C845">
        <f>IF(B845="","",IF(N845="","posição não encontrada",IF(M845=0,INDEX(Equipamentos!$S$2:$S$61,N845),INDEX(TrocasEquip!$G$2:$G$1000,M845))))</f>
        <v/>
      </c>
      <c r="D845" s="56">
        <f>IF(OR(A845="",N845=""),"",P845+IF(E845="dias",MAX(0,A845-O845),IF(INDEX(Equipamentos!$D$2:$D$61,N845)=2,SUMIFS(Producao!$D:$D,Producao!$A:$A,"&gt;="&amp;O845,Producao!$A:$A,"&lt;"&amp;A845),IF(INDEX(Equipamentos!$D$2:$D$61,N845)=3,SUMIFS(Producao!$E:$E,Producao!$A:$A,"&gt;="&amp;O845,Producao!$A:$A,"&lt;"&amp;A845),SUMIFS(Producao!$B:$B,Producao!$A:$A,"&gt;="&amp;O845,Producao!$A:$A,"&lt;"&amp;A845)))))</f>
        <v/>
      </c>
      <c r="E845">
        <f>IF(N845="","",INDEX(Equipamentos!$C$2:$C$61,N845))</f>
        <v/>
      </c>
      <c r="F845" s="57">
        <f>IF(OR(D845="",N(Q845)&lt;=0),"",D845/Q845)</f>
        <v/>
      </c>
      <c r="G845" s="55" t="n"/>
      <c r="H845" s="58" t="n"/>
      <c r="I845" s="58" t="n"/>
      <c r="J845" s="55" t="n"/>
      <c r="K845" s="55" t="n"/>
      <c r="L845">
        <f>IF(OR(A845="",B845=""),"",_xlfn.MAXIFS(TrocasEquip!$A$2:$A$1000,TrocasEquip!$B$2:$B$1000,B845,TrocasEquip!$A$2:$A$1000,"&lt;"&amp;A845))</f>
        <v/>
      </c>
      <c r="M845">
        <f>IF(N(L845)=0,0,MATCH(1,INDEX((TrocasEquip!$B$2:$B$1000=B845)*(TrocasEquip!$A$2:$A$1000=L845),0),0))</f>
        <v/>
      </c>
      <c r="N845">
        <f>IF(B845="","",IFERROR(MATCH(B845,Equipamentos!$P$2:$P$61,0),""))</f>
        <v/>
      </c>
      <c r="O845">
        <f>IF(N845="","",IF(M845=0,INDEX(Equipamentos!$U$2:$U$61,N845),L845))</f>
        <v/>
      </c>
      <c r="P845">
        <f>IF(N845="","",IF(M845=0,N(INDEX(Equipamentos!$V$2:$V$61,N845)),N(INDEX(TrocasEquip!$I$2:$I$1000,M845))))</f>
        <v/>
      </c>
      <c r="Q845">
        <f>IF(N845="","",IF(M845=0,INDEX(Equipamentos!$T$2:$T$61,N845),IF(INDEX(TrocasEquip!$H$2:$H$1000,M845)="",INDEX(Equipamentos!$T$2:$T$61,N845),INDEX(TrocasEquip!$H$2:$H$1000,M845))))</f>
        <v/>
      </c>
    </row>
    <row r="846">
      <c r="A846" s="54" t="n"/>
      <c r="B846" s="55" t="n"/>
      <c r="C846">
        <f>IF(B846="","",IF(N846="","posição não encontrada",IF(M846=0,INDEX(Equipamentos!$S$2:$S$61,N846),INDEX(TrocasEquip!$G$2:$G$1000,M846))))</f>
        <v/>
      </c>
      <c r="D846" s="56">
        <f>IF(OR(A846="",N846=""),"",P846+IF(E846="dias",MAX(0,A846-O846),IF(INDEX(Equipamentos!$D$2:$D$61,N846)=2,SUMIFS(Producao!$D:$D,Producao!$A:$A,"&gt;="&amp;O846,Producao!$A:$A,"&lt;"&amp;A846),IF(INDEX(Equipamentos!$D$2:$D$61,N846)=3,SUMIFS(Producao!$E:$E,Producao!$A:$A,"&gt;="&amp;O846,Producao!$A:$A,"&lt;"&amp;A846),SUMIFS(Producao!$B:$B,Producao!$A:$A,"&gt;="&amp;O846,Producao!$A:$A,"&lt;"&amp;A846)))))</f>
        <v/>
      </c>
      <c r="E846">
        <f>IF(N846="","",INDEX(Equipamentos!$C$2:$C$61,N846))</f>
        <v/>
      </c>
      <c r="F846" s="57">
        <f>IF(OR(D846="",N(Q846)&lt;=0),"",D846/Q846)</f>
        <v/>
      </c>
      <c r="G846" s="55" t="n"/>
      <c r="H846" s="58" t="n"/>
      <c r="I846" s="58" t="n"/>
      <c r="J846" s="55" t="n"/>
      <c r="K846" s="55" t="n"/>
      <c r="L846">
        <f>IF(OR(A846="",B846=""),"",_xlfn.MAXIFS(TrocasEquip!$A$2:$A$1000,TrocasEquip!$B$2:$B$1000,B846,TrocasEquip!$A$2:$A$1000,"&lt;"&amp;A846))</f>
        <v/>
      </c>
      <c r="M846">
        <f>IF(N(L846)=0,0,MATCH(1,INDEX((TrocasEquip!$B$2:$B$1000=B846)*(TrocasEquip!$A$2:$A$1000=L846),0),0))</f>
        <v/>
      </c>
      <c r="N846">
        <f>IF(B846="","",IFERROR(MATCH(B846,Equipamentos!$P$2:$P$61,0),""))</f>
        <v/>
      </c>
      <c r="O846">
        <f>IF(N846="","",IF(M846=0,INDEX(Equipamentos!$U$2:$U$61,N846),L846))</f>
        <v/>
      </c>
      <c r="P846">
        <f>IF(N846="","",IF(M846=0,N(INDEX(Equipamentos!$V$2:$V$61,N846)),N(INDEX(TrocasEquip!$I$2:$I$1000,M846))))</f>
        <v/>
      </c>
      <c r="Q846">
        <f>IF(N846="","",IF(M846=0,INDEX(Equipamentos!$T$2:$T$61,N846),IF(INDEX(TrocasEquip!$H$2:$H$1000,M846)="",INDEX(Equipamentos!$T$2:$T$61,N846),INDEX(TrocasEquip!$H$2:$H$1000,M846))))</f>
        <v/>
      </c>
    </row>
    <row r="847">
      <c r="A847" s="54" t="n"/>
      <c r="B847" s="55" t="n"/>
      <c r="C847">
        <f>IF(B847="","",IF(N847="","posição não encontrada",IF(M847=0,INDEX(Equipamentos!$S$2:$S$61,N847),INDEX(TrocasEquip!$G$2:$G$1000,M847))))</f>
        <v/>
      </c>
      <c r="D847" s="56">
        <f>IF(OR(A847="",N847=""),"",P847+IF(E847="dias",MAX(0,A847-O847),IF(INDEX(Equipamentos!$D$2:$D$61,N847)=2,SUMIFS(Producao!$D:$D,Producao!$A:$A,"&gt;="&amp;O847,Producao!$A:$A,"&lt;"&amp;A847),IF(INDEX(Equipamentos!$D$2:$D$61,N847)=3,SUMIFS(Producao!$E:$E,Producao!$A:$A,"&gt;="&amp;O847,Producao!$A:$A,"&lt;"&amp;A847),SUMIFS(Producao!$B:$B,Producao!$A:$A,"&gt;="&amp;O847,Producao!$A:$A,"&lt;"&amp;A847)))))</f>
        <v/>
      </c>
      <c r="E847">
        <f>IF(N847="","",INDEX(Equipamentos!$C$2:$C$61,N847))</f>
        <v/>
      </c>
      <c r="F847" s="57">
        <f>IF(OR(D847="",N(Q847)&lt;=0),"",D847/Q847)</f>
        <v/>
      </c>
      <c r="G847" s="55" t="n"/>
      <c r="H847" s="58" t="n"/>
      <c r="I847" s="58" t="n"/>
      <c r="J847" s="55" t="n"/>
      <c r="K847" s="55" t="n"/>
      <c r="L847">
        <f>IF(OR(A847="",B847=""),"",_xlfn.MAXIFS(TrocasEquip!$A$2:$A$1000,TrocasEquip!$B$2:$B$1000,B847,TrocasEquip!$A$2:$A$1000,"&lt;"&amp;A847))</f>
        <v/>
      </c>
      <c r="M847">
        <f>IF(N(L847)=0,0,MATCH(1,INDEX((TrocasEquip!$B$2:$B$1000=B847)*(TrocasEquip!$A$2:$A$1000=L847),0),0))</f>
        <v/>
      </c>
      <c r="N847">
        <f>IF(B847="","",IFERROR(MATCH(B847,Equipamentos!$P$2:$P$61,0),""))</f>
        <v/>
      </c>
      <c r="O847">
        <f>IF(N847="","",IF(M847=0,INDEX(Equipamentos!$U$2:$U$61,N847),L847))</f>
        <v/>
      </c>
      <c r="P847">
        <f>IF(N847="","",IF(M847=0,N(INDEX(Equipamentos!$V$2:$V$61,N847)),N(INDEX(TrocasEquip!$I$2:$I$1000,M847))))</f>
        <v/>
      </c>
      <c r="Q847">
        <f>IF(N847="","",IF(M847=0,INDEX(Equipamentos!$T$2:$T$61,N847),IF(INDEX(TrocasEquip!$H$2:$H$1000,M847)="",INDEX(Equipamentos!$T$2:$T$61,N847),INDEX(TrocasEquip!$H$2:$H$1000,M847))))</f>
        <v/>
      </c>
    </row>
    <row r="848">
      <c r="A848" s="54" t="n"/>
      <c r="B848" s="55" t="n"/>
      <c r="C848">
        <f>IF(B848="","",IF(N848="","posição não encontrada",IF(M848=0,INDEX(Equipamentos!$S$2:$S$61,N848),INDEX(TrocasEquip!$G$2:$G$1000,M848))))</f>
        <v/>
      </c>
      <c r="D848" s="56">
        <f>IF(OR(A848="",N848=""),"",P848+IF(E848="dias",MAX(0,A848-O848),IF(INDEX(Equipamentos!$D$2:$D$61,N848)=2,SUMIFS(Producao!$D:$D,Producao!$A:$A,"&gt;="&amp;O848,Producao!$A:$A,"&lt;"&amp;A848),IF(INDEX(Equipamentos!$D$2:$D$61,N848)=3,SUMIFS(Producao!$E:$E,Producao!$A:$A,"&gt;="&amp;O848,Producao!$A:$A,"&lt;"&amp;A848),SUMIFS(Producao!$B:$B,Producao!$A:$A,"&gt;="&amp;O848,Producao!$A:$A,"&lt;"&amp;A848)))))</f>
        <v/>
      </c>
      <c r="E848">
        <f>IF(N848="","",INDEX(Equipamentos!$C$2:$C$61,N848))</f>
        <v/>
      </c>
      <c r="F848" s="57">
        <f>IF(OR(D848="",N(Q848)&lt;=0),"",D848/Q848)</f>
        <v/>
      </c>
      <c r="G848" s="55" t="n"/>
      <c r="H848" s="58" t="n"/>
      <c r="I848" s="58" t="n"/>
      <c r="J848" s="55" t="n"/>
      <c r="K848" s="55" t="n"/>
      <c r="L848">
        <f>IF(OR(A848="",B848=""),"",_xlfn.MAXIFS(TrocasEquip!$A$2:$A$1000,TrocasEquip!$B$2:$B$1000,B848,TrocasEquip!$A$2:$A$1000,"&lt;"&amp;A848))</f>
        <v/>
      </c>
      <c r="M848">
        <f>IF(N(L848)=0,0,MATCH(1,INDEX((TrocasEquip!$B$2:$B$1000=B848)*(TrocasEquip!$A$2:$A$1000=L848),0),0))</f>
        <v/>
      </c>
      <c r="N848">
        <f>IF(B848="","",IFERROR(MATCH(B848,Equipamentos!$P$2:$P$61,0),""))</f>
        <v/>
      </c>
      <c r="O848">
        <f>IF(N848="","",IF(M848=0,INDEX(Equipamentos!$U$2:$U$61,N848),L848))</f>
        <v/>
      </c>
      <c r="P848">
        <f>IF(N848="","",IF(M848=0,N(INDEX(Equipamentos!$V$2:$V$61,N848)),N(INDEX(TrocasEquip!$I$2:$I$1000,M848))))</f>
        <v/>
      </c>
      <c r="Q848">
        <f>IF(N848="","",IF(M848=0,INDEX(Equipamentos!$T$2:$T$61,N848),IF(INDEX(TrocasEquip!$H$2:$H$1000,M848)="",INDEX(Equipamentos!$T$2:$T$61,N848),INDEX(TrocasEquip!$H$2:$H$1000,M848))))</f>
        <v/>
      </c>
    </row>
    <row r="849">
      <c r="A849" s="54" t="n"/>
      <c r="B849" s="55" t="n"/>
      <c r="C849">
        <f>IF(B849="","",IF(N849="","posição não encontrada",IF(M849=0,INDEX(Equipamentos!$S$2:$S$61,N849),INDEX(TrocasEquip!$G$2:$G$1000,M849))))</f>
        <v/>
      </c>
      <c r="D849" s="56">
        <f>IF(OR(A849="",N849=""),"",P849+IF(E849="dias",MAX(0,A849-O849),IF(INDEX(Equipamentos!$D$2:$D$61,N849)=2,SUMIFS(Producao!$D:$D,Producao!$A:$A,"&gt;="&amp;O849,Producao!$A:$A,"&lt;"&amp;A849),IF(INDEX(Equipamentos!$D$2:$D$61,N849)=3,SUMIFS(Producao!$E:$E,Producao!$A:$A,"&gt;="&amp;O849,Producao!$A:$A,"&lt;"&amp;A849),SUMIFS(Producao!$B:$B,Producao!$A:$A,"&gt;="&amp;O849,Producao!$A:$A,"&lt;"&amp;A849)))))</f>
        <v/>
      </c>
      <c r="E849">
        <f>IF(N849="","",INDEX(Equipamentos!$C$2:$C$61,N849))</f>
        <v/>
      </c>
      <c r="F849" s="57">
        <f>IF(OR(D849="",N(Q849)&lt;=0),"",D849/Q849)</f>
        <v/>
      </c>
      <c r="G849" s="55" t="n"/>
      <c r="H849" s="58" t="n"/>
      <c r="I849" s="58" t="n"/>
      <c r="J849" s="55" t="n"/>
      <c r="K849" s="55" t="n"/>
      <c r="L849">
        <f>IF(OR(A849="",B849=""),"",_xlfn.MAXIFS(TrocasEquip!$A$2:$A$1000,TrocasEquip!$B$2:$B$1000,B849,TrocasEquip!$A$2:$A$1000,"&lt;"&amp;A849))</f>
        <v/>
      </c>
      <c r="M849">
        <f>IF(N(L849)=0,0,MATCH(1,INDEX((TrocasEquip!$B$2:$B$1000=B849)*(TrocasEquip!$A$2:$A$1000=L849),0),0))</f>
        <v/>
      </c>
      <c r="N849">
        <f>IF(B849="","",IFERROR(MATCH(B849,Equipamentos!$P$2:$P$61,0),""))</f>
        <v/>
      </c>
      <c r="O849">
        <f>IF(N849="","",IF(M849=0,INDEX(Equipamentos!$U$2:$U$61,N849),L849))</f>
        <v/>
      </c>
      <c r="P849">
        <f>IF(N849="","",IF(M849=0,N(INDEX(Equipamentos!$V$2:$V$61,N849)),N(INDEX(TrocasEquip!$I$2:$I$1000,M849))))</f>
        <v/>
      </c>
      <c r="Q849">
        <f>IF(N849="","",IF(M849=0,INDEX(Equipamentos!$T$2:$T$61,N849),IF(INDEX(TrocasEquip!$H$2:$H$1000,M849)="",INDEX(Equipamentos!$T$2:$T$61,N849),INDEX(TrocasEquip!$H$2:$H$1000,M849))))</f>
        <v/>
      </c>
    </row>
    <row r="850">
      <c r="A850" s="54" t="n"/>
      <c r="B850" s="55" t="n"/>
      <c r="C850">
        <f>IF(B850="","",IF(N850="","posição não encontrada",IF(M850=0,INDEX(Equipamentos!$S$2:$S$61,N850),INDEX(TrocasEquip!$G$2:$G$1000,M850))))</f>
        <v/>
      </c>
      <c r="D850" s="56">
        <f>IF(OR(A850="",N850=""),"",P850+IF(E850="dias",MAX(0,A850-O850),IF(INDEX(Equipamentos!$D$2:$D$61,N850)=2,SUMIFS(Producao!$D:$D,Producao!$A:$A,"&gt;="&amp;O850,Producao!$A:$A,"&lt;"&amp;A850),IF(INDEX(Equipamentos!$D$2:$D$61,N850)=3,SUMIFS(Producao!$E:$E,Producao!$A:$A,"&gt;="&amp;O850,Producao!$A:$A,"&lt;"&amp;A850),SUMIFS(Producao!$B:$B,Producao!$A:$A,"&gt;="&amp;O850,Producao!$A:$A,"&lt;"&amp;A850)))))</f>
        <v/>
      </c>
      <c r="E850">
        <f>IF(N850="","",INDEX(Equipamentos!$C$2:$C$61,N850))</f>
        <v/>
      </c>
      <c r="F850" s="57">
        <f>IF(OR(D850="",N(Q850)&lt;=0),"",D850/Q850)</f>
        <v/>
      </c>
      <c r="G850" s="55" t="n"/>
      <c r="H850" s="58" t="n"/>
      <c r="I850" s="58" t="n"/>
      <c r="J850" s="55" t="n"/>
      <c r="K850" s="55" t="n"/>
      <c r="L850">
        <f>IF(OR(A850="",B850=""),"",_xlfn.MAXIFS(TrocasEquip!$A$2:$A$1000,TrocasEquip!$B$2:$B$1000,B850,TrocasEquip!$A$2:$A$1000,"&lt;"&amp;A850))</f>
        <v/>
      </c>
      <c r="M850">
        <f>IF(N(L850)=0,0,MATCH(1,INDEX((TrocasEquip!$B$2:$B$1000=B850)*(TrocasEquip!$A$2:$A$1000=L850),0),0))</f>
        <v/>
      </c>
      <c r="N850">
        <f>IF(B850="","",IFERROR(MATCH(B850,Equipamentos!$P$2:$P$61,0),""))</f>
        <v/>
      </c>
      <c r="O850">
        <f>IF(N850="","",IF(M850=0,INDEX(Equipamentos!$U$2:$U$61,N850),L850))</f>
        <v/>
      </c>
      <c r="P850">
        <f>IF(N850="","",IF(M850=0,N(INDEX(Equipamentos!$V$2:$V$61,N850)),N(INDEX(TrocasEquip!$I$2:$I$1000,M850))))</f>
        <v/>
      </c>
      <c r="Q850">
        <f>IF(N850="","",IF(M850=0,INDEX(Equipamentos!$T$2:$T$61,N850),IF(INDEX(TrocasEquip!$H$2:$H$1000,M850)="",INDEX(Equipamentos!$T$2:$T$61,N850),INDEX(TrocasEquip!$H$2:$H$1000,M850))))</f>
        <v/>
      </c>
    </row>
    <row r="851">
      <c r="A851" s="54" t="n"/>
      <c r="B851" s="55" t="n"/>
      <c r="C851">
        <f>IF(B851="","",IF(N851="","posição não encontrada",IF(M851=0,INDEX(Equipamentos!$S$2:$S$61,N851),INDEX(TrocasEquip!$G$2:$G$1000,M851))))</f>
        <v/>
      </c>
      <c r="D851" s="56">
        <f>IF(OR(A851="",N851=""),"",P851+IF(E851="dias",MAX(0,A851-O851),IF(INDEX(Equipamentos!$D$2:$D$61,N851)=2,SUMIFS(Producao!$D:$D,Producao!$A:$A,"&gt;="&amp;O851,Producao!$A:$A,"&lt;"&amp;A851),IF(INDEX(Equipamentos!$D$2:$D$61,N851)=3,SUMIFS(Producao!$E:$E,Producao!$A:$A,"&gt;="&amp;O851,Producao!$A:$A,"&lt;"&amp;A851),SUMIFS(Producao!$B:$B,Producao!$A:$A,"&gt;="&amp;O851,Producao!$A:$A,"&lt;"&amp;A851)))))</f>
        <v/>
      </c>
      <c r="E851">
        <f>IF(N851="","",INDEX(Equipamentos!$C$2:$C$61,N851))</f>
        <v/>
      </c>
      <c r="F851" s="57">
        <f>IF(OR(D851="",N(Q851)&lt;=0),"",D851/Q851)</f>
        <v/>
      </c>
      <c r="G851" s="55" t="n"/>
      <c r="H851" s="58" t="n"/>
      <c r="I851" s="58" t="n"/>
      <c r="J851" s="55" t="n"/>
      <c r="K851" s="55" t="n"/>
      <c r="L851">
        <f>IF(OR(A851="",B851=""),"",_xlfn.MAXIFS(TrocasEquip!$A$2:$A$1000,TrocasEquip!$B$2:$B$1000,B851,TrocasEquip!$A$2:$A$1000,"&lt;"&amp;A851))</f>
        <v/>
      </c>
      <c r="M851">
        <f>IF(N(L851)=0,0,MATCH(1,INDEX((TrocasEquip!$B$2:$B$1000=B851)*(TrocasEquip!$A$2:$A$1000=L851),0),0))</f>
        <v/>
      </c>
      <c r="N851">
        <f>IF(B851="","",IFERROR(MATCH(B851,Equipamentos!$P$2:$P$61,0),""))</f>
        <v/>
      </c>
      <c r="O851">
        <f>IF(N851="","",IF(M851=0,INDEX(Equipamentos!$U$2:$U$61,N851),L851))</f>
        <v/>
      </c>
      <c r="P851">
        <f>IF(N851="","",IF(M851=0,N(INDEX(Equipamentos!$V$2:$V$61,N851)),N(INDEX(TrocasEquip!$I$2:$I$1000,M851))))</f>
        <v/>
      </c>
      <c r="Q851">
        <f>IF(N851="","",IF(M851=0,INDEX(Equipamentos!$T$2:$T$61,N851),IF(INDEX(TrocasEquip!$H$2:$H$1000,M851)="",INDEX(Equipamentos!$T$2:$T$61,N851),INDEX(TrocasEquip!$H$2:$H$1000,M851))))</f>
        <v/>
      </c>
    </row>
    <row r="852">
      <c r="A852" s="54" t="n"/>
      <c r="B852" s="55" t="n"/>
      <c r="C852">
        <f>IF(B852="","",IF(N852="","posição não encontrada",IF(M852=0,INDEX(Equipamentos!$S$2:$S$61,N852),INDEX(TrocasEquip!$G$2:$G$1000,M852))))</f>
        <v/>
      </c>
      <c r="D852" s="56">
        <f>IF(OR(A852="",N852=""),"",P852+IF(E852="dias",MAX(0,A852-O852),IF(INDEX(Equipamentos!$D$2:$D$61,N852)=2,SUMIFS(Producao!$D:$D,Producao!$A:$A,"&gt;="&amp;O852,Producao!$A:$A,"&lt;"&amp;A852),IF(INDEX(Equipamentos!$D$2:$D$61,N852)=3,SUMIFS(Producao!$E:$E,Producao!$A:$A,"&gt;="&amp;O852,Producao!$A:$A,"&lt;"&amp;A852),SUMIFS(Producao!$B:$B,Producao!$A:$A,"&gt;="&amp;O852,Producao!$A:$A,"&lt;"&amp;A852)))))</f>
        <v/>
      </c>
      <c r="E852">
        <f>IF(N852="","",INDEX(Equipamentos!$C$2:$C$61,N852))</f>
        <v/>
      </c>
      <c r="F852" s="57">
        <f>IF(OR(D852="",N(Q852)&lt;=0),"",D852/Q852)</f>
        <v/>
      </c>
      <c r="G852" s="55" t="n"/>
      <c r="H852" s="58" t="n"/>
      <c r="I852" s="58" t="n"/>
      <c r="J852" s="55" t="n"/>
      <c r="K852" s="55" t="n"/>
      <c r="L852">
        <f>IF(OR(A852="",B852=""),"",_xlfn.MAXIFS(TrocasEquip!$A$2:$A$1000,TrocasEquip!$B$2:$B$1000,B852,TrocasEquip!$A$2:$A$1000,"&lt;"&amp;A852))</f>
        <v/>
      </c>
      <c r="M852">
        <f>IF(N(L852)=0,0,MATCH(1,INDEX((TrocasEquip!$B$2:$B$1000=B852)*(TrocasEquip!$A$2:$A$1000=L852),0),0))</f>
        <v/>
      </c>
      <c r="N852">
        <f>IF(B852="","",IFERROR(MATCH(B852,Equipamentos!$P$2:$P$61,0),""))</f>
        <v/>
      </c>
      <c r="O852">
        <f>IF(N852="","",IF(M852=0,INDEX(Equipamentos!$U$2:$U$61,N852),L852))</f>
        <v/>
      </c>
      <c r="P852">
        <f>IF(N852="","",IF(M852=0,N(INDEX(Equipamentos!$V$2:$V$61,N852)),N(INDEX(TrocasEquip!$I$2:$I$1000,M852))))</f>
        <v/>
      </c>
      <c r="Q852">
        <f>IF(N852="","",IF(M852=0,INDEX(Equipamentos!$T$2:$T$61,N852),IF(INDEX(TrocasEquip!$H$2:$H$1000,M852)="",INDEX(Equipamentos!$T$2:$T$61,N852),INDEX(TrocasEquip!$H$2:$H$1000,M852))))</f>
        <v/>
      </c>
    </row>
    <row r="853">
      <c r="A853" s="54" t="n"/>
      <c r="B853" s="55" t="n"/>
      <c r="C853">
        <f>IF(B853="","",IF(N853="","posição não encontrada",IF(M853=0,INDEX(Equipamentos!$S$2:$S$61,N853),INDEX(TrocasEquip!$G$2:$G$1000,M853))))</f>
        <v/>
      </c>
      <c r="D853" s="56">
        <f>IF(OR(A853="",N853=""),"",P853+IF(E853="dias",MAX(0,A853-O853),IF(INDEX(Equipamentos!$D$2:$D$61,N853)=2,SUMIFS(Producao!$D:$D,Producao!$A:$A,"&gt;="&amp;O853,Producao!$A:$A,"&lt;"&amp;A853),IF(INDEX(Equipamentos!$D$2:$D$61,N853)=3,SUMIFS(Producao!$E:$E,Producao!$A:$A,"&gt;="&amp;O853,Producao!$A:$A,"&lt;"&amp;A853),SUMIFS(Producao!$B:$B,Producao!$A:$A,"&gt;="&amp;O853,Producao!$A:$A,"&lt;"&amp;A853)))))</f>
        <v/>
      </c>
      <c r="E853">
        <f>IF(N853="","",INDEX(Equipamentos!$C$2:$C$61,N853))</f>
        <v/>
      </c>
      <c r="F853" s="57">
        <f>IF(OR(D853="",N(Q853)&lt;=0),"",D853/Q853)</f>
        <v/>
      </c>
      <c r="G853" s="55" t="n"/>
      <c r="H853" s="58" t="n"/>
      <c r="I853" s="58" t="n"/>
      <c r="J853" s="55" t="n"/>
      <c r="K853" s="55" t="n"/>
      <c r="L853">
        <f>IF(OR(A853="",B853=""),"",_xlfn.MAXIFS(TrocasEquip!$A$2:$A$1000,TrocasEquip!$B$2:$B$1000,B853,TrocasEquip!$A$2:$A$1000,"&lt;"&amp;A853))</f>
        <v/>
      </c>
      <c r="M853">
        <f>IF(N(L853)=0,0,MATCH(1,INDEX((TrocasEquip!$B$2:$B$1000=B853)*(TrocasEquip!$A$2:$A$1000=L853),0),0))</f>
        <v/>
      </c>
      <c r="N853">
        <f>IF(B853="","",IFERROR(MATCH(B853,Equipamentos!$P$2:$P$61,0),""))</f>
        <v/>
      </c>
      <c r="O853">
        <f>IF(N853="","",IF(M853=0,INDEX(Equipamentos!$U$2:$U$61,N853),L853))</f>
        <v/>
      </c>
      <c r="P853">
        <f>IF(N853="","",IF(M853=0,N(INDEX(Equipamentos!$V$2:$V$61,N853)),N(INDEX(TrocasEquip!$I$2:$I$1000,M853))))</f>
        <v/>
      </c>
      <c r="Q853">
        <f>IF(N853="","",IF(M853=0,INDEX(Equipamentos!$T$2:$T$61,N853),IF(INDEX(TrocasEquip!$H$2:$H$1000,M853)="",INDEX(Equipamentos!$T$2:$T$61,N853),INDEX(TrocasEquip!$H$2:$H$1000,M853))))</f>
        <v/>
      </c>
    </row>
    <row r="854">
      <c r="A854" s="54" t="n"/>
      <c r="B854" s="55" t="n"/>
      <c r="C854">
        <f>IF(B854="","",IF(N854="","posição não encontrada",IF(M854=0,INDEX(Equipamentos!$S$2:$S$61,N854),INDEX(TrocasEquip!$G$2:$G$1000,M854))))</f>
        <v/>
      </c>
      <c r="D854" s="56">
        <f>IF(OR(A854="",N854=""),"",P854+IF(E854="dias",MAX(0,A854-O854),IF(INDEX(Equipamentos!$D$2:$D$61,N854)=2,SUMIFS(Producao!$D:$D,Producao!$A:$A,"&gt;="&amp;O854,Producao!$A:$A,"&lt;"&amp;A854),IF(INDEX(Equipamentos!$D$2:$D$61,N854)=3,SUMIFS(Producao!$E:$E,Producao!$A:$A,"&gt;="&amp;O854,Producao!$A:$A,"&lt;"&amp;A854),SUMIFS(Producao!$B:$B,Producao!$A:$A,"&gt;="&amp;O854,Producao!$A:$A,"&lt;"&amp;A854)))))</f>
        <v/>
      </c>
      <c r="E854">
        <f>IF(N854="","",INDEX(Equipamentos!$C$2:$C$61,N854))</f>
        <v/>
      </c>
      <c r="F854" s="57">
        <f>IF(OR(D854="",N(Q854)&lt;=0),"",D854/Q854)</f>
        <v/>
      </c>
      <c r="G854" s="55" t="n"/>
      <c r="H854" s="58" t="n"/>
      <c r="I854" s="58" t="n"/>
      <c r="J854" s="55" t="n"/>
      <c r="K854" s="55" t="n"/>
      <c r="L854">
        <f>IF(OR(A854="",B854=""),"",_xlfn.MAXIFS(TrocasEquip!$A$2:$A$1000,TrocasEquip!$B$2:$B$1000,B854,TrocasEquip!$A$2:$A$1000,"&lt;"&amp;A854))</f>
        <v/>
      </c>
      <c r="M854">
        <f>IF(N(L854)=0,0,MATCH(1,INDEX((TrocasEquip!$B$2:$B$1000=B854)*(TrocasEquip!$A$2:$A$1000=L854),0),0))</f>
        <v/>
      </c>
      <c r="N854">
        <f>IF(B854="","",IFERROR(MATCH(B854,Equipamentos!$P$2:$P$61,0),""))</f>
        <v/>
      </c>
      <c r="O854">
        <f>IF(N854="","",IF(M854=0,INDEX(Equipamentos!$U$2:$U$61,N854),L854))</f>
        <v/>
      </c>
      <c r="P854">
        <f>IF(N854="","",IF(M854=0,N(INDEX(Equipamentos!$V$2:$V$61,N854)),N(INDEX(TrocasEquip!$I$2:$I$1000,M854))))</f>
        <v/>
      </c>
      <c r="Q854">
        <f>IF(N854="","",IF(M854=0,INDEX(Equipamentos!$T$2:$T$61,N854),IF(INDEX(TrocasEquip!$H$2:$H$1000,M854)="",INDEX(Equipamentos!$T$2:$T$61,N854),INDEX(TrocasEquip!$H$2:$H$1000,M854))))</f>
        <v/>
      </c>
    </row>
    <row r="855">
      <c r="A855" s="54" t="n"/>
      <c r="B855" s="55" t="n"/>
      <c r="C855">
        <f>IF(B855="","",IF(N855="","posição não encontrada",IF(M855=0,INDEX(Equipamentos!$S$2:$S$61,N855),INDEX(TrocasEquip!$G$2:$G$1000,M855))))</f>
        <v/>
      </c>
      <c r="D855" s="56">
        <f>IF(OR(A855="",N855=""),"",P855+IF(E855="dias",MAX(0,A855-O855),IF(INDEX(Equipamentos!$D$2:$D$61,N855)=2,SUMIFS(Producao!$D:$D,Producao!$A:$A,"&gt;="&amp;O855,Producao!$A:$A,"&lt;"&amp;A855),IF(INDEX(Equipamentos!$D$2:$D$61,N855)=3,SUMIFS(Producao!$E:$E,Producao!$A:$A,"&gt;="&amp;O855,Producao!$A:$A,"&lt;"&amp;A855),SUMIFS(Producao!$B:$B,Producao!$A:$A,"&gt;="&amp;O855,Producao!$A:$A,"&lt;"&amp;A855)))))</f>
        <v/>
      </c>
      <c r="E855">
        <f>IF(N855="","",INDEX(Equipamentos!$C$2:$C$61,N855))</f>
        <v/>
      </c>
      <c r="F855" s="57">
        <f>IF(OR(D855="",N(Q855)&lt;=0),"",D855/Q855)</f>
        <v/>
      </c>
      <c r="G855" s="55" t="n"/>
      <c r="H855" s="58" t="n"/>
      <c r="I855" s="58" t="n"/>
      <c r="J855" s="55" t="n"/>
      <c r="K855" s="55" t="n"/>
      <c r="L855">
        <f>IF(OR(A855="",B855=""),"",_xlfn.MAXIFS(TrocasEquip!$A$2:$A$1000,TrocasEquip!$B$2:$B$1000,B855,TrocasEquip!$A$2:$A$1000,"&lt;"&amp;A855))</f>
        <v/>
      </c>
      <c r="M855">
        <f>IF(N(L855)=0,0,MATCH(1,INDEX((TrocasEquip!$B$2:$B$1000=B855)*(TrocasEquip!$A$2:$A$1000=L855),0),0))</f>
        <v/>
      </c>
      <c r="N855">
        <f>IF(B855="","",IFERROR(MATCH(B855,Equipamentos!$P$2:$P$61,0),""))</f>
        <v/>
      </c>
      <c r="O855">
        <f>IF(N855="","",IF(M855=0,INDEX(Equipamentos!$U$2:$U$61,N855),L855))</f>
        <v/>
      </c>
      <c r="P855">
        <f>IF(N855="","",IF(M855=0,N(INDEX(Equipamentos!$V$2:$V$61,N855)),N(INDEX(TrocasEquip!$I$2:$I$1000,M855))))</f>
        <v/>
      </c>
      <c r="Q855">
        <f>IF(N855="","",IF(M855=0,INDEX(Equipamentos!$T$2:$T$61,N855),IF(INDEX(TrocasEquip!$H$2:$H$1000,M855)="",INDEX(Equipamentos!$T$2:$T$61,N855),INDEX(TrocasEquip!$H$2:$H$1000,M855))))</f>
        <v/>
      </c>
    </row>
    <row r="856">
      <c r="A856" s="54" t="n"/>
      <c r="B856" s="55" t="n"/>
      <c r="C856">
        <f>IF(B856="","",IF(N856="","posição não encontrada",IF(M856=0,INDEX(Equipamentos!$S$2:$S$61,N856),INDEX(TrocasEquip!$G$2:$G$1000,M856))))</f>
        <v/>
      </c>
      <c r="D856" s="56">
        <f>IF(OR(A856="",N856=""),"",P856+IF(E856="dias",MAX(0,A856-O856),IF(INDEX(Equipamentos!$D$2:$D$61,N856)=2,SUMIFS(Producao!$D:$D,Producao!$A:$A,"&gt;="&amp;O856,Producao!$A:$A,"&lt;"&amp;A856),IF(INDEX(Equipamentos!$D$2:$D$61,N856)=3,SUMIFS(Producao!$E:$E,Producao!$A:$A,"&gt;="&amp;O856,Producao!$A:$A,"&lt;"&amp;A856),SUMIFS(Producao!$B:$B,Producao!$A:$A,"&gt;="&amp;O856,Producao!$A:$A,"&lt;"&amp;A856)))))</f>
        <v/>
      </c>
      <c r="E856">
        <f>IF(N856="","",INDEX(Equipamentos!$C$2:$C$61,N856))</f>
        <v/>
      </c>
      <c r="F856" s="57">
        <f>IF(OR(D856="",N(Q856)&lt;=0),"",D856/Q856)</f>
        <v/>
      </c>
      <c r="G856" s="55" t="n"/>
      <c r="H856" s="58" t="n"/>
      <c r="I856" s="58" t="n"/>
      <c r="J856" s="55" t="n"/>
      <c r="K856" s="55" t="n"/>
      <c r="L856">
        <f>IF(OR(A856="",B856=""),"",_xlfn.MAXIFS(TrocasEquip!$A$2:$A$1000,TrocasEquip!$B$2:$B$1000,B856,TrocasEquip!$A$2:$A$1000,"&lt;"&amp;A856))</f>
        <v/>
      </c>
      <c r="M856">
        <f>IF(N(L856)=0,0,MATCH(1,INDEX((TrocasEquip!$B$2:$B$1000=B856)*(TrocasEquip!$A$2:$A$1000=L856),0),0))</f>
        <v/>
      </c>
      <c r="N856">
        <f>IF(B856="","",IFERROR(MATCH(B856,Equipamentos!$P$2:$P$61,0),""))</f>
        <v/>
      </c>
      <c r="O856">
        <f>IF(N856="","",IF(M856=0,INDEX(Equipamentos!$U$2:$U$61,N856),L856))</f>
        <v/>
      </c>
      <c r="P856">
        <f>IF(N856="","",IF(M856=0,N(INDEX(Equipamentos!$V$2:$V$61,N856)),N(INDEX(TrocasEquip!$I$2:$I$1000,M856))))</f>
        <v/>
      </c>
      <c r="Q856">
        <f>IF(N856="","",IF(M856=0,INDEX(Equipamentos!$T$2:$T$61,N856),IF(INDEX(TrocasEquip!$H$2:$H$1000,M856)="",INDEX(Equipamentos!$T$2:$T$61,N856),INDEX(TrocasEquip!$H$2:$H$1000,M856))))</f>
        <v/>
      </c>
    </row>
    <row r="857">
      <c r="A857" s="54" t="n"/>
      <c r="B857" s="55" t="n"/>
      <c r="C857">
        <f>IF(B857="","",IF(N857="","posição não encontrada",IF(M857=0,INDEX(Equipamentos!$S$2:$S$61,N857),INDEX(TrocasEquip!$G$2:$G$1000,M857))))</f>
        <v/>
      </c>
      <c r="D857" s="56">
        <f>IF(OR(A857="",N857=""),"",P857+IF(E857="dias",MAX(0,A857-O857),IF(INDEX(Equipamentos!$D$2:$D$61,N857)=2,SUMIFS(Producao!$D:$D,Producao!$A:$A,"&gt;="&amp;O857,Producao!$A:$A,"&lt;"&amp;A857),IF(INDEX(Equipamentos!$D$2:$D$61,N857)=3,SUMIFS(Producao!$E:$E,Producao!$A:$A,"&gt;="&amp;O857,Producao!$A:$A,"&lt;"&amp;A857),SUMIFS(Producao!$B:$B,Producao!$A:$A,"&gt;="&amp;O857,Producao!$A:$A,"&lt;"&amp;A857)))))</f>
        <v/>
      </c>
      <c r="E857">
        <f>IF(N857="","",INDEX(Equipamentos!$C$2:$C$61,N857))</f>
        <v/>
      </c>
      <c r="F857" s="57">
        <f>IF(OR(D857="",N(Q857)&lt;=0),"",D857/Q857)</f>
        <v/>
      </c>
      <c r="G857" s="55" t="n"/>
      <c r="H857" s="58" t="n"/>
      <c r="I857" s="58" t="n"/>
      <c r="J857" s="55" t="n"/>
      <c r="K857" s="55" t="n"/>
      <c r="L857">
        <f>IF(OR(A857="",B857=""),"",_xlfn.MAXIFS(TrocasEquip!$A$2:$A$1000,TrocasEquip!$B$2:$B$1000,B857,TrocasEquip!$A$2:$A$1000,"&lt;"&amp;A857))</f>
        <v/>
      </c>
      <c r="M857">
        <f>IF(N(L857)=0,0,MATCH(1,INDEX((TrocasEquip!$B$2:$B$1000=B857)*(TrocasEquip!$A$2:$A$1000=L857),0),0))</f>
        <v/>
      </c>
      <c r="N857">
        <f>IF(B857="","",IFERROR(MATCH(B857,Equipamentos!$P$2:$P$61,0),""))</f>
        <v/>
      </c>
      <c r="O857">
        <f>IF(N857="","",IF(M857=0,INDEX(Equipamentos!$U$2:$U$61,N857),L857))</f>
        <v/>
      </c>
      <c r="P857">
        <f>IF(N857="","",IF(M857=0,N(INDEX(Equipamentos!$V$2:$V$61,N857)),N(INDEX(TrocasEquip!$I$2:$I$1000,M857))))</f>
        <v/>
      </c>
      <c r="Q857">
        <f>IF(N857="","",IF(M857=0,INDEX(Equipamentos!$T$2:$T$61,N857),IF(INDEX(TrocasEquip!$H$2:$H$1000,M857)="",INDEX(Equipamentos!$T$2:$T$61,N857),INDEX(TrocasEquip!$H$2:$H$1000,M857))))</f>
        <v/>
      </c>
    </row>
    <row r="858">
      <c r="A858" s="54" t="n"/>
      <c r="B858" s="55" t="n"/>
      <c r="C858">
        <f>IF(B858="","",IF(N858="","posição não encontrada",IF(M858=0,INDEX(Equipamentos!$S$2:$S$61,N858),INDEX(TrocasEquip!$G$2:$G$1000,M858))))</f>
        <v/>
      </c>
      <c r="D858" s="56">
        <f>IF(OR(A858="",N858=""),"",P858+IF(E858="dias",MAX(0,A858-O858),IF(INDEX(Equipamentos!$D$2:$D$61,N858)=2,SUMIFS(Producao!$D:$D,Producao!$A:$A,"&gt;="&amp;O858,Producao!$A:$A,"&lt;"&amp;A858),IF(INDEX(Equipamentos!$D$2:$D$61,N858)=3,SUMIFS(Producao!$E:$E,Producao!$A:$A,"&gt;="&amp;O858,Producao!$A:$A,"&lt;"&amp;A858),SUMIFS(Producao!$B:$B,Producao!$A:$A,"&gt;="&amp;O858,Producao!$A:$A,"&lt;"&amp;A858)))))</f>
        <v/>
      </c>
      <c r="E858">
        <f>IF(N858="","",INDEX(Equipamentos!$C$2:$C$61,N858))</f>
        <v/>
      </c>
      <c r="F858" s="57">
        <f>IF(OR(D858="",N(Q858)&lt;=0),"",D858/Q858)</f>
        <v/>
      </c>
      <c r="G858" s="55" t="n"/>
      <c r="H858" s="58" t="n"/>
      <c r="I858" s="58" t="n"/>
      <c r="J858" s="55" t="n"/>
      <c r="K858" s="55" t="n"/>
      <c r="L858">
        <f>IF(OR(A858="",B858=""),"",_xlfn.MAXIFS(TrocasEquip!$A$2:$A$1000,TrocasEquip!$B$2:$B$1000,B858,TrocasEquip!$A$2:$A$1000,"&lt;"&amp;A858))</f>
        <v/>
      </c>
      <c r="M858">
        <f>IF(N(L858)=0,0,MATCH(1,INDEX((TrocasEquip!$B$2:$B$1000=B858)*(TrocasEquip!$A$2:$A$1000=L858),0),0))</f>
        <v/>
      </c>
      <c r="N858">
        <f>IF(B858="","",IFERROR(MATCH(B858,Equipamentos!$P$2:$P$61,0),""))</f>
        <v/>
      </c>
      <c r="O858">
        <f>IF(N858="","",IF(M858=0,INDEX(Equipamentos!$U$2:$U$61,N858),L858))</f>
        <v/>
      </c>
      <c r="P858">
        <f>IF(N858="","",IF(M858=0,N(INDEX(Equipamentos!$V$2:$V$61,N858)),N(INDEX(TrocasEquip!$I$2:$I$1000,M858))))</f>
        <v/>
      </c>
      <c r="Q858">
        <f>IF(N858="","",IF(M858=0,INDEX(Equipamentos!$T$2:$T$61,N858),IF(INDEX(TrocasEquip!$H$2:$H$1000,M858)="",INDEX(Equipamentos!$T$2:$T$61,N858),INDEX(TrocasEquip!$H$2:$H$1000,M858))))</f>
        <v/>
      </c>
    </row>
    <row r="859">
      <c r="A859" s="54" t="n"/>
      <c r="B859" s="55" t="n"/>
      <c r="C859">
        <f>IF(B859="","",IF(N859="","posição não encontrada",IF(M859=0,INDEX(Equipamentos!$S$2:$S$61,N859),INDEX(TrocasEquip!$G$2:$G$1000,M859))))</f>
        <v/>
      </c>
      <c r="D859" s="56">
        <f>IF(OR(A859="",N859=""),"",P859+IF(E859="dias",MAX(0,A859-O859),IF(INDEX(Equipamentos!$D$2:$D$61,N859)=2,SUMIFS(Producao!$D:$D,Producao!$A:$A,"&gt;="&amp;O859,Producao!$A:$A,"&lt;"&amp;A859),IF(INDEX(Equipamentos!$D$2:$D$61,N859)=3,SUMIFS(Producao!$E:$E,Producao!$A:$A,"&gt;="&amp;O859,Producao!$A:$A,"&lt;"&amp;A859),SUMIFS(Producao!$B:$B,Producao!$A:$A,"&gt;="&amp;O859,Producao!$A:$A,"&lt;"&amp;A859)))))</f>
        <v/>
      </c>
      <c r="E859">
        <f>IF(N859="","",INDEX(Equipamentos!$C$2:$C$61,N859))</f>
        <v/>
      </c>
      <c r="F859" s="57">
        <f>IF(OR(D859="",N(Q859)&lt;=0),"",D859/Q859)</f>
        <v/>
      </c>
      <c r="G859" s="55" t="n"/>
      <c r="H859" s="58" t="n"/>
      <c r="I859" s="58" t="n"/>
      <c r="J859" s="55" t="n"/>
      <c r="K859" s="55" t="n"/>
      <c r="L859">
        <f>IF(OR(A859="",B859=""),"",_xlfn.MAXIFS(TrocasEquip!$A$2:$A$1000,TrocasEquip!$B$2:$B$1000,B859,TrocasEquip!$A$2:$A$1000,"&lt;"&amp;A859))</f>
        <v/>
      </c>
      <c r="M859">
        <f>IF(N(L859)=0,0,MATCH(1,INDEX((TrocasEquip!$B$2:$B$1000=B859)*(TrocasEquip!$A$2:$A$1000=L859),0),0))</f>
        <v/>
      </c>
      <c r="N859">
        <f>IF(B859="","",IFERROR(MATCH(B859,Equipamentos!$P$2:$P$61,0),""))</f>
        <v/>
      </c>
      <c r="O859">
        <f>IF(N859="","",IF(M859=0,INDEX(Equipamentos!$U$2:$U$61,N859),L859))</f>
        <v/>
      </c>
      <c r="P859">
        <f>IF(N859="","",IF(M859=0,N(INDEX(Equipamentos!$V$2:$V$61,N859)),N(INDEX(TrocasEquip!$I$2:$I$1000,M859))))</f>
        <v/>
      </c>
      <c r="Q859">
        <f>IF(N859="","",IF(M859=0,INDEX(Equipamentos!$T$2:$T$61,N859),IF(INDEX(TrocasEquip!$H$2:$H$1000,M859)="",INDEX(Equipamentos!$T$2:$T$61,N859),INDEX(TrocasEquip!$H$2:$H$1000,M859))))</f>
        <v/>
      </c>
    </row>
    <row r="860">
      <c r="A860" s="54" t="n"/>
      <c r="B860" s="55" t="n"/>
      <c r="C860">
        <f>IF(B860="","",IF(N860="","posição não encontrada",IF(M860=0,INDEX(Equipamentos!$S$2:$S$61,N860),INDEX(TrocasEquip!$G$2:$G$1000,M860))))</f>
        <v/>
      </c>
      <c r="D860" s="56">
        <f>IF(OR(A860="",N860=""),"",P860+IF(E860="dias",MAX(0,A860-O860),IF(INDEX(Equipamentos!$D$2:$D$61,N860)=2,SUMIFS(Producao!$D:$D,Producao!$A:$A,"&gt;="&amp;O860,Producao!$A:$A,"&lt;"&amp;A860),IF(INDEX(Equipamentos!$D$2:$D$61,N860)=3,SUMIFS(Producao!$E:$E,Producao!$A:$A,"&gt;="&amp;O860,Producao!$A:$A,"&lt;"&amp;A860),SUMIFS(Producao!$B:$B,Producao!$A:$A,"&gt;="&amp;O860,Producao!$A:$A,"&lt;"&amp;A860)))))</f>
        <v/>
      </c>
      <c r="E860">
        <f>IF(N860="","",INDEX(Equipamentos!$C$2:$C$61,N860))</f>
        <v/>
      </c>
      <c r="F860" s="57">
        <f>IF(OR(D860="",N(Q860)&lt;=0),"",D860/Q860)</f>
        <v/>
      </c>
      <c r="G860" s="55" t="n"/>
      <c r="H860" s="58" t="n"/>
      <c r="I860" s="58" t="n"/>
      <c r="J860" s="55" t="n"/>
      <c r="K860" s="55" t="n"/>
      <c r="L860">
        <f>IF(OR(A860="",B860=""),"",_xlfn.MAXIFS(TrocasEquip!$A$2:$A$1000,TrocasEquip!$B$2:$B$1000,B860,TrocasEquip!$A$2:$A$1000,"&lt;"&amp;A860))</f>
        <v/>
      </c>
      <c r="M860">
        <f>IF(N(L860)=0,0,MATCH(1,INDEX((TrocasEquip!$B$2:$B$1000=B860)*(TrocasEquip!$A$2:$A$1000=L860),0),0))</f>
        <v/>
      </c>
      <c r="N860">
        <f>IF(B860="","",IFERROR(MATCH(B860,Equipamentos!$P$2:$P$61,0),""))</f>
        <v/>
      </c>
      <c r="O860">
        <f>IF(N860="","",IF(M860=0,INDEX(Equipamentos!$U$2:$U$61,N860),L860))</f>
        <v/>
      </c>
      <c r="P860">
        <f>IF(N860="","",IF(M860=0,N(INDEX(Equipamentos!$V$2:$V$61,N860)),N(INDEX(TrocasEquip!$I$2:$I$1000,M860))))</f>
        <v/>
      </c>
      <c r="Q860">
        <f>IF(N860="","",IF(M860=0,INDEX(Equipamentos!$T$2:$T$61,N860),IF(INDEX(TrocasEquip!$H$2:$H$1000,M860)="",INDEX(Equipamentos!$T$2:$T$61,N860),INDEX(TrocasEquip!$H$2:$H$1000,M860))))</f>
        <v/>
      </c>
    </row>
    <row r="861">
      <c r="A861" s="54" t="n"/>
      <c r="B861" s="55" t="n"/>
      <c r="C861">
        <f>IF(B861="","",IF(N861="","posição não encontrada",IF(M861=0,INDEX(Equipamentos!$S$2:$S$61,N861),INDEX(TrocasEquip!$G$2:$G$1000,M861))))</f>
        <v/>
      </c>
      <c r="D861" s="56">
        <f>IF(OR(A861="",N861=""),"",P861+IF(E861="dias",MAX(0,A861-O861),IF(INDEX(Equipamentos!$D$2:$D$61,N861)=2,SUMIFS(Producao!$D:$D,Producao!$A:$A,"&gt;="&amp;O861,Producao!$A:$A,"&lt;"&amp;A861),IF(INDEX(Equipamentos!$D$2:$D$61,N861)=3,SUMIFS(Producao!$E:$E,Producao!$A:$A,"&gt;="&amp;O861,Producao!$A:$A,"&lt;"&amp;A861),SUMIFS(Producao!$B:$B,Producao!$A:$A,"&gt;="&amp;O861,Producao!$A:$A,"&lt;"&amp;A861)))))</f>
        <v/>
      </c>
      <c r="E861">
        <f>IF(N861="","",INDEX(Equipamentos!$C$2:$C$61,N861))</f>
        <v/>
      </c>
      <c r="F861" s="57">
        <f>IF(OR(D861="",N(Q861)&lt;=0),"",D861/Q861)</f>
        <v/>
      </c>
      <c r="G861" s="55" t="n"/>
      <c r="H861" s="58" t="n"/>
      <c r="I861" s="58" t="n"/>
      <c r="J861" s="55" t="n"/>
      <c r="K861" s="55" t="n"/>
      <c r="L861">
        <f>IF(OR(A861="",B861=""),"",_xlfn.MAXIFS(TrocasEquip!$A$2:$A$1000,TrocasEquip!$B$2:$B$1000,B861,TrocasEquip!$A$2:$A$1000,"&lt;"&amp;A861))</f>
        <v/>
      </c>
      <c r="M861">
        <f>IF(N(L861)=0,0,MATCH(1,INDEX((TrocasEquip!$B$2:$B$1000=B861)*(TrocasEquip!$A$2:$A$1000=L861),0),0))</f>
        <v/>
      </c>
      <c r="N861">
        <f>IF(B861="","",IFERROR(MATCH(B861,Equipamentos!$P$2:$P$61,0),""))</f>
        <v/>
      </c>
      <c r="O861">
        <f>IF(N861="","",IF(M861=0,INDEX(Equipamentos!$U$2:$U$61,N861),L861))</f>
        <v/>
      </c>
      <c r="P861">
        <f>IF(N861="","",IF(M861=0,N(INDEX(Equipamentos!$V$2:$V$61,N861)),N(INDEX(TrocasEquip!$I$2:$I$1000,M861))))</f>
        <v/>
      </c>
      <c r="Q861">
        <f>IF(N861="","",IF(M861=0,INDEX(Equipamentos!$T$2:$T$61,N861),IF(INDEX(TrocasEquip!$H$2:$H$1000,M861)="",INDEX(Equipamentos!$T$2:$T$61,N861),INDEX(TrocasEquip!$H$2:$H$1000,M861))))</f>
        <v/>
      </c>
    </row>
    <row r="862">
      <c r="A862" s="54" t="n"/>
      <c r="B862" s="55" t="n"/>
      <c r="C862">
        <f>IF(B862="","",IF(N862="","posição não encontrada",IF(M862=0,INDEX(Equipamentos!$S$2:$S$61,N862),INDEX(TrocasEquip!$G$2:$G$1000,M862))))</f>
        <v/>
      </c>
      <c r="D862" s="56">
        <f>IF(OR(A862="",N862=""),"",P862+IF(E862="dias",MAX(0,A862-O862),IF(INDEX(Equipamentos!$D$2:$D$61,N862)=2,SUMIFS(Producao!$D:$D,Producao!$A:$A,"&gt;="&amp;O862,Producao!$A:$A,"&lt;"&amp;A862),IF(INDEX(Equipamentos!$D$2:$D$61,N862)=3,SUMIFS(Producao!$E:$E,Producao!$A:$A,"&gt;="&amp;O862,Producao!$A:$A,"&lt;"&amp;A862),SUMIFS(Producao!$B:$B,Producao!$A:$A,"&gt;="&amp;O862,Producao!$A:$A,"&lt;"&amp;A862)))))</f>
        <v/>
      </c>
      <c r="E862">
        <f>IF(N862="","",INDEX(Equipamentos!$C$2:$C$61,N862))</f>
        <v/>
      </c>
      <c r="F862" s="57">
        <f>IF(OR(D862="",N(Q862)&lt;=0),"",D862/Q862)</f>
        <v/>
      </c>
      <c r="G862" s="55" t="n"/>
      <c r="H862" s="58" t="n"/>
      <c r="I862" s="58" t="n"/>
      <c r="J862" s="55" t="n"/>
      <c r="K862" s="55" t="n"/>
      <c r="L862">
        <f>IF(OR(A862="",B862=""),"",_xlfn.MAXIFS(TrocasEquip!$A$2:$A$1000,TrocasEquip!$B$2:$B$1000,B862,TrocasEquip!$A$2:$A$1000,"&lt;"&amp;A862))</f>
        <v/>
      </c>
      <c r="M862">
        <f>IF(N(L862)=0,0,MATCH(1,INDEX((TrocasEquip!$B$2:$B$1000=B862)*(TrocasEquip!$A$2:$A$1000=L862),0),0))</f>
        <v/>
      </c>
      <c r="N862">
        <f>IF(B862="","",IFERROR(MATCH(B862,Equipamentos!$P$2:$P$61,0),""))</f>
        <v/>
      </c>
      <c r="O862">
        <f>IF(N862="","",IF(M862=0,INDEX(Equipamentos!$U$2:$U$61,N862),L862))</f>
        <v/>
      </c>
      <c r="P862">
        <f>IF(N862="","",IF(M862=0,N(INDEX(Equipamentos!$V$2:$V$61,N862)),N(INDEX(TrocasEquip!$I$2:$I$1000,M862))))</f>
        <v/>
      </c>
      <c r="Q862">
        <f>IF(N862="","",IF(M862=0,INDEX(Equipamentos!$T$2:$T$61,N862),IF(INDEX(TrocasEquip!$H$2:$H$1000,M862)="",INDEX(Equipamentos!$T$2:$T$61,N862),INDEX(TrocasEquip!$H$2:$H$1000,M862))))</f>
        <v/>
      </c>
    </row>
    <row r="863">
      <c r="A863" s="54" t="n"/>
      <c r="B863" s="55" t="n"/>
      <c r="C863">
        <f>IF(B863="","",IF(N863="","posição não encontrada",IF(M863=0,INDEX(Equipamentos!$S$2:$S$61,N863),INDEX(TrocasEquip!$G$2:$G$1000,M863))))</f>
        <v/>
      </c>
      <c r="D863" s="56">
        <f>IF(OR(A863="",N863=""),"",P863+IF(E863="dias",MAX(0,A863-O863),IF(INDEX(Equipamentos!$D$2:$D$61,N863)=2,SUMIFS(Producao!$D:$D,Producao!$A:$A,"&gt;="&amp;O863,Producao!$A:$A,"&lt;"&amp;A863),IF(INDEX(Equipamentos!$D$2:$D$61,N863)=3,SUMIFS(Producao!$E:$E,Producao!$A:$A,"&gt;="&amp;O863,Producao!$A:$A,"&lt;"&amp;A863),SUMIFS(Producao!$B:$B,Producao!$A:$A,"&gt;="&amp;O863,Producao!$A:$A,"&lt;"&amp;A863)))))</f>
        <v/>
      </c>
      <c r="E863">
        <f>IF(N863="","",INDEX(Equipamentos!$C$2:$C$61,N863))</f>
        <v/>
      </c>
      <c r="F863" s="57">
        <f>IF(OR(D863="",N(Q863)&lt;=0),"",D863/Q863)</f>
        <v/>
      </c>
      <c r="G863" s="55" t="n"/>
      <c r="H863" s="58" t="n"/>
      <c r="I863" s="58" t="n"/>
      <c r="J863" s="55" t="n"/>
      <c r="K863" s="55" t="n"/>
      <c r="L863">
        <f>IF(OR(A863="",B863=""),"",_xlfn.MAXIFS(TrocasEquip!$A$2:$A$1000,TrocasEquip!$B$2:$B$1000,B863,TrocasEquip!$A$2:$A$1000,"&lt;"&amp;A863))</f>
        <v/>
      </c>
      <c r="M863">
        <f>IF(N(L863)=0,0,MATCH(1,INDEX((TrocasEquip!$B$2:$B$1000=B863)*(TrocasEquip!$A$2:$A$1000=L863),0),0))</f>
        <v/>
      </c>
      <c r="N863">
        <f>IF(B863="","",IFERROR(MATCH(B863,Equipamentos!$P$2:$P$61,0),""))</f>
        <v/>
      </c>
      <c r="O863">
        <f>IF(N863="","",IF(M863=0,INDEX(Equipamentos!$U$2:$U$61,N863),L863))</f>
        <v/>
      </c>
      <c r="P863">
        <f>IF(N863="","",IF(M863=0,N(INDEX(Equipamentos!$V$2:$V$61,N863)),N(INDEX(TrocasEquip!$I$2:$I$1000,M863))))</f>
        <v/>
      </c>
      <c r="Q863">
        <f>IF(N863="","",IF(M863=0,INDEX(Equipamentos!$T$2:$T$61,N863),IF(INDEX(TrocasEquip!$H$2:$H$1000,M863)="",INDEX(Equipamentos!$T$2:$T$61,N863),INDEX(TrocasEquip!$H$2:$H$1000,M863))))</f>
        <v/>
      </c>
    </row>
    <row r="864">
      <c r="A864" s="54" t="n"/>
      <c r="B864" s="55" t="n"/>
      <c r="C864">
        <f>IF(B864="","",IF(N864="","posição não encontrada",IF(M864=0,INDEX(Equipamentos!$S$2:$S$61,N864),INDEX(TrocasEquip!$G$2:$G$1000,M864))))</f>
        <v/>
      </c>
      <c r="D864" s="56">
        <f>IF(OR(A864="",N864=""),"",P864+IF(E864="dias",MAX(0,A864-O864),IF(INDEX(Equipamentos!$D$2:$D$61,N864)=2,SUMIFS(Producao!$D:$D,Producao!$A:$A,"&gt;="&amp;O864,Producao!$A:$A,"&lt;"&amp;A864),IF(INDEX(Equipamentos!$D$2:$D$61,N864)=3,SUMIFS(Producao!$E:$E,Producao!$A:$A,"&gt;="&amp;O864,Producao!$A:$A,"&lt;"&amp;A864),SUMIFS(Producao!$B:$B,Producao!$A:$A,"&gt;="&amp;O864,Producao!$A:$A,"&lt;"&amp;A864)))))</f>
        <v/>
      </c>
      <c r="E864">
        <f>IF(N864="","",INDEX(Equipamentos!$C$2:$C$61,N864))</f>
        <v/>
      </c>
      <c r="F864" s="57">
        <f>IF(OR(D864="",N(Q864)&lt;=0),"",D864/Q864)</f>
        <v/>
      </c>
      <c r="G864" s="55" t="n"/>
      <c r="H864" s="58" t="n"/>
      <c r="I864" s="58" t="n"/>
      <c r="J864" s="55" t="n"/>
      <c r="K864" s="55" t="n"/>
      <c r="L864">
        <f>IF(OR(A864="",B864=""),"",_xlfn.MAXIFS(TrocasEquip!$A$2:$A$1000,TrocasEquip!$B$2:$B$1000,B864,TrocasEquip!$A$2:$A$1000,"&lt;"&amp;A864))</f>
        <v/>
      </c>
      <c r="M864">
        <f>IF(N(L864)=0,0,MATCH(1,INDEX((TrocasEquip!$B$2:$B$1000=B864)*(TrocasEquip!$A$2:$A$1000=L864),0),0))</f>
        <v/>
      </c>
      <c r="N864">
        <f>IF(B864="","",IFERROR(MATCH(B864,Equipamentos!$P$2:$P$61,0),""))</f>
        <v/>
      </c>
      <c r="O864">
        <f>IF(N864="","",IF(M864=0,INDEX(Equipamentos!$U$2:$U$61,N864),L864))</f>
        <v/>
      </c>
      <c r="P864">
        <f>IF(N864="","",IF(M864=0,N(INDEX(Equipamentos!$V$2:$V$61,N864)),N(INDEX(TrocasEquip!$I$2:$I$1000,M864))))</f>
        <v/>
      </c>
      <c r="Q864">
        <f>IF(N864="","",IF(M864=0,INDEX(Equipamentos!$T$2:$T$61,N864),IF(INDEX(TrocasEquip!$H$2:$H$1000,M864)="",INDEX(Equipamentos!$T$2:$T$61,N864),INDEX(TrocasEquip!$H$2:$H$1000,M864))))</f>
        <v/>
      </c>
    </row>
    <row r="865">
      <c r="A865" s="54" t="n"/>
      <c r="B865" s="55" t="n"/>
      <c r="C865">
        <f>IF(B865="","",IF(N865="","posição não encontrada",IF(M865=0,INDEX(Equipamentos!$S$2:$S$61,N865),INDEX(TrocasEquip!$G$2:$G$1000,M865))))</f>
        <v/>
      </c>
      <c r="D865" s="56">
        <f>IF(OR(A865="",N865=""),"",P865+IF(E865="dias",MAX(0,A865-O865),IF(INDEX(Equipamentos!$D$2:$D$61,N865)=2,SUMIFS(Producao!$D:$D,Producao!$A:$A,"&gt;="&amp;O865,Producao!$A:$A,"&lt;"&amp;A865),IF(INDEX(Equipamentos!$D$2:$D$61,N865)=3,SUMIFS(Producao!$E:$E,Producao!$A:$A,"&gt;="&amp;O865,Producao!$A:$A,"&lt;"&amp;A865),SUMIFS(Producao!$B:$B,Producao!$A:$A,"&gt;="&amp;O865,Producao!$A:$A,"&lt;"&amp;A865)))))</f>
        <v/>
      </c>
      <c r="E865">
        <f>IF(N865="","",INDEX(Equipamentos!$C$2:$C$61,N865))</f>
        <v/>
      </c>
      <c r="F865" s="57">
        <f>IF(OR(D865="",N(Q865)&lt;=0),"",D865/Q865)</f>
        <v/>
      </c>
      <c r="G865" s="55" t="n"/>
      <c r="H865" s="58" t="n"/>
      <c r="I865" s="58" t="n"/>
      <c r="J865" s="55" t="n"/>
      <c r="K865" s="55" t="n"/>
      <c r="L865">
        <f>IF(OR(A865="",B865=""),"",_xlfn.MAXIFS(TrocasEquip!$A$2:$A$1000,TrocasEquip!$B$2:$B$1000,B865,TrocasEquip!$A$2:$A$1000,"&lt;"&amp;A865))</f>
        <v/>
      </c>
      <c r="M865">
        <f>IF(N(L865)=0,0,MATCH(1,INDEX((TrocasEquip!$B$2:$B$1000=B865)*(TrocasEquip!$A$2:$A$1000=L865),0),0))</f>
        <v/>
      </c>
      <c r="N865">
        <f>IF(B865="","",IFERROR(MATCH(B865,Equipamentos!$P$2:$P$61,0),""))</f>
        <v/>
      </c>
      <c r="O865">
        <f>IF(N865="","",IF(M865=0,INDEX(Equipamentos!$U$2:$U$61,N865),L865))</f>
        <v/>
      </c>
      <c r="P865">
        <f>IF(N865="","",IF(M865=0,N(INDEX(Equipamentos!$V$2:$V$61,N865)),N(INDEX(TrocasEquip!$I$2:$I$1000,M865))))</f>
        <v/>
      </c>
      <c r="Q865">
        <f>IF(N865="","",IF(M865=0,INDEX(Equipamentos!$T$2:$T$61,N865),IF(INDEX(TrocasEquip!$H$2:$H$1000,M865)="",INDEX(Equipamentos!$T$2:$T$61,N865),INDEX(TrocasEquip!$H$2:$H$1000,M865))))</f>
        <v/>
      </c>
    </row>
    <row r="866">
      <c r="A866" s="54" t="n"/>
      <c r="B866" s="55" t="n"/>
      <c r="C866">
        <f>IF(B866="","",IF(N866="","posição não encontrada",IF(M866=0,INDEX(Equipamentos!$S$2:$S$61,N866),INDEX(TrocasEquip!$G$2:$G$1000,M866))))</f>
        <v/>
      </c>
      <c r="D866" s="56">
        <f>IF(OR(A866="",N866=""),"",P866+IF(E866="dias",MAX(0,A866-O866),IF(INDEX(Equipamentos!$D$2:$D$61,N866)=2,SUMIFS(Producao!$D:$D,Producao!$A:$A,"&gt;="&amp;O866,Producao!$A:$A,"&lt;"&amp;A866),IF(INDEX(Equipamentos!$D$2:$D$61,N866)=3,SUMIFS(Producao!$E:$E,Producao!$A:$A,"&gt;="&amp;O866,Producao!$A:$A,"&lt;"&amp;A866),SUMIFS(Producao!$B:$B,Producao!$A:$A,"&gt;="&amp;O866,Producao!$A:$A,"&lt;"&amp;A866)))))</f>
        <v/>
      </c>
      <c r="E866">
        <f>IF(N866="","",INDEX(Equipamentos!$C$2:$C$61,N866))</f>
        <v/>
      </c>
      <c r="F866" s="57">
        <f>IF(OR(D866="",N(Q866)&lt;=0),"",D866/Q866)</f>
        <v/>
      </c>
      <c r="G866" s="55" t="n"/>
      <c r="H866" s="58" t="n"/>
      <c r="I866" s="58" t="n"/>
      <c r="J866" s="55" t="n"/>
      <c r="K866" s="55" t="n"/>
      <c r="L866">
        <f>IF(OR(A866="",B866=""),"",_xlfn.MAXIFS(TrocasEquip!$A$2:$A$1000,TrocasEquip!$B$2:$B$1000,B866,TrocasEquip!$A$2:$A$1000,"&lt;"&amp;A866))</f>
        <v/>
      </c>
      <c r="M866">
        <f>IF(N(L866)=0,0,MATCH(1,INDEX((TrocasEquip!$B$2:$B$1000=B866)*(TrocasEquip!$A$2:$A$1000=L866),0),0))</f>
        <v/>
      </c>
      <c r="N866">
        <f>IF(B866="","",IFERROR(MATCH(B866,Equipamentos!$P$2:$P$61,0),""))</f>
        <v/>
      </c>
      <c r="O866">
        <f>IF(N866="","",IF(M866=0,INDEX(Equipamentos!$U$2:$U$61,N866),L866))</f>
        <v/>
      </c>
      <c r="P866">
        <f>IF(N866="","",IF(M866=0,N(INDEX(Equipamentos!$V$2:$V$61,N866)),N(INDEX(TrocasEquip!$I$2:$I$1000,M866))))</f>
        <v/>
      </c>
      <c r="Q866">
        <f>IF(N866="","",IF(M866=0,INDEX(Equipamentos!$T$2:$T$61,N866),IF(INDEX(TrocasEquip!$H$2:$H$1000,M866)="",INDEX(Equipamentos!$T$2:$T$61,N866),INDEX(TrocasEquip!$H$2:$H$1000,M866))))</f>
        <v/>
      </c>
    </row>
    <row r="867">
      <c r="A867" s="54" t="n"/>
      <c r="B867" s="55" t="n"/>
      <c r="C867">
        <f>IF(B867="","",IF(N867="","posição não encontrada",IF(M867=0,INDEX(Equipamentos!$S$2:$S$61,N867),INDEX(TrocasEquip!$G$2:$G$1000,M867))))</f>
        <v/>
      </c>
      <c r="D867" s="56">
        <f>IF(OR(A867="",N867=""),"",P867+IF(E867="dias",MAX(0,A867-O867),IF(INDEX(Equipamentos!$D$2:$D$61,N867)=2,SUMIFS(Producao!$D:$D,Producao!$A:$A,"&gt;="&amp;O867,Producao!$A:$A,"&lt;"&amp;A867),IF(INDEX(Equipamentos!$D$2:$D$61,N867)=3,SUMIFS(Producao!$E:$E,Producao!$A:$A,"&gt;="&amp;O867,Producao!$A:$A,"&lt;"&amp;A867),SUMIFS(Producao!$B:$B,Producao!$A:$A,"&gt;="&amp;O867,Producao!$A:$A,"&lt;"&amp;A867)))))</f>
        <v/>
      </c>
      <c r="E867">
        <f>IF(N867="","",INDEX(Equipamentos!$C$2:$C$61,N867))</f>
        <v/>
      </c>
      <c r="F867" s="57">
        <f>IF(OR(D867="",N(Q867)&lt;=0),"",D867/Q867)</f>
        <v/>
      </c>
      <c r="G867" s="55" t="n"/>
      <c r="H867" s="58" t="n"/>
      <c r="I867" s="58" t="n"/>
      <c r="J867" s="55" t="n"/>
      <c r="K867" s="55" t="n"/>
      <c r="L867">
        <f>IF(OR(A867="",B867=""),"",_xlfn.MAXIFS(TrocasEquip!$A$2:$A$1000,TrocasEquip!$B$2:$B$1000,B867,TrocasEquip!$A$2:$A$1000,"&lt;"&amp;A867))</f>
        <v/>
      </c>
      <c r="M867">
        <f>IF(N(L867)=0,0,MATCH(1,INDEX((TrocasEquip!$B$2:$B$1000=B867)*(TrocasEquip!$A$2:$A$1000=L867),0),0))</f>
        <v/>
      </c>
      <c r="N867">
        <f>IF(B867="","",IFERROR(MATCH(B867,Equipamentos!$P$2:$P$61,0),""))</f>
        <v/>
      </c>
      <c r="O867">
        <f>IF(N867="","",IF(M867=0,INDEX(Equipamentos!$U$2:$U$61,N867),L867))</f>
        <v/>
      </c>
      <c r="P867">
        <f>IF(N867="","",IF(M867=0,N(INDEX(Equipamentos!$V$2:$V$61,N867)),N(INDEX(TrocasEquip!$I$2:$I$1000,M867))))</f>
        <v/>
      </c>
      <c r="Q867">
        <f>IF(N867="","",IF(M867=0,INDEX(Equipamentos!$T$2:$T$61,N867),IF(INDEX(TrocasEquip!$H$2:$H$1000,M867)="",INDEX(Equipamentos!$T$2:$T$61,N867),INDEX(TrocasEquip!$H$2:$H$1000,M867))))</f>
        <v/>
      </c>
    </row>
    <row r="868">
      <c r="A868" s="54" t="n"/>
      <c r="B868" s="55" t="n"/>
      <c r="C868">
        <f>IF(B868="","",IF(N868="","posição não encontrada",IF(M868=0,INDEX(Equipamentos!$S$2:$S$61,N868),INDEX(TrocasEquip!$G$2:$G$1000,M868))))</f>
        <v/>
      </c>
      <c r="D868" s="56">
        <f>IF(OR(A868="",N868=""),"",P868+IF(E868="dias",MAX(0,A868-O868),IF(INDEX(Equipamentos!$D$2:$D$61,N868)=2,SUMIFS(Producao!$D:$D,Producao!$A:$A,"&gt;="&amp;O868,Producao!$A:$A,"&lt;"&amp;A868),IF(INDEX(Equipamentos!$D$2:$D$61,N868)=3,SUMIFS(Producao!$E:$E,Producao!$A:$A,"&gt;="&amp;O868,Producao!$A:$A,"&lt;"&amp;A868),SUMIFS(Producao!$B:$B,Producao!$A:$A,"&gt;="&amp;O868,Producao!$A:$A,"&lt;"&amp;A868)))))</f>
        <v/>
      </c>
      <c r="E868">
        <f>IF(N868="","",INDEX(Equipamentos!$C$2:$C$61,N868))</f>
        <v/>
      </c>
      <c r="F868" s="57">
        <f>IF(OR(D868="",N(Q868)&lt;=0),"",D868/Q868)</f>
        <v/>
      </c>
      <c r="G868" s="55" t="n"/>
      <c r="H868" s="58" t="n"/>
      <c r="I868" s="58" t="n"/>
      <c r="J868" s="55" t="n"/>
      <c r="K868" s="55" t="n"/>
      <c r="L868">
        <f>IF(OR(A868="",B868=""),"",_xlfn.MAXIFS(TrocasEquip!$A$2:$A$1000,TrocasEquip!$B$2:$B$1000,B868,TrocasEquip!$A$2:$A$1000,"&lt;"&amp;A868))</f>
        <v/>
      </c>
      <c r="M868">
        <f>IF(N(L868)=0,0,MATCH(1,INDEX((TrocasEquip!$B$2:$B$1000=B868)*(TrocasEquip!$A$2:$A$1000=L868),0),0))</f>
        <v/>
      </c>
      <c r="N868">
        <f>IF(B868="","",IFERROR(MATCH(B868,Equipamentos!$P$2:$P$61,0),""))</f>
        <v/>
      </c>
      <c r="O868">
        <f>IF(N868="","",IF(M868=0,INDEX(Equipamentos!$U$2:$U$61,N868),L868))</f>
        <v/>
      </c>
      <c r="P868">
        <f>IF(N868="","",IF(M868=0,N(INDEX(Equipamentos!$V$2:$V$61,N868)),N(INDEX(TrocasEquip!$I$2:$I$1000,M868))))</f>
        <v/>
      </c>
      <c r="Q868">
        <f>IF(N868="","",IF(M868=0,INDEX(Equipamentos!$T$2:$T$61,N868),IF(INDEX(TrocasEquip!$H$2:$H$1000,M868)="",INDEX(Equipamentos!$T$2:$T$61,N868),INDEX(TrocasEquip!$H$2:$H$1000,M868))))</f>
        <v/>
      </c>
    </row>
    <row r="869">
      <c r="A869" s="54" t="n"/>
      <c r="B869" s="55" t="n"/>
      <c r="C869">
        <f>IF(B869="","",IF(N869="","posição não encontrada",IF(M869=0,INDEX(Equipamentos!$S$2:$S$61,N869),INDEX(TrocasEquip!$G$2:$G$1000,M869))))</f>
        <v/>
      </c>
      <c r="D869" s="56">
        <f>IF(OR(A869="",N869=""),"",P869+IF(E869="dias",MAX(0,A869-O869),IF(INDEX(Equipamentos!$D$2:$D$61,N869)=2,SUMIFS(Producao!$D:$D,Producao!$A:$A,"&gt;="&amp;O869,Producao!$A:$A,"&lt;"&amp;A869),IF(INDEX(Equipamentos!$D$2:$D$61,N869)=3,SUMIFS(Producao!$E:$E,Producao!$A:$A,"&gt;="&amp;O869,Producao!$A:$A,"&lt;"&amp;A869),SUMIFS(Producao!$B:$B,Producao!$A:$A,"&gt;="&amp;O869,Producao!$A:$A,"&lt;"&amp;A869)))))</f>
        <v/>
      </c>
      <c r="E869">
        <f>IF(N869="","",INDEX(Equipamentos!$C$2:$C$61,N869))</f>
        <v/>
      </c>
      <c r="F869" s="57">
        <f>IF(OR(D869="",N(Q869)&lt;=0),"",D869/Q869)</f>
        <v/>
      </c>
      <c r="G869" s="55" t="n"/>
      <c r="H869" s="58" t="n"/>
      <c r="I869" s="58" t="n"/>
      <c r="J869" s="55" t="n"/>
      <c r="K869" s="55" t="n"/>
      <c r="L869">
        <f>IF(OR(A869="",B869=""),"",_xlfn.MAXIFS(TrocasEquip!$A$2:$A$1000,TrocasEquip!$B$2:$B$1000,B869,TrocasEquip!$A$2:$A$1000,"&lt;"&amp;A869))</f>
        <v/>
      </c>
      <c r="M869">
        <f>IF(N(L869)=0,0,MATCH(1,INDEX((TrocasEquip!$B$2:$B$1000=B869)*(TrocasEquip!$A$2:$A$1000=L869),0),0))</f>
        <v/>
      </c>
      <c r="N869">
        <f>IF(B869="","",IFERROR(MATCH(B869,Equipamentos!$P$2:$P$61,0),""))</f>
        <v/>
      </c>
      <c r="O869">
        <f>IF(N869="","",IF(M869=0,INDEX(Equipamentos!$U$2:$U$61,N869),L869))</f>
        <v/>
      </c>
      <c r="P869">
        <f>IF(N869="","",IF(M869=0,N(INDEX(Equipamentos!$V$2:$V$61,N869)),N(INDEX(TrocasEquip!$I$2:$I$1000,M869))))</f>
        <v/>
      </c>
      <c r="Q869">
        <f>IF(N869="","",IF(M869=0,INDEX(Equipamentos!$T$2:$T$61,N869),IF(INDEX(TrocasEquip!$H$2:$H$1000,M869)="",INDEX(Equipamentos!$T$2:$T$61,N869),INDEX(TrocasEquip!$H$2:$H$1000,M869))))</f>
        <v/>
      </c>
    </row>
    <row r="870">
      <c r="A870" s="54" t="n"/>
      <c r="B870" s="55" t="n"/>
      <c r="C870">
        <f>IF(B870="","",IF(N870="","posição não encontrada",IF(M870=0,INDEX(Equipamentos!$S$2:$S$61,N870),INDEX(TrocasEquip!$G$2:$G$1000,M870))))</f>
        <v/>
      </c>
      <c r="D870" s="56">
        <f>IF(OR(A870="",N870=""),"",P870+IF(E870="dias",MAX(0,A870-O870),IF(INDEX(Equipamentos!$D$2:$D$61,N870)=2,SUMIFS(Producao!$D:$D,Producao!$A:$A,"&gt;="&amp;O870,Producao!$A:$A,"&lt;"&amp;A870),IF(INDEX(Equipamentos!$D$2:$D$61,N870)=3,SUMIFS(Producao!$E:$E,Producao!$A:$A,"&gt;="&amp;O870,Producao!$A:$A,"&lt;"&amp;A870),SUMIFS(Producao!$B:$B,Producao!$A:$A,"&gt;="&amp;O870,Producao!$A:$A,"&lt;"&amp;A870)))))</f>
        <v/>
      </c>
      <c r="E870">
        <f>IF(N870="","",INDEX(Equipamentos!$C$2:$C$61,N870))</f>
        <v/>
      </c>
      <c r="F870" s="57">
        <f>IF(OR(D870="",N(Q870)&lt;=0),"",D870/Q870)</f>
        <v/>
      </c>
      <c r="G870" s="55" t="n"/>
      <c r="H870" s="58" t="n"/>
      <c r="I870" s="58" t="n"/>
      <c r="J870" s="55" t="n"/>
      <c r="K870" s="55" t="n"/>
      <c r="L870">
        <f>IF(OR(A870="",B870=""),"",_xlfn.MAXIFS(TrocasEquip!$A$2:$A$1000,TrocasEquip!$B$2:$B$1000,B870,TrocasEquip!$A$2:$A$1000,"&lt;"&amp;A870))</f>
        <v/>
      </c>
      <c r="M870">
        <f>IF(N(L870)=0,0,MATCH(1,INDEX((TrocasEquip!$B$2:$B$1000=B870)*(TrocasEquip!$A$2:$A$1000=L870),0),0))</f>
        <v/>
      </c>
      <c r="N870">
        <f>IF(B870="","",IFERROR(MATCH(B870,Equipamentos!$P$2:$P$61,0),""))</f>
        <v/>
      </c>
      <c r="O870">
        <f>IF(N870="","",IF(M870=0,INDEX(Equipamentos!$U$2:$U$61,N870),L870))</f>
        <v/>
      </c>
      <c r="P870">
        <f>IF(N870="","",IF(M870=0,N(INDEX(Equipamentos!$V$2:$V$61,N870)),N(INDEX(TrocasEquip!$I$2:$I$1000,M870))))</f>
        <v/>
      </c>
      <c r="Q870">
        <f>IF(N870="","",IF(M870=0,INDEX(Equipamentos!$T$2:$T$61,N870),IF(INDEX(TrocasEquip!$H$2:$H$1000,M870)="",INDEX(Equipamentos!$T$2:$T$61,N870),INDEX(TrocasEquip!$H$2:$H$1000,M870))))</f>
        <v/>
      </c>
    </row>
    <row r="871">
      <c r="A871" s="54" t="n"/>
      <c r="B871" s="55" t="n"/>
      <c r="C871">
        <f>IF(B871="","",IF(N871="","posição não encontrada",IF(M871=0,INDEX(Equipamentos!$S$2:$S$61,N871),INDEX(TrocasEquip!$G$2:$G$1000,M871))))</f>
        <v/>
      </c>
      <c r="D871" s="56">
        <f>IF(OR(A871="",N871=""),"",P871+IF(E871="dias",MAX(0,A871-O871),IF(INDEX(Equipamentos!$D$2:$D$61,N871)=2,SUMIFS(Producao!$D:$D,Producao!$A:$A,"&gt;="&amp;O871,Producao!$A:$A,"&lt;"&amp;A871),IF(INDEX(Equipamentos!$D$2:$D$61,N871)=3,SUMIFS(Producao!$E:$E,Producao!$A:$A,"&gt;="&amp;O871,Producao!$A:$A,"&lt;"&amp;A871),SUMIFS(Producao!$B:$B,Producao!$A:$A,"&gt;="&amp;O871,Producao!$A:$A,"&lt;"&amp;A871)))))</f>
        <v/>
      </c>
      <c r="E871">
        <f>IF(N871="","",INDEX(Equipamentos!$C$2:$C$61,N871))</f>
        <v/>
      </c>
      <c r="F871" s="57">
        <f>IF(OR(D871="",N(Q871)&lt;=0),"",D871/Q871)</f>
        <v/>
      </c>
      <c r="G871" s="55" t="n"/>
      <c r="H871" s="58" t="n"/>
      <c r="I871" s="58" t="n"/>
      <c r="J871" s="55" t="n"/>
      <c r="K871" s="55" t="n"/>
      <c r="L871">
        <f>IF(OR(A871="",B871=""),"",_xlfn.MAXIFS(TrocasEquip!$A$2:$A$1000,TrocasEquip!$B$2:$B$1000,B871,TrocasEquip!$A$2:$A$1000,"&lt;"&amp;A871))</f>
        <v/>
      </c>
      <c r="M871">
        <f>IF(N(L871)=0,0,MATCH(1,INDEX((TrocasEquip!$B$2:$B$1000=B871)*(TrocasEquip!$A$2:$A$1000=L871),0),0))</f>
        <v/>
      </c>
      <c r="N871">
        <f>IF(B871="","",IFERROR(MATCH(B871,Equipamentos!$P$2:$P$61,0),""))</f>
        <v/>
      </c>
      <c r="O871">
        <f>IF(N871="","",IF(M871=0,INDEX(Equipamentos!$U$2:$U$61,N871),L871))</f>
        <v/>
      </c>
      <c r="P871">
        <f>IF(N871="","",IF(M871=0,N(INDEX(Equipamentos!$V$2:$V$61,N871)),N(INDEX(TrocasEquip!$I$2:$I$1000,M871))))</f>
        <v/>
      </c>
      <c r="Q871">
        <f>IF(N871="","",IF(M871=0,INDEX(Equipamentos!$T$2:$T$61,N871),IF(INDEX(TrocasEquip!$H$2:$H$1000,M871)="",INDEX(Equipamentos!$T$2:$T$61,N871),INDEX(TrocasEquip!$H$2:$H$1000,M871))))</f>
        <v/>
      </c>
    </row>
    <row r="872">
      <c r="A872" s="54" t="n"/>
      <c r="B872" s="55" t="n"/>
      <c r="C872">
        <f>IF(B872="","",IF(N872="","posição não encontrada",IF(M872=0,INDEX(Equipamentos!$S$2:$S$61,N872),INDEX(TrocasEquip!$G$2:$G$1000,M872))))</f>
        <v/>
      </c>
      <c r="D872" s="56">
        <f>IF(OR(A872="",N872=""),"",P872+IF(E872="dias",MAX(0,A872-O872),IF(INDEX(Equipamentos!$D$2:$D$61,N872)=2,SUMIFS(Producao!$D:$D,Producao!$A:$A,"&gt;="&amp;O872,Producao!$A:$A,"&lt;"&amp;A872),IF(INDEX(Equipamentos!$D$2:$D$61,N872)=3,SUMIFS(Producao!$E:$E,Producao!$A:$A,"&gt;="&amp;O872,Producao!$A:$A,"&lt;"&amp;A872),SUMIFS(Producao!$B:$B,Producao!$A:$A,"&gt;="&amp;O872,Producao!$A:$A,"&lt;"&amp;A872)))))</f>
        <v/>
      </c>
      <c r="E872">
        <f>IF(N872="","",INDEX(Equipamentos!$C$2:$C$61,N872))</f>
        <v/>
      </c>
      <c r="F872" s="57">
        <f>IF(OR(D872="",N(Q872)&lt;=0),"",D872/Q872)</f>
        <v/>
      </c>
      <c r="G872" s="55" t="n"/>
      <c r="H872" s="58" t="n"/>
      <c r="I872" s="58" t="n"/>
      <c r="J872" s="55" t="n"/>
      <c r="K872" s="55" t="n"/>
      <c r="L872">
        <f>IF(OR(A872="",B872=""),"",_xlfn.MAXIFS(TrocasEquip!$A$2:$A$1000,TrocasEquip!$B$2:$B$1000,B872,TrocasEquip!$A$2:$A$1000,"&lt;"&amp;A872))</f>
        <v/>
      </c>
      <c r="M872">
        <f>IF(N(L872)=0,0,MATCH(1,INDEX((TrocasEquip!$B$2:$B$1000=B872)*(TrocasEquip!$A$2:$A$1000=L872),0),0))</f>
        <v/>
      </c>
      <c r="N872">
        <f>IF(B872="","",IFERROR(MATCH(B872,Equipamentos!$P$2:$P$61,0),""))</f>
        <v/>
      </c>
      <c r="O872">
        <f>IF(N872="","",IF(M872=0,INDEX(Equipamentos!$U$2:$U$61,N872),L872))</f>
        <v/>
      </c>
      <c r="P872">
        <f>IF(N872="","",IF(M872=0,N(INDEX(Equipamentos!$V$2:$V$61,N872)),N(INDEX(TrocasEquip!$I$2:$I$1000,M872))))</f>
        <v/>
      </c>
      <c r="Q872">
        <f>IF(N872="","",IF(M872=0,INDEX(Equipamentos!$T$2:$T$61,N872),IF(INDEX(TrocasEquip!$H$2:$H$1000,M872)="",INDEX(Equipamentos!$T$2:$T$61,N872),INDEX(TrocasEquip!$H$2:$H$1000,M872))))</f>
        <v/>
      </c>
    </row>
    <row r="873">
      <c r="A873" s="54" t="n"/>
      <c r="B873" s="55" t="n"/>
      <c r="C873">
        <f>IF(B873="","",IF(N873="","posição não encontrada",IF(M873=0,INDEX(Equipamentos!$S$2:$S$61,N873),INDEX(TrocasEquip!$G$2:$G$1000,M873))))</f>
        <v/>
      </c>
      <c r="D873" s="56">
        <f>IF(OR(A873="",N873=""),"",P873+IF(E873="dias",MAX(0,A873-O873),IF(INDEX(Equipamentos!$D$2:$D$61,N873)=2,SUMIFS(Producao!$D:$D,Producao!$A:$A,"&gt;="&amp;O873,Producao!$A:$A,"&lt;"&amp;A873),IF(INDEX(Equipamentos!$D$2:$D$61,N873)=3,SUMIFS(Producao!$E:$E,Producao!$A:$A,"&gt;="&amp;O873,Producao!$A:$A,"&lt;"&amp;A873),SUMIFS(Producao!$B:$B,Producao!$A:$A,"&gt;="&amp;O873,Producao!$A:$A,"&lt;"&amp;A873)))))</f>
        <v/>
      </c>
      <c r="E873">
        <f>IF(N873="","",INDEX(Equipamentos!$C$2:$C$61,N873))</f>
        <v/>
      </c>
      <c r="F873" s="57">
        <f>IF(OR(D873="",N(Q873)&lt;=0),"",D873/Q873)</f>
        <v/>
      </c>
      <c r="G873" s="55" t="n"/>
      <c r="H873" s="58" t="n"/>
      <c r="I873" s="58" t="n"/>
      <c r="J873" s="55" t="n"/>
      <c r="K873" s="55" t="n"/>
      <c r="L873">
        <f>IF(OR(A873="",B873=""),"",_xlfn.MAXIFS(TrocasEquip!$A$2:$A$1000,TrocasEquip!$B$2:$B$1000,B873,TrocasEquip!$A$2:$A$1000,"&lt;"&amp;A873))</f>
        <v/>
      </c>
      <c r="M873">
        <f>IF(N(L873)=0,0,MATCH(1,INDEX((TrocasEquip!$B$2:$B$1000=B873)*(TrocasEquip!$A$2:$A$1000=L873),0),0))</f>
        <v/>
      </c>
      <c r="N873">
        <f>IF(B873="","",IFERROR(MATCH(B873,Equipamentos!$P$2:$P$61,0),""))</f>
        <v/>
      </c>
      <c r="O873">
        <f>IF(N873="","",IF(M873=0,INDEX(Equipamentos!$U$2:$U$61,N873),L873))</f>
        <v/>
      </c>
      <c r="P873">
        <f>IF(N873="","",IF(M873=0,N(INDEX(Equipamentos!$V$2:$V$61,N873)),N(INDEX(TrocasEquip!$I$2:$I$1000,M873))))</f>
        <v/>
      </c>
      <c r="Q873">
        <f>IF(N873="","",IF(M873=0,INDEX(Equipamentos!$T$2:$T$61,N873),IF(INDEX(TrocasEquip!$H$2:$H$1000,M873)="",INDEX(Equipamentos!$T$2:$T$61,N873),INDEX(TrocasEquip!$H$2:$H$1000,M873))))</f>
        <v/>
      </c>
    </row>
    <row r="874">
      <c r="A874" s="54" t="n"/>
      <c r="B874" s="55" t="n"/>
      <c r="C874">
        <f>IF(B874="","",IF(N874="","posição não encontrada",IF(M874=0,INDEX(Equipamentos!$S$2:$S$61,N874),INDEX(TrocasEquip!$G$2:$G$1000,M874))))</f>
        <v/>
      </c>
      <c r="D874" s="56">
        <f>IF(OR(A874="",N874=""),"",P874+IF(E874="dias",MAX(0,A874-O874),IF(INDEX(Equipamentos!$D$2:$D$61,N874)=2,SUMIFS(Producao!$D:$D,Producao!$A:$A,"&gt;="&amp;O874,Producao!$A:$A,"&lt;"&amp;A874),IF(INDEX(Equipamentos!$D$2:$D$61,N874)=3,SUMIFS(Producao!$E:$E,Producao!$A:$A,"&gt;="&amp;O874,Producao!$A:$A,"&lt;"&amp;A874),SUMIFS(Producao!$B:$B,Producao!$A:$A,"&gt;="&amp;O874,Producao!$A:$A,"&lt;"&amp;A874)))))</f>
        <v/>
      </c>
      <c r="E874">
        <f>IF(N874="","",INDEX(Equipamentos!$C$2:$C$61,N874))</f>
        <v/>
      </c>
      <c r="F874" s="57">
        <f>IF(OR(D874="",N(Q874)&lt;=0),"",D874/Q874)</f>
        <v/>
      </c>
      <c r="G874" s="55" t="n"/>
      <c r="H874" s="58" t="n"/>
      <c r="I874" s="58" t="n"/>
      <c r="J874" s="55" t="n"/>
      <c r="K874" s="55" t="n"/>
      <c r="L874">
        <f>IF(OR(A874="",B874=""),"",_xlfn.MAXIFS(TrocasEquip!$A$2:$A$1000,TrocasEquip!$B$2:$B$1000,B874,TrocasEquip!$A$2:$A$1000,"&lt;"&amp;A874))</f>
        <v/>
      </c>
      <c r="M874">
        <f>IF(N(L874)=0,0,MATCH(1,INDEX((TrocasEquip!$B$2:$B$1000=B874)*(TrocasEquip!$A$2:$A$1000=L874),0),0))</f>
        <v/>
      </c>
      <c r="N874">
        <f>IF(B874="","",IFERROR(MATCH(B874,Equipamentos!$P$2:$P$61,0),""))</f>
        <v/>
      </c>
      <c r="O874">
        <f>IF(N874="","",IF(M874=0,INDEX(Equipamentos!$U$2:$U$61,N874),L874))</f>
        <v/>
      </c>
      <c r="P874">
        <f>IF(N874="","",IF(M874=0,N(INDEX(Equipamentos!$V$2:$V$61,N874)),N(INDEX(TrocasEquip!$I$2:$I$1000,M874))))</f>
        <v/>
      </c>
      <c r="Q874">
        <f>IF(N874="","",IF(M874=0,INDEX(Equipamentos!$T$2:$T$61,N874),IF(INDEX(TrocasEquip!$H$2:$H$1000,M874)="",INDEX(Equipamentos!$T$2:$T$61,N874),INDEX(TrocasEquip!$H$2:$H$1000,M874))))</f>
        <v/>
      </c>
    </row>
    <row r="875">
      <c r="A875" s="54" t="n"/>
      <c r="B875" s="55" t="n"/>
      <c r="C875">
        <f>IF(B875="","",IF(N875="","posição não encontrada",IF(M875=0,INDEX(Equipamentos!$S$2:$S$61,N875),INDEX(TrocasEquip!$G$2:$G$1000,M875))))</f>
        <v/>
      </c>
      <c r="D875" s="56">
        <f>IF(OR(A875="",N875=""),"",P875+IF(E875="dias",MAX(0,A875-O875),IF(INDEX(Equipamentos!$D$2:$D$61,N875)=2,SUMIFS(Producao!$D:$D,Producao!$A:$A,"&gt;="&amp;O875,Producao!$A:$A,"&lt;"&amp;A875),IF(INDEX(Equipamentos!$D$2:$D$61,N875)=3,SUMIFS(Producao!$E:$E,Producao!$A:$A,"&gt;="&amp;O875,Producao!$A:$A,"&lt;"&amp;A875),SUMIFS(Producao!$B:$B,Producao!$A:$A,"&gt;="&amp;O875,Producao!$A:$A,"&lt;"&amp;A875)))))</f>
        <v/>
      </c>
      <c r="E875">
        <f>IF(N875="","",INDEX(Equipamentos!$C$2:$C$61,N875))</f>
        <v/>
      </c>
      <c r="F875" s="57">
        <f>IF(OR(D875="",N(Q875)&lt;=0),"",D875/Q875)</f>
        <v/>
      </c>
      <c r="G875" s="55" t="n"/>
      <c r="H875" s="58" t="n"/>
      <c r="I875" s="58" t="n"/>
      <c r="J875" s="55" t="n"/>
      <c r="K875" s="55" t="n"/>
      <c r="L875">
        <f>IF(OR(A875="",B875=""),"",_xlfn.MAXIFS(TrocasEquip!$A$2:$A$1000,TrocasEquip!$B$2:$B$1000,B875,TrocasEquip!$A$2:$A$1000,"&lt;"&amp;A875))</f>
        <v/>
      </c>
      <c r="M875">
        <f>IF(N(L875)=0,0,MATCH(1,INDEX((TrocasEquip!$B$2:$B$1000=B875)*(TrocasEquip!$A$2:$A$1000=L875),0),0))</f>
        <v/>
      </c>
      <c r="N875">
        <f>IF(B875="","",IFERROR(MATCH(B875,Equipamentos!$P$2:$P$61,0),""))</f>
        <v/>
      </c>
      <c r="O875">
        <f>IF(N875="","",IF(M875=0,INDEX(Equipamentos!$U$2:$U$61,N875),L875))</f>
        <v/>
      </c>
      <c r="P875">
        <f>IF(N875="","",IF(M875=0,N(INDEX(Equipamentos!$V$2:$V$61,N875)),N(INDEX(TrocasEquip!$I$2:$I$1000,M875))))</f>
        <v/>
      </c>
      <c r="Q875">
        <f>IF(N875="","",IF(M875=0,INDEX(Equipamentos!$T$2:$T$61,N875),IF(INDEX(TrocasEquip!$H$2:$H$1000,M875)="",INDEX(Equipamentos!$T$2:$T$61,N875),INDEX(TrocasEquip!$H$2:$H$1000,M875))))</f>
        <v/>
      </c>
    </row>
    <row r="876">
      <c r="A876" s="54" t="n"/>
      <c r="B876" s="55" t="n"/>
      <c r="C876">
        <f>IF(B876="","",IF(N876="","posição não encontrada",IF(M876=0,INDEX(Equipamentos!$S$2:$S$61,N876),INDEX(TrocasEquip!$G$2:$G$1000,M876))))</f>
        <v/>
      </c>
      <c r="D876" s="56">
        <f>IF(OR(A876="",N876=""),"",P876+IF(E876="dias",MAX(0,A876-O876),IF(INDEX(Equipamentos!$D$2:$D$61,N876)=2,SUMIFS(Producao!$D:$D,Producao!$A:$A,"&gt;="&amp;O876,Producao!$A:$A,"&lt;"&amp;A876),IF(INDEX(Equipamentos!$D$2:$D$61,N876)=3,SUMIFS(Producao!$E:$E,Producao!$A:$A,"&gt;="&amp;O876,Producao!$A:$A,"&lt;"&amp;A876),SUMIFS(Producao!$B:$B,Producao!$A:$A,"&gt;="&amp;O876,Producao!$A:$A,"&lt;"&amp;A876)))))</f>
        <v/>
      </c>
      <c r="E876">
        <f>IF(N876="","",INDEX(Equipamentos!$C$2:$C$61,N876))</f>
        <v/>
      </c>
      <c r="F876" s="57">
        <f>IF(OR(D876="",N(Q876)&lt;=0),"",D876/Q876)</f>
        <v/>
      </c>
      <c r="G876" s="55" t="n"/>
      <c r="H876" s="58" t="n"/>
      <c r="I876" s="58" t="n"/>
      <c r="J876" s="55" t="n"/>
      <c r="K876" s="55" t="n"/>
      <c r="L876">
        <f>IF(OR(A876="",B876=""),"",_xlfn.MAXIFS(TrocasEquip!$A$2:$A$1000,TrocasEquip!$B$2:$B$1000,B876,TrocasEquip!$A$2:$A$1000,"&lt;"&amp;A876))</f>
        <v/>
      </c>
      <c r="M876">
        <f>IF(N(L876)=0,0,MATCH(1,INDEX((TrocasEquip!$B$2:$B$1000=B876)*(TrocasEquip!$A$2:$A$1000=L876),0),0))</f>
        <v/>
      </c>
      <c r="N876">
        <f>IF(B876="","",IFERROR(MATCH(B876,Equipamentos!$P$2:$P$61,0),""))</f>
        <v/>
      </c>
      <c r="O876">
        <f>IF(N876="","",IF(M876=0,INDEX(Equipamentos!$U$2:$U$61,N876),L876))</f>
        <v/>
      </c>
      <c r="P876">
        <f>IF(N876="","",IF(M876=0,N(INDEX(Equipamentos!$V$2:$V$61,N876)),N(INDEX(TrocasEquip!$I$2:$I$1000,M876))))</f>
        <v/>
      </c>
      <c r="Q876">
        <f>IF(N876="","",IF(M876=0,INDEX(Equipamentos!$T$2:$T$61,N876),IF(INDEX(TrocasEquip!$H$2:$H$1000,M876)="",INDEX(Equipamentos!$T$2:$T$61,N876),INDEX(TrocasEquip!$H$2:$H$1000,M876))))</f>
        <v/>
      </c>
    </row>
    <row r="877">
      <c r="A877" s="54" t="n"/>
      <c r="B877" s="55" t="n"/>
      <c r="C877">
        <f>IF(B877="","",IF(N877="","posição não encontrada",IF(M877=0,INDEX(Equipamentos!$S$2:$S$61,N877),INDEX(TrocasEquip!$G$2:$G$1000,M877))))</f>
        <v/>
      </c>
      <c r="D877" s="56">
        <f>IF(OR(A877="",N877=""),"",P877+IF(E877="dias",MAX(0,A877-O877),IF(INDEX(Equipamentos!$D$2:$D$61,N877)=2,SUMIFS(Producao!$D:$D,Producao!$A:$A,"&gt;="&amp;O877,Producao!$A:$A,"&lt;"&amp;A877),IF(INDEX(Equipamentos!$D$2:$D$61,N877)=3,SUMIFS(Producao!$E:$E,Producao!$A:$A,"&gt;="&amp;O877,Producao!$A:$A,"&lt;"&amp;A877),SUMIFS(Producao!$B:$B,Producao!$A:$A,"&gt;="&amp;O877,Producao!$A:$A,"&lt;"&amp;A877)))))</f>
        <v/>
      </c>
      <c r="E877">
        <f>IF(N877="","",INDEX(Equipamentos!$C$2:$C$61,N877))</f>
        <v/>
      </c>
      <c r="F877" s="57">
        <f>IF(OR(D877="",N(Q877)&lt;=0),"",D877/Q877)</f>
        <v/>
      </c>
      <c r="G877" s="55" t="n"/>
      <c r="H877" s="58" t="n"/>
      <c r="I877" s="58" t="n"/>
      <c r="J877" s="55" t="n"/>
      <c r="K877" s="55" t="n"/>
      <c r="L877">
        <f>IF(OR(A877="",B877=""),"",_xlfn.MAXIFS(TrocasEquip!$A$2:$A$1000,TrocasEquip!$B$2:$B$1000,B877,TrocasEquip!$A$2:$A$1000,"&lt;"&amp;A877))</f>
        <v/>
      </c>
      <c r="M877">
        <f>IF(N(L877)=0,0,MATCH(1,INDEX((TrocasEquip!$B$2:$B$1000=B877)*(TrocasEquip!$A$2:$A$1000=L877),0),0))</f>
        <v/>
      </c>
      <c r="N877">
        <f>IF(B877="","",IFERROR(MATCH(B877,Equipamentos!$P$2:$P$61,0),""))</f>
        <v/>
      </c>
      <c r="O877">
        <f>IF(N877="","",IF(M877=0,INDEX(Equipamentos!$U$2:$U$61,N877),L877))</f>
        <v/>
      </c>
      <c r="P877">
        <f>IF(N877="","",IF(M877=0,N(INDEX(Equipamentos!$V$2:$V$61,N877)),N(INDEX(TrocasEquip!$I$2:$I$1000,M877))))</f>
        <v/>
      </c>
      <c r="Q877">
        <f>IF(N877="","",IF(M877=0,INDEX(Equipamentos!$T$2:$T$61,N877),IF(INDEX(TrocasEquip!$H$2:$H$1000,M877)="",INDEX(Equipamentos!$T$2:$T$61,N877),INDEX(TrocasEquip!$H$2:$H$1000,M877))))</f>
        <v/>
      </c>
    </row>
    <row r="878">
      <c r="A878" s="54" t="n"/>
      <c r="B878" s="55" t="n"/>
      <c r="C878">
        <f>IF(B878="","",IF(N878="","posição não encontrada",IF(M878=0,INDEX(Equipamentos!$S$2:$S$61,N878),INDEX(TrocasEquip!$G$2:$G$1000,M878))))</f>
        <v/>
      </c>
      <c r="D878" s="56">
        <f>IF(OR(A878="",N878=""),"",P878+IF(E878="dias",MAX(0,A878-O878),IF(INDEX(Equipamentos!$D$2:$D$61,N878)=2,SUMIFS(Producao!$D:$D,Producao!$A:$A,"&gt;="&amp;O878,Producao!$A:$A,"&lt;"&amp;A878),IF(INDEX(Equipamentos!$D$2:$D$61,N878)=3,SUMIFS(Producao!$E:$E,Producao!$A:$A,"&gt;="&amp;O878,Producao!$A:$A,"&lt;"&amp;A878),SUMIFS(Producao!$B:$B,Producao!$A:$A,"&gt;="&amp;O878,Producao!$A:$A,"&lt;"&amp;A878)))))</f>
        <v/>
      </c>
      <c r="E878">
        <f>IF(N878="","",INDEX(Equipamentos!$C$2:$C$61,N878))</f>
        <v/>
      </c>
      <c r="F878" s="57">
        <f>IF(OR(D878="",N(Q878)&lt;=0),"",D878/Q878)</f>
        <v/>
      </c>
      <c r="G878" s="55" t="n"/>
      <c r="H878" s="58" t="n"/>
      <c r="I878" s="58" t="n"/>
      <c r="J878" s="55" t="n"/>
      <c r="K878" s="55" t="n"/>
      <c r="L878">
        <f>IF(OR(A878="",B878=""),"",_xlfn.MAXIFS(TrocasEquip!$A$2:$A$1000,TrocasEquip!$B$2:$B$1000,B878,TrocasEquip!$A$2:$A$1000,"&lt;"&amp;A878))</f>
        <v/>
      </c>
      <c r="M878">
        <f>IF(N(L878)=0,0,MATCH(1,INDEX((TrocasEquip!$B$2:$B$1000=B878)*(TrocasEquip!$A$2:$A$1000=L878),0),0))</f>
        <v/>
      </c>
      <c r="N878">
        <f>IF(B878="","",IFERROR(MATCH(B878,Equipamentos!$P$2:$P$61,0),""))</f>
        <v/>
      </c>
      <c r="O878">
        <f>IF(N878="","",IF(M878=0,INDEX(Equipamentos!$U$2:$U$61,N878),L878))</f>
        <v/>
      </c>
      <c r="P878">
        <f>IF(N878="","",IF(M878=0,N(INDEX(Equipamentos!$V$2:$V$61,N878)),N(INDEX(TrocasEquip!$I$2:$I$1000,M878))))</f>
        <v/>
      </c>
      <c r="Q878">
        <f>IF(N878="","",IF(M878=0,INDEX(Equipamentos!$T$2:$T$61,N878),IF(INDEX(TrocasEquip!$H$2:$H$1000,M878)="",INDEX(Equipamentos!$T$2:$T$61,N878),INDEX(TrocasEquip!$H$2:$H$1000,M878))))</f>
        <v/>
      </c>
    </row>
    <row r="879">
      <c r="A879" s="54" t="n"/>
      <c r="B879" s="55" t="n"/>
      <c r="C879">
        <f>IF(B879="","",IF(N879="","posição não encontrada",IF(M879=0,INDEX(Equipamentos!$S$2:$S$61,N879),INDEX(TrocasEquip!$G$2:$G$1000,M879))))</f>
        <v/>
      </c>
      <c r="D879" s="56">
        <f>IF(OR(A879="",N879=""),"",P879+IF(E879="dias",MAX(0,A879-O879),IF(INDEX(Equipamentos!$D$2:$D$61,N879)=2,SUMIFS(Producao!$D:$D,Producao!$A:$A,"&gt;="&amp;O879,Producao!$A:$A,"&lt;"&amp;A879),IF(INDEX(Equipamentos!$D$2:$D$61,N879)=3,SUMIFS(Producao!$E:$E,Producao!$A:$A,"&gt;="&amp;O879,Producao!$A:$A,"&lt;"&amp;A879),SUMIFS(Producao!$B:$B,Producao!$A:$A,"&gt;="&amp;O879,Producao!$A:$A,"&lt;"&amp;A879)))))</f>
        <v/>
      </c>
      <c r="E879">
        <f>IF(N879="","",INDEX(Equipamentos!$C$2:$C$61,N879))</f>
        <v/>
      </c>
      <c r="F879" s="57">
        <f>IF(OR(D879="",N(Q879)&lt;=0),"",D879/Q879)</f>
        <v/>
      </c>
      <c r="G879" s="55" t="n"/>
      <c r="H879" s="58" t="n"/>
      <c r="I879" s="58" t="n"/>
      <c r="J879" s="55" t="n"/>
      <c r="K879" s="55" t="n"/>
      <c r="L879">
        <f>IF(OR(A879="",B879=""),"",_xlfn.MAXIFS(TrocasEquip!$A$2:$A$1000,TrocasEquip!$B$2:$B$1000,B879,TrocasEquip!$A$2:$A$1000,"&lt;"&amp;A879))</f>
        <v/>
      </c>
      <c r="M879">
        <f>IF(N(L879)=0,0,MATCH(1,INDEX((TrocasEquip!$B$2:$B$1000=B879)*(TrocasEquip!$A$2:$A$1000=L879),0),0))</f>
        <v/>
      </c>
      <c r="N879">
        <f>IF(B879="","",IFERROR(MATCH(B879,Equipamentos!$P$2:$P$61,0),""))</f>
        <v/>
      </c>
      <c r="O879">
        <f>IF(N879="","",IF(M879=0,INDEX(Equipamentos!$U$2:$U$61,N879),L879))</f>
        <v/>
      </c>
      <c r="P879">
        <f>IF(N879="","",IF(M879=0,N(INDEX(Equipamentos!$V$2:$V$61,N879)),N(INDEX(TrocasEquip!$I$2:$I$1000,M879))))</f>
        <v/>
      </c>
      <c r="Q879">
        <f>IF(N879="","",IF(M879=0,INDEX(Equipamentos!$T$2:$T$61,N879),IF(INDEX(TrocasEquip!$H$2:$H$1000,M879)="",INDEX(Equipamentos!$T$2:$T$61,N879),INDEX(TrocasEquip!$H$2:$H$1000,M879))))</f>
        <v/>
      </c>
    </row>
    <row r="880">
      <c r="A880" s="54" t="n"/>
      <c r="B880" s="55" t="n"/>
      <c r="C880">
        <f>IF(B880="","",IF(N880="","posição não encontrada",IF(M880=0,INDEX(Equipamentos!$S$2:$S$61,N880),INDEX(TrocasEquip!$G$2:$G$1000,M880))))</f>
        <v/>
      </c>
      <c r="D880" s="56">
        <f>IF(OR(A880="",N880=""),"",P880+IF(E880="dias",MAX(0,A880-O880),IF(INDEX(Equipamentos!$D$2:$D$61,N880)=2,SUMIFS(Producao!$D:$D,Producao!$A:$A,"&gt;="&amp;O880,Producao!$A:$A,"&lt;"&amp;A880),IF(INDEX(Equipamentos!$D$2:$D$61,N880)=3,SUMIFS(Producao!$E:$E,Producao!$A:$A,"&gt;="&amp;O880,Producao!$A:$A,"&lt;"&amp;A880),SUMIFS(Producao!$B:$B,Producao!$A:$A,"&gt;="&amp;O880,Producao!$A:$A,"&lt;"&amp;A880)))))</f>
        <v/>
      </c>
      <c r="E880">
        <f>IF(N880="","",INDEX(Equipamentos!$C$2:$C$61,N880))</f>
        <v/>
      </c>
      <c r="F880" s="57">
        <f>IF(OR(D880="",N(Q880)&lt;=0),"",D880/Q880)</f>
        <v/>
      </c>
      <c r="G880" s="55" t="n"/>
      <c r="H880" s="58" t="n"/>
      <c r="I880" s="58" t="n"/>
      <c r="J880" s="55" t="n"/>
      <c r="K880" s="55" t="n"/>
      <c r="L880">
        <f>IF(OR(A880="",B880=""),"",_xlfn.MAXIFS(TrocasEquip!$A$2:$A$1000,TrocasEquip!$B$2:$B$1000,B880,TrocasEquip!$A$2:$A$1000,"&lt;"&amp;A880))</f>
        <v/>
      </c>
      <c r="M880">
        <f>IF(N(L880)=0,0,MATCH(1,INDEX((TrocasEquip!$B$2:$B$1000=B880)*(TrocasEquip!$A$2:$A$1000=L880),0),0))</f>
        <v/>
      </c>
      <c r="N880">
        <f>IF(B880="","",IFERROR(MATCH(B880,Equipamentos!$P$2:$P$61,0),""))</f>
        <v/>
      </c>
      <c r="O880">
        <f>IF(N880="","",IF(M880=0,INDEX(Equipamentos!$U$2:$U$61,N880),L880))</f>
        <v/>
      </c>
      <c r="P880">
        <f>IF(N880="","",IF(M880=0,N(INDEX(Equipamentos!$V$2:$V$61,N880)),N(INDEX(TrocasEquip!$I$2:$I$1000,M880))))</f>
        <v/>
      </c>
      <c r="Q880">
        <f>IF(N880="","",IF(M880=0,INDEX(Equipamentos!$T$2:$T$61,N880),IF(INDEX(TrocasEquip!$H$2:$H$1000,M880)="",INDEX(Equipamentos!$T$2:$T$61,N880),INDEX(TrocasEquip!$H$2:$H$1000,M880))))</f>
        <v/>
      </c>
    </row>
    <row r="881">
      <c r="A881" s="54" t="n"/>
      <c r="B881" s="55" t="n"/>
      <c r="C881">
        <f>IF(B881="","",IF(N881="","posição não encontrada",IF(M881=0,INDEX(Equipamentos!$S$2:$S$61,N881),INDEX(TrocasEquip!$G$2:$G$1000,M881))))</f>
        <v/>
      </c>
      <c r="D881" s="56">
        <f>IF(OR(A881="",N881=""),"",P881+IF(E881="dias",MAX(0,A881-O881),IF(INDEX(Equipamentos!$D$2:$D$61,N881)=2,SUMIFS(Producao!$D:$D,Producao!$A:$A,"&gt;="&amp;O881,Producao!$A:$A,"&lt;"&amp;A881),IF(INDEX(Equipamentos!$D$2:$D$61,N881)=3,SUMIFS(Producao!$E:$E,Producao!$A:$A,"&gt;="&amp;O881,Producao!$A:$A,"&lt;"&amp;A881),SUMIFS(Producao!$B:$B,Producao!$A:$A,"&gt;="&amp;O881,Producao!$A:$A,"&lt;"&amp;A881)))))</f>
        <v/>
      </c>
      <c r="E881">
        <f>IF(N881="","",INDEX(Equipamentos!$C$2:$C$61,N881))</f>
        <v/>
      </c>
      <c r="F881" s="57">
        <f>IF(OR(D881="",N(Q881)&lt;=0),"",D881/Q881)</f>
        <v/>
      </c>
      <c r="G881" s="55" t="n"/>
      <c r="H881" s="58" t="n"/>
      <c r="I881" s="58" t="n"/>
      <c r="J881" s="55" t="n"/>
      <c r="K881" s="55" t="n"/>
      <c r="L881">
        <f>IF(OR(A881="",B881=""),"",_xlfn.MAXIFS(TrocasEquip!$A$2:$A$1000,TrocasEquip!$B$2:$B$1000,B881,TrocasEquip!$A$2:$A$1000,"&lt;"&amp;A881))</f>
        <v/>
      </c>
      <c r="M881">
        <f>IF(N(L881)=0,0,MATCH(1,INDEX((TrocasEquip!$B$2:$B$1000=B881)*(TrocasEquip!$A$2:$A$1000=L881),0),0))</f>
        <v/>
      </c>
      <c r="N881">
        <f>IF(B881="","",IFERROR(MATCH(B881,Equipamentos!$P$2:$P$61,0),""))</f>
        <v/>
      </c>
      <c r="O881">
        <f>IF(N881="","",IF(M881=0,INDEX(Equipamentos!$U$2:$U$61,N881),L881))</f>
        <v/>
      </c>
      <c r="P881">
        <f>IF(N881="","",IF(M881=0,N(INDEX(Equipamentos!$V$2:$V$61,N881)),N(INDEX(TrocasEquip!$I$2:$I$1000,M881))))</f>
        <v/>
      </c>
      <c r="Q881">
        <f>IF(N881="","",IF(M881=0,INDEX(Equipamentos!$T$2:$T$61,N881),IF(INDEX(TrocasEquip!$H$2:$H$1000,M881)="",INDEX(Equipamentos!$T$2:$T$61,N881),INDEX(TrocasEquip!$H$2:$H$1000,M881))))</f>
        <v/>
      </c>
    </row>
    <row r="882">
      <c r="A882" s="54" t="n"/>
      <c r="B882" s="55" t="n"/>
      <c r="C882">
        <f>IF(B882="","",IF(N882="","posição não encontrada",IF(M882=0,INDEX(Equipamentos!$S$2:$S$61,N882),INDEX(TrocasEquip!$G$2:$G$1000,M882))))</f>
        <v/>
      </c>
      <c r="D882" s="56">
        <f>IF(OR(A882="",N882=""),"",P882+IF(E882="dias",MAX(0,A882-O882),IF(INDEX(Equipamentos!$D$2:$D$61,N882)=2,SUMIFS(Producao!$D:$D,Producao!$A:$A,"&gt;="&amp;O882,Producao!$A:$A,"&lt;"&amp;A882),IF(INDEX(Equipamentos!$D$2:$D$61,N882)=3,SUMIFS(Producao!$E:$E,Producao!$A:$A,"&gt;="&amp;O882,Producao!$A:$A,"&lt;"&amp;A882),SUMIFS(Producao!$B:$B,Producao!$A:$A,"&gt;="&amp;O882,Producao!$A:$A,"&lt;"&amp;A882)))))</f>
        <v/>
      </c>
      <c r="E882">
        <f>IF(N882="","",INDEX(Equipamentos!$C$2:$C$61,N882))</f>
        <v/>
      </c>
      <c r="F882" s="57">
        <f>IF(OR(D882="",N(Q882)&lt;=0),"",D882/Q882)</f>
        <v/>
      </c>
      <c r="G882" s="55" t="n"/>
      <c r="H882" s="58" t="n"/>
      <c r="I882" s="58" t="n"/>
      <c r="J882" s="55" t="n"/>
      <c r="K882" s="55" t="n"/>
      <c r="L882">
        <f>IF(OR(A882="",B882=""),"",_xlfn.MAXIFS(TrocasEquip!$A$2:$A$1000,TrocasEquip!$B$2:$B$1000,B882,TrocasEquip!$A$2:$A$1000,"&lt;"&amp;A882))</f>
        <v/>
      </c>
      <c r="M882">
        <f>IF(N(L882)=0,0,MATCH(1,INDEX((TrocasEquip!$B$2:$B$1000=B882)*(TrocasEquip!$A$2:$A$1000=L882),0),0))</f>
        <v/>
      </c>
      <c r="N882">
        <f>IF(B882="","",IFERROR(MATCH(B882,Equipamentos!$P$2:$P$61,0),""))</f>
        <v/>
      </c>
      <c r="O882">
        <f>IF(N882="","",IF(M882=0,INDEX(Equipamentos!$U$2:$U$61,N882),L882))</f>
        <v/>
      </c>
      <c r="P882">
        <f>IF(N882="","",IF(M882=0,N(INDEX(Equipamentos!$V$2:$V$61,N882)),N(INDEX(TrocasEquip!$I$2:$I$1000,M882))))</f>
        <v/>
      </c>
      <c r="Q882">
        <f>IF(N882="","",IF(M882=0,INDEX(Equipamentos!$T$2:$T$61,N882),IF(INDEX(TrocasEquip!$H$2:$H$1000,M882)="",INDEX(Equipamentos!$T$2:$T$61,N882),INDEX(TrocasEquip!$H$2:$H$1000,M882))))</f>
        <v/>
      </c>
    </row>
    <row r="883">
      <c r="A883" s="54" t="n"/>
      <c r="B883" s="55" t="n"/>
      <c r="C883">
        <f>IF(B883="","",IF(N883="","posição não encontrada",IF(M883=0,INDEX(Equipamentos!$S$2:$S$61,N883),INDEX(TrocasEquip!$G$2:$G$1000,M883))))</f>
        <v/>
      </c>
      <c r="D883" s="56">
        <f>IF(OR(A883="",N883=""),"",P883+IF(E883="dias",MAX(0,A883-O883),IF(INDEX(Equipamentos!$D$2:$D$61,N883)=2,SUMIFS(Producao!$D:$D,Producao!$A:$A,"&gt;="&amp;O883,Producao!$A:$A,"&lt;"&amp;A883),IF(INDEX(Equipamentos!$D$2:$D$61,N883)=3,SUMIFS(Producao!$E:$E,Producao!$A:$A,"&gt;="&amp;O883,Producao!$A:$A,"&lt;"&amp;A883),SUMIFS(Producao!$B:$B,Producao!$A:$A,"&gt;="&amp;O883,Producao!$A:$A,"&lt;"&amp;A883)))))</f>
        <v/>
      </c>
      <c r="E883">
        <f>IF(N883="","",INDEX(Equipamentos!$C$2:$C$61,N883))</f>
        <v/>
      </c>
      <c r="F883" s="57">
        <f>IF(OR(D883="",N(Q883)&lt;=0),"",D883/Q883)</f>
        <v/>
      </c>
      <c r="G883" s="55" t="n"/>
      <c r="H883" s="58" t="n"/>
      <c r="I883" s="58" t="n"/>
      <c r="J883" s="55" t="n"/>
      <c r="K883" s="55" t="n"/>
      <c r="L883">
        <f>IF(OR(A883="",B883=""),"",_xlfn.MAXIFS(TrocasEquip!$A$2:$A$1000,TrocasEquip!$B$2:$B$1000,B883,TrocasEquip!$A$2:$A$1000,"&lt;"&amp;A883))</f>
        <v/>
      </c>
      <c r="M883">
        <f>IF(N(L883)=0,0,MATCH(1,INDEX((TrocasEquip!$B$2:$B$1000=B883)*(TrocasEquip!$A$2:$A$1000=L883),0),0))</f>
        <v/>
      </c>
      <c r="N883">
        <f>IF(B883="","",IFERROR(MATCH(B883,Equipamentos!$P$2:$P$61,0),""))</f>
        <v/>
      </c>
      <c r="O883">
        <f>IF(N883="","",IF(M883=0,INDEX(Equipamentos!$U$2:$U$61,N883),L883))</f>
        <v/>
      </c>
      <c r="P883">
        <f>IF(N883="","",IF(M883=0,N(INDEX(Equipamentos!$V$2:$V$61,N883)),N(INDEX(TrocasEquip!$I$2:$I$1000,M883))))</f>
        <v/>
      </c>
      <c r="Q883">
        <f>IF(N883="","",IF(M883=0,INDEX(Equipamentos!$T$2:$T$61,N883),IF(INDEX(TrocasEquip!$H$2:$H$1000,M883)="",INDEX(Equipamentos!$T$2:$T$61,N883),INDEX(TrocasEquip!$H$2:$H$1000,M883))))</f>
        <v/>
      </c>
    </row>
    <row r="884">
      <c r="A884" s="54" t="n"/>
      <c r="B884" s="55" t="n"/>
      <c r="C884">
        <f>IF(B884="","",IF(N884="","posição não encontrada",IF(M884=0,INDEX(Equipamentos!$S$2:$S$61,N884),INDEX(TrocasEquip!$G$2:$G$1000,M884))))</f>
        <v/>
      </c>
      <c r="D884" s="56">
        <f>IF(OR(A884="",N884=""),"",P884+IF(E884="dias",MAX(0,A884-O884),IF(INDEX(Equipamentos!$D$2:$D$61,N884)=2,SUMIFS(Producao!$D:$D,Producao!$A:$A,"&gt;="&amp;O884,Producao!$A:$A,"&lt;"&amp;A884),IF(INDEX(Equipamentos!$D$2:$D$61,N884)=3,SUMIFS(Producao!$E:$E,Producao!$A:$A,"&gt;="&amp;O884,Producao!$A:$A,"&lt;"&amp;A884),SUMIFS(Producao!$B:$B,Producao!$A:$A,"&gt;="&amp;O884,Producao!$A:$A,"&lt;"&amp;A884)))))</f>
        <v/>
      </c>
      <c r="E884">
        <f>IF(N884="","",INDEX(Equipamentos!$C$2:$C$61,N884))</f>
        <v/>
      </c>
      <c r="F884" s="57">
        <f>IF(OR(D884="",N(Q884)&lt;=0),"",D884/Q884)</f>
        <v/>
      </c>
      <c r="G884" s="55" t="n"/>
      <c r="H884" s="58" t="n"/>
      <c r="I884" s="58" t="n"/>
      <c r="J884" s="55" t="n"/>
      <c r="K884" s="55" t="n"/>
      <c r="L884">
        <f>IF(OR(A884="",B884=""),"",_xlfn.MAXIFS(TrocasEquip!$A$2:$A$1000,TrocasEquip!$B$2:$B$1000,B884,TrocasEquip!$A$2:$A$1000,"&lt;"&amp;A884))</f>
        <v/>
      </c>
      <c r="M884">
        <f>IF(N(L884)=0,0,MATCH(1,INDEX((TrocasEquip!$B$2:$B$1000=B884)*(TrocasEquip!$A$2:$A$1000=L884),0),0))</f>
        <v/>
      </c>
      <c r="N884">
        <f>IF(B884="","",IFERROR(MATCH(B884,Equipamentos!$P$2:$P$61,0),""))</f>
        <v/>
      </c>
      <c r="O884">
        <f>IF(N884="","",IF(M884=0,INDEX(Equipamentos!$U$2:$U$61,N884),L884))</f>
        <v/>
      </c>
      <c r="P884">
        <f>IF(N884="","",IF(M884=0,N(INDEX(Equipamentos!$V$2:$V$61,N884)),N(INDEX(TrocasEquip!$I$2:$I$1000,M884))))</f>
        <v/>
      </c>
      <c r="Q884">
        <f>IF(N884="","",IF(M884=0,INDEX(Equipamentos!$T$2:$T$61,N884),IF(INDEX(TrocasEquip!$H$2:$H$1000,M884)="",INDEX(Equipamentos!$T$2:$T$61,N884),INDEX(TrocasEquip!$H$2:$H$1000,M884))))</f>
        <v/>
      </c>
    </row>
    <row r="885">
      <c r="A885" s="54" t="n"/>
      <c r="B885" s="55" t="n"/>
      <c r="C885">
        <f>IF(B885="","",IF(N885="","posição não encontrada",IF(M885=0,INDEX(Equipamentos!$S$2:$S$61,N885),INDEX(TrocasEquip!$G$2:$G$1000,M885))))</f>
        <v/>
      </c>
      <c r="D885" s="56">
        <f>IF(OR(A885="",N885=""),"",P885+IF(E885="dias",MAX(0,A885-O885),IF(INDEX(Equipamentos!$D$2:$D$61,N885)=2,SUMIFS(Producao!$D:$D,Producao!$A:$A,"&gt;="&amp;O885,Producao!$A:$A,"&lt;"&amp;A885),IF(INDEX(Equipamentos!$D$2:$D$61,N885)=3,SUMIFS(Producao!$E:$E,Producao!$A:$A,"&gt;="&amp;O885,Producao!$A:$A,"&lt;"&amp;A885),SUMIFS(Producao!$B:$B,Producao!$A:$A,"&gt;="&amp;O885,Producao!$A:$A,"&lt;"&amp;A885)))))</f>
        <v/>
      </c>
      <c r="E885">
        <f>IF(N885="","",INDEX(Equipamentos!$C$2:$C$61,N885))</f>
        <v/>
      </c>
      <c r="F885" s="57">
        <f>IF(OR(D885="",N(Q885)&lt;=0),"",D885/Q885)</f>
        <v/>
      </c>
      <c r="G885" s="55" t="n"/>
      <c r="H885" s="58" t="n"/>
      <c r="I885" s="58" t="n"/>
      <c r="J885" s="55" t="n"/>
      <c r="K885" s="55" t="n"/>
      <c r="L885">
        <f>IF(OR(A885="",B885=""),"",_xlfn.MAXIFS(TrocasEquip!$A$2:$A$1000,TrocasEquip!$B$2:$B$1000,B885,TrocasEquip!$A$2:$A$1000,"&lt;"&amp;A885))</f>
        <v/>
      </c>
      <c r="M885">
        <f>IF(N(L885)=0,0,MATCH(1,INDEX((TrocasEquip!$B$2:$B$1000=B885)*(TrocasEquip!$A$2:$A$1000=L885),0),0))</f>
        <v/>
      </c>
      <c r="N885">
        <f>IF(B885="","",IFERROR(MATCH(B885,Equipamentos!$P$2:$P$61,0),""))</f>
        <v/>
      </c>
      <c r="O885">
        <f>IF(N885="","",IF(M885=0,INDEX(Equipamentos!$U$2:$U$61,N885),L885))</f>
        <v/>
      </c>
      <c r="P885">
        <f>IF(N885="","",IF(M885=0,N(INDEX(Equipamentos!$V$2:$V$61,N885)),N(INDEX(TrocasEquip!$I$2:$I$1000,M885))))</f>
        <v/>
      </c>
      <c r="Q885">
        <f>IF(N885="","",IF(M885=0,INDEX(Equipamentos!$T$2:$T$61,N885),IF(INDEX(TrocasEquip!$H$2:$H$1000,M885)="",INDEX(Equipamentos!$T$2:$T$61,N885),INDEX(TrocasEquip!$H$2:$H$1000,M885))))</f>
        <v/>
      </c>
    </row>
    <row r="886">
      <c r="A886" s="54" t="n"/>
      <c r="B886" s="55" t="n"/>
      <c r="C886">
        <f>IF(B886="","",IF(N886="","posição não encontrada",IF(M886=0,INDEX(Equipamentos!$S$2:$S$61,N886),INDEX(TrocasEquip!$G$2:$G$1000,M886))))</f>
        <v/>
      </c>
      <c r="D886" s="56">
        <f>IF(OR(A886="",N886=""),"",P886+IF(E886="dias",MAX(0,A886-O886),IF(INDEX(Equipamentos!$D$2:$D$61,N886)=2,SUMIFS(Producao!$D:$D,Producao!$A:$A,"&gt;="&amp;O886,Producao!$A:$A,"&lt;"&amp;A886),IF(INDEX(Equipamentos!$D$2:$D$61,N886)=3,SUMIFS(Producao!$E:$E,Producao!$A:$A,"&gt;="&amp;O886,Producao!$A:$A,"&lt;"&amp;A886),SUMIFS(Producao!$B:$B,Producao!$A:$A,"&gt;="&amp;O886,Producao!$A:$A,"&lt;"&amp;A886)))))</f>
        <v/>
      </c>
      <c r="E886">
        <f>IF(N886="","",INDEX(Equipamentos!$C$2:$C$61,N886))</f>
        <v/>
      </c>
      <c r="F886" s="57">
        <f>IF(OR(D886="",N(Q886)&lt;=0),"",D886/Q886)</f>
        <v/>
      </c>
      <c r="G886" s="55" t="n"/>
      <c r="H886" s="58" t="n"/>
      <c r="I886" s="58" t="n"/>
      <c r="J886" s="55" t="n"/>
      <c r="K886" s="55" t="n"/>
      <c r="L886">
        <f>IF(OR(A886="",B886=""),"",_xlfn.MAXIFS(TrocasEquip!$A$2:$A$1000,TrocasEquip!$B$2:$B$1000,B886,TrocasEquip!$A$2:$A$1000,"&lt;"&amp;A886))</f>
        <v/>
      </c>
      <c r="M886">
        <f>IF(N(L886)=0,0,MATCH(1,INDEX((TrocasEquip!$B$2:$B$1000=B886)*(TrocasEquip!$A$2:$A$1000=L886),0),0))</f>
        <v/>
      </c>
      <c r="N886">
        <f>IF(B886="","",IFERROR(MATCH(B886,Equipamentos!$P$2:$P$61,0),""))</f>
        <v/>
      </c>
      <c r="O886">
        <f>IF(N886="","",IF(M886=0,INDEX(Equipamentos!$U$2:$U$61,N886),L886))</f>
        <v/>
      </c>
      <c r="P886">
        <f>IF(N886="","",IF(M886=0,N(INDEX(Equipamentos!$V$2:$V$61,N886)),N(INDEX(TrocasEquip!$I$2:$I$1000,M886))))</f>
        <v/>
      </c>
      <c r="Q886">
        <f>IF(N886="","",IF(M886=0,INDEX(Equipamentos!$T$2:$T$61,N886),IF(INDEX(TrocasEquip!$H$2:$H$1000,M886)="",INDEX(Equipamentos!$T$2:$T$61,N886),INDEX(TrocasEquip!$H$2:$H$1000,M886))))</f>
        <v/>
      </c>
    </row>
    <row r="887">
      <c r="A887" s="54" t="n"/>
      <c r="B887" s="55" t="n"/>
      <c r="C887">
        <f>IF(B887="","",IF(N887="","posição não encontrada",IF(M887=0,INDEX(Equipamentos!$S$2:$S$61,N887),INDEX(TrocasEquip!$G$2:$G$1000,M887))))</f>
        <v/>
      </c>
      <c r="D887" s="56">
        <f>IF(OR(A887="",N887=""),"",P887+IF(E887="dias",MAX(0,A887-O887),IF(INDEX(Equipamentos!$D$2:$D$61,N887)=2,SUMIFS(Producao!$D:$D,Producao!$A:$A,"&gt;="&amp;O887,Producao!$A:$A,"&lt;"&amp;A887),IF(INDEX(Equipamentos!$D$2:$D$61,N887)=3,SUMIFS(Producao!$E:$E,Producao!$A:$A,"&gt;="&amp;O887,Producao!$A:$A,"&lt;"&amp;A887),SUMIFS(Producao!$B:$B,Producao!$A:$A,"&gt;="&amp;O887,Producao!$A:$A,"&lt;"&amp;A887)))))</f>
        <v/>
      </c>
      <c r="E887">
        <f>IF(N887="","",INDEX(Equipamentos!$C$2:$C$61,N887))</f>
        <v/>
      </c>
      <c r="F887" s="57">
        <f>IF(OR(D887="",N(Q887)&lt;=0),"",D887/Q887)</f>
        <v/>
      </c>
      <c r="G887" s="55" t="n"/>
      <c r="H887" s="58" t="n"/>
      <c r="I887" s="58" t="n"/>
      <c r="J887" s="55" t="n"/>
      <c r="K887" s="55" t="n"/>
      <c r="L887">
        <f>IF(OR(A887="",B887=""),"",_xlfn.MAXIFS(TrocasEquip!$A$2:$A$1000,TrocasEquip!$B$2:$B$1000,B887,TrocasEquip!$A$2:$A$1000,"&lt;"&amp;A887))</f>
        <v/>
      </c>
      <c r="M887">
        <f>IF(N(L887)=0,0,MATCH(1,INDEX((TrocasEquip!$B$2:$B$1000=B887)*(TrocasEquip!$A$2:$A$1000=L887),0),0))</f>
        <v/>
      </c>
      <c r="N887">
        <f>IF(B887="","",IFERROR(MATCH(B887,Equipamentos!$P$2:$P$61,0),""))</f>
        <v/>
      </c>
      <c r="O887">
        <f>IF(N887="","",IF(M887=0,INDEX(Equipamentos!$U$2:$U$61,N887),L887))</f>
        <v/>
      </c>
      <c r="P887">
        <f>IF(N887="","",IF(M887=0,N(INDEX(Equipamentos!$V$2:$V$61,N887)),N(INDEX(TrocasEquip!$I$2:$I$1000,M887))))</f>
        <v/>
      </c>
      <c r="Q887">
        <f>IF(N887="","",IF(M887=0,INDEX(Equipamentos!$T$2:$T$61,N887),IF(INDEX(TrocasEquip!$H$2:$H$1000,M887)="",INDEX(Equipamentos!$T$2:$T$61,N887),INDEX(TrocasEquip!$H$2:$H$1000,M887))))</f>
        <v/>
      </c>
    </row>
    <row r="888">
      <c r="A888" s="54" t="n"/>
      <c r="B888" s="55" t="n"/>
      <c r="C888">
        <f>IF(B888="","",IF(N888="","posição não encontrada",IF(M888=0,INDEX(Equipamentos!$S$2:$S$61,N888),INDEX(TrocasEquip!$G$2:$G$1000,M888))))</f>
        <v/>
      </c>
      <c r="D888" s="56">
        <f>IF(OR(A888="",N888=""),"",P888+IF(E888="dias",MAX(0,A888-O888),IF(INDEX(Equipamentos!$D$2:$D$61,N888)=2,SUMIFS(Producao!$D:$D,Producao!$A:$A,"&gt;="&amp;O888,Producao!$A:$A,"&lt;"&amp;A888),IF(INDEX(Equipamentos!$D$2:$D$61,N888)=3,SUMIFS(Producao!$E:$E,Producao!$A:$A,"&gt;="&amp;O888,Producao!$A:$A,"&lt;"&amp;A888),SUMIFS(Producao!$B:$B,Producao!$A:$A,"&gt;="&amp;O888,Producao!$A:$A,"&lt;"&amp;A888)))))</f>
        <v/>
      </c>
      <c r="E888">
        <f>IF(N888="","",INDEX(Equipamentos!$C$2:$C$61,N888))</f>
        <v/>
      </c>
      <c r="F888" s="57">
        <f>IF(OR(D888="",N(Q888)&lt;=0),"",D888/Q888)</f>
        <v/>
      </c>
      <c r="G888" s="55" t="n"/>
      <c r="H888" s="58" t="n"/>
      <c r="I888" s="58" t="n"/>
      <c r="J888" s="55" t="n"/>
      <c r="K888" s="55" t="n"/>
      <c r="L888">
        <f>IF(OR(A888="",B888=""),"",_xlfn.MAXIFS(TrocasEquip!$A$2:$A$1000,TrocasEquip!$B$2:$B$1000,B888,TrocasEquip!$A$2:$A$1000,"&lt;"&amp;A888))</f>
        <v/>
      </c>
      <c r="M888">
        <f>IF(N(L888)=0,0,MATCH(1,INDEX((TrocasEquip!$B$2:$B$1000=B888)*(TrocasEquip!$A$2:$A$1000=L888),0),0))</f>
        <v/>
      </c>
      <c r="N888">
        <f>IF(B888="","",IFERROR(MATCH(B888,Equipamentos!$P$2:$P$61,0),""))</f>
        <v/>
      </c>
      <c r="O888">
        <f>IF(N888="","",IF(M888=0,INDEX(Equipamentos!$U$2:$U$61,N888),L888))</f>
        <v/>
      </c>
      <c r="P888">
        <f>IF(N888="","",IF(M888=0,N(INDEX(Equipamentos!$V$2:$V$61,N888)),N(INDEX(TrocasEquip!$I$2:$I$1000,M888))))</f>
        <v/>
      </c>
      <c r="Q888">
        <f>IF(N888="","",IF(M888=0,INDEX(Equipamentos!$T$2:$T$61,N888),IF(INDEX(TrocasEquip!$H$2:$H$1000,M888)="",INDEX(Equipamentos!$T$2:$T$61,N888),INDEX(TrocasEquip!$H$2:$H$1000,M888))))</f>
        <v/>
      </c>
    </row>
    <row r="889">
      <c r="A889" s="54" t="n"/>
      <c r="B889" s="55" t="n"/>
      <c r="C889">
        <f>IF(B889="","",IF(N889="","posição não encontrada",IF(M889=0,INDEX(Equipamentos!$S$2:$S$61,N889),INDEX(TrocasEquip!$G$2:$G$1000,M889))))</f>
        <v/>
      </c>
      <c r="D889" s="56">
        <f>IF(OR(A889="",N889=""),"",P889+IF(E889="dias",MAX(0,A889-O889),IF(INDEX(Equipamentos!$D$2:$D$61,N889)=2,SUMIFS(Producao!$D:$D,Producao!$A:$A,"&gt;="&amp;O889,Producao!$A:$A,"&lt;"&amp;A889),IF(INDEX(Equipamentos!$D$2:$D$61,N889)=3,SUMIFS(Producao!$E:$E,Producao!$A:$A,"&gt;="&amp;O889,Producao!$A:$A,"&lt;"&amp;A889),SUMIFS(Producao!$B:$B,Producao!$A:$A,"&gt;="&amp;O889,Producao!$A:$A,"&lt;"&amp;A889)))))</f>
        <v/>
      </c>
      <c r="E889">
        <f>IF(N889="","",INDEX(Equipamentos!$C$2:$C$61,N889))</f>
        <v/>
      </c>
      <c r="F889" s="57">
        <f>IF(OR(D889="",N(Q889)&lt;=0),"",D889/Q889)</f>
        <v/>
      </c>
      <c r="G889" s="55" t="n"/>
      <c r="H889" s="58" t="n"/>
      <c r="I889" s="58" t="n"/>
      <c r="J889" s="55" t="n"/>
      <c r="K889" s="55" t="n"/>
      <c r="L889">
        <f>IF(OR(A889="",B889=""),"",_xlfn.MAXIFS(TrocasEquip!$A$2:$A$1000,TrocasEquip!$B$2:$B$1000,B889,TrocasEquip!$A$2:$A$1000,"&lt;"&amp;A889))</f>
        <v/>
      </c>
      <c r="M889">
        <f>IF(N(L889)=0,0,MATCH(1,INDEX((TrocasEquip!$B$2:$B$1000=B889)*(TrocasEquip!$A$2:$A$1000=L889),0),0))</f>
        <v/>
      </c>
      <c r="N889">
        <f>IF(B889="","",IFERROR(MATCH(B889,Equipamentos!$P$2:$P$61,0),""))</f>
        <v/>
      </c>
      <c r="O889">
        <f>IF(N889="","",IF(M889=0,INDEX(Equipamentos!$U$2:$U$61,N889),L889))</f>
        <v/>
      </c>
      <c r="P889">
        <f>IF(N889="","",IF(M889=0,N(INDEX(Equipamentos!$V$2:$V$61,N889)),N(INDEX(TrocasEquip!$I$2:$I$1000,M889))))</f>
        <v/>
      </c>
      <c r="Q889">
        <f>IF(N889="","",IF(M889=0,INDEX(Equipamentos!$T$2:$T$61,N889),IF(INDEX(TrocasEquip!$H$2:$H$1000,M889)="",INDEX(Equipamentos!$T$2:$T$61,N889),INDEX(TrocasEquip!$H$2:$H$1000,M889))))</f>
        <v/>
      </c>
    </row>
    <row r="890">
      <c r="A890" s="54" t="n"/>
      <c r="B890" s="55" t="n"/>
      <c r="C890">
        <f>IF(B890="","",IF(N890="","posição não encontrada",IF(M890=0,INDEX(Equipamentos!$S$2:$S$61,N890),INDEX(TrocasEquip!$G$2:$G$1000,M890))))</f>
        <v/>
      </c>
      <c r="D890" s="56">
        <f>IF(OR(A890="",N890=""),"",P890+IF(E890="dias",MAX(0,A890-O890),IF(INDEX(Equipamentos!$D$2:$D$61,N890)=2,SUMIFS(Producao!$D:$D,Producao!$A:$A,"&gt;="&amp;O890,Producao!$A:$A,"&lt;"&amp;A890),IF(INDEX(Equipamentos!$D$2:$D$61,N890)=3,SUMIFS(Producao!$E:$E,Producao!$A:$A,"&gt;="&amp;O890,Producao!$A:$A,"&lt;"&amp;A890),SUMIFS(Producao!$B:$B,Producao!$A:$A,"&gt;="&amp;O890,Producao!$A:$A,"&lt;"&amp;A890)))))</f>
        <v/>
      </c>
      <c r="E890">
        <f>IF(N890="","",INDEX(Equipamentos!$C$2:$C$61,N890))</f>
        <v/>
      </c>
      <c r="F890" s="57">
        <f>IF(OR(D890="",N(Q890)&lt;=0),"",D890/Q890)</f>
        <v/>
      </c>
      <c r="G890" s="55" t="n"/>
      <c r="H890" s="58" t="n"/>
      <c r="I890" s="58" t="n"/>
      <c r="J890" s="55" t="n"/>
      <c r="K890" s="55" t="n"/>
      <c r="L890">
        <f>IF(OR(A890="",B890=""),"",_xlfn.MAXIFS(TrocasEquip!$A$2:$A$1000,TrocasEquip!$B$2:$B$1000,B890,TrocasEquip!$A$2:$A$1000,"&lt;"&amp;A890))</f>
        <v/>
      </c>
      <c r="M890">
        <f>IF(N(L890)=0,0,MATCH(1,INDEX((TrocasEquip!$B$2:$B$1000=B890)*(TrocasEquip!$A$2:$A$1000=L890),0),0))</f>
        <v/>
      </c>
      <c r="N890">
        <f>IF(B890="","",IFERROR(MATCH(B890,Equipamentos!$P$2:$P$61,0),""))</f>
        <v/>
      </c>
      <c r="O890">
        <f>IF(N890="","",IF(M890=0,INDEX(Equipamentos!$U$2:$U$61,N890),L890))</f>
        <v/>
      </c>
      <c r="P890">
        <f>IF(N890="","",IF(M890=0,N(INDEX(Equipamentos!$V$2:$V$61,N890)),N(INDEX(TrocasEquip!$I$2:$I$1000,M890))))</f>
        <v/>
      </c>
      <c r="Q890">
        <f>IF(N890="","",IF(M890=0,INDEX(Equipamentos!$T$2:$T$61,N890),IF(INDEX(TrocasEquip!$H$2:$H$1000,M890)="",INDEX(Equipamentos!$T$2:$T$61,N890),INDEX(TrocasEquip!$H$2:$H$1000,M890))))</f>
        <v/>
      </c>
    </row>
    <row r="891">
      <c r="A891" s="54" t="n"/>
      <c r="B891" s="55" t="n"/>
      <c r="C891">
        <f>IF(B891="","",IF(N891="","posição não encontrada",IF(M891=0,INDEX(Equipamentos!$S$2:$S$61,N891),INDEX(TrocasEquip!$G$2:$G$1000,M891))))</f>
        <v/>
      </c>
      <c r="D891" s="56">
        <f>IF(OR(A891="",N891=""),"",P891+IF(E891="dias",MAX(0,A891-O891),IF(INDEX(Equipamentos!$D$2:$D$61,N891)=2,SUMIFS(Producao!$D:$D,Producao!$A:$A,"&gt;="&amp;O891,Producao!$A:$A,"&lt;"&amp;A891),IF(INDEX(Equipamentos!$D$2:$D$61,N891)=3,SUMIFS(Producao!$E:$E,Producao!$A:$A,"&gt;="&amp;O891,Producao!$A:$A,"&lt;"&amp;A891),SUMIFS(Producao!$B:$B,Producao!$A:$A,"&gt;="&amp;O891,Producao!$A:$A,"&lt;"&amp;A891)))))</f>
        <v/>
      </c>
      <c r="E891">
        <f>IF(N891="","",INDEX(Equipamentos!$C$2:$C$61,N891))</f>
        <v/>
      </c>
      <c r="F891" s="57">
        <f>IF(OR(D891="",N(Q891)&lt;=0),"",D891/Q891)</f>
        <v/>
      </c>
      <c r="G891" s="55" t="n"/>
      <c r="H891" s="58" t="n"/>
      <c r="I891" s="58" t="n"/>
      <c r="J891" s="55" t="n"/>
      <c r="K891" s="55" t="n"/>
      <c r="L891">
        <f>IF(OR(A891="",B891=""),"",_xlfn.MAXIFS(TrocasEquip!$A$2:$A$1000,TrocasEquip!$B$2:$B$1000,B891,TrocasEquip!$A$2:$A$1000,"&lt;"&amp;A891))</f>
        <v/>
      </c>
      <c r="M891">
        <f>IF(N(L891)=0,0,MATCH(1,INDEX((TrocasEquip!$B$2:$B$1000=B891)*(TrocasEquip!$A$2:$A$1000=L891),0),0))</f>
        <v/>
      </c>
      <c r="N891">
        <f>IF(B891="","",IFERROR(MATCH(B891,Equipamentos!$P$2:$P$61,0),""))</f>
        <v/>
      </c>
      <c r="O891">
        <f>IF(N891="","",IF(M891=0,INDEX(Equipamentos!$U$2:$U$61,N891),L891))</f>
        <v/>
      </c>
      <c r="P891">
        <f>IF(N891="","",IF(M891=0,N(INDEX(Equipamentos!$V$2:$V$61,N891)),N(INDEX(TrocasEquip!$I$2:$I$1000,M891))))</f>
        <v/>
      </c>
      <c r="Q891">
        <f>IF(N891="","",IF(M891=0,INDEX(Equipamentos!$T$2:$T$61,N891),IF(INDEX(TrocasEquip!$H$2:$H$1000,M891)="",INDEX(Equipamentos!$T$2:$T$61,N891),INDEX(TrocasEquip!$H$2:$H$1000,M891))))</f>
        <v/>
      </c>
    </row>
    <row r="892">
      <c r="A892" s="54" t="n"/>
      <c r="B892" s="55" t="n"/>
      <c r="C892">
        <f>IF(B892="","",IF(N892="","posição não encontrada",IF(M892=0,INDEX(Equipamentos!$S$2:$S$61,N892),INDEX(TrocasEquip!$G$2:$G$1000,M892))))</f>
        <v/>
      </c>
      <c r="D892" s="56">
        <f>IF(OR(A892="",N892=""),"",P892+IF(E892="dias",MAX(0,A892-O892),IF(INDEX(Equipamentos!$D$2:$D$61,N892)=2,SUMIFS(Producao!$D:$D,Producao!$A:$A,"&gt;="&amp;O892,Producao!$A:$A,"&lt;"&amp;A892),IF(INDEX(Equipamentos!$D$2:$D$61,N892)=3,SUMIFS(Producao!$E:$E,Producao!$A:$A,"&gt;="&amp;O892,Producao!$A:$A,"&lt;"&amp;A892),SUMIFS(Producao!$B:$B,Producao!$A:$A,"&gt;="&amp;O892,Producao!$A:$A,"&lt;"&amp;A892)))))</f>
        <v/>
      </c>
      <c r="E892">
        <f>IF(N892="","",INDEX(Equipamentos!$C$2:$C$61,N892))</f>
        <v/>
      </c>
      <c r="F892" s="57">
        <f>IF(OR(D892="",N(Q892)&lt;=0),"",D892/Q892)</f>
        <v/>
      </c>
      <c r="G892" s="55" t="n"/>
      <c r="H892" s="58" t="n"/>
      <c r="I892" s="58" t="n"/>
      <c r="J892" s="55" t="n"/>
      <c r="K892" s="55" t="n"/>
      <c r="L892">
        <f>IF(OR(A892="",B892=""),"",_xlfn.MAXIFS(TrocasEquip!$A$2:$A$1000,TrocasEquip!$B$2:$B$1000,B892,TrocasEquip!$A$2:$A$1000,"&lt;"&amp;A892))</f>
        <v/>
      </c>
      <c r="M892">
        <f>IF(N(L892)=0,0,MATCH(1,INDEX((TrocasEquip!$B$2:$B$1000=B892)*(TrocasEquip!$A$2:$A$1000=L892),0),0))</f>
        <v/>
      </c>
      <c r="N892">
        <f>IF(B892="","",IFERROR(MATCH(B892,Equipamentos!$P$2:$P$61,0),""))</f>
        <v/>
      </c>
      <c r="O892">
        <f>IF(N892="","",IF(M892=0,INDEX(Equipamentos!$U$2:$U$61,N892),L892))</f>
        <v/>
      </c>
      <c r="P892">
        <f>IF(N892="","",IF(M892=0,N(INDEX(Equipamentos!$V$2:$V$61,N892)),N(INDEX(TrocasEquip!$I$2:$I$1000,M892))))</f>
        <v/>
      </c>
      <c r="Q892">
        <f>IF(N892="","",IF(M892=0,INDEX(Equipamentos!$T$2:$T$61,N892),IF(INDEX(TrocasEquip!$H$2:$H$1000,M892)="",INDEX(Equipamentos!$T$2:$T$61,N892),INDEX(TrocasEquip!$H$2:$H$1000,M892))))</f>
        <v/>
      </c>
    </row>
    <row r="893">
      <c r="A893" s="54" t="n"/>
      <c r="B893" s="55" t="n"/>
      <c r="C893">
        <f>IF(B893="","",IF(N893="","posição não encontrada",IF(M893=0,INDEX(Equipamentos!$S$2:$S$61,N893),INDEX(TrocasEquip!$G$2:$G$1000,M893))))</f>
        <v/>
      </c>
      <c r="D893" s="56">
        <f>IF(OR(A893="",N893=""),"",P893+IF(E893="dias",MAX(0,A893-O893),IF(INDEX(Equipamentos!$D$2:$D$61,N893)=2,SUMIFS(Producao!$D:$D,Producao!$A:$A,"&gt;="&amp;O893,Producao!$A:$A,"&lt;"&amp;A893),IF(INDEX(Equipamentos!$D$2:$D$61,N893)=3,SUMIFS(Producao!$E:$E,Producao!$A:$A,"&gt;="&amp;O893,Producao!$A:$A,"&lt;"&amp;A893),SUMIFS(Producao!$B:$B,Producao!$A:$A,"&gt;="&amp;O893,Producao!$A:$A,"&lt;"&amp;A893)))))</f>
        <v/>
      </c>
      <c r="E893">
        <f>IF(N893="","",INDEX(Equipamentos!$C$2:$C$61,N893))</f>
        <v/>
      </c>
      <c r="F893" s="57">
        <f>IF(OR(D893="",N(Q893)&lt;=0),"",D893/Q893)</f>
        <v/>
      </c>
      <c r="G893" s="55" t="n"/>
      <c r="H893" s="58" t="n"/>
      <c r="I893" s="58" t="n"/>
      <c r="J893" s="55" t="n"/>
      <c r="K893" s="55" t="n"/>
      <c r="L893">
        <f>IF(OR(A893="",B893=""),"",_xlfn.MAXIFS(TrocasEquip!$A$2:$A$1000,TrocasEquip!$B$2:$B$1000,B893,TrocasEquip!$A$2:$A$1000,"&lt;"&amp;A893))</f>
        <v/>
      </c>
      <c r="M893">
        <f>IF(N(L893)=0,0,MATCH(1,INDEX((TrocasEquip!$B$2:$B$1000=B893)*(TrocasEquip!$A$2:$A$1000=L893),0),0))</f>
        <v/>
      </c>
      <c r="N893">
        <f>IF(B893="","",IFERROR(MATCH(B893,Equipamentos!$P$2:$P$61,0),""))</f>
        <v/>
      </c>
      <c r="O893">
        <f>IF(N893="","",IF(M893=0,INDEX(Equipamentos!$U$2:$U$61,N893),L893))</f>
        <v/>
      </c>
      <c r="P893">
        <f>IF(N893="","",IF(M893=0,N(INDEX(Equipamentos!$V$2:$V$61,N893)),N(INDEX(TrocasEquip!$I$2:$I$1000,M893))))</f>
        <v/>
      </c>
      <c r="Q893">
        <f>IF(N893="","",IF(M893=0,INDEX(Equipamentos!$T$2:$T$61,N893),IF(INDEX(TrocasEquip!$H$2:$H$1000,M893)="",INDEX(Equipamentos!$T$2:$T$61,N893),INDEX(TrocasEquip!$H$2:$H$1000,M893))))</f>
        <v/>
      </c>
    </row>
    <row r="894">
      <c r="A894" s="54" t="n"/>
      <c r="B894" s="55" t="n"/>
      <c r="C894">
        <f>IF(B894="","",IF(N894="","posição não encontrada",IF(M894=0,INDEX(Equipamentos!$S$2:$S$61,N894),INDEX(TrocasEquip!$G$2:$G$1000,M894))))</f>
        <v/>
      </c>
      <c r="D894" s="56">
        <f>IF(OR(A894="",N894=""),"",P894+IF(E894="dias",MAX(0,A894-O894),IF(INDEX(Equipamentos!$D$2:$D$61,N894)=2,SUMIFS(Producao!$D:$D,Producao!$A:$A,"&gt;="&amp;O894,Producao!$A:$A,"&lt;"&amp;A894),IF(INDEX(Equipamentos!$D$2:$D$61,N894)=3,SUMIFS(Producao!$E:$E,Producao!$A:$A,"&gt;="&amp;O894,Producao!$A:$A,"&lt;"&amp;A894),SUMIFS(Producao!$B:$B,Producao!$A:$A,"&gt;="&amp;O894,Producao!$A:$A,"&lt;"&amp;A894)))))</f>
        <v/>
      </c>
      <c r="E894">
        <f>IF(N894="","",INDEX(Equipamentos!$C$2:$C$61,N894))</f>
        <v/>
      </c>
      <c r="F894" s="57">
        <f>IF(OR(D894="",N(Q894)&lt;=0),"",D894/Q894)</f>
        <v/>
      </c>
      <c r="G894" s="55" t="n"/>
      <c r="H894" s="58" t="n"/>
      <c r="I894" s="58" t="n"/>
      <c r="J894" s="55" t="n"/>
      <c r="K894" s="55" t="n"/>
      <c r="L894">
        <f>IF(OR(A894="",B894=""),"",_xlfn.MAXIFS(TrocasEquip!$A$2:$A$1000,TrocasEquip!$B$2:$B$1000,B894,TrocasEquip!$A$2:$A$1000,"&lt;"&amp;A894))</f>
        <v/>
      </c>
      <c r="M894">
        <f>IF(N(L894)=0,0,MATCH(1,INDEX((TrocasEquip!$B$2:$B$1000=B894)*(TrocasEquip!$A$2:$A$1000=L894),0),0))</f>
        <v/>
      </c>
      <c r="N894">
        <f>IF(B894="","",IFERROR(MATCH(B894,Equipamentos!$P$2:$P$61,0),""))</f>
        <v/>
      </c>
      <c r="O894">
        <f>IF(N894="","",IF(M894=0,INDEX(Equipamentos!$U$2:$U$61,N894),L894))</f>
        <v/>
      </c>
      <c r="P894">
        <f>IF(N894="","",IF(M894=0,N(INDEX(Equipamentos!$V$2:$V$61,N894)),N(INDEX(TrocasEquip!$I$2:$I$1000,M894))))</f>
        <v/>
      </c>
      <c r="Q894">
        <f>IF(N894="","",IF(M894=0,INDEX(Equipamentos!$T$2:$T$61,N894),IF(INDEX(TrocasEquip!$H$2:$H$1000,M894)="",INDEX(Equipamentos!$T$2:$T$61,N894),INDEX(TrocasEquip!$H$2:$H$1000,M894))))</f>
        <v/>
      </c>
    </row>
    <row r="895">
      <c r="A895" s="54" t="n"/>
      <c r="B895" s="55" t="n"/>
      <c r="C895">
        <f>IF(B895="","",IF(N895="","posição não encontrada",IF(M895=0,INDEX(Equipamentos!$S$2:$S$61,N895),INDEX(TrocasEquip!$G$2:$G$1000,M895))))</f>
        <v/>
      </c>
      <c r="D895" s="56">
        <f>IF(OR(A895="",N895=""),"",P895+IF(E895="dias",MAX(0,A895-O895),IF(INDEX(Equipamentos!$D$2:$D$61,N895)=2,SUMIFS(Producao!$D:$D,Producao!$A:$A,"&gt;="&amp;O895,Producao!$A:$A,"&lt;"&amp;A895),IF(INDEX(Equipamentos!$D$2:$D$61,N895)=3,SUMIFS(Producao!$E:$E,Producao!$A:$A,"&gt;="&amp;O895,Producao!$A:$A,"&lt;"&amp;A895),SUMIFS(Producao!$B:$B,Producao!$A:$A,"&gt;="&amp;O895,Producao!$A:$A,"&lt;"&amp;A895)))))</f>
        <v/>
      </c>
      <c r="E895">
        <f>IF(N895="","",INDEX(Equipamentos!$C$2:$C$61,N895))</f>
        <v/>
      </c>
      <c r="F895" s="57">
        <f>IF(OR(D895="",N(Q895)&lt;=0),"",D895/Q895)</f>
        <v/>
      </c>
      <c r="G895" s="55" t="n"/>
      <c r="H895" s="58" t="n"/>
      <c r="I895" s="58" t="n"/>
      <c r="J895" s="55" t="n"/>
      <c r="K895" s="55" t="n"/>
      <c r="L895">
        <f>IF(OR(A895="",B895=""),"",_xlfn.MAXIFS(TrocasEquip!$A$2:$A$1000,TrocasEquip!$B$2:$B$1000,B895,TrocasEquip!$A$2:$A$1000,"&lt;"&amp;A895))</f>
        <v/>
      </c>
      <c r="M895">
        <f>IF(N(L895)=0,0,MATCH(1,INDEX((TrocasEquip!$B$2:$B$1000=B895)*(TrocasEquip!$A$2:$A$1000=L895),0),0))</f>
        <v/>
      </c>
      <c r="N895">
        <f>IF(B895="","",IFERROR(MATCH(B895,Equipamentos!$P$2:$P$61,0),""))</f>
        <v/>
      </c>
      <c r="O895">
        <f>IF(N895="","",IF(M895=0,INDEX(Equipamentos!$U$2:$U$61,N895),L895))</f>
        <v/>
      </c>
      <c r="P895">
        <f>IF(N895="","",IF(M895=0,N(INDEX(Equipamentos!$V$2:$V$61,N895)),N(INDEX(TrocasEquip!$I$2:$I$1000,M895))))</f>
        <v/>
      </c>
      <c r="Q895">
        <f>IF(N895="","",IF(M895=0,INDEX(Equipamentos!$T$2:$T$61,N895),IF(INDEX(TrocasEquip!$H$2:$H$1000,M895)="",INDEX(Equipamentos!$T$2:$T$61,N895),INDEX(TrocasEquip!$H$2:$H$1000,M895))))</f>
        <v/>
      </c>
    </row>
    <row r="896">
      <c r="A896" s="54" t="n"/>
      <c r="B896" s="55" t="n"/>
      <c r="C896">
        <f>IF(B896="","",IF(N896="","posição não encontrada",IF(M896=0,INDEX(Equipamentos!$S$2:$S$61,N896),INDEX(TrocasEquip!$G$2:$G$1000,M896))))</f>
        <v/>
      </c>
      <c r="D896" s="56">
        <f>IF(OR(A896="",N896=""),"",P896+IF(E896="dias",MAX(0,A896-O896),IF(INDEX(Equipamentos!$D$2:$D$61,N896)=2,SUMIFS(Producao!$D:$D,Producao!$A:$A,"&gt;="&amp;O896,Producao!$A:$A,"&lt;"&amp;A896),IF(INDEX(Equipamentos!$D$2:$D$61,N896)=3,SUMIFS(Producao!$E:$E,Producao!$A:$A,"&gt;="&amp;O896,Producao!$A:$A,"&lt;"&amp;A896),SUMIFS(Producao!$B:$B,Producao!$A:$A,"&gt;="&amp;O896,Producao!$A:$A,"&lt;"&amp;A896)))))</f>
        <v/>
      </c>
      <c r="E896">
        <f>IF(N896="","",INDEX(Equipamentos!$C$2:$C$61,N896))</f>
        <v/>
      </c>
      <c r="F896" s="57">
        <f>IF(OR(D896="",N(Q896)&lt;=0),"",D896/Q896)</f>
        <v/>
      </c>
      <c r="G896" s="55" t="n"/>
      <c r="H896" s="58" t="n"/>
      <c r="I896" s="58" t="n"/>
      <c r="J896" s="55" t="n"/>
      <c r="K896" s="55" t="n"/>
      <c r="L896">
        <f>IF(OR(A896="",B896=""),"",_xlfn.MAXIFS(TrocasEquip!$A$2:$A$1000,TrocasEquip!$B$2:$B$1000,B896,TrocasEquip!$A$2:$A$1000,"&lt;"&amp;A896))</f>
        <v/>
      </c>
      <c r="M896">
        <f>IF(N(L896)=0,0,MATCH(1,INDEX((TrocasEquip!$B$2:$B$1000=B896)*(TrocasEquip!$A$2:$A$1000=L896),0),0))</f>
        <v/>
      </c>
      <c r="N896">
        <f>IF(B896="","",IFERROR(MATCH(B896,Equipamentos!$P$2:$P$61,0),""))</f>
        <v/>
      </c>
      <c r="O896">
        <f>IF(N896="","",IF(M896=0,INDEX(Equipamentos!$U$2:$U$61,N896),L896))</f>
        <v/>
      </c>
      <c r="P896">
        <f>IF(N896="","",IF(M896=0,N(INDEX(Equipamentos!$V$2:$V$61,N896)),N(INDEX(TrocasEquip!$I$2:$I$1000,M896))))</f>
        <v/>
      </c>
      <c r="Q896">
        <f>IF(N896="","",IF(M896=0,INDEX(Equipamentos!$T$2:$T$61,N896),IF(INDEX(TrocasEquip!$H$2:$H$1000,M896)="",INDEX(Equipamentos!$T$2:$T$61,N896),INDEX(TrocasEquip!$H$2:$H$1000,M896))))</f>
        <v/>
      </c>
    </row>
    <row r="897">
      <c r="A897" s="54" t="n"/>
      <c r="B897" s="55" t="n"/>
      <c r="C897">
        <f>IF(B897="","",IF(N897="","posição não encontrada",IF(M897=0,INDEX(Equipamentos!$S$2:$S$61,N897),INDEX(TrocasEquip!$G$2:$G$1000,M897))))</f>
        <v/>
      </c>
      <c r="D897" s="56">
        <f>IF(OR(A897="",N897=""),"",P897+IF(E897="dias",MAX(0,A897-O897),IF(INDEX(Equipamentos!$D$2:$D$61,N897)=2,SUMIFS(Producao!$D:$D,Producao!$A:$A,"&gt;="&amp;O897,Producao!$A:$A,"&lt;"&amp;A897),IF(INDEX(Equipamentos!$D$2:$D$61,N897)=3,SUMIFS(Producao!$E:$E,Producao!$A:$A,"&gt;="&amp;O897,Producao!$A:$A,"&lt;"&amp;A897),SUMIFS(Producao!$B:$B,Producao!$A:$A,"&gt;="&amp;O897,Producao!$A:$A,"&lt;"&amp;A897)))))</f>
        <v/>
      </c>
      <c r="E897">
        <f>IF(N897="","",INDEX(Equipamentos!$C$2:$C$61,N897))</f>
        <v/>
      </c>
      <c r="F897" s="57">
        <f>IF(OR(D897="",N(Q897)&lt;=0),"",D897/Q897)</f>
        <v/>
      </c>
      <c r="G897" s="55" t="n"/>
      <c r="H897" s="58" t="n"/>
      <c r="I897" s="58" t="n"/>
      <c r="J897" s="55" t="n"/>
      <c r="K897" s="55" t="n"/>
      <c r="L897">
        <f>IF(OR(A897="",B897=""),"",_xlfn.MAXIFS(TrocasEquip!$A$2:$A$1000,TrocasEquip!$B$2:$B$1000,B897,TrocasEquip!$A$2:$A$1000,"&lt;"&amp;A897))</f>
        <v/>
      </c>
      <c r="M897">
        <f>IF(N(L897)=0,0,MATCH(1,INDEX((TrocasEquip!$B$2:$B$1000=B897)*(TrocasEquip!$A$2:$A$1000=L897),0),0))</f>
        <v/>
      </c>
      <c r="N897">
        <f>IF(B897="","",IFERROR(MATCH(B897,Equipamentos!$P$2:$P$61,0),""))</f>
        <v/>
      </c>
      <c r="O897">
        <f>IF(N897="","",IF(M897=0,INDEX(Equipamentos!$U$2:$U$61,N897),L897))</f>
        <v/>
      </c>
      <c r="P897">
        <f>IF(N897="","",IF(M897=0,N(INDEX(Equipamentos!$V$2:$V$61,N897)),N(INDEX(TrocasEquip!$I$2:$I$1000,M897))))</f>
        <v/>
      </c>
      <c r="Q897">
        <f>IF(N897="","",IF(M897=0,INDEX(Equipamentos!$T$2:$T$61,N897),IF(INDEX(TrocasEquip!$H$2:$H$1000,M897)="",INDEX(Equipamentos!$T$2:$T$61,N897),INDEX(TrocasEquip!$H$2:$H$1000,M897))))</f>
        <v/>
      </c>
    </row>
    <row r="898">
      <c r="A898" s="54" t="n"/>
      <c r="B898" s="55" t="n"/>
      <c r="C898">
        <f>IF(B898="","",IF(N898="","posição não encontrada",IF(M898=0,INDEX(Equipamentos!$S$2:$S$61,N898),INDEX(TrocasEquip!$G$2:$G$1000,M898))))</f>
        <v/>
      </c>
      <c r="D898" s="56">
        <f>IF(OR(A898="",N898=""),"",P898+IF(E898="dias",MAX(0,A898-O898),IF(INDEX(Equipamentos!$D$2:$D$61,N898)=2,SUMIFS(Producao!$D:$D,Producao!$A:$A,"&gt;="&amp;O898,Producao!$A:$A,"&lt;"&amp;A898),IF(INDEX(Equipamentos!$D$2:$D$61,N898)=3,SUMIFS(Producao!$E:$E,Producao!$A:$A,"&gt;="&amp;O898,Producao!$A:$A,"&lt;"&amp;A898),SUMIFS(Producao!$B:$B,Producao!$A:$A,"&gt;="&amp;O898,Producao!$A:$A,"&lt;"&amp;A898)))))</f>
        <v/>
      </c>
      <c r="E898">
        <f>IF(N898="","",INDEX(Equipamentos!$C$2:$C$61,N898))</f>
        <v/>
      </c>
      <c r="F898" s="57">
        <f>IF(OR(D898="",N(Q898)&lt;=0),"",D898/Q898)</f>
        <v/>
      </c>
      <c r="G898" s="55" t="n"/>
      <c r="H898" s="58" t="n"/>
      <c r="I898" s="58" t="n"/>
      <c r="J898" s="55" t="n"/>
      <c r="K898" s="55" t="n"/>
      <c r="L898">
        <f>IF(OR(A898="",B898=""),"",_xlfn.MAXIFS(TrocasEquip!$A$2:$A$1000,TrocasEquip!$B$2:$B$1000,B898,TrocasEquip!$A$2:$A$1000,"&lt;"&amp;A898))</f>
        <v/>
      </c>
      <c r="M898">
        <f>IF(N(L898)=0,0,MATCH(1,INDEX((TrocasEquip!$B$2:$B$1000=B898)*(TrocasEquip!$A$2:$A$1000=L898),0),0))</f>
        <v/>
      </c>
      <c r="N898">
        <f>IF(B898="","",IFERROR(MATCH(B898,Equipamentos!$P$2:$P$61,0),""))</f>
        <v/>
      </c>
      <c r="O898">
        <f>IF(N898="","",IF(M898=0,INDEX(Equipamentos!$U$2:$U$61,N898),L898))</f>
        <v/>
      </c>
      <c r="P898">
        <f>IF(N898="","",IF(M898=0,N(INDEX(Equipamentos!$V$2:$V$61,N898)),N(INDEX(TrocasEquip!$I$2:$I$1000,M898))))</f>
        <v/>
      </c>
      <c r="Q898">
        <f>IF(N898="","",IF(M898=0,INDEX(Equipamentos!$T$2:$T$61,N898),IF(INDEX(TrocasEquip!$H$2:$H$1000,M898)="",INDEX(Equipamentos!$T$2:$T$61,N898),INDEX(TrocasEquip!$H$2:$H$1000,M898))))</f>
        <v/>
      </c>
    </row>
    <row r="899">
      <c r="A899" s="54" t="n"/>
      <c r="B899" s="55" t="n"/>
      <c r="C899">
        <f>IF(B899="","",IF(N899="","posição não encontrada",IF(M899=0,INDEX(Equipamentos!$S$2:$S$61,N899),INDEX(TrocasEquip!$G$2:$G$1000,M899))))</f>
        <v/>
      </c>
      <c r="D899" s="56">
        <f>IF(OR(A899="",N899=""),"",P899+IF(E899="dias",MAX(0,A899-O899),IF(INDEX(Equipamentos!$D$2:$D$61,N899)=2,SUMIFS(Producao!$D:$D,Producao!$A:$A,"&gt;="&amp;O899,Producao!$A:$A,"&lt;"&amp;A899),IF(INDEX(Equipamentos!$D$2:$D$61,N899)=3,SUMIFS(Producao!$E:$E,Producao!$A:$A,"&gt;="&amp;O899,Producao!$A:$A,"&lt;"&amp;A899),SUMIFS(Producao!$B:$B,Producao!$A:$A,"&gt;="&amp;O899,Producao!$A:$A,"&lt;"&amp;A899)))))</f>
        <v/>
      </c>
      <c r="E899">
        <f>IF(N899="","",INDEX(Equipamentos!$C$2:$C$61,N899))</f>
        <v/>
      </c>
      <c r="F899" s="57">
        <f>IF(OR(D899="",N(Q899)&lt;=0),"",D899/Q899)</f>
        <v/>
      </c>
      <c r="G899" s="55" t="n"/>
      <c r="H899" s="58" t="n"/>
      <c r="I899" s="58" t="n"/>
      <c r="J899" s="55" t="n"/>
      <c r="K899" s="55" t="n"/>
      <c r="L899">
        <f>IF(OR(A899="",B899=""),"",_xlfn.MAXIFS(TrocasEquip!$A$2:$A$1000,TrocasEquip!$B$2:$B$1000,B899,TrocasEquip!$A$2:$A$1000,"&lt;"&amp;A899))</f>
        <v/>
      </c>
      <c r="M899">
        <f>IF(N(L899)=0,0,MATCH(1,INDEX((TrocasEquip!$B$2:$B$1000=B899)*(TrocasEquip!$A$2:$A$1000=L899),0),0))</f>
        <v/>
      </c>
      <c r="N899">
        <f>IF(B899="","",IFERROR(MATCH(B899,Equipamentos!$P$2:$P$61,0),""))</f>
        <v/>
      </c>
      <c r="O899">
        <f>IF(N899="","",IF(M899=0,INDEX(Equipamentos!$U$2:$U$61,N899),L899))</f>
        <v/>
      </c>
      <c r="P899">
        <f>IF(N899="","",IF(M899=0,N(INDEX(Equipamentos!$V$2:$V$61,N899)),N(INDEX(TrocasEquip!$I$2:$I$1000,M899))))</f>
        <v/>
      </c>
      <c r="Q899">
        <f>IF(N899="","",IF(M899=0,INDEX(Equipamentos!$T$2:$T$61,N899),IF(INDEX(TrocasEquip!$H$2:$H$1000,M899)="",INDEX(Equipamentos!$T$2:$T$61,N899),INDEX(TrocasEquip!$H$2:$H$1000,M899))))</f>
        <v/>
      </c>
    </row>
    <row r="900">
      <c r="A900" s="54" t="n"/>
      <c r="B900" s="55" t="n"/>
      <c r="C900">
        <f>IF(B900="","",IF(N900="","posição não encontrada",IF(M900=0,INDEX(Equipamentos!$S$2:$S$61,N900),INDEX(TrocasEquip!$G$2:$G$1000,M900))))</f>
        <v/>
      </c>
      <c r="D900" s="56">
        <f>IF(OR(A900="",N900=""),"",P900+IF(E900="dias",MAX(0,A900-O900),IF(INDEX(Equipamentos!$D$2:$D$61,N900)=2,SUMIFS(Producao!$D:$D,Producao!$A:$A,"&gt;="&amp;O900,Producao!$A:$A,"&lt;"&amp;A900),IF(INDEX(Equipamentos!$D$2:$D$61,N900)=3,SUMIFS(Producao!$E:$E,Producao!$A:$A,"&gt;="&amp;O900,Producao!$A:$A,"&lt;"&amp;A900),SUMIFS(Producao!$B:$B,Producao!$A:$A,"&gt;="&amp;O900,Producao!$A:$A,"&lt;"&amp;A900)))))</f>
        <v/>
      </c>
      <c r="E900">
        <f>IF(N900="","",INDEX(Equipamentos!$C$2:$C$61,N900))</f>
        <v/>
      </c>
      <c r="F900" s="57">
        <f>IF(OR(D900="",N(Q900)&lt;=0),"",D900/Q900)</f>
        <v/>
      </c>
      <c r="G900" s="55" t="n"/>
      <c r="H900" s="58" t="n"/>
      <c r="I900" s="58" t="n"/>
      <c r="J900" s="55" t="n"/>
      <c r="K900" s="55" t="n"/>
      <c r="L900">
        <f>IF(OR(A900="",B900=""),"",_xlfn.MAXIFS(TrocasEquip!$A$2:$A$1000,TrocasEquip!$B$2:$B$1000,B900,TrocasEquip!$A$2:$A$1000,"&lt;"&amp;A900))</f>
        <v/>
      </c>
      <c r="M900">
        <f>IF(N(L900)=0,0,MATCH(1,INDEX((TrocasEquip!$B$2:$B$1000=B900)*(TrocasEquip!$A$2:$A$1000=L900),0),0))</f>
        <v/>
      </c>
      <c r="N900">
        <f>IF(B900="","",IFERROR(MATCH(B900,Equipamentos!$P$2:$P$61,0),""))</f>
        <v/>
      </c>
      <c r="O900">
        <f>IF(N900="","",IF(M900=0,INDEX(Equipamentos!$U$2:$U$61,N900),L900))</f>
        <v/>
      </c>
      <c r="P900">
        <f>IF(N900="","",IF(M900=0,N(INDEX(Equipamentos!$V$2:$V$61,N900)),N(INDEX(TrocasEquip!$I$2:$I$1000,M900))))</f>
        <v/>
      </c>
      <c r="Q900">
        <f>IF(N900="","",IF(M900=0,INDEX(Equipamentos!$T$2:$T$61,N900),IF(INDEX(TrocasEquip!$H$2:$H$1000,M900)="",INDEX(Equipamentos!$T$2:$T$61,N900),INDEX(TrocasEquip!$H$2:$H$1000,M900))))</f>
        <v/>
      </c>
    </row>
    <row r="901">
      <c r="A901" s="54" t="n"/>
      <c r="B901" s="55" t="n"/>
      <c r="C901">
        <f>IF(B901="","",IF(N901="","posição não encontrada",IF(M901=0,INDEX(Equipamentos!$S$2:$S$61,N901),INDEX(TrocasEquip!$G$2:$G$1000,M901))))</f>
        <v/>
      </c>
      <c r="D901" s="56">
        <f>IF(OR(A901="",N901=""),"",P901+IF(E901="dias",MAX(0,A901-O901),IF(INDEX(Equipamentos!$D$2:$D$61,N901)=2,SUMIFS(Producao!$D:$D,Producao!$A:$A,"&gt;="&amp;O901,Producao!$A:$A,"&lt;"&amp;A901),IF(INDEX(Equipamentos!$D$2:$D$61,N901)=3,SUMIFS(Producao!$E:$E,Producao!$A:$A,"&gt;="&amp;O901,Producao!$A:$A,"&lt;"&amp;A901),SUMIFS(Producao!$B:$B,Producao!$A:$A,"&gt;="&amp;O901,Producao!$A:$A,"&lt;"&amp;A901)))))</f>
        <v/>
      </c>
      <c r="E901">
        <f>IF(N901="","",INDEX(Equipamentos!$C$2:$C$61,N901))</f>
        <v/>
      </c>
      <c r="F901" s="57">
        <f>IF(OR(D901="",N(Q901)&lt;=0),"",D901/Q901)</f>
        <v/>
      </c>
      <c r="G901" s="55" t="n"/>
      <c r="H901" s="58" t="n"/>
      <c r="I901" s="58" t="n"/>
      <c r="J901" s="55" t="n"/>
      <c r="K901" s="55" t="n"/>
      <c r="L901">
        <f>IF(OR(A901="",B901=""),"",_xlfn.MAXIFS(TrocasEquip!$A$2:$A$1000,TrocasEquip!$B$2:$B$1000,B901,TrocasEquip!$A$2:$A$1000,"&lt;"&amp;A901))</f>
        <v/>
      </c>
      <c r="M901">
        <f>IF(N(L901)=0,0,MATCH(1,INDEX((TrocasEquip!$B$2:$B$1000=B901)*(TrocasEquip!$A$2:$A$1000=L901),0),0))</f>
        <v/>
      </c>
      <c r="N901">
        <f>IF(B901="","",IFERROR(MATCH(B901,Equipamentos!$P$2:$P$61,0),""))</f>
        <v/>
      </c>
      <c r="O901">
        <f>IF(N901="","",IF(M901=0,INDEX(Equipamentos!$U$2:$U$61,N901),L901))</f>
        <v/>
      </c>
      <c r="P901">
        <f>IF(N901="","",IF(M901=0,N(INDEX(Equipamentos!$V$2:$V$61,N901)),N(INDEX(TrocasEquip!$I$2:$I$1000,M901))))</f>
        <v/>
      </c>
      <c r="Q901">
        <f>IF(N901="","",IF(M901=0,INDEX(Equipamentos!$T$2:$T$61,N901),IF(INDEX(TrocasEquip!$H$2:$H$1000,M901)="",INDEX(Equipamentos!$T$2:$T$61,N901),INDEX(TrocasEquip!$H$2:$H$1000,M901))))</f>
        <v/>
      </c>
    </row>
    <row r="902">
      <c r="A902" s="54" t="n"/>
      <c r="B902" s="55" t="n"/>
      <c r="C902">
        <f>IF(B902="","",IF(N902="","posição não encontrada",IF(M902=0,INDEX(Equipamentos!$S$2:$S$61,N902),INDEX(TrocasEquip!$G$2:$G$1000,M902))))</f>
        <v/>
      </c>
      <c r="D902" s="56">
        <f>IF(OR(A902="",N902=""),"",P902+IF(E902="dias",MAX(0,A902-O902),IF(INDEX(Equipamentos!$D$2:$D$61,N902)=2,SUMIFS(Producao!$D:$D,Producao!$A:$A,"&gt;="&amp;O902,Producao!$A:$A,"&lt;"&amp;A902),IF(INDEX(Equipamentos!$D$2:$D$61,N902)=3,SUMIFS(Producao!$E:$E,Producao!$A:$A,"&gt;="&amp;O902,Producao!$A:$A,"&lt;"&amp;A902),SUMIFS(Producao!$B:$B,Producao!$A:$A,"&gt;="&amp;O902,Producao!$A:$A,"&lt;"&amp;A902)))))</f>
        <v/>
      </c>
      <c r="E902">
        <f>IF(N902="","",INDEX(Equipamentos!$C$2:$C$61,N902))</f>
        <v/>
      </c>
      <c r="F902" s="57">
        <f>IF(OR(D902="",N(Q902)&lt;=0),"",D902/Q902)</f>
        <v/>
      </c>
      <c r="G902" s="55" t="n"/>
      <c r="H902" s="58" t="n"/>
      <c r="I902" s="58" t="n"/>
      <c r="J902" s="55" t="n"/>
      <c r="K902" s="55" t="n"/>
      <c r="L902">
        <f>IF(OR(A902="",B902=""),"",_xlfn.MAXIFS(TrocasEquip!$A$2:$A$1000,TrocasEquip!$B$2:$B$1000,B902,TrocasEquip!$A$2:$A$1000,"&lt;"&amp;A902))</f>
        <v/>
      </c>
      <c r="M902">
        <f>IF(N(L902)=0,0,MATCH(1,INDEX((TrocasEquip!$B$2:$B$1000=B902)*(TrocasEquip!$A$2:$A$1000=L902),0),0))</f>
        <v/>
      </c>
      <c r="N902">
        <f>IF(B902="","",IFERROR(MATCH(B902,Equipamentos!$P$2:$P$61,0),""))</f>
        <v/>
      </c>
      <c r="O902">
        <f>IF(N902="","",IF(M902=0,INDEX(Equipamentos!$U$2:$U$61,N902),L902))</f>
        <v/>
      </c>
      <c r="P902">
        <f>IF(N902="","",IF(M902=0,N(INDEX(Equipamentos!$V$2:$V$61,N902)),N(INDEX(TrocasEquip!$I$2:$I$1000,M902))))</f>
        <v/>
      </c>
      <c r="Q902">
        <f>IF(N902="","",IF(M902=0,INDEX(Equipamentos!$T$2:$T$61,N902),IF(INDEX(TrocasEquip!$H$2:$H$1000,M902)="",INDEX(Equipamentos!$T$2:$T$61,N902),INDEX(TrocasEquip!$H$2:$H$1000,M902))))</f>
        <v/>
      </c>
    </row>
    <row r="903">
      <c r="A903" s="54" t="n"/>
      <c r="B903" s="55" t="n"/>
      <c r="C903">
        <f>IF(B903="","",IF(N903="","posição não encontrada",IF(M903=0,INDEX(Equipamentos!$S$2:$S$61,N903),INDEX(TrocasEquip!$G$2:$G$1000,M903))))</f>
        <v/>
      </c>
      <c r="D903" s="56">
        <f>IF(OR(A903="",N903=""),"",P903+IF(E903="dias",MAX(0,A903-O903),IF(INDEX(Equipamentos!$D$2:$D$61,N903)=2,SUMIFS(Producao!$D:$D,Producao!$A:$A,"&gt;="&amp;O903,Producao!$A:$A,"&lt;"&amp;A903),IF(INDEX(Equipamentos!$D$2:$D$61,N903)=3,SUMIFS(Producao!$E:$E,Producao!$A:$A,"&gt;="&amp;O903,Producao!$A:$A,"&lt;"&amp;A903),SUMIFS(Producao!$B:$B,Producao!$A:$A,"&gt;="&amp;O903,Producao!$A:$A,"&lt;"&amp;A903)))))</f>
        <v/>
      </c>
      <c r="E903">
        <f>IF(N903="","",INDEX(Equipamentos!$C$2:$C$61,N903))</f>
        <v/>
      </c>
      <c r="F903" s="57">
        <f>IF(OR(D903="",N(Q903)&lt;=0),"",D903/Q903)</f>
        <v/>
      </c>
      <c r="G903" s="55" t="n"/>
      <c r="H903" s="58" t="n"/>
      <c r="I903" s="58" t="n"/>
      <c r="J903" s="55" t="n"/>
      <c r="K903" s="55" t="n"/>
      <c r="L903">
        <f>IF(OR(A903="",B903=""),"",_xlfn.MAXIFS(TrocasEquip!$A$2:$A$1000,TrocasEquip!$B$2:$B$1000,B903,TrocasEquip!$A$2:$A$1000,"&lt;"&amp;A903))</f>
        <v/>
      </c>
      <c r="M903">
        <f>IF(N(L903)=0,0,MATCH(1,INDEX((TrocasEquip!$B$2:$B$1000=B903)*(TrocasEquip!$A$2:$A$1000=L903),0),0))</f>
        <v/>
      </c>
      <c r="N903">
        <f>IF(B903="","",IFERROR(MATCH(B903,Equipamentos!$P$2:$P$61,0),""))</f>
        <v/>
      </c>
      <c r="O903">
        <f>IF(N903="","",IF(M903=0,INDEX(Equipamentos!$U$2:$U$61,N903),L903))</f>
        <v/>
      </c>
      <c r="P903">
        <f>IF(N903="","",IF(M903=0,N(INDEX(Equipamentos!$V$2:$V$61,N903)),N(INDEX(TrocasEquip!$I$2:$I$1000,M903))))</f>
        <v/>
      </c>
      <c r="Q903">
        <f>IF(N903="","",IF(M903=0,INDEX(Equipamentos!$T$2:$T$61,N903),IF(INDEX(TrocasEquip!$H$2:$H$1000,M903)="",INDEX(Equipamentos!$T$2:$T$61,N903),INDEX(TrocasEquip!$H$2:$H$1000,M903))))</f>
        <v/>
      </c>
    </row>
    <row r="904">
      <c r="A904" s="54" t="n"/>
      <c r="B904" s="55" t="n"/>
      <c r="C904">
        <f>IF(B904="","",IF(N904="","posição não encontrada",IF(M904=0,INDEX(Equipamentos!$S$2:$S$61,N904),INDEX(TrocasEquip!$G$2:$G$1000,M904))))</f>
        <v/>
      </c>
      <c r="D904" s="56">
        <f>IF(OR(A904="",N904=""),"",P904+IF(E904="dias",MAX(0,A904-O904),IF(INDEX(Equipamentos!$D$2:$D$61,N904)=2,SUMIFS(Producao!$D:$D,Producao!$A:$A,"&gt;="&amp;O904,Producao!$A:$A,"&lt;"&amp;A904),IF(INDEX(Equipamentos!$D$2:$D$61,N904)=3,SUMIFS(Producao!$E:$E,Producao!$A:$A,"&gt;="&amp;O904,Producao!$A:$A,"&lt;"&amp;A904),SUMIFS(Producao!$B:$B,Producao!$A:$A,"&gt;="&amp;O904,Producao!$A:$A,"&lt;"&amp;A904)))))</f>
        <v/>
      </c>
      <c r="E904">
        <f>IF(N904="","",INDEX(Equipamentos!$C$2:$C$61,N904))</f>
        <v/>
      </c>
      <c r="F904" s="57">
        <f>IF(OR(D904="",N(Q904)&lt;=0),"",D904/Q904)</f>
        <v/>
      </c>
      <c r="G904" s="55" t="n"/>
      <c r="H904" s="58" t="n"/>
      <c r="I904" s="58" t="n"/>
      <c r="J904" s="55" t="n"/>
      <c r="K904" s="55" t="n"/>
      <c r="L904">
        <f>IF(OR(A904="",B904=""),"",_xlfn.MAXIFS(TrocasEquip!$A$2:$A$1000,TrocasEquip!$B$2:$B$1000,B904,TrocasEquip!$A$2:$A$1000,"&lt;"&amp;A904))</f>
        <v/>
      </c>
      <c r="M904">
        <f>IF(N(L904)=0,0,MATCH(1,INDEX((TrocasEquip!$B$2:$B$1000=B904)*(TrocasEquip!$A$2:$A$1000=L904),0),0))</f>
        <v/>
      </c>
      <c r="N904">
        <f>IF(B904="","",IFERROR(MATCH(B904,Equipamentos!$P$2:$P$61,0),""))</f>
        <v/>
      </c>
      <c r="O904">
        <f>IF(N904="","",IF(M904=0,INDEX(Equipamentos!$U$2:$U$61,N904),L904))</f>
        <v/>
      </c>
      <c r="P904">
        <f>IF(N904="","",IF(M904=0,N(INDEX(Equipamentos!$V$2:$V$61,N904)),N(INDEX(TrocasEquip!$I$2:$I$1000,M904))))</f>
        <v/>
      </c>
      <c r="Q904">
        <f>IF(N904="","",IF(M904=0,INDEX(Equipamentos!$T$2:$T$61,N904),IF(INDEX(TrocasEquip!$H$2:$H$1000,M904)="",INDEX(Equipamentos!$T$2:$T$61,N904),INDEX(TrocasEquip!$H$2:$H$1000,M904))))</f>
        <v/>
      </c>
    </row>
    <row r="905">
      <c r="A905" s="54" t="n"/>
      <c r="B905" s="55" t="n"/>
      <c r="C905">
        <f>IF(B905="","",IF(N905="","posição não encontrada",IF(M905=0,INDEX(Equipamentos!$S$2:$S$61,N905),INDEX(TrocasEquip!$G$2:$G$1000,M905))))</f>
        <v/>
      </c>
      <c r="D905" s="56">
        <f>IF(OR(A905="",N905=""),"",P905+IF(E905="dias",MAX(0,A905-O905),IF(INDEX(Equipamentos!$D$2:$D$61,N905)=2,SUMIFS(Producao!$D:$D,Producao!$A:$A,"&gt;="&amp;O905,Producao!$A:$A,"&lt;"&amp;A905),IF(INDEX(Equipamentos!$D$2:$D$61,N905)=3,SUMIFS(Producao!$E:$E,Producao!$A:$A,"&gt;="&amp;O905,Producao!$A:$A,"&lt;"&amp;A905),SUMIFS(Producao!$B:$B,Producao!$A:$A,"&gt;="&amp;O905,Producao!$A:$A,"&lt;"&amp;A905)))))</f>
        <v/>
      </c>
      <c r="E905">
        <f>IF(N905="","",INDEX(Equipamentos!$C$2:$C$61,N905))</f>
        <v/>
      </c>
      <c r="F905" s="57">
        <f>IF(OR(D905="",N(Q905)&lt;=0),"",D905/Q905)</f>
        <v/>
      </c>
      <c r="G905" s="55" t="n"/>
      <c r="H905" s="58" t="n"/>
      <c r="I905" s="58" t="n"/>
      <c r="J905" s="55" t="n"/>
      <c r="K905" s="55" t="n"/>
      <c r="L905">
        <f>IF(OR(A905="",B905=""),"",_xlfn.MAXIFS(TrocasEquip!$A$2:$A$1000,TrocasEquip!$B$2:$B$1000,B905,TrocasEquip!$A$2:$A$1000,"&lt;"&amp;A905))</f>
        <v/>
      </c>
      <c r="M905">
        <f>IF(N(L905)=0,0,MATCH(1,INDEX((TrocasEquip!$B$2:$B$1000=B905)*(TrocasEquip!$A$2:$A$1000=L905),0),0))</f>
        <v/>
      </c>
      <c r="N905">
        <f>IF(B905="","",IFERROR(MATCH(B905,Equipamentos!$P$2:$P$61,0),""))</f>
        <v/>
      </c>
      <c r="O905">
        <f>IF(N905="","",IF(M905=0,INDEX(Equipamentos!$U$2:$U$61,N905),L905))</f>
        <v/>
      </c>
      <c r="P905">
        <f>IF(N905="","",IF(M905=0,N(INDEX(Equipamentos!$V$2:$V$61,N905)),N(INDEX(TrocasEquip!$I$2:$I$1000,M905))))</f>
        <v/>
      </c>
      <c r="Q905">
        <f>IF(N905="","",IF(M905=0,INDEX(Equipamentos!$T$2:$T$61,N905),IF(INDEX(TrocasEquip!$H$2:$H$1000,M905)="",INDEX(Equipamentos!$T$2:$T$61,N905),INDEX(TrocasEquip!$H$2:$H$1000,M905))))</f>
        <v/>
      </c>
    </row>
    <row r="906">
      <c r="A906" s="54" t="n"/>
      <c r="B906" s="55" t="n"/>
      <c r="C906">
        <f>IF(B906="","",IF(N906="","posição não encontrada",IF(M906=0,INDEX(Equipamentos!$S$2:$S$61,N906),INDEX(TrocasEquip!$G$2:$G$1000,M906))))</f>
        <v/>
      </c>
      <c r="D906" s="56">
        <f>IF(OR(A906="",N906=""),"",P906+IF(E906="dias",MAX(0,A906-O906),IF(INDEX(Equipamentos!$D$2:$D$61,N906)=2,SUMIFS(Producao!$D:$D,Producao!$A:$A,"&gt;="&amp;O906,Producao!$A:$A,"&lt;"&amp;A906),IF(INDEX(Equipamentos!$D$2:$D$61,N906)=3,SUMIFS(Producao!$E:$E,Producao!$A:$A,"&gt;="&amp;O906,Producao!$A:$A,"&lt;"&amp;A906),SUMIFS(Producao!$B:$B,Producao!$A:$A,"&gt;="&amp;O906,Producao!$A:$A,"&lt;"&amp;A906)))))</f>
        <v/>
      </c>
      <c r="E906">
        <f>IF(N906="","",INDEX(Equipamentos!$C$2:$C$61,N906))</f>
        <v/>
      </c>
      <c r="F906" s="57">
        <f>IF(OR(D906="",N(Q906)&lt;=0),"",D906/Q906)</f>
        <v/>
      </c>
      <c r="G906" s="55" t="n"/>
      <c r="H906" s="58" t="n"/>
      <c r="I906" s="58" t="n"/>
      <c r="J906" s="55" t="n"/>
      <c r="K906" s="55" t="n"/>
      <c r="L906">
        <f>IF(OR(A906="",B906=""),"",_xlfn.MAXIFS(TrocasEquip!$A$2:$A$1000,TrocasEquip!$B$2:$B$1000,B906,TrocasEquip!$A$2:$A$1000,"&lt;"&amp;A906))</f>
        <v/>
      </c>
      <c r="M906">
        <f>IF(N(L906)=0,0,MATCH(1,INDEX((TrocasEquip!$B$2:$B$1000=B906)*(TrocasEquip!$A$2:$A$1000=L906),0),0))</f>
        <v/>
      </c>
      <c r="N906">
        <f>IF(B906="","",IFERROR(MATCH(B906,Equipamentos!$P$2:$P$61,0),""))</f>
        <v/>
      </c>
      <c r="O906">
        <f>IF(N906="","",IF(M906=0,INDEX(Equipamentos!$U$2:$U$61,N906),L906))</f>
        <v/>
      </c>
      <c r="P906">
        <f>IF(N906="","",IF(M906=0,N(INDEX(Equipamentos!$V$2:$V$61,N906)),N(INDEX(TrocasEquip!$I$2:$I$1000,M906))))</f>
        <v/>
      </c>
      <c r="Q906">
        <f>IF(N906="","",IF(M906=0,INDEX(Equipamentos!$T$2:$T$61,N906),IF(INDEX(TrocasEquip!$H$2:$H$1000,M906)="",INDEX(Equipamentos!$T$2:$T$61,N906),INDEX(TrocasEquip!$H$2:$H$1000,M906))))</f>
        <v/>
      </c>
    </row>
    <row r="907">
      <c r="A907" s="54" t="n"/>
      <c r="B907" s="55" t="n"/>
      <c r="C907">
        <f>IF(B907="","",IF(N907="","posição não encontrada",IF(M907=0,INDEX(Equipamentos!$S$2:$S$61,N907),INDEX(TrocasEquip!$G$2:$G$1000,M907))))</f>
        <v/>
      </c>
      <c r="D907" s="56">
        <f>IF(OR(A907="",N907=""),"",P907+IF(E907="dias",MAX(0,A907-O907),IF(INDEX(Equipamentos!$D$2:$D$61,N907)=2,SUMIFS(Producao!$D:$D,Producao!$A:$A,"&gt;="&amp;O907,Producao!$A:$A,"&lt;"&amp;A907),IF(INDEX(Equipamentos!$D$2:$D$61,N907)=3,SUMIFS(Producao!$E:$E,Producao!$A:$A,"&gt;="&amp;O907,Producao!$A:$A,"&lt;"&amp;A907),SUMIFS(Producao!$B:$B,Producao!$A:$A,"&gt;="&amp;O907,Producao!$A:$A,"&lt;"&amp;A907)))))</f>
        <v/>
      </c>
      <c r="E907">
        <f>IF(N907="","",INDEX(Equipamentos!$C$2:$C$61,N907))</f>
        <v/>
      </c>
      <c r="F907" s="57">
        <f>IF(OR(D907="",N(Q907)&lt;=0),"",D907/Q907)</f>
        <v/>
      </c>
      <c r="G907" s="55" t="n"/>
      <c r="H907" s="58" t="n"/>
      <c r="I907" s="58" t="n"/>
      <c r="J907" s="55" t="n"/>
      <c r="K907" s="55" t="n"/>
      <c r="L907">
        <f>IF(OR(A907="",B907=""),"",_xlfn.MAXIFS(TrocasEquip!$A$2:$A$1000,TrocasEquip!$B$2:$B$1000,B907,TrocasEquip!$A$2:$A$1000,"&lt;"&amp;A907))</f>
        <v/>
      </c>
      <c r="M907">
        <f>IF(N(L907)=0,0,MATCH(1,INDEX((TrocasEquip!$B$2:$B$1000=B907)*(TrocasEquip!$A$2:$A$1000=L907),0),0))</f>
        <v/>
      </c>
      <c r="N907">
        <f>IF(B907="","",IFERROR(MATCH(B907,Equipamentos!$P$2:$P$61,0),""))</f>
        <v/>
      </c>
      <c r="O907">
        <f>IF(N907="","",IF(M907=0,INDEX(Equipamentos!$U$2:$U$61,N907),L907))</f>
        <v/>
      </c>
      <c r="P907">
        <f>IF(N907="","",IF(M907=0,N(INDEX(Equipamentos!$V$2:$V$61,N907)),N(INDEX(TrocasEquip!$I$2:$I$1000,M907))))</f>
        <v/>
      </c>
      <c r="Q907">
        <f>IF(N907="","",IF(M907=0,INDEX(Equipamentos!$T$2:$T$61,N907),IF(INDEX(TrocasEquip!$H$2:$H$1000,M907)="",INDEX(Equipamentos!$T$2:$T$61,N907),INDEX(TrocasEquip!$H$2:$H$1000,M907))))</f>
        <v/>
      </c>
    </row>
    <row r="908">
      <c r="A908" s="54" t="n"/>
      <c r="B908" s="55" t="n"/>
      <c r="C908">
        <f>IF(B908="","",IF(N908="","posição não encontrada",IF(M908=0,INDEX(Equipamentos!$S$2:$S$61,N908),INDEX(TrocasEquip!$G$2:$G$1000,M908))))</f>
        <v/>
      </c>
      <c r="D908" s="56">
        <f>IF(OR(A908="",N908=""),"",P908+IF(E908="dias",MAX(0,A908-O908),IF(INDEX(Equipamentos!$D$2:$D$61,N908)=2,SUMIFS(Producao!$D:$D,Producao!$A:$A,"&gt;="&amp;O908,Producao!$A:$A,"&lt;"&amp;A908),IF(INDEX(Equipamentos!$D$2:$D$61,N908)=3,SUMIFS(Producao!$E:$E,Producao!$A:$A,"&gt;="&amp;O908,Producao!$A:$A,"&lt;"&amp;A908),SUMIFS(Producao!$B:$B,Producao!$A:$A,"&gt;="&amp;O908,Producao!$A:$A,"&lt;"&amp;A908)))))</f>
        <v/>
      </c>
      <c r="E908">
        <f>IF(N908="","",INDEX(Equipamentos!$C$2:$C$61,N908))</f>
        <v/>
      </c>
      <c r="F908" s="57">
        <f>IF(OR(D908="",N(Q908)&lt;=0),"",D908/Q908)</f>
        <v/>
      </c>
      <c r="G908" s="55" t="n"/>
      <c r="H908" s="58" t="n"/>
      <c r="I908" s="58" t="n"/>
      <c r="J908" s="55" t="n"/>
      <c r="K908" s="55" t="n"/>
      <c r="L908">
        <f>IF(OR(A908="",B908=""),"",_xlfn.MAXIFS(TrocasEquip!$A$2:$A$1000,TrocasEquip!$B$2:$B$1000,B908,TrocasEquip!$A$2:$A$1000,"&lt;"&amp;A908))</f>
        <v/>
      </c>
      <c r="M908">
        <f>IF(N(L908)=0,0,MATCH(1,INDEX((TrocasEquip!$B$2:$B$1000=B908)*(TrocasEquip!$A$2:$A$1000=L908),0),0))</f>
        <v/>
      </c>
      <c r="N908">
        <f>IF(B908="","",IFERROR(MATCH(B908,Equipamentos!$P$2:$P$61,0),""))</f>
        <v/>
      </c>
      <c r="O908">
        <f>IF(N908="","",IF(M908=0,INDEX(Equipamentos!$U$2:$U$61,N908),L908))</f>
        <v/>
      </c>
      <c r="P908">
        <f>IF(N908="","",IF(M908=0,N(INDEX(Equipamentos!$V$2:$V$61,N908)),N(INDEX(TrocasEquip!$I$2:$I$1000,M908))))</f>
        <v/>
      </c>
      <c r="Q908">
        <f>IF(N908="","",IF(M908=0,INDEX(Equipamentos!$T$2:$T$61,N908),IF(INDEX(TrocasEquip!$H$2:$H$1000,M908)="",INDEX(Equipamentos!$T$2:$T$61,N908),INDEX(TrocasEquip!$H$2:$H$1000,M908))))</f>
        <v/>
      </c>
    </row>
    <row r="909">
      <c r="A909" s="54" t="n"/>
      <c r="B909" s="55" t="n"/>
      <c r="C909">
        <f>IF(B909="","",IF(N909="","posição não encontrada",IF(M909=0,INDEX(Equipamentos!$S$2:$S$61,N909),INDEX(TrocasEquip!$G$2:$G$1000,M909))))</f>
        <v/>
      </c>
      <c r="D909" s="56">
        <f>IF(OR(A909="",N909=""),"",P909+IF(E909="dias",MAX(0,A909-O909),IF(INDEX(Equipamentos!$D$2:$D$61,N909)=2,SUMIFS(Producao!$D:$D,Producao!$A:$A,"&gt;="&amp;O909,Producao!$A:$A,"&lt;"&amp;A909),IF(INDEX(Equipamentos!$D$2:$D$61,N909)=3,SUMIFS(Producao!$E:$E,Producao!$A:$A,"&gt;="&amp;O909,Producao!$A:$A,"&lt;"&amp;A909),SUMIFS(Producao!$B:$B,Producao!$A:$A,"&gt;="&amp;O909,Producao!$A:$A,"&lt;"&amp;A909)))))</f>
        <v/>
      </c>
      <c r="E909">
        <f>IF(N909="","",INDEX(Equipamentos!$C$2:$C$61,N909))</f>
        <v/>
      </c>
      <c r="F909" s="57">
        <f>IF(OR(D909="",N(Q909)&lt;=0),"",D909/Q909)</f>
        <v/>
      </c>
      <c r="G909" s="55" t="n"/>
      <c r="H909" s="58" t="n"/>
      <c r="I909" s="58" t="n"/>
      <c r="J909" s="55" t="n"/>
      <c r="K909" s="55" t="n"/>
      <c r="L909">
        <f>IF(OR(A909="",B909=""),"",_xlfn.MAXIFS(TrocasEquip!$A$2:$A$1000,TrocasEquip!$B$2:$B$1000,B909,TrocasEquip!$A$2:$A$1000,"&lt;"&amp;A909))</f>
        <v/>
      </c>
      <c r="M909">
        <f>IF(N(L909)=0,0,MATCH(1,INDEX((TrocasEquip!$B$2:$B$1000=B909)*(TrocasEquip!$A$2:$A$1000=L909),0),0))</f>
        <v/>
      </c>
      <c r="N909">
        <f>IF(B909="","",IFERROR(MATCH(B909,Equipamentos!$P$2:$P$61,0),""))</f>
        <v/>
      </c>
      <c r="O909">
        <f>IF(N909="","",IF(M909=0,INDEX(Equipamentos!$U$2:$U$61,N909),L909))</f>
        <v/>
      </c>
      <c r="P909">
        <f>IF(N909="","",IF(M909=0,N(INDEX(Equipamentos!$V$2:$V$61,N909)),N(INDEX(TrocasEquip!$I$2:$I$1000,M909))))</f>
        <v/>
      </c>
      <c r="Q909">
        <f>IF(N909="","",IF(M909=0,INDEX(Equipamentos!$T$2:$T$61,N909),IF(INDEX(TrocasEquip!$H$2:$H$1000,M909)="",INDEX(Equipamentos!$T$2:$T$61,N909),INDEX(TrocasEquip!$H$2:$H$1000,M909))))</f>
        <v/>
      </c>
    </row>
    <row r="910">
      <c r="A910" s="54" t="n"/>
      <c r="B910" s="55" t="n"/>
      <c r="C910">
        <f>IF(B910="","",IF(N910="","posição não encontrada",IF(M910=0,INDEX(Equipamentos!$S$2:$S$61,N910),INDEX(TrocasEquip!$G$2:$G$1000,M910))))</f>
        <v/>
      </c>
      <c r="D910" s="56">
        <f>IF(OR(A910="",N910=""),"",P910+IF(E910="dias",MAX(0,A910-O910),IF(INDEX(Equipamentos!$D$2:$D$61,N910)=2,SUMIFS(Producao!$D:$D,Producao!$A:$A,"&gt;="&amp;O910,Producao!$A:$A,"&lt;"&amp;A910),IF(INDEX(Equipamentos!$D$2:$D$61,N910)=3,SUMIFS(Producao!$E:$E,Producao!$A:$A,"&gt;="&amp;O910,Producao!$A:$A,"&lt;"&amp;A910),SUMIFS(Producao!$B:$B,Producao!$A:$A,"&gt;="&amp;O910,Producao!$A:$A,"&lt;"&amp;A910)))))</f>
        <v/>
      </c>
      <c r="E910">
        <f>IF(N910="","",INDEX(Equipamentos!$C$2:$C$61,N910))</f>
        <v/>
      </c>
      <c r="F910" s="57">
        <f>IF(OR(D910="",N(Q910)&lt;=0),"",D910/Q910)</f>
        <v/>
      </c>
      <c r="G910" s="55" t="n"/>
      <c r="H910" s="58" t="n"/>
      <c r="I910" s="58" t="n"/>
      <c r="J910" s="55" t="n"/>
      <c r="K910" s="55" t="n"/>
      <c r="L910">
        <f>IF(OR(A910="",B910=""),"",_xlfn.MAXIFS(TrocasEquip!$A$2:$A$1000,TrocasEquip!$B$2:$B$1000,B910,TrocasEquip!$A$2:$A$1000,"&lt;"&amp;A910))</f>
        <v/>
      </c>
      <c r="M910">
        <f>IF(N(L910)=0,0,MATCH(1,INDEX((TrocasEquip!$B$2:$B$1000=B910)*(TrocasEquip!$A$2:$A$1000=L910),0),0))</f>
        <v/>
      </c>
      <c r="N910">
        <f>IF(B910="","",IFERROR(MATCH(B910,Equipamentos!$P$2:$P$61,0),""))</f>
        <v/>
      </c>
      <c r="O910">
        <f>IF(N910="","",IF(M910=0,INDEX(Equipamentos!$U$2:$U$61,N910),L910))</f>
        <v/>
      </c>
      <c r="P910">
        <f>IF(N910="","",IF(M910=0,N(INDEX(Equipamentos!$V$2:$V$61,N910)),N(INDEX(TrocasEquip!$I$2:$I$1000,M910))))</f>
        <v/>
      </c>
      <c r="Q910">
        <f>IF(N910="","",IF(M910=0,INDEX(Equipamentos!$T$2:$T$61,N910),IF(INDEX(TrocasEquip!$H$2:$H$1000,M910)="",INDEX(Equipamentos!$T$2:$T$61,N910),INDEX(TrocasEquip!$H$2:$H$1000,M910))))</f>
        <v/>
      </c>
    </row>
    <row r="911">
      <c r="A911" s="54" t="n"/>
      <c r="B911" s="55" t="n"/>
      <c r="C911">
        <f>IF(B911="","",IF(N911="","posição não encontrada",IF(M911=0,INDEX(Equipamentos!$S$2:$S$61,N911),INDEX(TrocasEquip!$G$2:$G$1000,M911))))</f>
        <v/>
      </c>
      <c r="D911" s="56">
        <f>IF(OR(A911="",N911=""),"",P911+IF(E911="dias",MAX(0,A911-O911),IF(INDEX(Equipamentos!$D$2:$D$61,N911)=2,SUMIFS(Producao!$D:$D,Producao!$A:$A,"&gt;="&amp;O911,Producao!$A:$A,"&lt;"&amp;A911),IF(INDEX(Equipamentos!$D$2:$D$61,N911)=3,SUMIFS(Producao!$E:$E,Producao!$A:$A,"&gt;="&amp;O911,Producao!$A:$A,"&lt;"&amp;A911),SUMIFS(Producao!$B:$B,Producao!$A:$A,"&gt;="&amp;O911,Producao!$A:$A,"&lt;"&amp;A911)))))</f>
        <v/>
      </c>
      <c r="E911">
        <f>IF(N911="","",INDEX(Equipamentos!$C$2:$C$61,N911))</f>
        <v/>
      </c>
      <c r="F911" s="57">
        <f>IF(OR(D911="",N(Q911)&lt;=0),"",D911/Q911)</f>
        <v/>
      </c>
      <c r="G911" s="55" t="n"/>
      <c r="H911" s="58" t="n"/>
      <c r="I911" s="58" t="n"/>
      <c r="J911" s="55" t="n"/>
      <c r="K911" s="55" t="n"/>
      <c r="L911">
        <f>IF(OR(A911="",B911=""),"",_xlfn.MAXIFS(TrocasEquip!$A$2:$A$1000,TrocasEquip!$B$2:$B$1000,B911,TrocasEquip!$A$2:$A$1000,"&lt;"&amp;A911))</f>
        <v/>
      </c>
      <c r="M911">
        <f>IF(N(L911)=0,0,MATCH(1,INDEX((TrocasEquip!$B$2:$B$1000=B911)*(TrocasEquip!$A$2:$A$1000=L911),0),0))</f>
        <v/>
      </c>
      <c r="N911">
        <f>IF(B911="","",IFERROR(MATCH(B911,Equipamentos!$P$2:$P$61,0),""))</f>
        <v/>
      </c>
      <c r="O911">
        <f>IF(N911="","",IF(M911=0,INDEX(Equipamentos!$U$2:$U$61,N911),L911))</f>
        <v/>
      </c>
      <c r="P911">
        <f>IF(N911="","",IF(M911=0,N(INDEX(Equipamentos!$V$2:$V$61,N911)),N(INDEX(TrocasEquip!$I$2:$I$1000,M911))))</f>
        <v/>
      </c>
      <c r="Q911">
        <f>IF(N911="","",IF(M911=0,INDEX(Equipamentos!$T$2:$T$61,N911),IF(INDEX(TrocasEquip!$H$2:$H$1000,M911)="",INDEX(Equipamentos!$T$2:$T$61,N911),INDEX(TrocasEquip!$H$2:$H$1000,M911))))</f>
        <v/>
      </c>
    </row>
    <row r="912">
      <c r="A912" s="54" t="n"/>
      <c r="B912" s="55" t="n"/>
      <c r="C912">
        <f>IF(B912="","",IF(N912="","posição não encontrada",IF(M912=0,INDEX(Equipamentos!$S$2:$S$61,N912),INDEX(TrocasEquip!$G$2:$G$1000,M912))))</f>
        <v/>
      </c>
      <c r="D912" s="56">
        <f>IF(OR(A912="",N912=""),"",P912+IF(E912="dias",MAX(0,A912-O912),IF(INDEX(Equipamentos!$D$2:$D$61,N912)=2,SUMIFS(Producao!$D:$D,Producao!$A:$A,"&gt;="&amp;O912,Producao!$A:$A,"&lt;"&amp;A912),IF(INDEX(Equipamentos!$D$2:$D$61,N912)=3,SUMIFS(Producao!$E:$E,Producao!$A:$A,"&gt;="&amp;O912,Producao!$A:$A,"&lt;"&amp;A912),SUMIFS(Producao!$B:$B,Producao!$A:$A,"&gt;="&amp;O912,Producao!$A:$A,"&lt;"&amp;A912)))))</f>
        <v/>
      </c>
      <c r="E912">
        <f>IF(N912="","",INDEX(Equipamentos!$C$2:$C$61,N912))</f>
        <v/>
      </c>
      <c r="F912" s="57">
        <f>IF(OR(D912="",N(Q912)&lt;=0),"",D912/Q912)</f>
        <v/>
      </c>
      <c r="G912" s="55" t="n"/>
      <c r="H912" s="58" t="n"/>
      <c r="I912" s="58" t="n"/>
      <c r="J912" s="55" t="n"/>
      <c r="K912" s="55" t="n"/>
      <c r="L912">
        <f>IF(OR(A912="",B912=""),"",_xlfn.MAXIFS(TrocasEquip!$A$2:$A$1000,TrocasEquip!$B$2:$B$1000,B912,TrocasEquip!$A$2:$A$1000,"&lt;"&amp;A912))</f>
        <v/>
      </c>
      <c r="M912">
        <f>IF(N(L912)=0,0,MATCH(1,INDEX((TrocasEquip!$B$2:$B$1000=B912)*(TrocasEquip!$A$2:$A$1000=L912),0),0))</f>
        <v/>
      </c>
      <c r="N912">
        <f>IF(B912="","",IFERROR(MATCH(B912,Equipamentos!$P$2:$P$61,0),""))</f>
        <v/>
      </c>
      <c r="O912">
        <f>IF(N912="","",IF(M912=0,INDEX(Equipamentos!$U$2:$U$61,N912),L912))</f>
        <v/>
      </c>
      <c r="P912">
        <f>IF(N912="","",IF(M912=0,N(INDEX(Equipamentos!$V$2:$V$61,N912)),N(INDEX(TrocasEquip!$I$2:$I$1000,M912))))</f>
        <v/>
      </c>
      <c r="Q912">
        <f>IF(N912="","",IF(M912=0,INDEX(Equipamentos!$T$2:$T$61,N912),IF(INDEX(TrocasEquip!$H$2:$H$1000,M912)="",INDEX(Equipamentos!$T$2:$T$61,N912),INDEX(TrocasEquip!$H$2:$H$1000,M912))))</f>
        <v/>
      </c>
    </row>
    <row r="913">
      <c r="A913" s="54" t="n"/>
      <c r="B913" s="55" t="n"/>
      <c r="C913">
        <f>IF(B913="","",IF(N913="","posição não encontrada",IF(M913=0,INDEX(Equipamentos!$S$2:$S$61,N913),INDEX(TrocasEquip!$G$2:$G$1000,M913))))</f>
        <v/>
      </c>
      <c r="D913" s="56">
        <f>IF(OR(A913="",N913=""),"",P913+IF(E913="dias",MAX(0,A913-O913),IF(INDEX(Equipamentos!$D$2:$D$61,N913)=2,SUMIFS(Producao!$D:$D,Producao!$A:$A,"&gt;="&amp;O913,Producao!$A:$A,"&lt;"&amp;A913),IF(INDEX(Equipamentos!$D$2:$D$61,N913)=3,SUMIFS(Producao!$E:$E,Producao!$A:$A,"&gt;="&amp;O913,Producao!$A:$A,"&lt;"&amp;A913),SUMIFS(Producao!$B:$B,Producao!$A:$A,"&gt;="&amp;O913,Producao!$A:$A,"&lt;"&amp;A913)))))</f>
        <v/>
      </c>
      <c r="E913">
        <f>IF(N913="","",INDEX(Equipamentos!$C$2:$C$61,N913))</f>
        <v/>
      </c>
      <c r="F913" s="57">
        <f>IF(OR(D913="",N(Q913)&lt;=0),"",D913/Q913)</f>
        <v/>
      </c>
      <c r="G913" s="55" t="n"/>
      <c r="H913" s="58" t="n"/>
      <c r="I913" s="58" t="n"/>
      <c r="J913" s="55" t="n"/>
      <c r="K913" s="55" t="n"/>
      <c r="L913">
        <f>IF(OR(A913="",B913=""),"",_xlfn.MAXIFS(TrocasEquip!$A$2:$A$1000,TrocasEquip!$B$2:$B$1000,B913,TrocasEquip!$A$2:$A$1000,"&lt;"&amp;A913))</f>
        <v/>
      </c>
      <c r="M913">
        <f>IF(N(L913)=0,0,MATCH(1,INDEX((TrocasEquip!$B$2:$B$1000=B913)*(TrocasEquip!$A$2:$A$1000=L913),0),0))</f>
        <v/>
      </c>
      <c r="N913">
        <f>IF(B913="","",IFERROR(MATCH(B913,Equipamentos!$P$2:$P$61,0),""))</f>
        <v/>
      </c>
      <c r="O913">
        <f>IF(N913="","",IF(M913=0,INDEX(Equipamentos!$U$2:$U$61,N913),L913))</f>
        <v/>
      </c>
      <c r="P913">
        <f>IF(N913="","",IF(M913=0,N(INDEX(Equipamentos!$V$2:$V$61,N913)),N(INDEX(TrocasEquip!$I$2:$I$1000,M913))))</f>
        <v/>
      </c>
      <c r="Q913">
        <f>IF(N913="","",IF(M913=0,INDEX(Equipamentos!$T$2:$T$61,N913),IF(INDEX(TrocasEquip!$H$2:$H$1000,M913)="",INDEX(Equipamentos!$T$2:$T$61,N913),INDEX(TrocasEquip!$H$2:$H$1000,M913))))</f>
        <v/>
      </c>
    </row>
    <row r="914">
      <c r="A914" s="54" t="n"/>
      <c r="B914" s="55" t="n"/>
      <c r="C914">
        <f>IF(B914="","",IF(N914="","posição não encontrada",IF(M914=0,INDEX(Equipamentos!$S$2:$S$61,N914),INDEX(TrocasEquip!$G$2:$G$1000,M914))))</f>
        <v/>
      </c>
      <c r="D914" s="56">
        <f>IF(OR(A914="",N914=""),"",P914+IF(E914="dias",MAX(0,A914-O914),IF(INDEX(Equipamentos!$D$2:$D$61,N914)=2,SUMIFS(Producao!$D:$D,Producao!$A:$A,"&gt;="&amp;O914,Producao!$A:$A,"&lt;"&amp;A914),IF(INDEX(Equipamentos!$D$2:$D$61,N914)=3,SUMIFS(Producao!$E:$E,Producao!$A:$A,"&gt;="&amp;O914,Producao!$A:$A,"&lt;"&amp;A914),SUMIFS(Producao!$B:$B,Producao!$A:$A,"&gt;="&amp;O914,Producao!$A:$A,"&lt;"&amp;A914)))))</f>
        <v/>
      </c>
      <c r="E914">
        <f>IF(N914="","",INDEX(Equipamentos!$C$2:$C$61,N914))</f>
        <v/>
      </c>
      <c r="F914" s="57">
        <f>IF(OR(D914="",N(Q914)&lt;=0),"",D914/Q914)</f>
        <v/>
      </c>
      <c r="G914" s="55" t="n"/>
      <c r="H914" s="58" t="n"/>
      <c r="I914" s="58" t="n"/>
      <c r="J914" s="55" t="n"/>
      <c r="K914" s="55" t="n"/>
      <c r="L914">
        <f>IF(OR(A914="",B914=""),"",_xlfn.MAXIFS(TrocasEquip!$A$2:$A$1000,TrocasEquip!$B$2:$B$1000,B914,TrocasEquip!$A$2:$A$1000,"&lt;"&amp;A914))</f>
        <v/>
      </c>
      <c r="M914">
        <f>IF(N(L914)=0,0,MATCH(1,INDEX((TrocasEquip!$B$2:$B$1000=B914)*(TrocasEquip!$A$2:$A$1000=L914),0),0))</f>
        <v/>
      </c>
      <c r="N914">
        <f>IF(B914="","",IFERROR(MATCH(B914,Equipamentos!$P$2:$P$61,0),""))</f>
        <v/>
      </c>
      <c r="O914">
        <f>IF(N914="","",IF(M914=0,INDEX(Equipamentos!$U$2:$U$61,N914),L914))</f>
        <v/>
      </c>
      <c r="P914">
        <f>IF(N914="","",IF(M914=0,N(INDEX(Equipamentos!$V$2:$V$61,N914)),N(INDEX(TrocasEquip!$I$2:$I$1000,M914))))</f>
        <v/>
      </c>
      <c r="Q914">
        <f>IF(N914="","",IF(M914=0,INDEX(Equipamentos!$T$2:$T$61,N914),IF(INDEX(TrocasEquip!$H$2:$H$1000,M914)="",INDEX(Equipamentos!$T$2:$T$61,N914),INDEX(TrocasEquip!$H$2:$H$1000,M914))))</f>
        <v/>
      </c>
    </row>
    <row r="915">
      <c r="A915" s="54" t="n"/>
      <c r="B915" s="55" t="n"/>
      <c r="C915">
        <f>IF(B915="","",IF(N915="","posição não encontrada",IF(M915=0,INDEX(Equipamentos!$S$2:$S$61,N915),INDEX(TrocasEquip!$G$2:$G$1000,M915))))</f>
        <v/>
      </c>
      <c r="D915" s="56">
        <f>IF(OR(A915="",N915=""),"",P915+IF(E915="dias",MAX(0,A915-O915),IF(INDEX(Equipamentos!$D$2:$D$61,N915)=2,SUMIFS(Producao!$D:$D,Producao!$A:$A,"&gt;="&amp;O915,Producao!$A:$A,"&lt;"&amp;A915),IF(INDEX(Equipamentos!$D$2:$D$61,N915)=3,SUMIFS(Producao!$E:$E,Producao!$A:$A,"&gt;="&amp;O915,Producao!$A:$A,"&lt;"&amp;A915),SUMIFS(Producao!$B:$B,Producao!$A:$A,"&gt;="&amp;O915,Producao!$A:$A,"&lt;"&amp;A915)))))</f>
        <v/>
      </c>
      <c r="E915">
        <f>IF(N915="","",INDEX(Equipamentos!$C$2:$C$61,N915))</f>
        <v/>
      </c>
      <c r="F915" s="57">
        <f>IF(OR(D915="",N(Q915)&lt;=0),"",D915/Q915)</f>
        <v/>
      </c>
      <c r="G915" s="55" t="n"/>
      <c r="H915" s="58" t="n"/>
      <c r="I915" s="58" t="n"/>
      <c r="J915" s="55" t="n"/>
      <c r="K915" s="55" t="n"/>
      <c r="L915">
        <f>IF(OR(A915="",B915=""),"",_xlfn.MAXIFS(TrocasEquip!$A$2:$A$1000,TrocasEquip!$B$2:$B$1000,B915,TrocasEquip!$A$2:$A$1000,"&lt;"&amp;A915))</f>
        <v/>
      </c>
      <c r="M915">
        <f>IF(N(L915)=0,0,MATCH(1,INDEX((TrocasEquip!$B$2:$B$1000=B915)*(TrocasEquip!$A$2:$A$1000=L915),0),0))</f>
        <v/>
      </c>
      <c r="N915">
        <f>IF(B915="","",IFERROR(MATCH(B915,Equipamentos!$P$2:$P$61,0),""))</f>
        <v/>
      </c>
      <c r="O915">
        <f>IF(N915="","",IF(M915=0,INDEX(Equipamentos!$U$2:$U$61,N915),L915))</f>
        <v/>
      </c>
      <c r="P915">
        <f>IF(N915="","",IF(M915=0,N(INDEX(Equipamentos!$V$2:$V$61,N915)),N(INDEX(TrocasEquip!$I$2:$I$1000,M915))))</f>
        <v/>
      </c>
      <c r="Q915">
        <f>IF(N915="","",IF(M915=0,INDEX(Equipamentos!$T$2:$T$61,N915),IF(INDEX(TrocasEquip!$H$2:$H$1000,M915)="",INDEX(Equipamentos!$T$2:$T$61,N915),INDEX(TrocasEquip!$H$2:$H$1000,M915))))</f>
        <v/>
      </c>
    </row>
    <row r="916">
      <c r="A916" s="54" t="n"/>
      <c r="B916" s="55" t="n"/>
      <c r="C916">
        <f>IF(B916="","",IF(N916="","posição não encontrada",IF(M916=0,INDEX(Equipamentos!$S$2:$S$61,N916),INDEX(TrocasEquip!$G$2:$G$1000,M916))))</f>
        <v/>
      </c>
      <c r="D916" s="56">
        <f>IF(OR(A916="",N916=""),"",P916+IF(E916="dias",MAX(0,A916-O916),IF(INDEX(Equipamentos!$D$2:$D$61,N916)=2,SUMIFS(Producao!$D:$D,Producao!$A:$A,"&gt;="&amp;O916,Producao!$A:$A,"&lt;"&amp;A916),IF(INDEX(Equipamentos!$D$2:$D$61,N916)=3,SUMIFS(Producao!$E:$E,Producao!$A:$A,"&gt;="&amp;O916,Producao!$A:$A,"&lt;"&amp;A916),SUMIFS(Producao!$B:$B,Producao!$A:$A,"&gt;="&amp;O916,Producao!$A:$A,"&lt;"&amp;A916)))))</f>
        <v/>
      </c>
      <c r="E916">
        <f>IF(N916="","",INDEX(Equipamentos!$C$2:$C$61,N916))</f>
        <v/>
      </c>
      <c r="F916" s="57">
        <f>IF(OR(D916="",N(Q916)&lt;=0),"",D916/Q916)</f>
        <v/>
      </c>
      <c r="G916" s="55" t="n"/>
      <c r="H916" s="58" t="n"/>
      <c r="I916" s="58" t="n"/>
      <c r="J916" s="55" t="n"/>
      <c r="K916" s="55" t="n"/>
      <c r="L916">
        <f>IF(OR(A916="",B916=""),"",_xlfn.MAXIFS(TrocasEquip!$A$2:$A$1000,TrocasEquip!$B$2:$B$1000,B916,TrocasEquip!$A$2:$A$1000,"&lt;"&amp;A916))</f>
        <v/>
      </c>
      <c r="M916">
        <f>IF(N(L916)=0,0,MATCH(1,INDEX((TrocasEquip!$B$2:$B$1000=B916)*(TrocasEquip!$A$2:$A$1000=L916),0),0))</f>
        <v/>
      </c>
      <c r="N916">
        <f>IF(B916="","",IFERROR(MATCH(B916,Equipamentos!$P$2:$P$61,0),""))</f>
        <v/>
      </c>
      <c r="O916">
        <f>IF(N916="","",IF(M916=0,INDEX(Equipamentos!$U$2:$U$61,N916),L916))</f>
        <v/>
      </c>
      <c r="P916">
        <f>IF(N916="","",IF(M916=0,N(INDEX(Equipamentos!$V$2:$V$61,N916)),N(INDEX(TrocasEquip!$I$2:$I$1000,M916))))</f>
        <v/>
      </c>
      <c r="Q916">
        <f>IF(N916="","",IF(M916=0,INDEX(Equipamentos!$T$2:$T$61,N916),IF(INDEX(TrocasEquip!$H$2:$H$1000,M916)="",INDEX(Equipamentos!$T$2:$T$61,N916),INDEX(TrocasEquip!$H$2:$H$1000,M916))))</f>
        <v/>
      </c>
    </row>
    <row r="917">
      <c r="A917" s="54" t="n"/>
      <c r="B917" s="55" t="n"/>
      <c r="C917">
        <f>IF(B917="","",IF(N917="","posição não encontrada",IF(M917=0,INDEX(Equipamentos!$S$2:$S$61,N917),INDEX(TrocasEquip!$G$2:$G$1000,M917))))</f>
        <v/>
      </c>
      <c r="D917" s="56">
        <f>IF(OR(A917="",N917=""),"",P917+IF(E917="dias",MAX(0,A917-O917),IF(INDEX(Equipamentos!$D$2:$D$61,N917)=2,SUMIFS(Producao!$D:$D,Producao!$A:$A,"&gt;="&amp;O917,Producao!$A:$A,"&lt;"&amp;A917),IF(INDEX(Equipamentos!$D$2:$D$61,N917)=3,SUMIFS(Producao!$E:$E,Producao!$A:$A,"&gt;="&amp;O917,Producao!$A:$A,"&lt;"&amp;A917),SUMIFS(Producao!$B:$B,Producao!$A:$A,"&gt;="&amp;O917,Producao!$A:$A,"&lt;"&amp;A917)))))</f>
        <v/>
      </c>
      <c r="E917">
        <f>IF(N917="","",INDEX(Equipamentos!$C$2:$C$61,N917))</f>
        <v/>
      </c>
      <c r="F917" s="57">
        <f>IF(OR(D917="",N(Q917)&lt;=0),"",D917/Q917)</f>
        <v/>
      </c>
      <c r="G917" s="55" t="n"/>
      <c r="H917" s="58" t="n"/>
      <c r="I917" s="58" t="n"/>
      <c r="J917" s="55" t="n"/>
      <c r="K917" s="55" t="n"/>
      <c r="L917">
        <f>IF(OR(A917="",B917=""),"",_xlfn.MAXIFS(TrocasEquip!$A$2:$A$1000,TrocasEquip!$B$2:$B$1000,B917,TrocasEquip!$A$2:$A$1000,"&lt;"&amp;A917))</f>
        <v/>
      </c>
      <c r="M917">
        <f>IF(N(L917)=0,0,MATCH(1,INDEX((TrocasEquip!$B$2:$B$1000=B917)*(TrocasEquip!$A$2:$A$1000=L917),0),0))</f>
        <v/>
      </c>
      <c r="N917">
        <f>IF(B917="","",IFERROR(MATCH(B917,Equipamentos!$P$2:$P$61,0),""))</f>
        <v/>
      </c>
      <c r="O917">
        <f>IF(N917="","",IF(M917=0,INDEX(Equipamentos!$U$2:$U$61,N917),L917))</f>
        <v/>
      </c>
      <c r="P917">
        <f>IF(N917="","",IF(M917=0,N(INDEX(Equipamentos!$V$2:$V$61,N917)),N(INDEX(TrocasEquip!$I$2:$I$1000,M917))))</f>
        <v/>
      </c>
      <c r="Q917">
        <f>IF(N917="","",IF(M917=0,INDEX(Equipamentos!$T$2:$T$61,N917),IF(INDEX(TrocasEquip!$H$2:$H$1000,M917)="",INDEX(Equipamentos!$T$2:$T$61,N917),INDEX(TrocasEquip!$H$2:$H$1000,M917))))</f>
        <v/>
      </c>
    </row>
    <row r="918">
      <c r="A918" s="54" t="n"/>
      <c r="B918" s="55" t="n"/>
      <c r="C918">
        <f>IF(B918="","",IF(N918="","posição não encontrada",IF(M918=0,INDEX(Equipamentos!$S$2:$S$61,N918),INDEX(TrocasEquip!$G$2:$G$1000,M918))))</f>
        <v/>
      </c>
      <c r="D918" s="56">
        <f>IF(OR(A918="",N918=""),"",P918+IF(E918="dias",MAX(0,A918-O918),IF(INDEX(Equipamentos!$D$2:$D$61,N918)=2,SUMIFS(Producao!$D:$D,Producao!$A:$A,"&gt;="&amp;O918,Producao!$A:$A,"&lt;"&amp;A918),IF(INDEX(Equipamentos!$D$2:$D$61,N918)=3,SUMIFS(Producao!$E:$E,Producao!$A:$A,"&gt;="&amp;O918,Producao!$A:$A,"&lt;"&amp;A918),SUMIFS(Producao!$B:$B,Producao!$A:$A,"&gt;="&amp;O918,Producao!$A:$A,"&lt;"&amp;A918)))))</f>
        <v/>
      </c>
      <c r="E918">
        <f>IF(N918="","",INDEX(Equipamentos!$C$2:$C$61,N918))</f>
        <v/>
      </c>
      <c r="F918" s="57">
        <f>IF(OR(D918="",N(Q918)&lt;=0),"",D918/Q918)</f>
        <v/>
      </c>
      <c r="G918" s="55" t="n"/>
      <c r="H918" s="58" t="n"/>
      <c r="I918" s="58" t="n"/>
      <c r="J918" s="55" t="n"/>
      <c r="K918" s="55" t="n"/>
      <c r="L918">
        <f>IF(OR(A918="",B918=""),"",_xlfn.MAXIFS(TrocasEquip!$A$2:$A$1000,TrocasEquip!$B$2:$B$1000,B918,TrocasEquip!$A$2:$A$1000,"&lt;"&amp;A918))</f>
        <v/>
      </c>
      <c r="M918">
        <f>IF(N(L918)=0,0,MATCH(1,INDEX((TrocasEquip!$B$2:$B$1000=B918)*(TrocasEquip!$A$2:$A$1000=L918),0),0))</f>
        <v/>
      </c>
      <c r="N918">
        <f>IF(B918="","",IFERROR(MATCH(B918,Equipamentos!$P$2:$P$61,0),""))</f>
        <v/>
      </c>
      <c r="O918">
        <f>IF(N918="","",IF(M918=0,INDEX(Equipamentos!$U$2:$U$61,N918),L918))</f>
        <v/>
      </c>
      <c r="P918">
        <f>IF(N918="","",IF(M918=0,N(INDEX(Equipamentos!$V$2:$V$61,N918)),N(INDEX(TrocasEquip!$I$2:$I$1000,M918))))</f>
        <v/>
      </c>
      <c r="Q918">
        <f>IF(N918="","",IF(M918=0,INDEX(Equipamentos!$T$2:$T$61,N918),IF(INDEX(TrocasEquip!$H$2:$H$1000,M918)="",INDEX(Equipamentos!$T$2:$T$61,N918),INDEX(TrocasEquip!$H$2:$H$1000,M918))))</f>
        <v/>
      </c>
    </row>
    <row r="919">
      <c r="A919" s="54" t="n"/>
      <c r="B919" s="55" t="n"/>
      <c r="C919">
        <f>IF(B919="","",IF(N919="","posição não encontrada",IF(M919=0,INDEX(Equipamentos!$S$2:$S$61,N919),INDEX(TrocasEquip!$G$2:$G$1000,M919))))</f>
        <v/>
      </c>
      <c r="D919" s="56">
        <f>IF(OR(A919="",N919=""),"",P919+IF(E919="dias",MAX(0,A919-O919),IF(INDEX(Equipamentos!$D$2:$D$61,N919)=2,SUMIFS(Producao!$D:$D,Producao!$A:$A,"&gt;="&amp;O919,Producao!$A:$A,"&lt;"&amp;A919),IF(INDEX(Equipamentos!$D$2:$D$61,N919)=3,SUMIFS(Producao!$E:$E,Producao!$A:$A,"&gt;="&amp;O919,Producao!$A:$A,"&lt;"&amp;A919),SUMIFS(Producao!$B:$B,Producao!$A:$A,"&gt;="&amp;O919,Producao!$A:$A,"&lt;"&amp;A919)))))</f>
        <v/>
      </c>
      <c r="E919">
        <f>IF(N919="","",INDEX(Equipamentos!$C$2:$C$61,N919))</f>
        <v/>
      </c>
      <c r="F919" s="57">
        <f>IF(OR(D919="",N(Q919)&lt;=0),"",D919/Q919)</f>
        <v/>
      </c>
      <c r="G919" s="55" t="n"/>
      <c r="H919" s="58" t="n"/>
      <c r="I919" s="58" t="n"/>
      <c r="J919" s="55" t="n"/>
      <c r="K919" s="55" t="n"/>
      <c r="L919">
        <f>IF(OR(A919="",B919=""),"",_xlfn.MAXIFS(TrocasEquip!$A$2:$A$1000,TrocasEquip!$B$2:$B$1000,B919,TrocasEquip!$A$2:$A$1000,"&lt;"&amp;A919))</f>
        <v/>
      </c>
      <c r="M919">
        <f>IF(N(L919)=0,0,MATCH(1,INDEX((TrocasEquip!$B$2:$B$1000=B919)*(TrocasEquip!$A$2:$A$1000=L919),0),0))</f>
        <v/>
      </c>
      <c r="N919">
        <f>IF(B919="","",IFERROR(MATCH(B919,Equipamentos!$P$2:$P$61,0),""))</f>
        <v/>
      </c>
      <c r="O919">
        <f>IF(N919="","",IF(M919=0,INDEX(Equipamentos!$U$2:$U$61,N919),L919))</f>
        <v/>
      </c>
      <c r="P919">
        <f>IF(N919="","",IF(M919=0,N(INDEX(Equipamentos!$V$2:$V$61,N919)),N(INDEX(TrocasEquip!$I$2:$I$1000,M919))))</f>
        <v/>
      </c>
      <c r="Q919">
        <f>IF(N919="","",IF(M919=0,INDEX(Equipamentos!$T$2:$T$61,N919),IF(INDEX(TrocasEquip!$H$2:$H$1000,M919)="",INDEX(Equipamentos!$T$2:$T$61,N919),INDEX(TrocasEquip!$H$2:$H$1000,M919))))</f>
        <v/>
      </c>
    </row>
    <row r="920">
      <c r="A920" s="54" t="n"/>
      <c r="B920" s="55" t="n"/>
      <c r="C920">
        <f>IF(B920="","",IF(N920="","posição não encontrada",IF(M920=0,INDEX(Equipamentos!$S$2:$S$61,N920),INDEX(TrocasEquip!$G$2:$G$1000,M920))))</f>
        <v/>
      </c>
      <c r="D920" s="56">
        <f>IF(OR(A920="",N920=""),"",P920+IF(E920="dias",MAX(0,A920-O920),IF(INDEX(Equipamentos!$D$2:$D$61,N920)=2,SUMIFS(Producao!$D:$D,Producao!$A:$A,"&gt;="&amp;O920,Producao!$A:$A,"&lt;"&amp;A920),IF(INDEX(Equipamentos!$D$2:$D$61,N920)=3,SUMIFS(Producao!$E:$E,Producao!$A:$A,"&gt;="&amp;O920,Producao!$A:$A,"&lt;"&amp;A920),SUMIFS(Producao!$B:$B,Producao!$A:$A,"&gt;="&amp;O920,Producao!$A:$A,"&lt;"&amp;A920)))))</f>
        <v/>
      </c>
      <c r="E920">
        <f>IF(N920="","",INDEX(Equipamentos!$C$2:$C$61,N920))</f>
        <v/>
      </c>
      <c r="F920" s="57">
        <f>IF(OR(D920="",N(Q920)&lt;=0),"",D920/Q920)</f>
        <v/>
      </c>
      <c r="G920" s="55" t="n"/>
      <c r="H920" s="58" t="n"/>
      <c r="I920" s="58" t="n"/>
      <c r="J920" s="55" t="n"/>
      <c r="K920" s="55" t="n"/>
      <c r="L920">
        <f>IF(OR(A920="",B920=""),"",_xlfn.MAXIFS(TrocasEquip!$A$2:$A$1000,TrocasEquip!$B$2:$B$1000,B920,TrocasEquip!$A$2:$A$1000,"&lt;"&amp;A920))</f>
        <v/>
      </c>
      <c r="M920">
        <f>IF(N(L920)=0,0,MATCH(1,INDEX((TrocasEquip!$B$2:$B$1000=B920)*(TrocasEquip!$A$2:$A$1000=L920),0),0))</f>
        <v/>
      </c>
      <c r="N920">
        <f>IF(B920="","",IFERROR(MATCH(B920,Equipamentos!$P$2:$P$61,0),""))</f>
        <v/>
      </c>
      <c r="O920">
        <f>IF(N920="","",IF(M920=0,INDEX(Equipamentos!$U$2:$U$61,N920),L920))</f>
        <v/>
      </c>
      <c r="P920">
        <f>IF(N920="","",IF(M920=0,N(INDEX(Equipamentos!$V$2:$V$61,N920)),N(INDEX(TrocasEquip!$I$2:$I$1000,M920))))</f>
        <v/>
      </c>
      <c r="Q920">
        <f>IF(N920="","",IF(M920=0,INDEX(Equipamentos!$T$2:$T$61,N920),IF(INDEX(TrocasEquip!$H$2:$H$1000,M920)="",INDEX(Equipamentos!$T$2:$T$61,N920),INDEX(TrocasEquip!$H$2:$H$1000,M920))))</f>
        <v/>
      </c>
    </row>
    <row r="921">
      <c r="A921" s="54" t="n"/>
      <c r="B921" s="55" t="n"/>
      <c r="C921">
        <f>IF(B921="","",IF(N921="","posição não encontrada",IF(M921=0,INDEX(Equipamentos!$S$2:$S$61,N921),INDEX(TrocasEquip!$G$2:$G$1000,M921))))</f>
        <v/>
      </c>
      <c r="D921" s="56">
        <f>IF(OR(A921="",N921=""),"",P921+IF(E921="dias",MAX(0,A921-O921),IF(INDEX(Equipamentos!$D$2:$D$61,N921)=2,SUMIFS(Producao!$D:$D,Producao!$A:$A,"&gt;="&amp;O921,Producao!$A:$A,"&lt;"&amp;A921),IF(INDEX(Equipamentos!$D$2:$D$61,N921)=3,SUMIFS(Producao!$E:$E,Producao!$A:$A,"&gt;="&amp;O921,Producao!$A:$A,"&lt;"&amp;A921),SUMIFS(Producao!$B:$B,Producao!$A:$A,"&gt;="&amp;O921,Producao!$A:$A,"&lt;"&amp;A921)))))</f>
        <v/>
      </c>
      <c r="E921">
        <f>IF(N921="","",INDEX(Equipamentos!$C$2:$C$61,N921))</f>
        <v/>
      </c>
      <c r="F921" s="57">
        <f>IF(OR(D921="",N(Q921)&lt;=0),"",D921/Q921)</f>
        <v/>
      </c>
      <c r="G921" s="55" t="n"/>
      <c r="H921" s="58" t="n"/>
      <c r="I921" s="58" t="n"/>
      <c r="J921" s="55" t="n"/>
      <c r="K921" s="55" t="n"/>
      <c r="L921">
        <f>IF(OR(A921="",B921=""),"",_xlfn.MAXIFS(TrocasEquip!$A$2:$A$1000,TrocasEquip!$B$2:$B$1000,B921,TrocasEquip!$A$2:$A$1000,"&lt;"&amp;A921))</f>
        <v/>
      </c>
      <c r="M921">
        <f>IF(N(L921)=0,0,MATCH(1,INDEX((TrocasEquip!$B$2:$B$1000=B921)*(TrocasEquip!$A$2:$A$1000=L921),0),0))</f>
        <v/>
      </c>
      <c r="N921">
        <f>IF(B921="","",IFERROR(MATCH(B921,Equipamentos!$P$2:$P$61,0),""))</f>
        <v/>
      </c>
      <c r="O921">
        <f>IF(N921="","",IF(M921=0,INDEX(Equipamentos!$U$2:$U$61,N921),L921))</f>
        <v/>
      </c>
      <c r="P921">
        <f>IF(N921="","",IF(M921=0,N(INDEX(Equipamentos!$V$2:$V$61,N921)),N(INDEX(TrocasEquip!$I$2:$I$1000,M921))))</f>
        <v/>
      </c>
      <c r="Q921">
        <f>IF(N921="","",IF(M921=0,INDEX(Equipamentos!$T$2:$T$61,N921),IF(INDEX(TrocasEquip!$H$2:$H$1000,M921)="",INDEX(Equipamentos!$T$2:$T$61,N921),INDEX(TrocasEquip!$H$2:$H$1000,M921))))</f>
        <v/>
      </c>
    </row>
    <row r="922">
      <c r="A922" s="54" t="n"/>
      <c r="B922" s="55" t="n"/>
      <c r="C922">
        <f>IF(B922="","",IF(N922="","posição não encontrada",IF(M922=0,INDEX(Equipamentos!$S$2:$S$61,N922),INDEX(TrocasEquip!$G$2:$G$1000,M922))))</f>
        <v/>
      </c>
      <c r="D922" s="56">
        <f>IF(OR(A922="",N922=""),"",P922+IF(E922="dias",MAX(0,A922-O922),IF(INDEX(Equipamentos!$D$2:$D$61,N922)=2,SUMIFS(Producao!$D:$D,Producao!$A:$A,"&gt;="&amp;O922,Producao!$A:$A,"&lt;"&amp;A922),IF(INDEX(Equipamentos!$D$2:$D$61,N922)=3,SUMIFS(Producao!$E:$E,Producao!$A:$A,"&gt;="&amp;O922,Producao!$A:$A,"&lt;"&amp;A922),SUMIFS(Producao!$B:$B,Producao!$A:$A,"&gt;="&amp;O922,Producao!$A:$A,"&lt;"&amp;A922)))))</f>
        <v/>
      </c>
      <c r="E922">
        <f>IF(N922="","",INDEX(Equipamentos!$C$2:$C$61,N922))</f>
        <v/>
      </c>
      <c r="F922" s="57">
        <f>IF(OR(D922="",N(Q922)&lt;=0),"",D922/Q922)</f>
        <v/>
      </c>
      <c r="G922" s="55" t="n"/>
      <c r="H922" s="58" t="n"/>
      <c r="I922" s="58" t="n"/>
      <c r="J922" s="55" t="n"/>
      <c r="K922" s="55" t="n"/>
      <c r="L922">
        <f>IF(OR(A922="",B922=""),"",_xlfn.MAXIFS(TrocasEquip!$A$2:$A$1000,TrocasEquip!$B$2:$B$1000,B922,TrocasEquip!$A$2:$A$1000,"&lt;"&amp;A922))</f>
        <v/>
      </c>
      <c r="M922">
        <f>IF(N(L922)=0,0,MATCH(1,INDEX((TrocasEquip!$B$2:$B$1000=B922)*(TrocasEquip!$A$2:$A$1000=L922),0),0))</f>
        <v/>
      </c>
      <c r="N922">
        <f>IF(B922="","",IFERROR(MATCH(B922,Equipamentos!$P$2:$P$61,0),""))</f>
        <v/>
      </c>
      <c r="O922">
        <f>IF(N922="","",IF(M922=0,INDEX(Equipamentos!$U$2:$U$61,N922),L922))</f>
        <v/>
      </c>
      <c r="P922">
        <f>IF(N922="","",IF(M922=0,N(INDEX(Equipamentos!$V$2:$V$61,N922)),N(INDEX(TrocasEquip!$I$2:$I$1000,M922))))</f>
        <v/>
      </c>
      <c r="Q922">
        <f>IF(N922="","",IF(M922=0,INDEX(Equipamentos!$T$2:$T$61,N922),IF(INDEX(TrocasEquip!$H$2:$H$1000,M922)="",INDEX(Equipamentos!$T$2:$T$61,N922),INDEX(TrocasEquip!$H$2:$H$1000,M922))))</f>
        <v/>
      </c>
    </row>
    <row r="923">
      <c r="A923" s="54" t="n"/>
      <c r="B923" s="55" t="n"/>
      <c r="C923">
        <f>IF(B923="","",IF(N923="","posição não encontrada",IF(M923=0,INDEX(Equipamentos!$S$2:$S$61,N923),INDEX(TrocasEquip!$G$2:$G$1000,M923))))</f>
        <v/>
      </c>
      <c r="D923" s="56">
        <f>IF(OR(A923="",N923=""),"",P923+IF(E923="dias",MAX(0,A923-O923),IF(INDEX(Equipamentos!$D$2:$D$61,N923)=2,SUMIFS(Producao!$D:$D,Producao!$A:$A,"&gt;="&amp;O923,Producao!$A:$A,"&lt;"&amp;A923),IF(INDEX(Equipamentos!$D$2:$D$61,N923)=3,SUMIFS(Producao!$E:$E,Producao!$A:$A,"&gt;="&amp;O923,Producao!$A:$A,"&lt;"&amp;A923),SUMIFS(Producao!$B:$B,Producao!$A:$A,"&gt;="&amp;O923,Producao!$A:$A,"&lt;"&amp;A923)))))</f>
        <v/>
      </c>
      <c r="E923">
        <f>IF(N923="","",INDEX(Equipamentos!$C$2:$C$61,N923))</f>
        <v/>
      </c>
      <c r="F923" s="57">
        <f>IF(OR(D923="",N(Q923)&lt;=0),"",D923/Q923)</f>
        <v/>
      </c>
      <c r="G923" s="55" t="n"/>
      <c r="H923" s="58" t="n"/>
      <c r="I923" s="58" t="n"/>
      <c r="J923" s="55" t="n"/>
      <c r="K923" s="55" t="n"/>
      <c r="L923">
        <f>IF(OR(A923="",B923=""),"",_xlfn.MAXIFS(TrocasEquip!$A$2:$A$1000,TrocasEquip!$B$2:$B$1000,B923,TrocasEquip!$A$2:$A$1000,"&lt;"&amp;A923))</f>
        <v/>
      </c>
      <c r="M923">
        <f>IF(N(L923)=0,0,MATCH(1,INDEX((TrocasEquip!$B$2:$B$1000=B923)*(TrocasEquip!$A$2:$A$1000=L923),0),0))</f>
        <v/>
      </c>
      <c r="N923">
        <f>IF(B923="","",IFERROR(MATCH(B923,Equipamentos!$P$2:$P$61,0),""))</f>
        <v/>
      </c>
      <c r="O923">
        <f>IF(N923="","",IF(M923=0,INDEX(Equipamentos!$U$2:$U$61,N923),L923))</f>
        <v/>
      </c>
      <c r="P923">
        <f>IF(N923="","",IF(M923=0,N(INDEX(Equipamentos!$V$2:$V$61,N923)),N(INDEX(TrocasEquip!$I$2:$I$1000,M923))))</f>
        <v/>
      </c>
      <c r="Q923">
        <f>IF(N923="","",IF(M923=0,INDEX(Equipamentos!$T$2:$T$61,N923),IF(INDEX(TrocasEquip!$H$2:$H$1000,M923)="",INDEX(Equipamentos!$T$2:$T$61,N923),INDEX(TrocasEquip!$H$2:$H$1000,M923))))</f>
        <v/>
      </c>
    </row>
    <row r="924">
      <c r="A924" s="54" t="n"/>
      <c r="B924" s="55" t="n"/>
      <c r="C924">
        <f>IF(B924="","",IF(N924="","posição não encontrada",IF(M924=0,INDEX(Equipamentos!$S$2:$S$61,N924),INDEX(TrocasEquip!$G$2:$G$1000,M924))))</f>
        <v/>
      </c>
      <c r="D924" s="56">
        <f>IF(OR(A924="",N924=""),"",P924+IF(E924="dias",MAX(0,A924-O924),IF(INDEX(Equipamentos!$D$2:$D$61,N924)=2,SUMIFS(Producao!$D:$D,Producao!$A:$A,"&gt;="&amp;O924,Producao!$A:$A,"&lt;"&amp;A924),IF(INDEX(Equipamentos!$D$2:$D$61,N924)=3,SUMIFS(Producao!$E:$E,Producao!$A:$A,"&gt;="&amp;O924,Producao!$A:$A,"&lt;"&amp;A924),SUMIFS(Producao!$B:$B,Producao!$A:$A,"&gt;="&amp;O924,Producao!$A:$A,"&lt;"&amp;A924)))))</f>
        <v/>
      </c>
      <c r="E924">
        <f>IF(N924="","",INDEX(Equipamentos!$C$2:$C$61,N924))</f>
        <v/>
      </c>
      <c r="F924" s="57">
        <f>IF(OR(D924="",N(Q924)&lt;=0),"",D924/Q924)</f>
        <v/>
      </c>
      <c r="G924" s="55" t="n"/>
      <c r="H924" s="58" t="n"/>
      <c r="I924" s="58" t="n"/>
      <c r="J924" s="55" t="n"/>
      <c r="K924" s="55" t="n"/>
      <c r="L924">
        <f>IF(OR(A924="",B924=""),"",_xlfn.MAXIFS(TrocasEquip!$A$2:$A$1000,TrocasEquip!$B$2:$B$1000,B924,TrocasEquip!$A$2:$A$1000,"&lt;"&amp;A924))</f>
        <v/>
      </c>
      <c r="M924">
        <f>IF(N(L924)=0,0,MATCH(1,INDEX((TrocasEquip!$B$2:$B$1000=B924)*(TrocasEquip!$A$2:$A$1000=L924),0),0))</f>
        <v/>
      </c>
      <c r="N924">
        <f>IF(B924="","",IFERROR(MATCH(B924,Equipamentos!$P$2:$P$61,0),""))</f>
        <v/>
      </c>
      <c r="O924">
        <f>IF(N924="","",IF(M924=0,INDEX(Equipamentos!$U$2:$U$61,N924),L924))</f>
        <v/>
      </c>
      <c r="P924">
        <f>IF(N924="","",IF(M924=0,N(INDEX(Equipamentos!$V$2:$V$61,N924)),N(INDEX(TrocasEquip!$I$2:$I$1000,M924))))</f>
        <v/>
      </c>
      <c r="Q924">
        <f>IF(N924="","",IF(M924=0,INDEX(Equipamentos!$T$2:$T$61,N924),IF(INDEX(TrocasEquip!$H$2:$H$1000,M924)="",INDEX(Equipamentos!$T$2:$T$61,N924),INDEX(TrocasEquip!$H$2:$H$1000,M924))))</f>
        <v/>
      </c>
    </row>
    <row r="925">
      <c r="A925" s="54" t="n"/>
      <c r="B925" s="55" t="n"/>
      <c r="C925">
        <f>IF(B925="","",IF(N925="","posição não encontrada",IF(M925=0,INDEX(Equipamentos!$S$2:$S$61,N925),INDEX(TrocasEquip!$G$2:$G$1000,M925))))</f>
        <v/>
      </c>
      <c r="D925" s="56">
        <f>IF(OR(A925="",N925=""),"",P925+IF(E925="dias",MAX(0,A925-O925),IF(INDEX(Equipamentos!$D$2:$D$61,N925)=2,SUMIFS(Producao!$D:$D,Producao!$A:$A,"&gt;="&amp;O925,Producao!$A:$A,"&lt;"&amp;A925),IF(INDEX(Equipamentos!$D$2:$D$61,N925)=3,SUMIFS(Producao!$E:$E,Producao!$A:$A,"&gt;="&amp;O925,Producao!$A:$A,"&lt;"&amp;A925),SUMIFS(Producao!$B:$B,Producao!$A:$A,"&gt;="&amp;O925,Producao!$A:$A,"&lt;"&amp;A925)))))</f>
        <v/>
      </c>
      <c r="E925">
        <f>IF(N925="","",INDEX(Equipamentos!$C$2:$C$61,N925))</f>
        <v/>
      </c>
      <c r="F925" s="57">
        <f>IF(OR(D925="",N(Q925)&lt;=0),"",D925/Q925)</f>
        <v/>
      </c>
      <c r="G925" s="55" t="n"/>
      <c r="H925" s="58" t="n"/>
      <c r="I925" s="58" t="n"/>
      <c r="J925" s="55" t="n"/>
      <c r="K925" s="55" t="n"/>
      <c r="L925">
        <f>IF(OR(A925="",B925=""),"",_xlfn.MAXIFS(TrocasEquip!$A$2:$A$1000,TrocasEquip!$B$2:$B$1000,B925,TrocasEquip!$A$2:$A$1000,"&lt;"&amp;A925))</f>
        <v/>
      </c>
      <c r="M925">
        <f>IF(N(L925)=0,0,MATCH(1,INDEX((TrocasEquip!$B$2:$B$1000=B925)*(TrocasEquip!$A$2:$A$1000=L925),0),0))</f>
        <v/>
      </c>
      <c r="N925">
        <f>IF(B925="","",IFERROR(MATCH(B925,Equipamentos!$P$2:$P$61,0),""))</f>
        <v/>
      </c>
      <c r="O925">
        <f>IF(N925="","",IF(M925=0,INDEX(Equipamentos!$U$2:$U$61,N925),L925))</f>
        <v/>
      </c>
      <c r="P925">
        <f>IF(N925="","",IF(M925=0,N(INDEX(Equipamentos!$V$2:$V$61,N925)),N(INDEX(TrocasEquip!$I$2:$I$1000,M925))))</f>
        <v/>
      </c>
      <c r="Q925">
        <f>IF(N925="","",IF(M925=0,INDEX(Equipamentos!$T$2:$T$61,N925),IF(INDEX(TrocasEquip!$H$2:$H$1000,M925)="",INDEX(Equipamentos!$T$2:$T$61,N925),INDEX(TrocasEquip!$H$2:$H$1000,M925))))</f>
        <v/>
      </c>
    </row>
    <row r="926">
      <c r="A926" s="54" t="n"/>
      <c r="B926" s="55" t="n"/>
      <c r="C926">
        <f>IF(B926="","",IF(N926="","posição não encontrada",IF(M926=0,INDEX(Equipamentos!$S$2:$S$61,N926),INDEX(TrocasEquip!$G$2:$G$1000,M926))))</f>
        <v/>
      </c>
      <c r="D926" s="56">
        <f>IF(OR(A926="",N926=""),"",P926+IF(E926="dias",MAX(0,A926-O926),IF(INDEX(Equipamentos!$D$2:$D$61,N926)=2,SUMIFS(Producao!$D:$D,Producao!$A:$A,"&gt;="&amp;O926,Producao!$A:$A,"&lt;"&amp;A926),IF(INDEX(Equipamentos!$D$2:$D$61,N926)=3,SUMIFS(Producao!$E:$E,Producao!$A:$A,"&gt;="&amp;O926,Producao!$A:$A,"&lt;"&amp;A926),SUMIFS(Producao!$B:$B,Producao!$A:$A,"&gt;="&amp;O926,Producao!$A:$A,"&lt;"&amp;A926)))))</f>
        <v/>
      </c>
      <c r="E926">
        <f>IF(N926="","",INDEX(Equipamentos!$C$2:$C$61,N926))</f>
        <v/>
      </c>
      <c r="F926" s="57">
        <f>IF(OR(D926="",N(Q926)&lt;=0),"",D926/Q926)</f>
        <v/>
      </c>
      <c r="G926" s="55" t="n"/>
      <c r="H926" s="58" t="n"/>
      <c r="I926" s="58" t="n"/>
      <c r="J926" s="55" t="n"/>
      <c r="K926" s="55" t="n"/>
      <c r="L926">
        <f>IF(OR(A926="",B926=""),"",_xlfn.MAXIFS(TrocasEquip!$A$2:$A$1000,TrocasEquip!$B$2:$B$1000,B926,TrocasEquip!$A$2:$A$1000,"&lt;"&amp;A926))</f>
        <v/>
      </c>
      <c r="M926">
        <f>IF(N(L926)=0,0,MATCH(1,INDEX((TrocasEquip!$B$2:$B$1000=B926)*(TrocasEquip!$A$2:$A$1000=L926),0),0))</f>
        <v/>
      </c>
      <c r="N926">
        <f>IF(B926="","",IFERROR(MATCH(B926,Equipamentos!$P$2:$P$61,0),""))</f>
        <v/>
      </c>
      <c r="O926">
        <f>IF(N926="","",IF(M926=0,INDEX(Equipamentos!$U$2:$U$61,N926),L926))</f>
        <v/>
      </c>
      <c r="P926">
        <f>IF(N926="","",IF(M926=0,N(INDEX(Equipamentos!$V$2:$V$61,N926)),N(INDEX(TrocasEquip!$I$2:$I$1000,M926))))</f>
        <v/>
      </c>
      <c r="Q926">
        <f>IF(N926="","",IF(M926=0,INDEX(Equipamentos!$T$2:$T$61,N926),IF(INDEX(TrocasEquip!$H$2:$H$1000,M926)="",INDEX(Equipamentos!$T$2:$T$61,N926),INDEX(TrocasEquip!$H$2:$H$1000,M926))))</f>
        <v/>
      </c>
    </row>
    <row r="927">
      <c r="A927" s="54" t="n"/>
      <c r="B927" s="55" t="n"/>
      <c r="C927">
        <f>IF(B927="","",IF(N927="","posição não encontrada",IF(M927=0,INDEX(Equipamentos!$S$2:$S$61,N927),INDEX(TrocasEquip!$G$2:$G$1000,M927))))</f>
        <v/>
      </c>
      <c r="D927" s="56">
        <f>IF(OR(A927="",N927=""),"",P927+IF(E927="dias",MAX(0,A927-O927),IF(INDEX(Equipamentos!$D$2:$D$61,N927)=2,SUMIFS(Producao!$D:$D,Producao!$A:$A,"&gt;="&amp;O927,Producao!$A:$A,"&lt;"&amp;A927),IF(INDEX(Equipamentos!$D$2:$D$61,N927)=3,SUMIFS(Producao!$E:$E,Producao!$A:$A,"&gt;="&amp;O927,Producao!$A:$A,"&lt;"&amp;A927),SUMIFS(Producao!$B:$B,Producao!$A:$A,"&gt;="&amp;O927,Producao!$A:$A,"&lt;"&amp;A927)))))</f>
        <v/>
      </c>
      <c r="E927">
        <f>IF(N927="","",INDEX(Equipamentos!$C$2:$C$61,N927))</f>
        <v/>
      </c>
      <c r="F927" s="57">
        <f>IF(OR(D927="",N(Q927)&lt;=0),"",D927/Q927)</f>
        <v/>
      </c>
      <c r="G927" s="55" t="n"/>
      <c r="H927" s="58" t="n"/>
      <c r="I927" s="58" t="n"/>
      <c r="J927" s="55" t="n"/>
      <c r="K927" s="55" t="n"/>
      <c r="L927">
        <f>IF(OR(A927="",B927=""),"",_xlfn.MAXIFS(TrocasEquip!$A$2:$A$1000,TrocasEquip!$B$2:$B$1000,B927,TrocasEquip!$A$2:$A$1000,"&lt;"&amp;A927))</f>
        <v/>
      </c>
      <c r="M927">
        <f>IF(N(L927)=0,0,MATCH(1,INDEX((TrocasEquip!$B$2:$B$1000=B927)*(TrocasEquip!$A$2:$A$1000=L927),0),0))</f>
        <v/>
      </c>
      <c r="N927">
        <f>IF(B927="","",IFERROR(MATCH(B927,Equipamentos!$P$2:$P$61,0),""))</f>
        <v/>
      </c>
      <c r="O927">
        <f>IF(N927="","",IF(M927=0,INDEX(Equipamentos!$U$2:$U$61,N927),L927))</f>
        <v/>
      </c>
      <c r="P927">
        <f>IF(N927="","",IF(M927=0,N(INDEX(Equipamentos!$V$2:$V$61,N927)),N(INDEX(TrocasEquip!$I$2:$I$1000,M927))))</f>
        <v/>
      </c>
      <c r="Q927">
        <f>IF(N927="","",IF(M927=0,INDEX(Equipamentos!$T$2:$T$61,N927),IF(INDEX(TrocasEquip!$H$2:$H$1000,M927)="",INDEX(Equipamentos!$T$2:$T$61,N927),INDEX(TrocasEquip!$H$2:$H$1000,M927))))</f>
        <v/>
      </c>
    </row>
    <row r="928">
      <c r="A928" s="54" t="n"/>
      <c r="B928" s="55" t="n"/>
      <c r="C928">
        <f>IF(B928="","",IF(N928="","posição não encontrada",IF(M928=0,INDEX(Equipamentos!$S$2:$S$61,N928),INDEX(TrocasEquip!$G$2:$G$1000,M928))))</f>
        <v/>
      </c>
      <c r="D928" s="56">
        <f>IF(OR(A928="",N928=""),"",P928+IF(E928="dias",MAX(0,A928-O928),IF(INDEX(Equipamentos!$D$2:$D$61,N928)=2,SUMIFS(Producao!$D:$D,Producao!$A:$A,"&gt;="&amp;O928,Producao!$A:$A,"&lt;"&amp;A928),IF(INDEX(Equipamentos!$D$2:$D$61,N928)=3,SUMIFS(Producao!$E:$E,Producao!$A:$A,"&gt;="&amp;O928,Producao!$A:$A,"&lt;"&amp;A928),SUMIFS(Producao!$B:$B,Producao!$A:$A,"&gt;="&amp;O928,Producao!$A:$A,"&lt;"&amp;A928)))))</f>
        <v/>
      </c>
      <c r="E928">
        <f>IF(N928="","",INDEX(Equipamentos!$C$2:$C$61,N928))</f>
        <v/>
      </c>
      <c r="F928" s="57">
        <f>IF(OR(D928="",N(Q928)&lt;=0),"",D928/Q928)</f>
        <v/>
      </c>
      <c r="G928" s="55" t="n"/>
      <c r="H928" s="58" t="n"/>
      <c r="I928" s="58" t="n"/>
      <c r="J928" s="55" t="n"/>
      <c r="K928" s="55" t="n"/>
      <c r="L928">
        <f>IF(OR(A928="",B928=""),"",_xlfn.MAXIFS(TrocasEquip!$A$2:$A$1000,TrocasEquip!$B$2:$B$1000,B928,TrocasEquip!$A$2:$A$1000,"&lt;"&amp;A928))</f>
        <v/>
      </c>
      <c r="M928">
        <f>IF(N(L928)=0,0,MATCH(1,INDEX((TrocasEquip!$B$2:$B$1000=B928)*(TrocasEquip!$A$2:$A$1000=L928),0),0))</f>
        <v/>
      </c>
      <c r="N928">
        <f>IF(B928="","",IFERROR(MATCH(B928,Equipamentos!$P$2:$P$61,0),""))</f>
        <v/>
      </c>
      <c r="O928">
        <f>IF(N928="","",IF(M928=0,INDEX(Equipamentos!$U$2:$U$61,N928),L928))</f>
        <v/>
      </c>
      <c r="P928">
        <f>IF(N928="","",IF(M928=0,N(INDEX(Equipamentos!$V$2:$V$61,N928)),N(INDEX(TrocasEquip!$I$2:$I$1000,M928))))</f>
        <v/>
      </c>
      <c r="Q928">
        <f>IF(N928="","",IF(M928=0,INDEX(Equipamentos!$T$2:$T$61,N928),IF(INDEX(TrocasEquip!$H$2:$H$1000,M928)="",INDEX(Equipamentos!$T$2:$T$61,N928),INDEX(TrocasEquip!$H$2:$H$1000,M928))))</f>
        <v/>
      </c>
    </row>
    <row r="929">
      <c r="A929" s="54" t="n"/>
      <c r="B929" s="55" t="n"/>
      <c r="C929">
        <f>IF(B929="","",IF(N929="","posição não encontrada",IF(M929=0,INDEX(Equipamentos!$S$2:$S$61,N929),INDEX(TrocasEquip!$G$2:$G$1000,M929))))</f>
        <v/>
      </c>
      <c r="D929" s="56">
        <f>IF(OR(A929="",N929=""),"",P929+IF(E929="dias",MAX(0,A929-O929),IF(INDEX(Equipamentos!$D$2:$D$61,N929)=2,SUMIFS(Producao!$D:$D,Producao!$A:$A,"&gt;="&amp;O929,Producao!$A:$A,"&lt;"&amp;A929),IF(INDEX(Equipamentos!$D$2:$D$61,N929)=3,SUMIFS(Producao!$E:$E,Producao!$A:$A,"&gt;="&amp;O929,Producao!$A:$A,"&lt;"&amp;A929),SUMIFS(Producao!$B:$B,Producao!$A:$A,"&gt;="&amp;O929,Producao!$A:$A,"&lt;"&amp;A929)))))</f>
        <v/>
      </c>
      <c r="E929">
        <f>IF(N929="","",INDEX(Equipamentos!$C$2:$C$61,N929))</f>
        <v/>
      </c>
      <c r="F929" s="57">
        <f>IF(OR(D929="",N(Q929)&lt;=0),"",D929/Q929)</f>
        <v/>
      </c>
      <c r="G929" s="55" t="n"/>
      <c r="H929" s="58" t="n"/>
      <c r="I929" s="58" t="n"/>
      <c r="J929" s="55" t="n"/>
      <c r="K929" s="55" t="n"/>
      <c r="L929">
        <f>IF(OR(A929="",B929=""),"",_xlfn.MAXIFS(TrocasEquip!$A$2:$A$1000,TrocasEquip!$B$2:$B$1000,B929,TrocasEquip!$A$2:$A$1000,"&lt;"&amp;A929))</f>
        <v/>
      </c>
      <c r="M929">
        <f>IF(N(L929)=0,0,MATCH(1,INDEX((TrocasEquip!$B$2:$B$1000=B929)*(TrocasEquip!$A$2:$A$1000=L929),0),0))</f>
        <v/>
      </c>
      <c r="N929">
        <f>IF(B929="","",IFERROR(MATCH(B929,Equipamentos!$P$2:$P$61,0),""))</f>
        <v/>
      </c>
      <c r="O929">
        <f>IF(N929="","",IF(M929=0,INDEX(Equipamentos!$U$2:$U$61,N929),L929))</f>
        <v/>
      </c>
      <c r="P929">
        <f>IF(N929="","",IF(M929=0,N(INDEX(Equipamentos!$V$2:$V$61,N929)),N(INDEX(TrocasEquip!$I$2:$I$1000,M929))))</f>
        <v/>
      </c>
      <c r="Q929">
        <f>IF(N929="","",IF(M929=0,INDEX(Equipamentos!$T$2:$T$61,N929),IF(INDEX(TrocasEquip!$H$2:$H$1000,M929)="",INDEX(Equipamentos!$T$2:$T$61,N929),INDEX(TrocasEquip!$H$2:$H$1000,M929))))</f>
        <v/>
      </c>
    </row>
    <row r="930">
      <c r="A930" s="54" t="n"/>
      <c r="B930" s="55" t="n"/>
      <c r="C930">
        <f>IF(B930="","",IF(N930="","posição não encontrada",IF(M930=0,INDEX(Equipamentos!$S$2:$S$61,N930),INDEX(TrocasEquip!$G$2:$G$1000,M930))))</f>
        <v/>
      </c>
      <c r="D930" s="56">
        <f>IF(OR(A930="",N930=""),"",P930+IF(E930="dias",MAX(0,A930-O930),IF(INDEX(Equipamentos!$D$2:$D$61,N930)=2,SUMIFS(Producao!$D:$D,Producao!$A:$A,"&gt;="&amp;O930,Producao!$A:$A,"&lt;"&amp;A930),IF(INDEX(Equipamentos!$D$2:$D$61,N930)=3,SUMIFS(Producao!$E:$E,Producao!$A:$A,"&gt;="&amp;O930,Producao!$A:$A,"&lt;"&amp;A930),SUMIFS(Producao!$B:$B,Producao!$A:$A,"&gt;="&amp;O930,Producao!$A:$A,"&lt;"&amp;A930)))))</f>
        <v/>
      </c>
      <c r="E930">
        <f>IF(N930="","",INDEX(Equipamentos!$C$2:$C$61,N930))</f>
        <v/>
      </c>
      <c r="F930" s="57">
        <f>IF(OR(D930="",N(Q930)&lt;=0),"",D930/Q930)</f>
        <v/>
      </c>
      <c r="G930" s="55" t="n"/>
      <c r="H930" s="58" t="n"/>
      <c r="I930" s="58" t="n"/>
      <c r="J930" s="55" t="n"/>
      <c r="K930" s="55" t="n"/>
      <c r="L930">
        <f>IF(OR(A930="",B930=""),"",_xlfn.MAXIFS(TrocasEquip!$A$2:$A$1000,TrocasEquip!$B$2:$B$1000,B930,TrocasEquip!$A$2:$A$1000,"&lt;"&amp;A930))</f>
        <v/>
      </c>
      <c r="M930">
        <f>IF(N(L930)=0,0,MATCH(1,INDEX((TrocasEquip!$B$2:$B$1000=B930)*(TrocasEquip!$A$2:$A$1000=L930),0),0))</f>
        <v/>
      </c>
      <c r="N930">
        <f>IF(B930="","",IFERROR(MATCH(B930,Equipamentos!$P$2:$P$61,0),""))</f>
        <v/>
      </c>
      <c r="O930">
        <f>IF(N930="","",IF(M930=0,INDEX(Equipamentos!$U$2:$U$61,N930),L930))</f>
        <v/>
      </c>
      <c r="P930">
        <f>IF(N930="","",IF(M930=0,N(INDEX(Equipamentos!$V$2:$V$61,N930)),N(INDEX(TrocasEquip!$I$2:$I$1000,M930))))</f>
        <v/>
      </c>
      <c r="Q930">
        <f>IF(N930="","",IF(M930=0,INDEX(Equipamentos!$T$2:$T$61,N930),IF(INDEX(TrocasEquip!$H$2:$H$1000,M930)="",INDEX(Equipamentos!$T$2:$T$61,N930),INDEX(TrocasEquip!$H$2:$H$1000,M930))))</f>
        <v/>
      </c>
    </row>
    <row r="931">
      <c r="A931" s="54" t="n"/>
      <c r="B931" s="55" t="n"/>
      <c r="C931">
        <f>IF(B931="","",IF(N931="","posição não encontrada",IF(M931=0,INDEX(Equipamentos!$S$2:$S$61,N931),INDEX(TrocasEquip!$G$2:$G$1000,M931))))</f>
        <v/>
      </c>
      <c r="D931" s="56">
        <f>IF(OR(A931="",N931=""),"",P931+IF(E931="dias",MAX(0,A931-O931),IF(INDEX(Equipamentos!$D$2:$D$61,N931)=2,SUMIFS(Producao!$D:$D,Producao!$A:$A,"&gt;="&amp;O931,Producao!$A:$A,"&lt;"&amp;A931),IF(INDEX(Equipamentos!$D$2:$D$61,N931)=3,SUMIFS(Producao!$E:$E,Producao!$A:$A,"&gt;="&amp;O931,Producao!$A:$A,"&lt;"&amp;A931),SUMIFS(Producao!$B:$B,Producao!$A:$A,"&gt;="&amp;O931,Producao!$A:$A,"&lt;"&amp;A931)))))</f>
        <v/>
      </c>
      <c r="E931">
        <f>IF(N931="","",INDEX(Equipamentos!$C$2:$C$61,N931))</f>
        <v/>
      </c>
      <c r="F931" s="57">
        <f>IF(OR(D931="",N(Q931)&lt;=0),"",D931/Q931)</f>
        <v/>
      </c>
      <c r="G931" s="55" t="n"/>
      <c r="H931" s="58" t="n"/>
      <c r="I931" s="58" t="n"/>
      <c r="J931" s="55" t="n"/>
      <c r="K931" s="55" t="n"/>
      <c r="L931">
        <f>IF(OR(A931="",B931=""),"",_xlfn.MAXIFS(TrocasEquip!$A$2:$A$1000,TrocasEquip!$B$2:$B$1000,B931,TrocasEquip!$A$2:$A$1000,"&lt;"&amp;A931))</f>
        <v/>
      </c>
      <c r="M931">
        <f>IF(N(L931)=0,0,MATCH(1,INDEX((TrocasEquip!$B$2:$B$1000=B931)*(TrocasEquip!$A$2:$A$1000=L931),0),0))</f>
        <v/>
      </c>
      <c r="N931">
        <f>IF(B931="","",IFERROR(MATCH(B931,Equipamentos!$P$2:$P$61,0),""))</f>
        <v/>
      </c>
      <c r="O931">
        <f>IF(N931="","",IF(M931=0,INDEX(Equipamentos!$U$2:$U$61,N931),L931))</f>
        <v/>
      </c>
      <c r="P931">
        <f>IF(N931="","",IF(M931=0,N(INDEX(Equipamentos!$V$2:$V$61,N931)),N(INDEX(TrocasEquip!$I$2:$I$1000,M931))))</f>
        <v/>
      </c>
      <c r="Q931">
        <f>IF(N931="","",IF(M931=0,INDEX(Equipamentos!$T$2:$T$61,N931),IF(INDEX(TrocasEquip!$H$2:$H$1000,M931)="",INDEX(Equipamentos!$T$2:$T$61,N931),INDEX(TrocasEquip!$H$2:$H$1000,M931))))</f>
        <v/>
      </c>
    </row>
    <row r="932">
      <c r="A932" s="54" t="n"/>
      <c r="B932" s="55" t="n"/>
      <c r="C932">
        <f>IF(B932="","",IF(N932="","posição não encontrada",IF(M932=0,INDEX(Equipamentos!$S$2:$S$61,N932),INDEX(TrocasEquip!$G$2:$G$1000,M932))))</f>
        <v/>
      </c>
      <c r="D932" s="56">
        <f>IF(OR(A932="",N932=""),"",P932+IF(E932="dias",MAX(0,A932-O932),IF(INDEX(Equipamentos!$D$2:$D$61,N932)=2,SUMIFS(Producao!$D:$D,Producao!$A:$A,"&gt;="&amp;O932,Producao!$A:$A,"&lt;"&amp;A932),IF(INDEX(Equipamentos!$D$2:$D$61,N932)=3,SUMIFS(Producao!$E:$E,Producao!$A:$A,"&gt;="&amp;O932,Producao!$A:$A,"&lt;"&amp;A932),SUMIFS(Producao!$B:$B,Producao!$A:$A,"&gt;="&amp;O932,Producao!$A:$A,"&lt;"&amp;A932)))))</f>
        <v/>
      </c>
      <c r="E932">
        <f>IF(N932="","",INDEX(Equipamentos!$C$2:$C$61,N932))</f>
        <v/>
      </c>
      <c r="F932" s="57">
        <f>IF(OR(D932="",N(Q932)&lt;=0),"",D932/Q932)</f>
        <v/>
      </c>
      <c r="G932" s="55" t="n"/>
      <c r="H932" s="58" t="n"/>
      <c r="I932" s="58" t="n"/>
      <c r="J932" s="55" t="n"/>
      <c r="K932" s="55" t="n"/>
      <c r="L932">
        <f>IF(OR(A932="",B932=""),"",_xlfn.MAXIFS(TrocasEquip!$A$2:$A$1000,TrocasEquip!$B$2:$B$1000,B932,TrocasEquip!$A$2:$A$1000,"&lt;"&amp;A932))</f>
        <v/>
      </c>
      <c r="M932">
        <f>IF(N(L932)=0,0,MATCH(1,INDEX((TrocasEquip!$B$2:$B$1000=B932)*(TrocasEquip!$A$2:$A$1000=L932),0),0))</f>
        <v/>
      </c>
      <c r="N932">
        <f>IF(B932="","",IFERROR(MATCH(B932,Equipamentos!$P$2:$P$61,0),""))</f>
        <v/>
      </c>
      <c r="O932">
        <f>IF(N932="","",IF(M932=0,INDEX(Equipamentos!$U$2:$U$61,N932),L932))</f>
        <v/>
      </c>
      <c r="P932">
        <f>IF(N932="","",IF(M932=0,N(INDEX(Equipamentos!$V$2:$V$61,N932)),N(INDEX(TrocasEquip!$I$2:$I$1000,M932))))</f>
        <v/>
      </c>
      <c r="Q932">
        <f>IF(N932="","",IF(M932=0,INDEX(Equipamentos!$T$2:$T$61,N932),IF(INDEX(TrocasEquip!$H$2:$H$1000,M932)="",INDEX(Equipamentos!$T$2:$T$61,N932),INDEX(TrocasEquip!$H$2:$H$1000,M932))))</f>
        <v/>
      </c>
    </row>
    <row r="933">
      <c r="A933" s="54" t="n"/>
      <c r="B933" s="55" t="n"/>
      <c r="C933">
        <f>IF(B933="","",IF(N933="","posição não encontrada",IF(M933=0,INDEX(Equipamentos!$S$2:$S$61,N933),INDEX(TrocasEquip!$G$2:$G$1000,M933))))</f>
        <v/>
      </c>
      <c r="D933" s="56">
        <f>IF(OR(A933="",N933=""),"",P933+IF(E933="dias",MAX(0,A933-O933),IF(INDEX(Equipamentos!$D$2:$D$61,N933)=2,SUMIFS(Producao!$D:$D,Producao!$A:$A,"&gt;="&amp;O933,Producao!$A:$A,"&lt;"&amp;A933),IF(INDEX(Equipamentos!$D$2:$D$61,N933)=3,SUMIFS(Producao!$E:$E,Producao!$A:$A,"&gt;="&amp;O933,Producao!$A:$A,"&lt;"&amp;A933),SUMIFS(Producao!$B:$B,Producao!$A:$A,"&gt;="&amp;O933,Producao!$A:$A,"&lt;"&amp;A933)))))</f>
        <v/>
      </c>
      <c r="E933">
        <f>IF(N933="","",INDEX(Equipamentos!$C$2:$C$61,N933))</f>
        <v/>
      </c>
      <c r="F933" s="57">
        <f>IF(OR(D933="",N(Q933)&lt;=0),"",D933/Q933)</f>
        <v/>
      </c>
      <c r="G933" s="55" t="n"/>
      <c r="H933" s="58" t="n"/>
      <c r="I933" s="58" t="n"/>
      <c r="J933" s="55" t="n"/>
      <c r="K933" s="55" t="n"/>
      <c r="L933">
        <f>IF(OR(A933="",B933=""),"",_xlfn.MAXIFS(TrocasEquip!$A$2:$A$1000,TrocasEquip!$B$2:$B$1000,B933,TrocasEquip!$A$2:$A$1000,"&lt;"&amp;A933))</f>
        <v/>
      </c>
      <c r="M933">
        <f>IF(N(L933)=0,0,MATCH(1,INDEX((TrocasEquip!$B$2:$B$1000=B933)*(TrocasEquip!$A$2:$A$1000=L933),0),0))</f>
        <v/>
      </c>
      <c r="N933">
        <f>IF(B933="","",IFERROR(MATCH(B933,Equipamentos!$P$2:$P$61,0),""))</f>
        <v/>
      </c>
      <c r="O933">
        <f>IF(N933="","",IF(M933=0,INDEX(Equipamentos!$U$2:$U$61,N933),L933))</f>
        <v/>
      </c>
      <c r="P933">
        <f>IF(N933="","",IF(M933=0,N(INDEX(Equipamentos!$V$2:$V$61,N933)),N(INDEX(TrocasEquip!$I$2:$I$1000,M933))))</f>
        <v/>
      </c>
      <c r="Q933">
        <f>IF(N933="","",IF(M933=0,INDEX(Equipamentos!$T$2:$T$61,N933),IF(INDEX(TrocasEquip!$H$2:$H$1000,M933)="",INDEX(Equipamentos!$T$2:$T$61,N933),INDEX(TrocasEquip!$H$2:$H$1000,M933))))</f>
        <v/>
      </c>
    </row>
    <row r="934">
      <c r="A934" s="54" t="n"/>
      <c r="B934" s="55" t="n"/>
      <c r="C934">
        <f>IF(B934="","",IF(N934="","posição não encontrada",IF(M934=0,INDEX(Equipamentos!$S$2:$S$61,N934),INDEX(TrocasEquip!$G$2:$G$1000,M934))))</f>
        <v/>
      </c>
      <c r="D934" s="56">
        <f>IF(OR(A934="",N934=""),"",P934+IF(E934="dias",MAX(0,A934-O934),IF(INDEX(Equipamentos!$D$2:$D$61,N934)=2,SUMIFS(Producao!$D:$D,Producao!$A:$A,"&gt;="&amp;O934,Producao!$A:$A,"&lt;"&amp;A934),IF(INDEX(Equipamentos!$D$2:$D$61,N934)=3,SUMIFS(Producao!$E:$E,Producao!$A:$A,"&gt;="&amp;O934,Producao!$A:$A,"&lt;"&amp;A934),SUMIFS(Producao!$B:$B,Producao!$A:$A,"&gt;="&amp;O934,Producao!$A:$A,"&lt;"&amp;A934)))))</f>
        <v/>
      </c>
      <c r="E934">
        <f>IF(N934="","",INDEX(Equipamentos!$C$2:$C$61,N934))</f>
        <v/>
      </c>
      <c r="F934" s="57">
        <f>IF(OR(D934="",N(Q934)&lt;=0),"",D934/Q934)</f>
        <v/>
      </c>
      <c r="G934" s="55" t="n"/>
      <c r="H934" s="58" t="n"/>
      <c r="I934" s="58" t="n"/>
      <c r="J934" s="55" t="n"/>
      <c r="K934" s="55" t="n"/>
      <c r="L934">
        <f>IF(OR(A934="",B934=""),"",_xlfn.MAXIFS(TrocasEquip!$A$2:$A$1000,TrocasEquip!$B$2:$B$1000,B934,TrocasEquip!$A$2:$A$1000,"&lt;"&amp;A934))</f>
        <v/>
      </c>
      <c r="M934">
        <f>IF(N(L934)=0,0,MATCH(1,INDEX((TrocasEquip!$B$2:$B$1000=B934)*(TrocasEquip!$A$2:$A$1000=L934),0),0))</f>
        <v/>
      </c>
      <c r="N934">
        <f>IF(B934="","",IFERROR(MATCH(B934,Equipamentos!$P$2:$P$61,0),""))</f>
        <v/>
      </c>
      <c r="O934">
        <f>IF(N934="","",IF(M934=0,INDEX(Equipamentos!$U$2:$U$61,N934),L934))</f>
        <v/>
      </c>
      <c r="P934">
        <f>IF(N934="","",IF(M934=0,N(INDEX(Equipamentos!$V$2:$V$61,N934)),N(INDEX(TrocasEquip!$I$2:$I$1000,M934))))</f>
        <v/>
      </c>
      <c r="Q934">
        <f>IF(N934="","",IF(M934=0,INDEX(Equipamentos!$T$2:$T$61,N934),IF(INDEX(TrocasEquip!$H$2:$H$1000,M934)="",INDEX(Equipamentos!$T$2:$T$61,N934),INDEX(TrocasEquip!$H$2:$H$1000,M934))))</f>
        <v/>
      </c>
    </row>
    <row r="935">
      <c r="A935" s="54" t="n"/>
      <c r="B935" s="55" t="n"/>
      <c r="C935">
        <f>IF(B935="","",IF(N935="","posição não encontrada",IF(M935=0,INDEX(Equipamentos!$S$2:$S$61,N935),INDEX(TrocasEquip!$G$2:$G$1000,M935))))</f>
        <v/>
      </c>
      <c r="D935" s="56">
        <f>IF(OR(A935="",N935=""),"",P935+IF(E935="dias",MAX(0,A935-O935),IF(INDEX(Equipamentos!$D$2:$D$61,N935)=2,SUMIFS(Producao!$D:$D,Producao!$A:$A,"&gt;="&amp;O935,Producao!$A:$A,"&lt;"&amp;A935),IF(INDEX(Equipamentos!$D$2:$D$61,N935)=3,SUMIFS(Producao!$E:$E,Producao!$A:$A,"&gt;="&amp;O935,Producao!$A:$A,"&lt;"&amp;A935),SUMIFS(Producao!$B:$B,Producao!$A:$A,"&gt;="&amp;O935,Producao!$A:$A,"&lt;"&amp;A935)))))</f>
        <v/>
      </c>
      <c r="E935">
        <f>IF(N935="","",INDEX(Equipamentos!$C$2:$C$61,N935))</f>
        <v/>
      </c>
      <c r="F935" s="57">
        <f>IF(OR(D935="",N(Q935)&lt;=0),"",D935/Q935)</f>
        <v/>
      </c>
      <c r="G935" s="55" t="n"/>
      <c r="H935" s="58" t="n"/>
      <c r="I935" s="58" t="n"/>
      <c r="J935" s="55" t="n"/>
      <c r="K935" s="55" t="n"/>
      <c r="L935">
        <f>IF(OR(A935="",B935=""),"",_xlfn.MAXIFS(TrocasEquip!$A$2:$A$1000,TrocasEquip!$B$2:$B$1000,B935,TrocasEquip!$A$2:$A$1000,"&lt;"&amp;A935))</f>
        <v/>
      </c>
      <c r="M935">
        <f>IF(N(L935)=0,0,MATCH(1,INDEX((TrocasEquip!$B$2:$B$1000=B935)*(TrocasEquip!$A$2:$A$1000=L935),0),0))</f>
        <v/>
      </c>
      <c r="N935">
        <f>IF(B935="","",IFERROR(MATCH(B935,Equipamentos!$P$2:$P$61,0),""))</f>
        <v/>
      </c>
      <c r="O935">
        <f>IF(N935="","",IF(M935=0,INDEX(Equipamentos!$U$2:$U$61,N935),L935))</f>
        <v/>
      </c>
      <c r="P935">
        <f>IF(N935="","",IF(M935=0,N(INDEX(Equipamentos!$V$2:$V$61,N935)),N(INDEX(TrocasEquip!$I$2:$I$1000,M935))))</f>
        <v/>
      </c>
      <c r="Q935">
        <f>IF(N935="","",IF(M935=0,INDEX(Equipamentos!$T$2:$T$61,N935),IF(INDEX(TrocasEquip!$H$2:$H$1000,M935)="",INDEX(Equipamentos!$T$2:$T$61,N935),INDEX(TrocasEquip!$H$2:$H$1000,M935))))</f>
        <v/>
      </c>
    </row>
    <row r="936">
      <c r="A936" s="54" t="n"/>
      <c r="B936" s="55" t="n"/>
      <c r="C936">
        <f>IF(B936="","",IF(N936="","posição não encontrada",IF(M936=0,INDEX(Equipamentos!$S$2:$S$61,N936),INDEX(TrocasEquip!$G$2:$G$1000,M936))))</f>
        <v/>
      </c>
      <c r="D936" s="56">
        <f>IF(OR(A936="",N936=""),"",P936+IF(E936="dias",MAX(0,A936-O936),IF(INDEX(Equipamentos!$D$2:$D$61,N936)=2,SUMIFS(Producao!$D:$D,Producao!$A:$A,"&gt;="&amp;O936,Producao!$A:$A,"&lt;"&amp;A936),IF(INDEX(Equipamentos!$D$2:$D$61,N936)=3,SUMIFS(Producao!$E:$E,Producao!$A:$A,"&gt;="&amp;O936,Producao!$A:$A,"&lt;"&amp;A936),SUMIFS(Producao!$B:$B,Producao!$A:$A,"&gt;="&amp;O936,Producao!$A:$A,"&lt;"&amp;A936)))))</f>
        <v/>
      </c>
      <c r="E936">
        <f>IF(N936="","",INDEX(Equipamentos!$C$2:$C$61,N936))</f>
        <v/>
      </c>
      <c r="F936" s="57">
        <f>IF(OR(D936="",N(Q936)&lt;=0),"",D936/Q936)</f>
        <v/>
      </c>
      <c r="G936" s="55" t="n"/>
      <c r="H936" s="58" t="n"/>
      <c r="I936" s="58" t="n"/>
      <c r="J936" s="55" t="n"/>
      <c r="K936" s="55" t="n"/>
      <c r="L936">
        <f>IF(OR(A936="",B936=""),"",_xlfn.MAXIFS(TrocasEquip!$A$2:$A$1000,TrocasEquip!$B$2:$B$1000,B936,TrocasEquip!$A$2:$A$1000,"&lt;"&amp;A936))</f>
        <v/>
      </c>
      <c r="M936">
        <f>IF(N(L936)=0,0,MATCH(1,INDEX((TrocasEquip!$B$2:$B$1000=B936)*(TrocasEquip!$A$2:$A$1000=L936),0),0))</f>
        <v/>
      </c>
      <c r="N936">
        <f>IF(B936="","",IFERROR(MATCH(B936,Equipamentos!$P$2:$P$61,0),""))</f>
        <v/>
      </c>
      <c r="O936">
        <f>IF(N936="","",IF(M936=0,INDEX(Equipamentos!$U$2:$U$61,N936),L936))</f>
        <v/>
      </c>
      <c r="P936">
        <f>IF(N936="","",IF(M936=0,N(INDEX(Equipamentos!$V$2:$V$61,N936)),N(INDEX(TrocasEquip!$I$2:$I$1000,M936))))</f>
        <v/>
      </c>
      <c r="Q936">
        <f>IF(N936="","",IF(M936=0,INDEX(Equipamentos!$T$2:$T$61,N936),IF(INDEX(TrocasEquip!$H$2:$H$1000,M936)="",INDEX(Equipamentos!$T$2:$T$61,N936),INDEX(TrocasEquip!$H$2:$H$1000,M936))))</f>
        <v/>
      </c>
    </row>
    <row r="937">
      <c r="A937" s="54" t="n"/>
      <c r="B937" s="55" t="n"/>
      <c r="C937">
        <f>IF(B937="","",IF(N937="","posição não encontrada",IF(M937=0,INDEX(Equipamentos!$S$2:$S$61,N937),INDEX(TrocasEquip!$G$2:$G$1000,M937))))</f>
        <v/>
      </c>
      <c r="D937" s="56">
        <f>IF(OR(A937="",N937=""),"",P937+IF(E937="dias",MAX(0,A937-O937),IF(INDEX(Equipamentos!$D$2:$D$61,N937)=2,SUMIFS(Producao!$D:$D,Producao!$A:$A,"&gt;="&amp;O937,Producao!$A:$A,"&lt;"&amp;A937),IF(INDEX(Equipamentos!$D$2:$D$61,N937)=3,SUMIFS(Producao!$E:$E,Producao!$A:$A,"&gt;="&amp;O937,Producao!$A:$A,"&lt;"&amp;A937),SUMIFS(Producao!$B:$B,Producao!$A:$A,"&gt;="&amp;O937,Producao!$A:$A,"&lt;"&amp;A937)))))</f>
        <v/>
      </c>
      <c r="E937">
        <f>IF(N937="","",INDEX(Equipamentos!$C$2:$C$61,N937))</f>
        <v/>
      </c>
      <c r="F937" s="57">
        <f>IF(OR(D937="",N(Q937)&lt;=0),"",D937/Q937)</f>
        <v/>
      </c>
      <c r="G937" s="55" t="n"/>
      <c r="H937" s="58" t="n"/>
      <c r="I937" s="58" t="n"/>
      <c r="J937" s="55" t="n"/>
      <c r="K937" s="55" t="n"/>
      <c r="L937">
        <f>IF(OR(A937="",B937=""),"",_xlfn.MAXIFS(TrocasEquip!$A$2:$A$1000,TrocasEquip!$B$2:$B$1000,B937,TrocasEquip!$A$2:$A$1000,"&lt;"&amp;A937))</f>
        <v/>
      </c>
      <c r="M937">
        <f>IF(N(L937)=0,0,MATCH(1,INDEX((TrocasEquip!$B$2:$B$1000=B937)*(TrocasEquip!$A$2:$A$1000=L937),0),0))</f>
        <v/>
      </c>
      <c r="N937">
        <f>IF(B937="","",IFERROR(MATCH(B937,Equipamentos!$P$2:$P$61,0),""))</f>
        <v/>
      </c>
      <c r="O937">
        <f>IF(N937="","",IF(M937=0,INDEX(Equipamentos!$U$2:$U$61,N937),L937))</f>
        <v/>
      </c>
      <c r="P937">
        <f>IF(N937="","",IF(M937=0,N(INDEX(Equipamentos!$V$2:$V$61,N937)),N(INDEX(TrocasEquip!$I$2:$I$1000,M937))))</f>
        <v/>
      </c>
      <c r="Q937">
        <f>IF(N937="","",IF(M937=0,INDEX(Equipamentos!$T$2:$T$61,N937),IF(INDEX(TrocasEquip!$H$2:$H$1000,M937)="",INDEX(Equipamentos!$T$2:$T$61,N937),INDEX(TrocasEquip!$H$2:$H$1000,M937))))</f>
        <v/>
      </c>
    </row>
    <row r="938">
      <c r="A938" s="54" t="n"/>
      <c r="B938" s="55" t="n"/>
      <c r="C938">
        <f>IF(B938="","",IF(N938="","posição não encontrada",IF(M938=0,INDEX(Equipamentos!$S$2:$S$61,N938),INDEX(TrocasEquip!$G$2:$G$1000,M938))))</f>
        <v/>
      </c>
      <c r="D938" s="56">
        <f>IF(OR(A938="",N938=""),"",P938+IF(E938="dias",MAX(0,A938-O938),IF(INDEX(Equipamentos!$D$2:$D$61,N938)=2,SUMIFS(Producao!$D:$D,Producao!$A:$A,"&gt;="&amp;O938,Producao!$A:$A,"&lt;"&amp;A938),IF(INDEX(Equipamentos!$D$2:$D$61,N938)=3,SUMIFS(Producao!$E:$E,Producao!$A:$A,"&gt;="&amp;O938,Producao!$A:$A,"&lt;"&amp;A938),SUMIFS(Producao!$B:$B,Producao!$A:$A,"&gt;="&amp;O938,Producao!$A:$A,"&lt;"&amp;A938)))))</f>
        <v/>
      </c>
      <c r="E938">
        <f>IF(N938="","",INDEX(Equipamentos!$C$2:$C$61,N938))</f>
        <v/>
      </c>
      <c r="F938" s="57">
        <f>IF(OR(D938="",N(Q938)&lt;=0),"",D938/Q938)</f>
        <v/>
      </c>
      <c r="G938" s="55" t="n"/>
      <c r="H938" s="58" t="n"/>
      <c r="I938" s="58" t="n"/>
      <c r="J938" s="55" t="n"/>
      <c r="K938" s="55" t="n"/>
      <c r="L938">
        <f>IF(OR(A938="",B938=""),"",_xlfn.MAXIFS(TrocasEquip!$A$2:$A$1000,TrocasEquip!$B$2:$B$1000,B938,TrocasEquip!$A$2:$A$1000,"&lt;"&amp;A938))</f>
        <v/>
      </c>
      <c r="M938">
        <f>IF(N(L938)=0,0,MATCH(1,INDEX((TrocasEquip!$B$2:$B$1000=B938)*(TrocasEquip!$A$2:$A$1000=L938),0),0))</f>
        <v/>
      </c>
      <c r="N938">
        <f>IF(B938="","",IFERROR(MATCH(B938,Equipamentos!$P$2:$P$61,0),""))</f>
        <v/>
      </c>
      <c r="O938">
        <f>IF(N938="","",IF(M938=0,INDEX(Equipamentos!$U$2:$U$61,N938),L938))</f>
        <v/>
      </c>
      <c r="P938">
        <f>IF(N938="","",IF(M938=0,N(INDEX(Equipamentos!$V$2:$V$61,N938)),N(INDEX(TrocasEquip!$I$2:$I$1000,M938))))</f>
        <v/>
      </c>
      <c r="Q938">
        <f>IF(N938="","",IF(M938=0,INDEX(Equipamentos!$T$2:$T$61,N938),IF(INDEX(TrocasEquip!$H$2:$H$1000,M938)="",INDEX(Equipamentos!$T$2:$T$61,N938),INDEX(TrocasEquip!$H$2:$H$1000,M938))))</f>
        <v/>
      </c>
    </row>
    <row r="939">
      <c r="A939" s="54" t="n"/>
      <c r="B939" s="55" t="n"/>
      <c r="C939">
        <f>IF(B939="","",IF(N939="","posição não encontrada",IF(M939=0,INDEX(Equipamentos!$S$2:$S$61,N939),INDEX(TrocasEquip!$G$2:$G$1000,M939))))</f>
        <v/>
      </c>
      <c r="D939" s="56">
        <f>IF(OR(A939="",N939=""),"",P939+IF(E939="dias",MAX(0,A939-O939),IF(INDEX(Equipamentos!$D$2:$D$61,N939)=2,SUMIFS(Producao!$D:$D,Producao!$A:$A,"&gt;="&amp;O939,Producao!$A:$A,"&lt;"&amp;A939),IF(INDEX(Equipamentos!$D$2:$D$61,N939)=3,SUMIFS(Producao!$E:$E,Producao!$A:$A,"&gt;="&amp;O939,Producao!$A:$A,"&lt;"&amp;A939),SUMIFS(Producao!$B:$B,Producao!$A:$A,"&gt;="&amp;O939,Producao!$A:$A,"&lt;"&amp;A939)))))</f>
        <v/>
      </c>
      <c r="E939">
        <f>IF(N939="","",INDEX(Equipamentos!$C$2:$C$61,N939))</f>
        <v/>
      </c>
      <c r="F939" s="57">
        <f>IF(OR(D939="",N(Q939)&lt;=0),"",D939/Q939)</f>
        <v/>
      </c>
      <c r="G939" s="55" t="n"/>
      <c r="H939" s="58" t="n"/>
      <c r="I939" s="58" t="n"/>
      <c r="J939" s="55" t="n"/>
      <c r="K939" s="55" t="n"/>
      <c r="L939">
        <f>IF(OR(A939="",B939=""),"",_xlfn.MAXIFS(TrocasEquip!$A$2:$A$1000,TrocasEquip!$B$2:$B$1000,B939,TrocasEquip!$A$2:$A$1000,"&lt;"&amp;A939))</f>
        <v/>
      </c>
      <c r="M939">
        <f>IF(N(L939)=0,0,MATCH(1,INDEX((TrocasEquip!$B$2:$B$1000=B939)*(TrocasEquip!$A$2:$A$1000=L939),0),0))</f>
        <v/>
      </c>
      <c r="N939">
        <f>IF(B939="","",IFERROR(MATCH(B939,Equipamentos!$P$2:$P$61,0),""))</f>
        <v/>
      </c>
      <c r="O939">
        <f>IF(N939="","",IF(M939=0,INDEX(Equipamentos!$U$2:$U$61,N939),L939))</f>
        <v/>
      </c>
      <c r="P939">
        <f>IF(N939="","",IF(M939=0,N(INDEX(Equipamentos!$V$2:$V$61,N939)),N(INDEX(TrocasEquip!$I$2:$I$1000,M939))))</f>
        <v/>
      </c>
      <c r="Q939">
        <f>IF(N939="","",IF(M939=0,INDEX(Equipamentos!$T$2:$T$61,N939),IF(INDEX(TrocasEquip!$H$2:$H$1000,M939)="",INDEX(Equipamentos!$T$2:$T$61,N939),INDEX(TrocasEquip!$H$2:$H$1000,M939))))</f>
        <v/>
      </c>
    </row>
    <row r="940">
      <c r="A940" s="54" t="n"/>
      <c r="B940" s="55" t="n"/>
      <c r="C940">
        <f>IF(B940="","",IF(N940="","posição não encontrada",IF(M940=0,INDEX(Equipamentos!$S$2:$S$61,N940),INDEX(TrocasEquip!$G$2:$G$1000,M940))))</f>
        <v/>
      </c>
      <c r="D940" s="56">
        <f>IF(OR(A940="",N940=""),"",P940+IF(E940="dias",MAX(0,A940-O940),IF(INDEX(Equipamentos!$D$2:$D$61,N940)=2,SUMIFS(Producao!$D:$D,Producao!$A:$A,"&gt;="&amp;O940,Producao!$A:$A,"&lt;"&amp;A940),IF(INDEX(Equipamentos!$D$2:$D$61,N940)=3,SUMIFS(Producao!$E:$E,Producao!$A:$A,"&gt;="&amp;O940,Producao!$A:$A,"&lt;"&amp;A940),SUMIFS(Producao!$B:$B,Producao!$A:$A,"&gt;="&amp;O940,Producao!$A:$A,"&lt;"&amp;A940)))))</f>
        <v/>
      </c>
      <c r="E940">
        <f>IF(N940="","",INDEX(Equipamentos!$C$2:$C$61,N940))</f>
        <v/>
      </c>
      <c r="F940" s="57">
        <f>IF(OR(D940="",N(Q940)&lt;=0),"",D940/Q940)</f>
        <v/>
      </c>
      <c r="G940" s="55" t="n"/>
      <c r="H940" s="58" t="n"/>
      <c r="I940" s="58" t="n"/>
      <c r="J940" s="55" t="n"/>
      <c r="K940" s="55" t="n"/>
      <c r="L940">
        <f>IF(OR(A940="",B940=""),"",_xlfn.MAXIFS(TrocasEquip!$A$2:$A$1000,TrocasEquip!$B$2:$B$1000,B940,TrocasEquip!$A$2:$A$1000,"&lt;"&amp;A940))</f>
        <v/>
      </c>
      <c r="M940">
        <f>IF(N(L940)=0,0,MATCH(1,INDEX((TrocasEquip!$B$2:$B$1000=B940)*(TrocasEquip!$A$2:$A$1000=L940),0),0))</f>
        <v/>
      </c>
      <c r="N940">
        <f>IF(B940="","",IFERROR(MATCH(B940,Equipamentos!$P$2:$P$61,0),""))</f>
        <v/>
      </c>
      <c r="O940">
        <f>IF(N940="","",IF(M940=0,INDEX(Equipamentos!$U$2:$U$61,N940),L940))</f>
        <v/>
      </c>
      <c r="P940">
        <f>IF(N940="","",IF(M940=0,N(INDEX(Equipamentos!$V$2:$V$61,N940)),N(INDEX(TrocasEquip!$I$2:$I$1000,M940))))</f>
        <v/>
      </c>
      <c r="Q940">
        <f>IF(N940="","",IF(M940=0,INDEX(Equipamentos!$T$2:$T$61,N940),IF(INDEX(TrocasEquip!$H$2:$H$1000,M940)="",INDEX(Equipamentos!$T$2:$T$61,N940),INDEX(TrocasEquip!$H$2:$H$1000,M940))))</f>
        <v/>
      </c>
    </row>
    <row r="941">
      <c r="A941" s="54" t="n"/>
      <c r="B941" s="55" t="n"/>
      <c r="C941">
        <f>IF(B941="","",IF(N941="","posição não encontrada",IF(M941=0,INDEX(Equipamentos!$S$2:$S$61,N941),INDEX(TrocasEquip!$G$2:$G$1000,M941))))</f>
        <v/>
      </c>
      <c r="D941" s="56">
        <f>IF(OR(A941="",N941=""),"",P941+IF(E941="dias",MAX(0,A941-O941),IF(INDEX(Equipamentos!$D$2:$D$61,N941)=2,SUMIFS(Producao!$D:$D,Producao!$A:$A,"&gt;="&amp;O941,Producao!$A:$A,"&lt;"&amp;A941),IF(INDEX(Equipamentos!$D$2:$D$61,N941)=3,SUMIFS(Producao!$E:$E,Producao!$A:$A,"&gt;="&amp;O941,Producao!$A:$A,"&lt;"&amp;A941),SUMIFS(Producao!$B:$B,Producao!$A:$A,"&gt;="&amp;O941,Producao!$A:$A,"&lt;"&amp;A941)))))</f>
        <v/>
      </c>
      <c r="E941">
        <f>IF(N941="","",INDEX(Equipamentos!$C$2:$C$61,N941))</f>
        <v/>
      </c>
      <c r="F941" s="57">
        <f>IF(OR(D941="",N(Q941)&lt;=0),"",D941/Q941)</f>
        <v/>
      </c>
      <c r="G941" s="55" t="n"/>
      <c r="H941" s="58" t="n"/>
      <c r="I941" s="58" t="n"/>
      <c r="J941" s="55" t="n"/>
      <c r="K941" s="55" t="n"/>
      <c r="L941">
        <f>IF(OR(A941="",B941=""),"",_xlfn.MAXIFS(TrocasEquip!$A$2:$A$1000,TrocasEquip!$B$2:$B$1000,B941,TrocasEquip!$A$2:$A$1000,"&lt;"&amp;A941))</f>
        <v/>
      </c>
      <c r="M941">
        <f>IF(N(L941)=0,0,MATCH(1,INDEX((TrocasEquip!$B$2:$B$1000=B941)*(TrocasEquip!$A$2:$A$1000=L941),0),0))</f>
        <v/>
      </c>
      <c r="N941">
        <f>IF(B941="","",IFERROR(MATCH(B941,Equipamentos!$P$2:$P$61,0),""))</f>
        <v/>
      </c>
      <c r="O941">
        <f>IF(N941="","",IF(M941=0,INDEX(Equipamentos!$U$2:$U$61,N941),L941))</f>
        <v/>
      </c>
      <c r="P941">
        <f>IF(N941="","",IF(M941=0,N(INDEX(Equipamentos!$V$2:$V$61,N941)),N(INDEX(TrocasEquip!$I$2:$I$1000,M941))))</f>
        <v/>
      </c>
      <c r="Q941">
        <f>IF(N941="","",IF(M941=0,INDEX(Equipamentos!$T$2:$T$61,N941),IF(INDEX(TrocasEquip!$H$2:$H$1000,M941)="",INDEX(Equipamentos!$T$2:$T$61,N941),INDEX(TrocasEquip!$H$2:$H$1000,M941))))</f>
        <v/>
      </c>
    </row>
    <row r="942">
      <c r="A942" s="54" t="n"/>
      <c r="B942" s="55" t="n"/>
      <c r="C942">
        <f>IF(B942="","",IF(N942="","posição não encontrada",IF(M942=0,INDEX(Equipamentos!$S$2:$S$61,N942),INDEX(TrocasEquip!$G$2:$G$1000,M942))))</f>
        <v/>
      </c>
      <c r="D942" s="56">
        <f>IF(OR(A942="",N942=""),"",P942+IF(E942="dias",MAX(0,A942-O942),IF(INDEX(Equipamentos!$D$2:$D$61,N942)=2,SUMIFS(Producao!$D:$D,Producao!$A:$A,"&gt;="&amp;O942,Producao!$A:$A,"&lt;"&amp;A942),IF(INDEX(Equipamentos!$D$2:$D$61,N942)=3,SUMIFS(Producao!$E:$E,Producao!$A:$A,"&gt;="&amp;O942,Producao!$A:$A,"&lt;"&amp;A942),SUMIFS(Producao!$B:$B,Producao!$A:$A,"&gt;="&amp;O942,Producao!$A:$A,"&lt;"&amp;A942)))))</f>
        <v/>
      </c>
      <c r="E942">
        <f>IF(N942="","",INDEX(Equipamentos!$C$2:$C$61,N942))</f>
        <v/>
      </c>
      <c r="F942" s="57">
        <f>IF(OR(D942="",N(Q942)&lt;=0),"",D942/Q942)</f>
        <v/>
      </c>
      <c r="G942" s="55" t="n"/>
      <c r="H942" s="58" t="n"/>
      <c r="I942" s="58" t="n"/>
      <c r="J942" s="55" t="n"/>
      <c r="K942" s="55" t="n"/>
      <c r="L942">
        <f>IF(OR(A942="",B942=""),"",_xlfn.MAXIFS(TrocasEquip!$A$2:$A$1000,TrocasEquip!$B$2:$B$1000,B942,TrocasEquip!$A$2:$A$1000,"&lt;"&amp;A942))</f>
        <v/>
      </c>
      <c r="M942">
        <f>IF(N(L942)=0,0,MATCH(1,INDEX((TrocasEquip!$B$2:$B$1000=B942)*(TrocasEquip!$A$2:$A$1000=L942),0),0))</f>
        <v/>
      </c>
      <c r="N942">
        <f>IF(B942="","",IFERROR(MATCH(B942,Equipamentos!$P$2:$P$61,0),""))</f>
        <v/>
      </c>
      <c r="O942">
        <f>IF(N942="","",IF(M942=0,INDEX(Equipamentos!$U$2:$U$61,N942),L942))</f>
        <v/>
      </c>
      <c r="P942">
        <f>IF(N942="","",IF(M942=0,N(INDEX(Equipamentos!$V$2:$V$61,N942)),N(INDEX(TrocasEquip!$I$2:$I$1000,M942))))</f>
        <v/>
      </c>
      <c r="Q942">
        <f>IF(N942="","",IF(M942=0,INDEX(Equipamentos!$T$2:$T$61,N942),IF(INDEX(TrocasEquip!$H$2:$H$1000,M942)="",INDEX(Equipamentos!$T$2:$T$61,N942),INDEX(TrocasEquip!$H$2:$H$1000,M942))))</f>
        <v/>
      </c>
    </row>
    <row r="943">
      <c r="A943" s="54" t="n"/>
      <c r="B943" s="55" t="n"/>
      <c r="C943">
        <f>IF(B943="","",IF(N943="","posição não encontrada",IF(M943=0,INDEX(Equipamentos!$S$2:$S$61,N943),INDEX(TrocasEquip!$G$2:$G$1000,M943))))</f>
        <v/>
      </c>
      <c r="D943" s="56">
        <f>IF(OR(A943="",N943=""),"",P943+IF(E943="dias",MAX(0,A943-O943),IF(INDEX(Equipamentos!$D$2:$D$61,N943)=2,SUMIFS(Producao!$D:$D,Producao!$A:$A,"&gt;="&amp;O943,Producao!$A:$A,"&lt;"&amp;A943),IF(INDEX(Equipamentos!$D$2:$D$61,N943)=3,SUMIFS(Producao!$E:$E,Producao!$A:$A,"&gt;="&amp;O943,Producao!$A:$A,"&lt;"&amp;A943),SUMIFS(Producao!$B:$B,Producao!$A:$A,"&gt;="&amp;O943,Producao!$A:$A,"&lt;"&amp;A943)))))</f>
        <v/>
      </c>
      <c r="E943">
        <f>IF(N943="","",INDEX(Equipamentos!$C$2:$C$61,N943))</f>
        <v/>
      </c>
      <c r="F943" s="57">
        <f>IF(OR(D943="",N(Q943)&lt;=0),"",D943/Q943)</f>
        <v/>
      </c>
      <c r="G943" s="55" t="n"/>
      <c r="H943" s="58" t="n"/>
      <c r="I943" s="58" t="n"/>
      <c r="J943" s="55" t="n"/>
      <c r="K943" s="55" t="n"/>
      <c r="L943">
        <f>IF(OR(A943="",B943=""),"",_xlfn.MAXIFS(TrocasEquip!$A$2:$A$1000,TrocasEquip!$B$2:$B$1000,B943,TrocasEquip!$A$2:$A$1000,"&lt;"&amp;A943))</f>
        <v/>
      </c>
      <c r="M943">
        <f>IF(N(L943)=0,0,MATCH(1,INDEX((TrocasEquip!$B$2:$B$1000=B943)*(TrocasEquip!$A$2:$A$1000=L943),0),0))</f>
        <v/>
      </c>
      <c r="N943">
        <f>IF(B943="","",IFERROR(MATCH(B943,Equipamentos!$P$2:$P$61,0),""))</f>
        <v/>
      </c>
      <c r="O943">
        <f>IF(N943="","",IF(M943=0,INDEX(Equipamentos!$U$2:$U$61,N943),L943))</f>
        <v/>
      </c>
      <c r="P943">
        <f>IF(N943="","",IF(M943=0,N(INDEX(Equipamentos!$V$2:$V$61,N943)),N(INDEX(TrocasEquip!$I$2:$I$1000,M943))))</f>
        <v/>
      </c>
      <c r="Q943">
        <f>IF(N943="","",IF(M943=0,INDEX(Equipamentos!$T$2:$T$61,N943),IF(INDEX(TrocasEquip!$H$2:$H$1000,M943)="",INDEX(Equipamentos!$T$2:$T$61,N943),INDEX(TrocasEquip!$H$2:$H$1000,M943))))</f>
        <v/>
      </c>
    </row>
    <row r="944">
      <c r="A944" s="54" t="n"/>
      <c r="B944" s="55" t="n"/>
      <c r="C944">
        <f>IF(B944="","",IF(N944="","posição não encontrada",IF(M944=0,INDEX(Equipamentos!$S$2:$S$61,N944),INDEX(TrocasEquip!$G$2:$G$1000,M944))))</f>
        <v/>
      </c>
      <c r="D944" s="56">
        <f>IF(OR(A944="",N944=""),"",P944+IF(E944="dias",MAX(0,A944-O944),IF(INDEX(Equipamentos!$D$2:$D$61,N944)=2,SUMIFS(Producao!$D:$D,Producao!$A:$A,"&gt;="&amp;O944,Producao!$A:$A,"&lt;"&amp;A944),IF(INDEX(Equipamentos!$D$2:$D$61,N944)=3,SUMIFS(Producao!$E:$E,Producao!$A:$A,"&gt;="&amp;O944,Producao!$A:$A,"&lt;"&amp;A944),SUMIFS(Producao!$B:$B,Producao!$A:$A,"&gt;="&amp;O944,Producao!$A:$A,"&lt;"&amp;A944)))))</f>
        <v/>
      </c>
      <c r="E944">
        <f>IF(N944="","",INDEX(Equipamentos!$C$2:$C$61,N944))</f>
        <v/>
      </c>
      <c r="F944" s="57">
        <f>IF(OR(D944="",N(Q944)&lt;=0),"",D944/Q944)</f>
        <v/>
      </c>
      <c r="G944" s="55" t="n"/>
      <c r="H944" s="58" t="n"/>
      <c r="I944" s="58" t="n"/>
      <c r="J944" s="55" t="n"/>
      <c r="K944" s="55" t="n"/>
      <c r="L944">
        <f>IF(OR(A944="",B944=""),"",_xlfn.MAXIFS(TrocasEquip!$A$2:$A$1000,TrocasEquip!$B$2:$B$1000,B944,TrocasEquip!$A$2:$A$1000,"&lt;"&amp;A944))</f>
        <v/>
      </c>
      <c r="M944">
        <f>IF(N(L944)=0,0,MATCH(1,INDEX((TrocasEquip!$B$2:$B$1000=B944)*(TrocasEquip!$A$2:$A$1000=L944),0),0))</f>
        <v/>
      </c>
      <c r="N944">
        <f>IF(B944="","",IFERROR(MATCH(B944,Equipamentos!$P$2:$P$61,0),""))</f>
        <v/>
      </c>
      <c r="O944">
        <f>IF(N944="","",IF(M944=0,INDEX(Equipamentos!$U$2:$U$61,N944),L944))</f>
        <v/>
      </c>
      <c r="P944">
        <f>IF(N944="","",IF(M944=0,N(INDEX(Equipamentos!$V$2:$V$61,N944)),N(INDEX(TrocasEquip!$I$2:$I$1000,M944))))</f>
        <v/>
      </c>
      <c r="Q944">
        <f>IF(N944="","",IF(M944=0,INDEX(Equipamentos!$T$2:$T$61,N944),IF(INDEX(TrocasEquip!$H$2:$H$1000,M944)="",INDEX(Equipamentos!$T$2:$T$61,N944),INDEX(TrocasEquip!$H$2:$H$1000,M944))))</f>
        <v/>
      </c>
    </row>
    <row r="945">
      <c r="A945" s="54" t="n"/>
      <c r="B945" s="55" t="n"/>
      <c r="C945">
        <f>IF(B945="","",IF(N945="","posição não encontrada",IF(M945=0,INDEX(Equipamentos!$S$2:$S$61,N945),INDEX(TrocasEquip!$G$2:$G$1000,M945))))</f>
        <v/>
      </c>
      <c r="D945" s="56">
        <f>IF(OR(A945="",N945=""),"",P945+IF(E945="dias",MAX(0,A945-O945),IF(INDEX(Equipamentos!$D$2:$D$61,N945)=2,SUMIFS(Producao!$D:$D,Producao!$A:$A,"&gt;="&amp;O945,Producao!$A:$A,"&lt;"&amp;A945),IF(INDEX(Equipamentos!$D$2:$D$61,N945)=3,SUMIFS(Producao!$E:$E,Producao!$A:$A,"&gt;="&amp;O945,Producao!$A:$A,"&lt;"&amp;A945),SUMIFS(Producao!$B:$B,Producao!$A:$A,"&gt;="&amp;O945,Producao!$A:$A,"&lt;"&amp;A945)))))</f>
        <v/>
      </c>
      <c r="E945">
        <f>IF(N945="","",INDEX(Equipamentos!$C$2:$C$61,N945))</f>
        <v/>
      </c>
      <c r="F945" s="57">
        <f>IF(OR(D945="",N(Q945)&lt;=0),"",D945/Q945)</f>
        <v/>
      </c>
      <c r="G945" s="55" t="n"/>
      <c r="H945" s="58" t="n"/>
      <c r="I945" s="58" t="n"/>
      <c r="J945" s="55" t="n"/>
      <c r="K945" s="55" t="n"/>
      <c r="L945">
        <f>IF(OR(A945="",B945=""),"",_xlfn.MAXIFS(TrocasEquip!$A$2:$A$1000,TrocasEquip!$B$2:$B$1000,B945,TrocasEquip!$A$2:$A$1000,"&lt;"&amp;A945))</f>
        <v/>
      </c>
      <c r="M945">
        <f>IF(N(L945)=0,0,MATCH(1,INDEX((TrocasEquip!$B$2:$B$1000=B945)*(TrocasEquip!$A$2:$A$1000=L945),0),0))</f>
        <v/>
      </c>
      <c r="N945">
        <f>IF(B945="","",IFERROR(MATCH(B945,Equipamentos!$P$2:$P$61,0),""))</f>
        <v/>
      </c>
      <c r="O945">
        <f>IF(N945="","",IF(M945=0,INDEX(Equipamentos!$U$2:$U$61,N945),L945))</f>
        <v/>
      </c>
      <c r="P945">
        <f>IF(N945="","",IF(M945=0,N(INDEX(Equipamentos!$V$2:$V$61,N945)),N(INDEX(TrocasEquip!$I$2:$I$1000,M945))))</f>
        <v/>
      </c>
      <c r="Q945">
        <f>IF(N945="","",IF(M945=0,INDEX(Equipamentos!$T$2:$T$61,N945),IF(INDEX(TrocasEquip!$H$2:$H$1000,M945)="",INDEX(Equipamentos!$T$2:$T$61,N945),INDEX(TrocasEquip!$H$2:$H$1000,M945))))</f>
        <v/>
      </c>
    </row>
    <row r="946">
      <c r="A946" s="54" t="n"/>
      <c r="B946" s="55" t="n"/>
      <c r="C946">
        <f>IF(B946="","",IF(N946="","posição não encontrada",IF(M946=0,INDEX(Equipamentos!$S$2:$S$61,N946),INDEX(TrocasEquip!$G$2:$G$1000,M946))))</f>
        <v/>
      </c>
      <c r="D946" s="56">
        <f>IF(OR(A946="",N946=""),"",P946+IF(E946="dias",MAX(0,A946-O946),IF(INDEX(Equipamentos!$D$2:$D$61,N946)=2,SUMIFS(Producao!$D:$D,Producao!$A:$A,"&gt;="&amp;O946,Producao!$A:$A,"&lt;"&amp;A946),IF(INDEX(Equipamentos!$D$2:$D$61,N946)=3,SUMIFS(Producao!$E:$E,Producao!$A:$A,"&gt;="&amp;O946,Producao!$A:$A,"&lt;"&amp;A946),SUMIFS(Producao!$B:$B,Producao!$A:$A,"&gt;="&amp;O946,Producao!$A:$A,"&lt;"&amp;A946)))))</f>
        <v/>
      </c>
      <c r="E946">
        <f>IF(N946="","",INDEX(Equipamentos!$C$2:$C$61,N946))</f>
        <v/>
      </c>
      <c r="F946" s="57">
        <f>IF(OR(D946="",N(Q946)&lt;=0),"",D946/Q946)</f>
        <v/>
      </c>
      <c r="G946" s="55" t="n"/>
      <c r="H946" s="58" t="n"/>
      <c r="I946" s="58" t="n"/>
      <c r="J946" s="55" t="n"/>
      <c r="K946" s="55" t="n"/>
      <c r="L946">
        <f>IF(OR(A946="",B946=""),"",_xlfn.MAXIFS(TrocasEquip!$A$2:$A$1000,TrocasEquip!$B$2:$B$1000,B946,TrocasEquip!$A$2:$A$1000,"&lt;"&amp;A946))</f>
        <v/>
      </c>
      <c r="M946">
        <f>IF(N(L946)=0,0,MATCH(1,INDEX((TrocasEquip!$B$2:$B$1000=B946)*(TrocasEquip!$A$2:$A$1000=L946),0),0))</f>
        <v/>
      </c>
      <c r="N946">
        <f>IF(B946="","",IFERROR(MATCH(B946,Equipamentos!$P$2:$P$61,0),""))</f>
        <v/>
      </c>
      <c r="O946">
        <f>IF(N946="","",IF(M946=0,INDEX(Equipamentos!$U$2:$U$61,N946),L946))</f>
        <v/>
      </c>
      <c r="P946">
        <f>IF(N946="","",IF(M946=0,N(INDEX(Equipamentos!$V$2:$V$61,N946)),N(INDEX(TrocasEquip!$I$2:$I$1000,M946))))</f>
        <v/>
      </c>
      <c r="Q946">
        <f>IF(N946="","",IF(M946=0,INDEX(Equipamentos!$T$2:$T$61,N946),IF(INDEX(TrocasEquip!$H$2:$H$1000,M946)="",INDEX(Equipamentos!$T$2:$T$61,N946),INDEX(TrocasEquip!$H$2:$H$1000,M946))))</f>
        <v/>
      </c>
    </row>
    <row r="947">
      <c r="A947" s="54" t="n"/>
      <c r="B947" s="55" t="n"/>
      <c r="C947">
        <f>IF(B947="","",IF(N947="","posição não encontrada",IF(M947=0,INDEX(Equipamentos!$S$2:$S$61,N947),INDEX(TrocasEquip!$G$2:$G$1000,M947))))</f>
        <v/>
      </c>
      <c r="D947" s="56">
        <f>IF(OR(A947="",N947=""),"",P947+IF(E947="dias",MAX(0,A947-O947),IF(INDEX(Equipamentos!$D$2:$D$61,N947)=2,SUMIFS(Producao!$D:$D,Producao!$A:$A,"&gt;="&amp;O947,Producao!$A:$A,"&lt;"&amp;A947),IF(INDEX(Equipamentos!$D$2:$D$61,N947)=3,SUMIFS(Producao!$E:$E,Producao!$A:$A,"&gt;="&amp;O947,Producao!$A:$A,"&lt;"&amp;A947),SUMIFS(Producao!$B:$B,Producao!$A:$A,"&gt;="&amp;O947,Producao!$A:$A,"&lt;"&amp;A947)))))</f>
        <v/>
      </c>
      <c r="E947">
        <f>IF(N947="","",INDEX(Equipamentos!$C$2:$C$61,N947))</f>
        <v/>
      </c>
      <c r="F947" s="57">
        <f>IF(OR(D947="",N(Q947)&lt;=0),"",D947/Q947)</f>
        <v/>
      </c>
      <c r="G947" s="55" t="n"/>
      <c r="H947" s="58" t="n"/>
      <c r="I947" s="58" t="n"/>
      <c r="J947" s="55" t="n"/>
      <c r="K947" s="55" t="n"/>
      <c r="L947">
        <f>IF(OR(A947="",B947=""),"",_xlfn.MAXIFS(TrocasEquip!$A$2:$A$1000,TrocasEquip!$B$2:$B$1000,B947,TrocasEquip!$A$2:$A$1000,"&lt;"&amp;A947))</f>
        <v/>
      </c>
      <c r="M947">
        <f>IF(N(L947)=0,0,MATCH(1,INDEX((TrocasEquip!$B$2:$B$1000=B947)*(TrocasEquip!$A$2:$A$1000=L947),0),0))</f>
        <v/>
      </c>
      <c r="N947">
        <f>IF(B947="","",IFERROR(MATCH(B947,Equipamentos!$P$2:$P$61,0),""))</f>
        <v/>
      </c>
      <c r="O947">
        <f>IF(N947="","",IF(M947=0,INDEX(Equipamentos!$U$2:$U$61,N947),L947))</f>
        <v/>
      </c>
      <c r="P947">
        <f>IF(N947="","",IF(M947=0,N(INDEX(Equipamentos!$V$2:$V$61,N947)),N(INDEX(TrocasEquip!$I$2:$I$1000,M947))))</f>
        <v/>
      </c>
      <c r="Q947">
        <f>IF(N947="","",IF(M947=0,INDEX(Equipamentos!$T$2:$T$61,N947),IF(INDEX(TrocasEquip!$H$2:$H$1000,M947)="",INDEX(Equipamentos!$T$2:$T$61,N947),INDEX(TrocasEquip!$H$2:$H$1000,M947))))</f>
        <v/>
      </c>
    </row>
    <row r="948">
      <c r="A948" s="54" t="n"/>
      <c r="B948" s="55" t="n"/>
      <c r="C948">
        <f>IF(B948="","",IF(N948="","posição não encontrada",IF(M948=0,INDEX(Equipamentos!$S$2:$S$61,N948),INDEX(TrocasEquip!$G$2:$G$1000,M948))))</f>
        <v/>
      </c>
      <c r="D948" s="56">
        <f>IF(OR(A948="",N948=""),"",P948+IF(E948="dias",MAX(0,A948-O948),IF(INDEX(Equipamentos!$D$2:$D$61,N948)=2,SUMIFS(Producao!$D:$D,Producao!$A:$A,"&gt;="&amp;O948,Producao!$A:$A,"&lt;"&amp;A948),IF(INDEX(Equipamentos!$D$2:$D$61,N948)=3,SUMIFS(Producao!$E:$E,Producao!$A:$A,"&gt;="&amp;O948,Producao!$A:$A,"&lt;"&amp;A948),SUMIFS(Producao!$B:$B,Producao!$A:$A,"&gt;="&amp;O948,Producao!$A:$A,"&lt;"&amp;A948)))))</f>
        <v/>
      </c>
      <c r="E948">
        <f>IF(N948="","",INDEX(Equipamentos!$C$2:$C$61,N948))</f>
        <v/>
      </c>
      <c r="F948" s="57">
        <f>IF(OR(D948="",N(Q948)&lt;=0),"",D948/Q948)</f>
        <v/>
      </c>
      <c r="G948" s="55" t="n"/>
      <c r="H948" s="58" t="n"/>
      <c r="I948" s="58" t="n"/>
      <c r="J948" s="55" t="n"/>
      <c r="K948" s="55" t="n"/>
      <c r="L948">
        <f>IF(OR(A948="",B948=""),"",_xlfn.MAXIFS(TrocasEquip!$A$2:$A$1000,TrocasEquip!$B$2:$B$1000,B948,TrocasEquip!$A$2:$A$1000,"&lt;"&amp;A948))</f>
        <v/>
      </c>
      <c r="M948">
        <f>IF(N(L948)=0,0,MATCH(1,INDEX((TrocasEquip!$B$2:$B$1000=B948)*(TrocasEquip!$A$2:$A$1000=L948),0),0))</f>
        <v/>
      </c>
      <c r="N948">
        <f>IF(B948="","",IFERROR(MATCH(B948,Equipamentos!$P$2:$P$61,0),""))</f>
        <v/>
      </c>
      <c r="O948">
        <f>IF(N948="","",IF(M948=0,INDEX(Equipamentos!$U$2:$U$61,N948),L948))</f>
        <v/>
      </c>
      <c r="P948">
        <f>IF(N948="","",IF(M948=0,N(INDEX(Equipamentos!$V$2:$V$61,N948)),N(INDEX(TrocasEquip!$I$2:$I$1000,M948))))</f>
        <v/>
      </c>
      <c r="Q948">
        <f>IF(N948="","",IF(M948=0,INDEX(Equipamentos!$T$2:$T$61,N948),IF(INDEX(TrocasEquip!$H$2:$H$1000,M948)="",INDEX(Equipamentos!$T$2:$T$61,N948),INDEX(TrocasEquip!$H$2:$H$1000,M948))))</f>
        <v/>
      </c>
    </row>
    <row r="949">
      <c r="A949" s="54" t="n"/>
      <c r="B949" s="55" t="n"/>
      <c r="C949">
        <f>IF(B949="","",IF(N949="","posição não encontrada",IF(M949=0,INDEX(Equipamentos!$S$2:$S$61,N949),INDEX(TrocasEquip!$G$2:$G$1000,M949))))</f>
        <v/>
      </c>
      <c r="D949" s="56">
        <f>IF(OR(A949="",N949=""),"",P949+IF(E949="dias",MAX(0,A949-O949),IF(INDEX(Equipamentos!$D$2:$D$61,N949)=2,SUMIFS(Producao!$D:$D,Producao!$A:$A,"&gt;="&amp;O949,Producao!$A:$A,"&lt;"&amp;A949),IF(INDEX(Equipamentos!$D$2:$D$61,N949)=3,SUMIFS(Producao!$E:$E,Producao!$A:$A,"&gt;="&amp;O949,Producao!$A:$A,"&lt;"&amp;A949),SUMIFS(Producao!$B:$B,Producao!$A:$A,"&gt;="&amp;O949,Producao!$A:$A,"&lt;"&amp;A949)))))</f>
        <v/>
      </c>
      <c r="E949">
        <f>IF(N949="","",INDEX(Equipamentos!$C$2:$C$61,N949))</f>
        <v/>
      </c>
      <c r="F949" s="57">
        <f>IF(OR(D949="",N(Q949)&lt;=0),"",D949/Q949)</f>
        <v/>
      </c>
      <c r="G949" s="55" t="n"/>
      <c r="H949" s="58" t="n"/>
      <c r="I949" s="58" t="n"/>
      <c r="J949" s="55" t="n"/>
      <c r="K949" s="55" t="n"/>
      <c r="L949">
        <f>IF(OR(A949="",B949=""),"",_xlfn.MAXIFS(TrocasEquip!$A$2:$A$1000,TrocasEquip!$B$2:$B$1000,B949,TrocasEquip!$A$2:$A$1000,"&lt;"&amp;A949))</f>
        <v/>
      </c>
      <c r="M949">
        <f>IF(N(L949)=0,0,MATCH(1,INDEX((TrocasEquip!$B$2:$B$1000=B949)*(TrocasEquip!$A$2:$A$1000=L949),0),0))</f>
        <v/>
      </c>
      <c r="N949">
        <f>IF(B949="","",IFERROR(MATCH(B949,Equipamentos!$P$2:$P$61,0),""))</f>
        <v/>
      </c>
      <c r="O949">
        <f>IF(N949="","",IF(M949=0,INDEX(Equipamentos!$U$2:$U$61,N949),L949))</f>
        <v/>
      </c>
      <c r="P949">
        <f>IF(N949="","",IF(M949=0,N(INDEX(Equipamentos!$V$2:$V$61,N949)),N(INDEX(TrocasEquip!$I$2:$I$1000,M949))))</f>
        <v/>
      </c>
      <c r="Q949">
        <f>IF(N949="","",IF(M949=0,INDEX(Equipamentos!$T$2:$T$61,N949),IF(INDEX(TrocasEquip!$H$2:$H$1000,M949)="",INDEX(Equipamentos!$T$2:$T$61,N949),INDEX(TrocasEquip!$H$2:$H$1000,M949))))</f>
        <v/>
      </c>
    </row>
    <row r="950">
      <c r="A950" s="54" t="n"/>
      <c r="B950" s="55" t="n"/>
      <c r="C950">
        <f>IF(B950="","",IF(N950="","posição não encontrada",IF(M950=0,INDEX(Equipamentos!$S$2:$S$61,N950),INDEX(TrocasEquip!$G$2:$G$1000,M950))))</f>
        <v/>
      </c>
      <c r="D950" s="56">
        <f>IF(OR(A950="",N950=""),"",P950+IF(E950="dias",MAX(0,A950-O950),IF(INDEX(Equipamentos!$D$2:$D$61,N950)=2,SUMIFS(Producao!$D:$D,Producao!$A:$A,"&gt;="&amp;O950,Producao!$A:$A,"&lt;"&amp;A950),IF(INDEX(Equipamentos!$D$2:$D$61,N950)=3,SUMIFS(Producao!$E:$E,Producao!$A:$A,"&gt;="&amp;O950,Producao!$A:$A,"&lt;"&amp;A950),SUMIFS(Producao!$B:$B,Producao!$A:$A,"&gt;="&amp;O950,Producao!$A:$A,"&lt;"&amp;A950)))))</f>
        <v/>
      </c>
      <c r="E950">
        <f>IF(N950="","",INDEX(Equipamentos!$C$2:$C$61,N950))</f>
        <v/>
      </c>
      <c r="F950" s="57">
        <f>IF(OR(D950="",N(Q950)&lt;=0),"",D950/Q950)</f>
        <v/>
      </c>
      <c r="G950" s="55" t="n"/>
      <c r="H950" s="58" t="n"/>
      <c r="I950" s="58" t="n"/>
      <c r="J950" s="55" t="n"/>
      <c r="K950" s="55" t="n"/>
      <c r="L950">
        <f>IF(OR(A950="",B950=""),"",_xlfn.MAXIFS(TrocasEquip!$A$2:$A$1000,TrocasEquip!$B$2:$B$1000,B950,TrocasEquip!$A$2:$A$1000,"&lt;"&amp;A950))</f>
        <v/>
      </c>
      <c r="M950">
        <f>IF(N(L950)=0,0,MATCH(1,INDEX((TrocasEquip!$B$2:$B$1000=B950)*(TrocasEquip!$A$2:$A$1000=L950),0),0))</f>
        <v/>
      </c>
      <c r="N950">
        <f>IF(B950="","",IFERROR(MATCH(B950,Equipamentos!$P$2:$P$61,0),""))</f>
        <v/>
      </c>
      <c r="O950">
        <f>IF(N950="","",IF(M950=0,INDEX(Equipamentos!$U$2:$U$61,N950),L950))</f>
        <v/>
      </c>
      <c r="P950">
        <f>IF(N950="","",IF(M950=0,N(INDEX(Equipamentos!$V$2:$V$61,N950)),N(INDEX(TrocasEquip!$I$2:$I$1000,M950))))</f>
        <v/>
      </c>
      <c r="Q950">
        <f>IF(N950="","",IF(M950=0,INDEX(Equipamentos!$T$2:$T$61,N950),IF(INDEX(TrocasEquip!$H$2:$H$1000,M950)="",INDEX(Equipamentos!$T$2:$T$61,N950),INDEX(TrocasEquip!$H$2:$H$1000,M950))))</f>
        <v/>
      </c>
    </row>
    <row r="951">
      <c r="A951" s="54" t="n"/>
      <c r="B951" s="55" t="n"/>
      <c r="C951">
        <f>IF(B951="","",IF(N951="","posição não encontrada",IF(M951=0,INDEX(Equipamentos!$S$2:$S$61,N951),INDEX(TrocasEquip!$G$2:$G$1000,M951))))</f>
        <v/>
      </c>
      <c r="D951" s="56">
        <f>IF(OR(A951="",N951=""),"",P951+IF(E951="dias",MAX(0,A951-O951),IF(INDEX(Equipamentos!$D$2:$D$61,N951)=2,SUMIFS(Producao!$D:$D,Producao!$A:$A,"&gt;="&amp;O951,Producao!$A:$A,"&lt;"&amp;A951),IF(INDEX(Equipamentos!$D$2:$D$61,N951)=3,SUMIFS(Producao!$E:$E,Producao!$A:$A,"&gt;="&amp;O951,Producao!$A:$A,"&lt;"&amp;A951),SUMIFS(Producao!$B:$B,Producao!$A:$A,"&gt;="&amp;O951,Producao!$A:$A,"&lt;"&amp;A951)))))</f>
        <v/>
      </c>
      <c r="E951">
        <f>IF(N951="","",INDEX(Equipamentos!$C$2:$C$61,N951))</f>
        <v/>
      </c>
      <c r="F951" s="57">
        <f>IF(OR(D951="",N(Q951)&lt;=0),"",D951/Q951)</f>
        <v/>
      </c>
      <c r="G951" s="55" t="n"/>
      <c r="H951" s="58" t="n"/>
      <c r="I951" s="58" t="n"/>
      <c r="J951" s="55" t="n"/>
      <c r="K951" s="55" t="n"/>
      <c r="L951">
        <f>IF(OR(A951="",B951=""),"",_xlfn.MAXIFS(TrocasEquip!$A$2:$A$1000,TrocasEquip!$B$2:$B$1000,B951,TrocasEquip!$A$2:$A$1000,"&lt;"&amp;A951))</f>
        <v/>
      </c>
      <c r="M951">
        <f>IF(N(L951)=0,0,MATCH(1,INDEX((TrocasEquip!$B$2:$B$1000=B951)*(TrocasEquip!$A$2:$A$1000=L951),0),0))</f>
        <v/>
      </c>
      <c r="N951">
        <f>IF(B951="","",IFERROR(MATCH(B951,Equipamentos!$P$2:$P$61,0),""))</f>
        <v/>
      </c>
      <c r="O951">
        <f>IF(N951="","",IF(M951=0,INDEX(Equipamentos!$U$2:$U$61,N951),L951))</f>
        <v/>
      </c>
      <c r="P951">
        <f>IF(N951="","",IF(M951=0,N(INDEX(Equipamentos!$V$2:$V$61,N951)),N(INDEX(TrocasEquip!$I$2:$I$1000,M951))))</f>
        <v/>
      </c>
      <c r="Q951">
        <f>IF(N951="","",IF(M951=0,INDEX(Equipamentos!$T$2:$T$61,N951),IF(INDEX(TrocasEquip!$H$2:$H$1000,M951)="",INDEX(Equipamentos!$T$2:$T$61,N951),INDEX(TrocasEquip!$H$2:$H$1000,M951))))</f>
        <v/>
      </c>
    </row>
    <row r="952">
      <c r="A952" s="54" t="n"/>
      <c r="B952" s="55" t="n"/>
      <c r="C952">
        <f>IF(B952="","",IF(N952="","posição não encontrada",IF(M952=0,INDEX(Equipamentos!$S$2:$S$61,N952),INDEX(TrocasEquip!$G$2:$G$1000,M952))))</f>
        <v/>
      </c>
      <c r="D952" s="56">
        <f>IF(OR(A952="",N952=""),"",P952+IF(E952="dias",MAX(0,A952-O952),IF(INDEX(Equipamentos!$D$2:$D$61,N952)=2,SUMIFS(Producao!$D:$D,Producao!$A:$A,"&gt;="&amp;O952,Producao!$A:$A,"&lt;"&amp;A952),IF(INDEX(Equipamentos!$D$2:$D$61,N952)=3,SUMIFS(Producao!$E:$E,Producao!$A:$A,"&gt;="&amp;O952,Producao!$A:$A,"&lt;"&amp;A952),SUMIFS(Producao!$B:$B,Producao!$A:$A,"&gt;="&amp;O952,Producao!$A:$A,"&lt;"&amp;A952)))))</f>
        <v/>
      </c>
      <c r="E952">
        <f>IF(N952="","",INDEX(Equipamentos!$C$2:$C$61,N952))</f>
        <v/>
      </c>
      <c r="F952" s="57">
        <f>IF(OR(D952="",N(Q952)&lt;=0),"",D952/Q952)</f>
        <v/>
      </c>
      <c r="G952" s="55" t="n"/>
      <c r="H952" s="58" t="n"/>
      <c r="I952" s="58" t="n"/>
      <c r="J952" s="55" t="n"/>
      <c r="K952" s="55" t="n"/>
      <c r="L952">
        <f>IF(OR(A952="",B952=""),"",_xlfn.MAXIFS(TrocasEquip!$A$2:$A$1000,TrocasEquip!$B$2:$B$1000,B952,TrocasEquip!$A$2:$A$1000,"&lt;"&amp;A952))</f>
        <v/>
      </c>
      <c r="M952">
        <f>IF(N(L952)=0,0,MATCH(1,INDEX((TrocasEquip!$B$2:$B$1000=B952)*(TrocasEquip!$A$2:$A$1000=L952),0),0))</f>
        <v/>
      </c>
      <c r="N952">
        <f>IF(B952="","",IFERROR(MATCH(B952,Equipamentos!$P$2:$P$61,0),""))</f>
        <v/>
      </c>
      <c r="O952">
        <f>IF(N952="","",IF(M952=0,INDEX(Equipamentos!$U$2:$U$61,N952),L952))</f>
        <v/>
      </c>
      <c r="P952">
        <f>IF(N952="","",IF(M952=0,N(INDEX(Equipamentos!$V$2:$V$61,N952)),N(INDEX(TrocasEquip!$I$2:$I$1000,M952))))</f>
        <v/>
      </c>
      <c r="Q952">
        <f>IF(N952="","",IF(M952=0,INDEX(Equipamentos!$T$2:$T$61,N952),IF(INDEX(TrocasEquip!$H$2:$H$1000,M952)="",INDEX(Equipamentos!$T$2:$T$61,N952),INDEX(TrocasEquip!$H$2:$H$1000,M952))))</f>
        <v/>
      </c>
    </row>
    <row r="953">
      <c r="A953" s="54" t="n"/>
      <c r="B953" s="55" t="n"/>
      <c r="C953">
        <f>IF(B953="","",IF(N953="","posição não encontrada",IF(M953=0,INDEX(Equipamentos!$S$2:$S$61,N953),INDEX(TrocasEquip!$G$2:$G$1000,M953))))</f>
        <v/>
      </c>
      <c r="D953" s="56">
        <f>IF(OR(A953="",N953=""),"",P953+IF(E953="dias",MAX(0,A953-O953),IF(INDEX(Equipamentos!$D$2:$D$61,N953)=2,SUMIFS(Producao!$D:$D,Producao!$A:$A,"&gt;="&amp;O953,Producao!$A:$A,"&lt;"&amp;A953),IF(INDEX(Equipamentos!$D$2:$D$61,N953)=3,SUMIFS(Producao!$E:$E,Producao!$A:$A,"&gt;="&amp;O953,Producao!$A:$A,"&lt;"&amp;A953),SUMIFS(Producao!$B:$B,Producao!$A:$A,"&gt;="&amp;O953,Producao!$A:$A,"&lt;"&amp;A953)))))</f>
        <v/>
      </c>
      <c r="E953">
        <f>IF(N953="","",INDEX(Equipamentos!$C$2:$C$61,N953))</f>
        <v/>
      </c>
      <c r="F953" s="57">
        <f>IF(OR(D953="",N(Q953)&lt;=0),"",D953/Q953)</f>
        <v/>
      </c>
      <c r="G953" s="55" t="n"/>
      <c r="H953" s="58" t="n"/>
      <c r="I953" s="58" t="n"/>
      <c r="J953" s="55" t="n"/>
      <c r="K953" s="55" t="n"/>
      <c r="L953">
        <f>IF(OR(A953="",B953=""),"",_xlfn.MAXIFS(TrocasEquip!$A$2:$A$1000,TrocasEquip!$B$2:$B$1000,B953,TrocasEquip!$A$2:$A$1000,"&lt;"&amp;A953))</f>
        <v/>
      </c>
      <c r="M953">
        <f>IF(N(L953)=0,0,MATCH(1,INDEX((TrocasEquip!$B$2:$B$1000=B953)*(TrocasEquip!$A$2:$A$1000=L953),0),0))</f>
        <v/>
      </c>
      <c r="N953">
        <f>IF(B953="","",IFERROR(MATCH(B953,Equipamentos!$P$2:$P$61,0),""))</f>
        <v/>
      </c>
      <c r="O953">
        <f>IF(N953="","",IF(M953=0,INDEX(Equipamentos!$U$2:$U$61,N953),L953))</f>
        <v/>
      </c>
      <c r="P953">
        <f>IF(N953="","",IF(M953=0,N(INDEX(Equipamentos!$V$2:$V$61,N953)),N(INDEX(TrocasEquip!$I$2:$I$1000,M953))))</f>
        <v/>
      </c>
      <c r="Q953">
        <f>IF(N953="","",IF(M953=0,INDEX(Equipamentos!$T$2:$T$61,N953),IF(INDEX(TrocasEquip!$H$2:$H$1000,M953)="",INDEX(Equipamentos!$T$2:$T$61,N953),INDEX(TrocasEquip!$H$2:$H$1000,M953))))</f>
        <v/>
      </c>
    </row>
    <row r="954">
      <c r="A954" s="54" t="n"/>
      <c r="B954" s="55" t="n"/>
      <c r="C954">
        <f>IF(B954="","",IF(N954="","posição não encontrada",IF(M954=0,INDEX(Equipamentos!$S$2:$S$61,N954),INDEX(TrocasEquip!$G$2:$G$1000,M954))))</f>
        <v/>
      </c>
      <c r="D954" s="56">
        <f>IF(OR(A954="",N954=""),"",P954+IF(E954="dias",MAX(0,A954-O954),IF(INDEX(Equipamentos!$D$2:$D$61,N954)=2,SUMIFS(Producao!$D:$D,Producao!$A:$A,"&gt;="&amp;O954,Producao!$A:$A,"&lt;"&amp;A954),IF(INDEX(Equipamentos!$D$2:$D$61,N954)=3,SUMIFS(Producao!$E:$E,Producao!$A:$A,"&gt;="&amp;O954,Producao!$A:$A,"&lt;"&amp;A954),SUMIFS(Producao!$B:$B,Producao!$A:$A,"&gt;="&amp;O954,Producao!$A:$A,"&lt;"&amp;A954)))))</f>
        <v/>
      </c>
      <c r="E954">
        <f>IF(N954="","",INDEX(Equipamentos!$C$2:$C$61,N954))</f>
        <v/>
      </c>
      <c r="F954" s="57">
        <f>IF(OR(D954="",N(Q954)&lt;=0),"",D954/Q954)</f>
        <v/>
      </c>
      <c r="G954" s="55" t="n"/>
      <c r="H954" s="58" t="n"/>
      <c r="I954" s="58" t="n"/>
      <c r="J954" s="55" t="n"/>
      <c r="K954" s="55" t="n"/>
      <c r="L954">
        <f>IF(OR(A954="",B954=""),"",_xlfn.MAXIFS(TrocasEquip!$A$2:$A$1000,TrocasEquip!$B$2:$B$1000,B954,TrocasEquip!$A$2:$A$1000,"&lt;"&amp;A954))</f>
        <v/>
      </c>
      <c r="M954">
        <f>IF(N(L954)=0,0,MATCH(1,INDEX((TrocasEquip!$B$2:$B$1000=B954)*(TrocasEquip!$A$2:$A$1000=L954),0),0))</f>
        <v/>
      </c>
      <c r="N954">
        <f>IF(B954="","",IFERROR(MATCH(B954,Equipamentos!$P$2:$P$61,0),""))</f>
        <v/>
      </c>
      <c r="O954">
        <f>IF(N954="","",IF(M954=0,INDEX(Equipamentos!$U$2:$U$61,N954),L954))</f>
        <v/>
      </c>
      <c r="P954">
        <f>IF(N954="","",IF(M954=0,N(INDEX(Equipamentos!$V$2:$V$61,N954)),N(INDEX(TrocasEquip!$I$2:$I$1000,M954))))</f>
        <v/>
      </c>
      <c r="Q954">
        <f>IF(N954="","",IF(M954=0,INDEX(Equipamentos!$T$2:$T$61,N954),IF(INDEX(TrocasEquip!$H$2:$H$1000,M954)="",INDEX(Equipamentos!$T$2:$T$61,N954),INDEX(TrocasEquip!$H$2:$H$1000,M954))))</f>
        <v/>
      </c>
    </row>
    <row r="955">
      <c r="A955" s="54" t="n"/>
      <c r="B955" s="55" t="n"/>
      <c r="C955">
        <f>IF(B955="","",IF(N955="","posição não encontrada",IF(M955=0,INDEX(Equipamentos!$S$2:$S$61,N955),INDEX(TrocasEquip!$G$2:$G$1000,M955))))</f>
        <v/>
      </c>
      <c r="D955" s="56">
        <f>IF(OR(A955="",N955=""),"",P955+IF(E955="dias",MAX(0,A955-O955),IF(INDEX(Equipamentos!$D$2:$D$61,N955)=2,SUMIFS(Producao!$D:$D,Producao!$A:$A,"&gt;="&amp;O955,Producao!$A:$A,"&lt;"&amp;A955),IF(INDEX(Equipamentos!$D$2:$D$61,N955)=3,SUMIFS(Producao!$E:$E,Producao!$A:$A,"&gt;="&amp;O955,Producao!$A:$A,"&lt;"&amp;A955),SUMIFS(Producao!$B:$B,Producao!$A:$A,"&gt;="&amp;O955,Producao!$A:$A,"&lt;"&amp;A955)))))</f>
        <v/>
      </c>
      <c r="E955">
        <f>IF(N955="","",INDEX(Equipamentos!$C$2:$C$61,N955))</f>
        <v/>
      </c>
      <c r="F955" s="57">
        <f>IF(OR(D955="",N(Q955)&lt;=0),"",D955/Q955)</f>
        <v/>
      </c>
      <c r="G955" s="55" t="n"/>
      <c r="H955" s="58" t="n"/>
      <c r="I955" s="58" t="n"/>
      <c r="J955" s="55" t="n"/>
      <c r="K955" s="55" t="n"/>
      <c r="L955">
        <f>IF(OR(A955="",B955=""),"",_xlfn.MAXIFS(TrocasEquip!$A$2:$A$1000,TrocasEquip!$B$2:$B$1000,B955,TrocasEquip!$A$2:$A$1000,"&lt;"&amp;A955))</f>
        <v/>
      </c>
      <c r="M955">
        <f>IF(N(L955)=0,0,MATCH(1,INDEX((TrocasEquip!$B$2:$B$1000=B955)*(TrocasEquip!$A$2:$A$1000=L955),0),0))</f>
        <v/>
      </c>
      <c r="N955">
        <f>IF(B955="","",IFERROR(MATCH(B955,Equipamentos!$P$2:$P$61,0),""))</f>
        <v/>
      </c>
      <c r="O955">
        <f>IF(N955="","",IF(M955=0,INDEX(Equipamentos!$U$2:$U$61,N955),L955))</f>
        <v/>
      </c>
      <c r="P955">
        <f>IF(N955="","",IF(M955=0,N(INDEX(Equipamentos!$V$2:$V$61,N955)),N(INDEX(TrocasEquip!$I$2:$I$1000,M955))))</f>
        <v/>
      </c>
      <c r="Q955">
        <f>IF(N955="","",IF(M955=0,INDEX(Equipamentos!$T$2:$T$61,N955),IF(INDEX(TrocasEquip!$H$2:$H$1000,M955)="",INDEX(Equipamentos!$T$2:$T$61,N955),INDEX(TrocasEquip!$H$2:$H$1000,M955))))</f>
        <v/>
      </c>
    </row>
    <row r="956">
      <c r="A956" s="54" t="n"/>
      <c r="B956" s="55" t="n"/>
      <c r="C956">
        <f>IF(B956="","",IF(N956="","posição não encontrada",IF(M956=0,INDEX(Equipamentos!$S$2:$S$61,N956),INDEX(TrocasEquip!$G$2:$G$1000,M956))))</f>
        <v/>
      </c>
      <c r="D956" s="56">
        <f>IF(OR(A956="",N956=""),"",P956+IF(E956="dias",MAX(0,A956-O956),IF(INDEX(Equipamentos!$D$2:$D$61,N956)=2,SUMIFS(Producao!$D:$D,Producao!$A:$A,"&gt;="&amp;O956,Producao!$A:$A,"&lt;"&amp;A956),IF(INDEX(Equipamentos!$D$2:$D$61,N956)=3,SUMIFS(Producao!$E:$E,Producao!$A:$A,"&gt;="&amp;O956,Producao!$A:$A,"&lt;"&amp;A956),SUMIFS(Producao!$B:$B,Producao!$A:$A,"&gt;="&amp;O956,Producao!$A:$A,"&lt;"&amp;A956)))))</f>
        <v/>
      </c>
      <c r="E956">
        <f>IF(N956="","",INDEX(Equipamentos!$C$2:$C$61,N956))</f>
        <v/>
      </c>
      <c r="F956" s="57">
        <f>IF(OR(D956="",N(Q956)&lt;=0),"",D956/Q956)</f>
        <v/>
      </c>
      <c r="G956" s="55" t="n"/>
      <c r="H956" s="58" t="n"/>
      <c r="I956" s="58" t="n"/>
      <c r="J956" s="55" t="n"/>
      <c r="K956" s="55" t="n"/>
      <c r="L956">
        <f>IF(OR(A956="",B956=""),"",_xlfn.MAXIFS(TrocasEquip!$A$2:$A$1000,TrocasEquip!$B$2:$B$1000,B956,TrocasEquip!$A$2:$A$1000,"&lt;"&amp;A956))</f>
        <v/>
      </c>
      <c r="M956">
        <f>IF(N(L956)=0,0,MATCH(1,INDEX((TrocasEquip!$B$2:$B$1000=B956)*(TrocasEquip!$A$2:$A$1000=L956),0),0))</f>
        <v/>
      </c>
      <c r="N956">
        <f>IF(B956="","",IFERROR(MATCH(B956,Equipamentos!$P$2:$P$61,0),""))</f>
        <v/>
      </c>
      <c r="O956">
        <f>IF(N956="","",IF(M956=0,INDEX(Equipamentos!$U$2:$U$61,N956),L956))</f>
        <v/>
      </c>
      <c r="P956">
        <f>IF(N956="","",IF(M956=0,N(INDEX(Equipamentos!$V$2:$V$61,N956)),N(INDEX(TrocasEquip!$I$2:$I$1000,M956))))</f>
        <v/>
      </c>
      <c r="Q956">
        <f>IF(N956="","",IF(M956=0,INDEX(Equipamentos!$T$2:$T$61,N956),IF(INDEX(TrocasEquip!$H$2:$H$1000,M956)="",INDEX(Equipamentos!$T$2:$T$61,N956),INDEX(TrocasEquip!$H$2:$H$1000,M956))))</f>
        <v/>
      </c>
    </row>
    <row r="957">
      <c r="A957" s="54" t="n"/>
      <c r="B957" s="55" t="n"/>
      <c r="C957">
        <f>IF(B957="","",IF(N957="","posição não encontrada",IF(M957=0,INDEX(Equipamentos!$S$2:$S$61,N957),INDEX(TrocasEquip!$G$2:$G$1000,M957))))</f>
        <v/>
      </c>
      <c r="D957" s="56">
        <f>IF(OR(A957="",N957=""),"",P957+IF(E957="dias",MAX(0,A957-O957),IF(INDEX(Equipamentos!$D$2:$D$61,N957)=2,SUMIFS(Producao!$D:$D,Producao!$A:$A,"&gt;="&amp;O957,Producao!$A:$A,"&lt;"&amp;A957),IF(INDEX(Equipamentos!$D$2:$D$61,N957)=3,SUMIFS(Producao!$E:$E,Producao!$A:$A,"&gt;="&amp;O957,Producao!$A:$A,"&lt;"&amp;A957),SUMIFS(Producao!$B:$B,Producao!$A:$A,"&gt;="&amp;O957,Producao!$A:$A,"&lt;"&amp;A957)))))</f>
        <v/>
      </c>
      <c r="E957">
        <f>IF(N957="","",INDEX(Equipamentos!$C$2:$C$61,N957))</f>
        <v/>
      </c>
      <c r="F957" s="57">
        <f>IF(OR(D957="",N(Q957)&lt;=0),"",D957/Q957)</f>
        <v/>
      </c>
      <c r="G957" s="55" t="n"/>
      <c r="H957" s="58" t="n"/>
      <c r="I957" s="58" t="n"/>
      <c r="J957" s="55" t="n"/>
      <c r="K957" s="55" t="n"/>
      <c r="L957">
        <f>IF(OR(A957="",B957=""),"",_xlfn.MAXIFS(TrocasEquip!$A$2:$A$1000,TrocasEquip!$B$2:$B$1000,B957,TrocasEquip!$A$2:$A$1000,"&lt;"&amp;A957))</f>
        <v/>
      </c>
      <c r="M957">
        <f>IF(N(L957)=0,0,MATCH(1,INDEX((TrocasEquip!$B$2:$B$1000=B957)*(TrocasEquip!$A$2:$A$1000=L957),0),0))</f>
        <v/>
      </c>
      <c r="N957">
        <f>IF(B957="","",IFERROR(MATCH(B957,Equipamentos!$P$2:$P$61,0),""))</f>
        <v/>
      </c>
      <c r="O957">
        <f>IF(N957="","",IF(M957=0,INDEX(Equipamentos!$U$2:$U$61,N957),L957))</f>
        <v/>
      </c>
      <c r="P957">
        <f>IF(N957="","",IF(M957=0,N(INDEX(Equipamentos!$V$2:$V$61,N957)),N(INDEX(TrocasEquip!$I$2:$I$1000,M957))))</f>
        <v/>
      </c>
      <c r="Q957">
        <f>IF(N957="","",IF(M957=0,INDEX(Equipamentos!$T$2:$T$61,N957),IF(INDEX(TrocasEquip!$H$2:$H$1000,M957)="",INDEX(Equipamentos!$T$2:$T$61,N957),INDEX(TrocasEquip!$H$2:$H$1000,M957))))</f>
        <v/>
      </c>
    </row>
    <row r="958">
      <c r="A958" s="54" t="n"/>
      <c r="B958" s="55" t="n"/>
      <c r="C958">
        <f>IF(B958="","",IF(N958="","posição não encontrada",IF(M958=0,INDEX(Equipamentos!$S$2:$S$61,N958),INDEX(TrocasEquip!$G$2:$G$1000,M958))))</f>
        <v/>
      </c>
      <c r="D958" s="56">
        <f>IF(OR(A958="",N958=""),"",P958+IF(E958="dias",MAX(0,A958-O958),IF(INDEX(Equipamentos!$D$2:$D$61,N958)=2,SUMIFS(Producao!$D:$D,Producao!$A:$A,"&gt;="&amp;O958,Producao!$A:$A,"&lt;"&amp;A958),IF(INDEX(Equipamentos!$D$2:$D$61,N958)=3,SUMIFS(Producao!$E:$E,Producao!$A:$A,"&gt;="&amp;O958,Producao!$A:$A,"&lt;"&amp;A958),SUMIFS(Producao!$B:$B,Producao!$A:$A,"&gt;="&amp;O958,Producao!$A:$A,"&lt;"&amp;A958)))))</f>
        <v/>
      </c>
      <c r="E958">
        <f>IF(N958="","",INDEX(Equipamentos!$C$2:$C$61,N958))</f>
        <v/>
      </c>
      <c r="F958" s="57">
        <f>IF(OR(D958="",N(Q958)&lt;=0),"",D958/Q958)</f>
        <v/>
      </c>
      <c r="G958" s="55" t="n"/>
      <c r="H958" s="58" t="n"/>
      <c r="I958" s="58" t="n"/>
      <c r="J958" s="55" t="n"/>
      <c r="K958" s="55" t="n"/>
      <c r="L958">
        <f>IF(OR(A958="",B958=""),"",_xlfn.MAXIFS(TrocasEquip!$A$2:$A$1000,TrocasEquip!$B$2:$B$1000,B958,TrocasEquip!$A$2:$A$1000,"&lt;"&amp;A958))</f>
        <v/>
      </c>
      <c r="M958">
        <f>IF(N(L958)=0,0,MATCH(1,INDEX((TrocasEquip!$B$2:$B$1000=B958)*(TrocasEquip!$A$2:$A$1000=L958),0),0))</f>
        <v/>
      </c>
      <c r="N958">
        <f>IF(B958="","",IFERROR(MATCH(B958,Equipamentos!$P$2:$P$61,0),""))</f>
        <v/>
      </c>
      <c r="O958">
        <f>IF(N958="","",IF(M958=0,INDEX(Equipamentos!$U$2:$U$61,N958),L958))</f>
        <v/>
      </c>
      <c r="P958">
        <f>IF(N958="","",IF(M958=0,N(INDEX(Equipamentos!$V$2:$V$61,N958)),N(INDEX(TrocasEquip!$I$2:$I$1000,M958))))</f>
        <v/>
      </c>
      <c r="Q958">
        <f>IF(N958="","",IF(M958=0,INDEX(Equipamentos!$T$2:$T$61,N958),IF(INDEX(TrocasEquip!$H$2:$H$1000,M958)="",INDEX(Equipamentos!$T$2:$T$61,N958),INDEX(TrocasEquip!$H$2:$H$1000,M958))))</f>
        <v/>
      </c>
    </row>
    <row r="959">
      <c r="A959" s="54" t="n"/>
      <c r="B959" s="55" t="n"/>
      <c r="C959">
        <f>IF(B959="","",IF(N959="","posição não encontrada",IF(M959=0,INDEX(Equipamentos!$S$2:$S$61,N959),INDEX(TrocasEquip!$G$2:$G$1000,M959))))</f>
        <v/>
      </c>
      <c r="D959" s="56">
        <f>IF(OR(A959="",N959=""),"",P959+IF(E959="dias",MAX(0,A959-O959),IF(INDEX(Equipamentos!$D$2:$D$61,N959)=2,SUMIFS(Producao!$D:$D,Producao!$A:$A,"&gt;="&amp;O959,Producao!$A:$A,"&lt;"&amp;A959),IF(INDEX(Equipamentos!$D$2:$D$61,N959)=3,SUMIFS(Producao!$E:$E,Producao!$A:$A,"&gt;="&amp;O959,Producao!$A:$A,"&lt;"&amp;A959),SUMIFS(Producao!$B:$B,Producao!$A:$A,"&gt;="&amp;O959,Producao!$A:$A,"&lt;"&amp;A959)))))</f>
        <v/>
      </c>
      <c r="E959">
        <f>IF(N959="","",INDEX(Equipamentos!$C$2:$C$61,N959))</f>
        <v/>
      </c>
      <c r="F959" s="57">
        <f>IF(OR(D959="",N(Q959)&lt;=0),"",D959/Q959)</f>
        <v/>
      </c>
      <c r="G959" s="55" t="n"/>
      <c r="H959" s="58" t="n"/>
      <c r="I959" s="58" t="n"/>
      <c r="J959" s="55" t="n"/>
      <c r="K959" s="55" t="n"/>
      <c r="L959">
        <f>IF(OR(A959="",B959=""),"",_xlfn.MAXIFS(TrocasEquip!$A$2:$A$1000,TrocasEquip!$B$2:$B$1000,B959,TrocasEquip!$A$2:$A$1000,"&lt;"&amp;A959))</f>
        <v/>
      </c>
      <c r="M959">
        <f>IF(N(L959)=0,0,MATCH(1,INDEX((TrocasEquip!$B$2:$B$1000=B959)*(TrocasEquip!$A$2:$A$1000=L959),0),0))</f>
        <v/>
      </c>
      <c r="N959">
        <f>IF(B959="","",IFERROR(MATCH(B959,Equipamentos!$P$2:$P$61,0),""))</f>
        <v/>
      </c>
      <c r="O959">
        <f>IF(N959="","",IF(M959=0,INDEX(Equipamentos!$U$2:$U$61,N959),L959))</f>
        <v/>
      </c>
      <c r="P959">
        <f>IF(N959="","",IF(M959=0,N(INDEX(Equipamentos!$V$2:$V$61,N959)),N(INDEX(TrocasEquip!$I$2:$I$1000,M959))))</f>
        <v/>
      </c>
      <c r="Q959">
        <f>IF(N959="","",IF(M959=0,INDEX(Equipamentos!$T$2:$T$61,N959),IF(INDEX(TrocasEquip!$H$2:$H$1000,M959)="",INDEX(Equipamentos!$T$2:$T$61,N959),INDEX(TrocasEquip!$H$2:$H$1000,M959))))</f>
        <v/>
      </c>
    </row>
    <row r="960">
      <c r="A960" s="54" t="n"/>
      <c r="B960" s="55" t="n"/>
      <c r="C960">
        <f>IF(B960="","",IF(N960="","posição não encontrada",IF(M960=0,INDEX(Equipamentos!$S$2:$S$61,N960),INDEX(TrocasEquip!$G$2:$G$1000,M960))))</f>
        <v/>
      </c>
      <c r="D960" s="56">
        <f>IF(OR(A960="",N960=""),"",P960+IF(E960="dias",MAX(0,A960-O960),IF(INDEX(Equipamentos!$D$2:$D$61,N960)=2,SUMIFS(Producao!$D:$D,Producao!$A:$A,"&gt;="&amp;O960,Producao!$A:$A,"&lt;"&amp;A960),IF(INDEX(Equipamentos!$D$2:$D$61,N960)=3,SUMIFS(Producao!$E:$E,Producao!$A:$A,"&gt;="&amp;O960,Producao!$A:$A,"&lt;"&amp;A960),SUMIFS(Producao!$B:$B,Producao!$A:$A,"&gt;="&amp;O960,Producao!$A:$A,"&lt;"&amp;A960)))))</f>
        <v/>
      </c>
      <c r="E960">
        <f>IF(N960="","",INDEX(Equipamentos!$C$2:$C$61,N960))</f>
        <v/>
      </c>
      <c r="F960" s="57">
        <f>IF(OR(D960="",N(Q960)&lt;=0),"",D960/Q960)</f>
        <v/>
      </c>
      <c r="G960" s="55" t="n"/>
      <c r="H960" s="58" t="n"/>
      <c r="I960" s="58" t="n"/>
      <c r="J960" s="55" t="n"/>
      <c r="K960" s="55" t="n"/>
      <c r="L960">
        <f>IF(OR(A960="",B960=""),"",_xlfn.MAXIFS(TrocasEquip!$A$2:$A$1000,TrocasEquip!$B$2:$B$1000,B960,TrocasEquip!$A$2:$A$1000,"&lt;"&amp;A960))</f>
        <v/>
      </c>
      <c r="M960">
        <f>IF(N(L960)=0,0,MATCH(1,INDEX((TrocasEquip!$B$2:$B$1000=B960)*(TrocasEquip!$A$2:$A$1000=L960),0),0))</f>
        <v/>
      </c>
      <c r="N960">
        <f>IF(B960="","",IFERROR(MATCH(B960,Equipamentos!$P$2:$P$61,0),""))</f>
        <v/>
      </c>
      <c r="O960">
        <f>IF(N960="","",IF(M960=0,INDEX(Equipamentos!$U$2:$U$61,N960),L960))</f>
        <v/>
      </c>
      <c r="P960">
        <f>IF(N960="","",IF(M960=0,N(INDEX(Equipamentos!$V$2:$V$61,N960)),N(INDEX(TrocasEquip!$I$2:$I$1000,M960))))</f>
        <v/>
      </c>
      <c r="Q960">
        <f>IF(N960="","",IF(M960=0,INDEX(Equipamentos!$T$2:$T$61,N960),IF(INDEX(TrocasEquip!$H$2:$H$1000,M960)="",INDEX(Equipamentos!$T$2:$T$61,N960),INDEX(TrocasEquip!$H$2:$H$1000,M960))))</f>
        <v/>
      </c>
    </row>
    <row r="961">
      <c r="A961" s="54" t="n"/>
      <c r="B961" s="55" t="n"/>
      <c r="C961">
        <f>IF(B961="","",IF(N961="","posição não encontrada",IF(M961=0,INDEX(Equipamentos!$S$2:$S$61,N961),INDEX(TrocasEquip!$G$2:$G$1000,M961))))</f>
        <v/>
      </c>
      <c r="D961" s="56">
        <f>IF(OR(A961="",N961=""),"",P961+IF(E961="dias",MAX(0,A961-O961),IF(INDEX(Equipamentos!$D$2:$D$61,N961)=2,SUMIFS(Producao!$D:$D,Producao!$A:$A,"&gt;="&amp;O961,Producao!$A:$A,"&lt;"&amp;A961),IF(INDEX(Equipamentos!$D$2:$D$61,N961)=3,SUMIFS(Producao!$E:$E,Producao!$A:$A,"&gt;="&amp;O961,Producao!$A:$A,"&lt;"&amp;A961),SUMIFS(Producao!$B:$B,Producao!$A:$A,"&gt;="&amp;O961,Producao!$A:$A,"&lt;"&amp;A961)))))</f>
        <v/>
      </c>
      <c r="E961">
        <f>IF(N961="","",INDEX(Equipamentos!$C$2:$C$61,N961))</f>
        <v/>
      </c>
      <c r="F961" s="57">
        <f>IF(OR(D961="",N(Q961)&lt;=0),"",D961/Q961)</f>
        <v/>
      </c>
      <c r="G961" s="55" t="n"/>
      <c r="H961" s="58" t="n"/>
      <c r="I961" s="58" t="n"/>
      <c r="J961" s="55" t="n"/>
      <c r="K961" s="55" t="n"/>
      <c r="L961">
        <f>IF(OR(A961="",B961=""),"",_xlfn.MAXIFS(TrocasEquip!$A$2:$A$1000,TrocasEquip!$B$2:$B$1000,B961,TrocasEquip!$A$2:$A$1000,"&lt;"&amp;A961))</f>
        <v/>
      </c>
      <c r="M961">
        <f>IF(N(L961)=0,0,MATCH(1,INDEX((TrocasEquip!$B$2:$B$1000=B961)*(TrocasEquip!$A$2:$A$1000=L961),0),0))</f>
        <v/>
      </c>
      <c r="N961">
        <f>IF(B961="","",IFERROR(MATCH(B961,Equipamentos!$P$2:$P$61,0),""))</f>
        <v/>
      </c>
      <c r="O961">
        <f>IF(N961="","",IF(M961=0,INDEX(Equipamentos!$U$2:$U$61,N961),L961))</f>
        <v/>
      </c>
      <c r="P961">
        <f>IF(N961="","",IF(M961=0,N(INDEX(Equipamentos!$V$2:$V$61,N961)),N(INDEX(TrocasEquip!$I$2:$I$1000,M961))))</f>
        <v/>
      </c>
      <c r="Q961">
        <f>IF(N961="","",IF(M961=0,INDEX(Equipamentos!$T$2:$T$61,N961),IF(INDEX(TrocasEquip!$H$2:$H$1000,M961)="",INDEX(Equipamentos!$T$2:$T$61,N961),INDEX(TrocasEquip!$H$2:$H$1000,M961))))</f>
        <v/>
      </c>
    </row>
    <row r="962">
      <c r="A962" s="54" t="n"/>
      <c r="B962" s="55" t="n"/>
      <c r="C962">
        <f>IF(B962="","",IF(N962="","posição não encontrada",IF(M962=0,INDEX(Equipamentos!$S$2:$S$61,N962),INDEX(TrocasEquip!$G$2:$G$1000,M962))))</f>
        <v/>
      </c>
      <c r="D962" s="56">
        <f>IF(OR(A962="",N962=""),"",P962+IF(E962="dias",MAX(0,A962-O962),IF(INDEX(Equipamentos!$D$2:$D$61,N962)=2,SUMIFS(Producao!$D:$D,Producao!$A:$A,"&gt;="&amp;O962,Producao!$A:$A,"&lt;"&amp;A962),IF(INDEX(Equipamentos!$D$2:$D$61,N962)=3,SUMIFS(Producao!$E:$E,Producao!$A:$A,"&gt;="&amp;O962,Producao!$A:$A,"&lt;"&amp;A962),SUMIFS(Producao!$B:$B,Producao!$A:$A,"&gt;="&amp;O962,Producao!$A:$A,"&lt;"&amp;A962)))))</f>
        <v/>
      </c>
      <c r="E962">
        <f>IF(N962="","",INDEX(Equipamentos!$C$2:$C$61,N962))</f>
        <v/>
      </c>
      <c r="F962" s="57">
        <f>IF(OR(D962="",N(Q962)&lt;=0),"",D962/Q962)</f>
        <v/>
      </c>
      <c r="G962" s="55" t="n"/>
      <c r="H962" s="58" t="n"/>
      <c r="I962" s="58" t="n"/>
      <c r="J962" s="55" t="n"/>
      <c r="K962" s="55" t="n"/>
      <c r="L962">
        <f>IF(OR(A962="",B962=""),"",_xlfn.MAXIFS(TrocasEquip!$A$2:$A$1000,TrocasEquip!$B$2:$B$1000,B962,TrocasEquip!$A$2:$A$1000,"&lt;"&amp;A962))</f>
        <v/>
      </c>
      <c r="M962">
        <f>IF(N(L962)=0,0,MATCH(1,INDEX((TrocasEquip!$B$2:$B$1000=B962)*(TrocasEquip!$A$2:$A$1000=L962),0),0))</f>
        <v/>
      </c>
      <c r="N962">
        <f>IF(B962="","",IFERROR(MATCH(B962,Equipamentos!$P$2:$P$61,0),""))</f>
        <v/>
      </c>
      <c r="O962">
        <f>IF(N962="","",IF(M962=0,INDEX(Equipamentos!$U$2:$U$61,N962),L962))</f>
        <v/>
      </c>
      <c r="P962">
        <f>IF(N962="","",IF(M962=0,N(INDEX(Equipamentos!$V$2:$V$61,N962)),N(INDEX(TrocasEquip!$I$2:$I$1000,M962))))</f>
        <v/>
      </c>
      <c r="Q962">
        <f>IF(N962="","",IF(M962=0,INDEX(Equipamentos!$T$2:$T$61,N962),IF(INDEX(TrocasEquip!$H$2:$H$1000,M962)="",INDEX(Equipamentos!$T$2:$T$61,N962),INDEX(TrocasEquip!$H$2:$H$1000,M962))))</f>
        <v/>
      </c>
    </row>
    <row r="963">
      <c r="A963" s="54" t="n"/>
      <c r="B963" s="55" t="n"/>
      <c r="C963">
        <f>IF(B963="","",IF(N963="","posição não encontrada",IF(M963=0,INDEX(Equipamentos!$S$2:$S$61,N963),INDEX(TrocasEquip!$G$2:$G$1000,M963))))</f>
        <v/>
      </c>
      <c r="D963" s="56">
        <f>IF(OR(A963="",N963=""),"",P963+IF(E963="dias",MAX(0,A963-O963),IF(INDEX(Equipamentos!$D$2:$D$61,N963)=2,SUMIFS(Producao!$D:$D,Producao!$A:$A,"&gt;="&amp;O963,Producao!$A:$A,"&lt;"&amp;A963),IF(INDEX(Equipamentos!$D$2:$D$61,N963)=3,SUMIFS(Producao!$E:$E,Producao!$A:$A,"&gt;="&amp;O963,Producao!$A:$A,"&lt;"&amp;A963),SUMIFS(Producao!$B:$B,Producao!$A:$A,"&gt;="&amp;O963,Producao!$A:$A,"&lt;"&amp;A963)))))</f>
        <v/>
      </c>
      <c r="E963">
        <f>IF(N963="","",INDEX(Equipamentos!$C$2:$C$61,N963))</f>
        <v/>
      </c>
      <c r="F963" s="57">
        <f>IF(OR(D963="",N(Q963)&lt;=0),"",D963/Q963)</f>
        <v/>
      </c>
      <c r="G963" s="55" t="n"/>
      <c r="H963" s="58" t="n"/>
      <c r="I963" s="58" t="n"/>
      <c r="J963" s="55" t="n"/>
      <c r="K963" s="55" t="n"/>
      <c r="L963">
        <f>IF(OR(A963="",B963=""),"",_xlfn.MAXIFS(TrocasEquip!$A$2:$A$1000,TrocasEquip!$B$2:$B$1000,B963,TrocasEquip!$A$2:$A$1000,"&lt;"&amp;A963))</f>
        <v/>
      </c>
      <c r="M963">
        <f>IF(N(L963)=0,0,MATCH(1,INDEX((TrocasEquip!$B$2:$B$1000=B963)*(TrocasEquip!$A$2:$A$1000=L963),0),0))</f>
        <v/>
      </c>
      <c r="N963">
        <f>IF(B963="","",IFERROR(MATCH(B963,Equipamentos!$P$2:$P$61,0),""))</f>
        <v/>
      </c>
      <c r="O963">
        <f>IF(N963="","",IF(M963=0,INDEX(Equipamentos!$U$2:$U$61,N963),L963))</f>
        <v/>
      </c>
      <c r="P963">
        <f>IF(N963="","",IF(M963=0,N(INDEX(Equipamentos!$V$2:$V$61,N963)),N(INDEX(TrocasEquip!$I$2:$I$1000,M963))))</f>
        <v/>
      </c>
      <c r="Q963">
        <f>IF(N963="","",IF(M963=0,INDEX(Equipamentos!$T$2:$T$61,N963),IF(INDEX(TrocasEquip!$H$2:$H$1000,M963)="",INDEX(Equipamentos!$T$2:$T$61,N963),INDEX(TrocasEquip!$H$2:$H$1000,M963))))</f>
        <v/>
      </c>
    </row>
    <row r="964">
      <c r="A964" s="54" t="n"/>
      <c r="B964" s="55" t="n"/>
      <c r="C964">
        <f>IF(B964="","",IF(N964="","posição não encontrada",IF(M964=0,INDEX(Equipamentos!$S$2:$S$61,N964),INDEX(TrocasEquip!$G$2:$G$1000,M964))))</f>
        <v/>
      </c>
      <c r="D964" s="56">
        <f>IF(OR(A964="",N964=""),"",P964+IF(E964="dias",MAX(0,A964-O964),IF(INDEX(Equipamentos!$D$2:$D$61,N964)=2,SUMIFS(Producao!$D:$D,Producao!$A:$A,"&gt;="&amp;O964,Producao!$A:$A,"&lt;"&amp;A964),IF(INDEX(Equipamentos!$D$2:$D$61,N964)=3,SUMIFS(Producao!$E:$E,Producao!$A:$A,"&gt;="&amp;O964,Producao!$A:$A,"&lt;"&amp;A964),SUMIFS(Producao!$B:$B,Producao!$A:$A,"&gt;="&amp;O964,Producao!$A:$A,"&lt;"&amp;A964)))))</f>
        <v/>
      </c>
      <c r="E964">
        <f>IF(N964="","",INDEX(Equipamentos!$C$2:$C$61,N964))</f>
        <v/>
      </c>
      <c r="F964" s="57">
        <f>IF(OR(D964="",N(Q964)&lt;=0),"",D964/Q964)</f>
        <v/>
      </c>
      <c r="G964" s="55" t="n"/>
      <c r="H964" s="58" t="n"/>
      <c r="I964" s="58" t="n"/>
      <c r="J964" s="55" t="n"/>
      <c r="K964" s="55" t="n"/>
      <c r="L964">
        <f>IF(OR(A964="",B964=""),"",_xlfn.MAXIFS(TrocasEquip!$A$2:$A$1000,TrocasEquip!$B$2:$B$1000,B964,TrocasEquip!$A$2:$A$1000,"&lt;"&amp;A964))</f>
        <v/>
      </c>
      <c r="M964">
        <f>IF(N(L964)=0,0,MATCH(1,INDEX((TrocasEquip!$B$2:$B$1000=B964)*(TrocasEquip!$A$2:$A$1000=L964),0),0))</f>
        <v/>
      </c>
      <c r="N964">
        <f>IF(B964="","",IFERROR(MATCH(B964,Equipamentos!$P$2:$P$61,0),""))</f>
        <v/>
      </c>
      <c r="O964">
        <f>IF(N964="","",IF(M964=0,INDEX(Equipamentos!$U$2:$U$61,N964),L964))</f>
        <v/>
      </c>
      <c r="P964">
        <f>IF(N964="","",IF(M964=0,N(INDEX(Equipamentos!$V$2:$V$61,N964)),N(INDEX(TrocasEquip!$I$2:$I$1000,M964))))</f>
        <v/>
      </c>
      <c r="Q964">
        <f>IF(N964="","",IF(M964=0,INDEX(Equipamentos!$T$2:$T$61,N964),IF(INDEX(TrocasEquip!$H$2:$H$1000,M964)="",INDEX(Equipamentos!$T$2:$T$61,N964),INDEX(TrocasEquip!$H$2:$H$1000,M964))))</f>
        <v/>
      </c>
    </row>
    <row r="965">
      <c r="A965" s="54" t="n"/>
      <c r="B965" s="55" t="n"/>
      <c r="C965">
        <f>IF(B965="","",IF(N965="","posição não encontrada",IF(M965=0,INDEX(Equipamentos!$S$2:$S$61,N965),INDEX(TrocasEquip!$G$2:$G$1000,M965))))</f>
        <v/>
      </c>
      <c r="D965" s="56">
        <f>IF(OR(A965="",N965=""),"",P965+IF(E965="dias",MAX(0,A965-O965),IF(INDEX(Equipamentos!$D$2:$D$61,N965)=2,SUMIFS(Producao!$D:$D,Producao!$A:$A,"&gt;="&amp;O965,Producao!$A:$A,"&lt;"&amp;A965),IF(INDEX(Equipamentos!$D$2:$D$61,N965)=3,SUMIFS(Producao!$E:$E,Producao!$A:$A,"&gt;="&amp;O965,Producao!$A:$A,"&lt;"&amp;A965),SUMIFS(Producao!$B:$B,Producao!$A:$A,"&gt;="&amp;O965,Producao!$A:$A,"&lt;"&amp;A965)))))</f>
        <v/>
      </c>
      <c r="E965">
        <f>IF(N965="","",INDEX(Equipamentos!$C$2:$C$61,N965))</f>
        <v/>
      </c>
      <c r="F965" s="57">
        <f>IF(OR(D965="",N(Q965)&lt;=0),"",D965/Q965)</f>
        <v/>
      </c>
      <c r="G965" s="55" t="n"/>
      <c r="H965" s="58" t="n"/>
      <c r="I965" s="58" t="n"/>
      <c r="J965" s="55" t="n"/>
      <c r="K965" s="55" t="n"/>
      <c r="L965">
        <f>IF(OR(A965="",B965=""),"",_xlfn.MAXIFS(TrocasEquip!$A$2:$A$1000,TrocasEquip!$B$2:$B$1000,B965,TrocasEquip!$A$2:$A$1000,"&lt;"&amp;A965))</f>
        <v/>
      </c>
      <c r="M965">
        <f>IF(N(L965)=0,0,MATCH(1,INDEX((TrocasEquip!$B$2:$B$1000=B965)*(TrocasEquip!$A$2:$A$1000=L965),0),0))</f>
        <v/>
      </c>
      <c r="N965">
        <f>IF(B965="","",IFERROR(MATCH(B965,Equipamentos!$P$2:$P$61,0),""))</f>
        <v/>
      </c>
      <c r="O965">
        <f>IF(N965="","",IF(M965=0,INDEX(Equipamentos!$U$2:$U$61,N965),L965))</f>
        <v/>
      </c>
      <c r="P965">
        <f>IF(N965="","",IF(M965=0,N(INDEX(Equipamentos!$V$2:$V$61,N965)),N(INDEX(TrocasEquip!$I$2:$I$1000,M965))))</f>
        <v/>
      </c>
      <c r="Q965">
        <f>IF(N965="","",IF(M965=0,INDEX(Equipamentos!$T$2:$T$61,N965),IF(INDEX(TrocasEquip!$H$2:$H$1000,M965)="",INDEX(Equipamentos!$T$2:$T$61,N965),INDEX(TrocasEquip!$H$2:$H$1000,M965))))</f>
        <v/>
      </c>
    </row>
    <row r="966">
      <c r="A966" s="54" t="n"/>
      <c r="B966" s="55" t="n"/>
      <c r="C966">
        <f>IF(B966="","",IF(N966="","posição não encontrada",IF(M966=0,INDEX(Equipamentos!$S$2:$S$61,N966),INDEX(TrocasEquip!$G$2:$G$1000,M966))))</f>
        <v/>
      </c>
      <c r="D966" s="56">
        <f>IF(OR(A966="",N966=""),"",P966+IF(E966="dias",MAX(0,A966-O966),IF(INDEX(Equipamentos!$D$2:$D$61,N966)=2,SUMIFS(Producao!$D:$D,Producao!$A:$A,"&gt;="&amp;O966,Producao!$A:$A,"&lt;"&amp;A966),IF(INDEX(Equipamentos!$D$2:$D$61,N966)=3,SUMIFS(Producao!$E:$E,Producao!$A:$A,"&gt;="&amp;O966,Producao!$A:$A,"&lt;"&amp;A966),SUMIFS(Producao!$B:$B,Producao!$A:$A,"&gt;="&amp;O966,Producao!$A:$A,"&lt;"&amp;A966)))))</f>
        <v/>
      </c>
      <c r="E966">
        <f>IF(N966="","",INDEX(Equipamentos!$C$2:$C$61,N966))</f>
        <v/>
      </c>
      <c r="F966" s="57">
        <f>IF(OR(D966="",N(Q966)&lt;=0),"",D966/Q966)</f>
        <v/>
      </c>
      <c r="G966" s="55" t="n"/>
      <c r="H966" s="58" t="n"/>
      <c r="I966" s="58" t="n"/>
      <c r="J966" s="55" t="n"/>
      <c r="K966" s="55" t="n"/>
      <c r="L966">
        <f>IF(OR(A966="",B966=""),"",_xlfn.MAXIFS(TrocasEquip!$A$2:$A$1000,TrocasEquip!$B$2:$B$1000,B966,TrocasEquip!$A$2:$A$1000,"&lt;"&amp;A966))</f>
        <v/>
      </c>
      <c r="M966">
        <f>IF(N(L966)=0,0,MATCH(1,INDEX((TrocasEquip!$B$2:$B$1000=B966)*(TrocasEquip!$A$2:$A$1000=L966),0),0))</f>
        <v/>
      </c>
      <c r="N966">
        <f>IF(B966="","",IFERROR(MATCH(B966,Equipamentos!$P$2:$P$61,0),""))</f>
        <v/>
      </c>
      <c r="O966">
        <f>IF(N966="","",IF(M966=0,INDEX(Equipamentos!$U$2:$U$61,N966),L966))</f>
        <v/>
      </c>
      <c r="P966">
        <f>IF(N966="","",IF(M966=0,N(INDEX(Equipamentos!$V$2:$V$61,N966)),N(INDEX(TrocasEquip!$I$2:$I$1000,M966))))</f>
        <v/>
      </c>
      <c r="Q966">
        <f>IF(N966="","",IF(M966=0,INDEX(Equipamentos!$T$2:$T$61,N966),IF(INDEX(TrocasEquip!$H$2:$H$1000,M966)="",INDEX(Equipamentos!$T$2:$T$61,N966),INDEX(TrocasEquip!$H$2:$H$1000,M966))))</f>
        <v/>
      </c>
    </row>
    <row r="967">
      <c r="A967" s="54" t="n"/>
      <c r="B967" s="55" t="n"/>
      <c r="C967">
        <f>IF(B967="","",IF(N967="","posição não encontrada",IF(M967=0,INDEX(Equipamentos!$S$2:$S$61,N967),INDEX(TrocasEquip!$G$2:$G$1000,M967))))</f>
        <v/>
      </c>
      <c r="D967" s="56">
        <f>IF(OR(A967="",N967=""),"",P967+IF(E967="dias",MAX(0,A967-O967),IF(INDEX(Equipamentos!$D$2:$D$61,N967)=2,SUMIFS(Producao!$D:$D,Producao!$A:$A,"&gt;="&amp;O967,Producao!$A:$A,"&lt;"&amp;A967),IF(INDEX(Equipamentos!$D$2:$D$61,N967)=3,SUMIFS(Producao!$E:$E,Producao!$A:$A,"&gt;="&amp;O967,Producao!$A:$A,"&lt;"&amp;A967),SUMIFS(Producao!$B:$B,Producao!$A:$A,"&gt;="&amp;O967,Producao!$A:$A,"&lt;"&amp;A967)))))</f>
        <v/>
      </c>
      <c r="E967">
        <f>IF(N967="","",INDEX(Equipamentos!$C$2:$C$61,N967))</f>
        <v/>
      </c>
      <c r="F967" s="57">
        <f>IF(OR(D967="",N(Q967)&lt;=0),"",D967/Q967)</f>
        <v/>
      </c>
      <c r="G967" s="55" t="n"/>
      <c r="H967" s="58" t="n"/>
      <c r="I967" s="58" t="n"/>
      <c r="J967" s="55" t="n"/>
      <c r="K967" s="55" t="n"/>
      <c r="L967">
        <f>IF(OR(A967="",B967=""),"",_xlfn.MAXIFS(TrocasEquip!$A$2:$A$1000,TrocasEquip!$B$2:$B$1000,B967,TrocasEquip!$A$2:$A$1000,"&lt;"&amp;A967))</f>
        <v/>
      </c>
      <c r="M967">
        <f>IF(N(L967)=0,0,MATCH(1,INDEX((TrocasEquip!$B$2:$B$1000=B967)*(TrocasEquip!$A$2:$A$1000=L967),0),0))</f>
        <v/>
      </c>
      <c r="N967">
        <f>IF(B967="","",IFERROR(MATCH(B967,Equipamentos!$P$2:$P$61,0),""))</f>
        <v/>
      </c>
      <c r="O967">
        <f>IF(N967="","",IF(M967=0,INDEX(Equipamentos!$U$2:$U$61,N967),L967))</f>
        <v/>
      </c>
      <c r="P967">
        <f>IF(N967="","",IF(M967=0,N(INDEX(Equipamentos!$V$2:$V$61,N967)),N(INDEX(TrocasEquip!$I$2:$I$1000,M967))))</f>
        <v/>
      </c>
      <c r="Q967">
        <f>IF(N967="","",IF(M967=0,INDEX(Equipamentos!$T$2:$T$61,N967),IF(INDEX(TrocasEquip!$H$2:$H$1000,M967)="",INDEX(Equipamentos!$T$2:$T$61,N967),INDEX(TrocasEquip!$H$2:$H$1000,M967))))</f>
        <v/>
      </c>
    </row>
    <row r="968">
      <c r="A968" s="54" t="n"/>
      <c r="B968" s="55" t="n"/>
      <c r="C968">
        <f>IF(B968="","",IF(N968="","posição não encontrada",IF(M968=0,INDEX(Equipamentos!$S$2:$S$61,N968),INDEX(TrocasEquip!$G$2:$G$1000,M968))))</f>
        <v/>
      </c>
      <c r="D968" s="56">
        <f>IF(OR(A968="",N968=""),"",P968+IF(E968="dias",MAX(0,A968-O968),IF(INDEX(Equipamentos!$D$2:$D$61,N968)=2,SUMIFS(Producao!$D:$D,Producao!$A:$A,"&gt;="&amp;O968,Producao!$A:$A,"&lt;"&amp;A968),IF(INDEX(Equipamentos!$D$2:$D$61,N968)=3,SUMIFS(Producao!$E:$E,Producao!$A:$A,"&gt;="&amp;O968,Producao!$A:$A,"&lt;"&amp;A968),SUMIFS(Producao!$B:$B,Producao!$A:$A,"&gt;="&amp;O968,Producao!$A:$A,"&lt;"&amp;A968)))))</f>
        <v/>
      </c>
      <c r="E968">
        <f>IF(N968="","",INDEX(Equipamentos!$C$2:$C$61,N968))</f>
        <v/>
      </c>
      <c r="F968" s="57">
        <f>IF(OR(D968="",N(Q968)&lt;=0),"",D968/Q968)</f>
        <v/>
      </c>
      <c r="G968" s="55" t="n"/>
      <c r="H968" s="58" t="n"/>
      <c r="I968" s="58" t="n"/>
      <c r="J968" s="55" t="n"/>
      <c r="K968" s="55" t="n"/>
      <c r="L968">
        <f>IF(OR(A968="",B968=""),"",_xlfn.MAXIFS(TrocasEquip!$A$2:$A$1000,TrocasEquip!$B$2:$B$1000,B968,TrocasEquip!$A$2:$A$1000,"&lt;"&amp;A968))</f>
        <v/>
      </c>
      <c r="M968">
        <f>IF(N(L968)=0,0,MATCH(1,INDEX((TrocasEquip!$B$2:$B$1000=B968)*(TrocasEquip!$A$2:$A$1000=L968),0),0))</f>
        <v/>
      </c>
      <c r="N968">
        <f>IF(B968="","",IFERROR(MATCH(B968,Equipamentos!$P$2:$P$61,0),""))</f>
        <v/>
      </c>
      <c r="O968">
        <f>IF(N968="","",IF(M968=0,INDEX(Equipamentos!$U$2:$U$61,N968),L968))</f>
        <v/>
      </c>
      <c r="P968">
        <f>IF(N968="","",IF(M968=0,N(INDEX(Equipamentos!$V$2:$V$61,N968)),N(INDEX(TrocasEquip!$I$2:$I$1000,M968))))</f>
        <v/>
      </c>
      <c r="Q968">
        <f>IF(N968="","",IF(M968=0,INDEX(Equipamentos!$T$2:$T$61,N968),IF(INDEX(TrocasEquip!$H$2:$H$1000,M968)="",INDEX(Equipamentos!$T$2:$T$61,N968),INDEX(TrocasEquip!$H$2:$H$1000,M968))))</f>
        <v/>
      </c>
    </row>
    <row r="969">
      <c r="A969" s="54" t="n"/>
      <c r="B969" s="55" t="n"/>
      <c r="C969">
        <f>IF(B969="","",IF(N969="","posição não encontrada",IF(M969=0,INDEX(Equipamentos!$S$2:$S$61,N969),INDEX(TrocasEquip!$G$2:$G$1000,M969))))</f>
        <v/>
      </c>
      <c r="D969" s="56">
        <f>IF(OR(A969="",N969=""),"",P969+IF(E969="dias",MAX(0,A969-O969),IF(INDEX(Equipamentos!$D$2:$D$61,N969)=2,SUMIFS(Producao!$D:$D,Producao!$A:$A,"&gt;="&amp;O969,Producao!$A:$A,"&lt;"&amp;A969),IF(INDEX(Equipamentos!$D$2:$D$61,N969)=3,SUMIFS(Producao!$E:$E,Producao!$A:$A,"&gt;="&amp;O969,Producao!$A:$A,"&lt;"&amp;A969),SUMIFS(Producao!$B:$B,Producao!$A:$A,"&gt;="&amp;O969,Producao!$A:$A,"&lt;"&amp;A969)))))</f>
        <v/>
      </c>
      <c r="E969">
        <f>IF(N969="","",INDEX(Equipamentos!$C$2:$C$61,N969))</f>
        <v/>
      </c>
      <c r="F969" s="57">
        <f>IF(OR(D969="",N(Q969)&lt;=0),"",D969/Q969)</f>
        <v/>
      </c>
      <c r="G969" s="55" t="n"/>
      <c r="H969" s="58" t="n"/>
      <c r="I969" s="58" t="n"/>
      <c r="J969" s="55" t="n"/>
      <c r="K969" s="55" t="n"/>
      <c r="L969">
        <f>IF(OR(A969="",B969=""),"",_xlfn.MAXIFS(TrocasEquip!$A$2:$A$1000,TrocasEquip!$B$2:$B$1000,B969,TrocasEquip!$A$2:$A$1000,"&lt;"&amp;A969))</f>
        <v/>
      </c>
      <c r="M969">
        <f>IF(N(L969)=0,0,MATCH(1,INDEX((TrocasEquip!$B$2:$B$1000=B969)*(TrocasEquip!$A$2:$A$1000=L969),0),0))</f>
        <v/>
      </c>
      <c r="N969">
        <f>IF(B969="","",IFERROR(MATCH(B969,Equipamentos!$P$2:$P$61,0),""))</f>
        <v/>
      </c>
      <c r="O969">
        <f>IF(N969="","",IF(M969=0,INDEX(Equipamentos!$U$2:$U$61,N969),L969))</f>
        <v/>
      </c>
      <c r="P969">
        <f>IF(N969="","",IF(M969=0,N(INDEX(Equipamentos!$V$2:$V$61,N969)),N(INDEX(TrocasEquip!$I$2:$I$1000,M969))))</f>
        <v/>
      </c>
      <c r="Q969">
        <f>IF(N969="","",IF(M969=0,INDEX(Equipamentos!$T$2:$T$61,N969),IF(INDEX(TrocasEquip!$H$2:$H$1000,M969)="",INDEX(Equipamentos!$T$2:$T$61,N969),INDEX(TrocasEquip!$H$2:$H$1000,M969))))</f>
        <v/>
      </c>
    </row>
    <row r="970">
      <c r="A970" s="54" t="n"/>
      <c r="B970" s="55" t="n"/>
      <c r="C970">
        <f>IF(B970="","",IF(N970="","posição não encontrada",IF(M970=0,INDEX(Equipamentos!$S$2:$S$61,N970),INDEX(TrocasEquip!$G$2:$G$1000,M970))))</f>
        <v/>
      </c>
      <c r="D970" s="56">
        <f>IF(OR(A970="",N970=""),"",P970+IF(E970="dias",MAX(0,A970-O970),IF(INDEX(Equipamentos!$D$2:$D$61,N970)=2,SUMIFS(Producao!$D:$D,Producao!$A:$A,"&gt;="&amp;O970,Producao!$A:$A,"&lt;"&amp;A970),IF(INDEX(Equipamentos!$D$2:$D$61,N970)=3,SUMIFS(Producao!$E:$E,Producao!$A:$A,"&gt;="&amp;O970,Producao!$A:$A,"&lt;"&amp;A970),SUMIFS(Producao!$B:$B,Producao!$A:$A,"&gt;="&amp;O970,Producao!$A:$A,"&lt;"&amp;A970)))))</f>
        <v/>
      </c>
      <c r="E970">
        <f>IF(N970="","",INDEX(Equipamentos!$C$2:$C$61,N970))</f>
        <v/>
      </c>
      <c r="F970" s="57">
        <f>IF(OR(D970="",N(Q970)&lt;=0),"",D970/Q970)</f>
        <v/>
      </c>
      <c r="G970" s="55" t="n"/>
      <c r="H970" s="58" t="n"/>
      <c r="I970" s="58" t="n"/>
      <c r="J970" s="55" t="n"/>
      <c r="K970" s="55" t="n"/>
      <c r="L970">
        <f>IF(OR(A970="",B970=""),"",_xlfn.MAXIFS(TrocasEquip!$A$2:$A$1000,TrocasEquip!$B$2:$B$1000,B970,TrocasEquip!$A$2:$A$1000,"&lt;"&amp;A970))</f>
        <v/>
      </c>
      <c r="M970">
        <f>IF(N(L970)=0,0,MATCH(1,INDEX((TrocasEquip!$B$2:$B$1000=B970)*(TrocasEquip!$A$2:$A$1000=L970),0),0))</f>
        <v/>
      </c>
      <c r="N970">
        <f>IF(B970="","",IFERROR(MATCH(B970,Equipamentos!$P$2:$P$61,0),""))</f>
        <v/>
      </c>
      <c r="O970">
        <f>IF(N970="","",IF(M970=0,INDEX(Equipamentos!$U$2:$U$61,N970),L970))</f>
        <v/>
      </c>
      <c r="P970">
        <f>IF(N970="","",IF(M970=0,N(INDEX(Equipamentos!$V$2:$V$61,N970)),N(INDEX(TrocasEquip!$I$2:$I$1000,M970))))</f>
        <v/>
      </c>
      <c r="Q970">
        <f>IF(N970="","",IF(M970=0,INDEX(Equipamentos!$T$2:$T$61,N970),IF(INDEX(TrocasEquip!$H$2:$H$1000,M970)="",INDEX(Equipamentos!$T$2:$T$61,N970),INDEX(TrocasEquip!$H$2:$H$1000,M970))))</f>
        <v/>
      </c>
    </row>
    <row r="971">
      <c r="A971" s="54" t="n"/>
      <c r="B971" s="55" t="n"/>
      <c r="C971">
        <f>IF(B971="","",IF(N971="","posição não encontrada",IF(M971=0,INDEX(Equipamentos!$S$2:$S$61,N971),INDEX(TrocasEquip!$G$2:$G$1000,M971))))</f>
        <v/>
      </c>
      <c r="D971" s="56">
        <f>IF(OR(A971="",N971=""),"",P971+IF(E971="dias",MAX(0,A971-O971),IF(INDEX(Equipamentos!$D$2:$D$61,N971)=2,SUMIFS(Producao!$D:$D,Producao!$A:$A,"&gt;="&amp;O971,Producao!$A:$A,"&lt;"&amp;A971),IF(INDEX(Equipamentos!$D$2:$D$61,N971)=3,SUMIFS(Producao!$E:$E,Producao!$A:$A,"&gt;="&amp;O971,Producao!$A:$A,"&lt;"&amp;A971),SUMIFS(Producao!$B:$B,Producao!$A:$A,"&gt;="&amp;O971,Producao!$A:$A,"&lt;"&amp;A971)))))</f>
        <v/>
      </c>
      <c r="E971">
        <f>IF(N971="","",INDEX(Equipamentos!$C$2:$C$61,N971))</f>
        <v/>
      </c>
      <c r="F971" s="57">
        <f>IF(OR(D971="",N(Q971)&lt;=0),"",D971/Q971)</f>
        <v/>
      </c>
      <c r="G971" s="55" t="n"/>
      <c r="H971" s="58" t="n"/>
      <c r="I971" s="58" t="n"/>
      <c r="J971" s="55" t="n"/>
      <c r="K971" s="55" t="n"/>
      <c r="L971">
        <f>IF(OR(A971="",B971=""),"",_xlfn.MAXIFS(TrocasEquip!$A$2:$A$1000,TrocasEquip!$B$2:$B$1000,B971,TrocasEquip!$A$2:$A$1000,"&lt;"&amp;A971))</f>
        <v/>
      </c>
      <c r="M971">
        <f>IF(N(L971)=0,0,MATCH(1,INDEX((TrocasEquip!$B$2:$B$1000=B971)*(TrocasEquip!$A$2:$A$1000=L971),0),0))</f>
        <v/>
      </c>
      <c r="N971">
        <f>IF(B971="","",IFERROR(MATCH(B971,Equipamentos!$P$2:$P$61,0),""))</f>
        <v/>
      </c>
      <c r="O971">
        <f>IF(N971="","",IF(M971=0,INDEX(Equipamentos!$U$2:$U$61,N971),L971))</f>
        <v/>
      </c>
      <c r="P971">
        <f>IF(N971="","",IF(M971=0,N(INDEX(Equipamentos!$V$2:$V$61,N971)),N(INDEX(TrocasEquip!$I$2:$I$1000,M971))))</f>
        <v/>
      </c>
      <c r="Q971">
        <f>IF(N971="","",IF(M971=0,INDEX(Equipamentos!$T$2:$T$61,N971),IF(INDEX(TrocasEquip!$H$2:$H$1000,M971)="",INDEX(Equipamentos!$T$2:$T$61,N971),INDEX(TrocasEquip!$H$2:$H$1000,M971))))</f>
        <v/>
      </c>
    </row>
    <row r="972">
      <c r="A972" s="54" t="n"/>
      <c r="B972" s="55" t="n"/>
      <c r="C972">
        <f>IF(B972="","",IF(N972="","posição não encontrada",IF(M972=0,INDEX(Equipamentos!$S$2:$S$61,N972),INDEX(TrocasEquip!$G$2:$G$1000,M972))))</f>
        <v/>
      </c>
      <c r="D972" s="56">
        <f>IF(OR(A972="",N972=""),"",P972+IF(E972="dias",MAX(0,A972-O972),IF(INDEX(Equipamentos!$D$2:$D$61,N972)=2,SUMIFS(Producao!$D:$D,Producao!$A:$A,"&gt;="&amp;O972,Producao!$A:$A,"&lt;"&amp;A972),IF(INDEX(Equipamentos!$D$2:$D$61,N972)=3,SUMIFS(Producao!$E:$E,Producao!$A:$A,"&gt;="&amp;O972,Producao!$A:$A,"&lt;"&amp;A972),SUMIFS(Producao!$B:$B,Producao!$A:$A,"&gt;="&amp;O972,Producao!$A:$A,"&lt;"&amp;A972)))))</f>
        <v/>
      </c>
      <c r="E972">
        <f>IF(N972="","",INDEX(Equipamentos!$C$2:$C$61,N972))</f>
        <v/>
      </c>
      <c r="F972" s="57">
        <f>IF(OR(D972="",N(Q972)&lt;=0),"",D972/Q972)</f>
        <v/>
      </c>
      <c r="G972" s="55" t="n"/>
      <c r="H972" s="58" t="n"/>
      <c r="I972" s="58" t="n"/>
      <c r="J972" s="55" t="n"/>
      <c r="K972" s="55" t="n"/>
      <c r="L972">
        <f>IF(OR(A972="",B972=""),"",_xlfn.MAXIFS(TrocasEquip!$A$2:$A$1000,TrocasEquip!$B$2:$B$1000,B972,TrocasEquip!$A$2:$A$1000,"&lt;"&amp;A972))</f>
        <v/>
      </c>
      <c r="M972">
        <f>IF(N(L972)=0,0,MATCH(1,INDEX((TrocasEquip!$B$2:$B$1000=B972)*(TrocasEquip!$A$2:$A$1000=L972),0),0))</f>
        <v/>
      </c>
      <c r="N972">
        <f>IF(B972="","",IFERROR(MATCH(B972,Equipamentos!$P$2:$P$61,0),""))</f>
        <v/>
      </c>
      <c r="O972">
        <f>IF(N972="","",IF(M972=0,INDEX(Equipamentos!$U$2:$U$61,N972),L972))</f>
        <v/>
      </c>
      <c r="P972">
        <f>IF(N972="","",IF(M972=0,N(INDEX(Equipamentos!$V$2:$V$61,N972)),N(INDEX(TrocasEquip!$I$2:$I$1000,M972))))</f>
        <v/>
      </c>
      <c r="Q972">
        <f>IF(N972="","",IF(M972=0,INDEX(Equipamentos!$T$2:$T$61,N972),IF(INDEX(TrocasEquip!$H$2:$H$1000,M972)="",INDEX(Equipamentos!$T$2:$T$61,N972),INDEX(TrocasEquip!$H$2:$H$1000,M972))))</f>
        <v/>
      </c>
    </row>
    <row r="973">
      <c r="A973" s="54" t="n"/>
      <c r="B973" s="55" t="n"/>
      <c r="C973">
        <f>IF(B973="","",IF(N973="","posição não encontrada",IF(M973=0,INDEX(Equipamentos!$S$2:$S$61,N973),INDEX(TrocasEquip!$G$2:$G$1000,M973))))</f>
        <v/>
      </c>
      <c r="D973" s="56">
        <f>IF(OR(A973="",N973=""),"",P973+IF(E973="dias",MAX(0,A973-O973),IF(INDEX(Equipamentos!$D$2:$D$61,N973)=2,SUMIFS(Producao!$D:$D,Producao!$A:$A,"&gt;="&amp;O973,Producao!$A:$A,"&lt;"&amp;A973),IF(INDEX(Equipamentos!$D$2:$D$61,N973)=3,SUMIFS(Producao!$E:$E,Producao!$A:$A,"&gt;="&amp;O973,Producao!$A:$A,"&lt;"&amp;A973),SUMIFS(Producao!$B:$B,Producao!$A:$A,"&gt;="&amp;O973,Producao!$A:$A,"&lt;"&amp;A973)))))</f>
        <v/>
      </c>
      <c r="E973">
        <f>IF(N973="","",INDEX(Equipamentos!$C$2:$C$61,N973))</f>
        <v/>
      </c>
      <c r="F973" s="57">
        <f>IF(OR(D973="",N(Q973)&lt;=0),"",D973/Q973)</f>
        <v/>
      </c>
      <c r="G973" s="55" t="n"/>
      <c r="H973" s="58" t="n"/>
      <c r="I973" s="58" t="n"/>
      <c r="J973" s="55" t="n"/>
      <c r="K973" s="55" t="n"/>
      <c r="L973">
        <f>IF(OR(A973="",B973=""),"",_xlfn.MAXIFS(TrocasEquip!$A$2:$A$1000,TrocasEquip!$B$2:$B$1000,B973,TrocasEquip!$A$2:$A$1000,"&lt;"&amp;A973))</f>
        <v/>
      </c>
      <c r="M973">
        <f>IF(N(L973)=0,0,MATCH(1,INDEX((TrocasEquip!$B$2:$B$1000=B973)*(TrocasEquip!$A$2:$A$1000=L973),0),0))</f>
        <v/>
      </c>
      <c r="N973">
        <f>IF(B973="","",IFERROR(MATCH(B973,Equipamentos!$P$2:$P$61,0),""))</f>
        <v/>
      </c>
      <c r="O973">
        <f>IF(N973="","",IF(M973=0,INDEX(Equipamentos!$U$2:$U$61,N973),L973))</f>
        <v/>
      </c>
      <c r="P973">
        <f>IF(N973="","",IF(M973=0,N(INDEX(Equipamentos!$V$2:$V$61,N973)),N(INDEX(TrocasEquip!$I$2:$I$1000,M973))))</f>
        <v/>
      </c>
      <c r="Q973">
        <f>IF(N973="","",IF(M973=0,INDEX(Equipamentos!$T$2:$T$61,N973),IF(INDEX(TrocasEquip!$H$2:$H$1000,M973)="",INDEX(Equipamentos!$T$2:$T$61,N973),INDEX(TrocasEquip!$H$2:$H$1000,M973))))</f>
        <v/>
      </c>
    </row>
    <row r="974">
      <c r="A974" s="54" t="n"/>
      <c r="B974" s="55" t="n"/>
      <c r="C974">
        <f>IF(B974="","",IF(N974="","posição não encontrada",IF(M974=0,INDEX(Equipamentos!$S$2:$S$61,N974),INDEX(TrocasEquip!$G$2:$G$1000,M974))))</f>
        <v/>
      </c>
      <c r="D974" s="56">
        <f>IF(OR(A974="",N974=""),"",P974+IF(E974="dias",MAX(0,A974-O974),IF(INDEX(Equipamentos!$D$2:$D$61,N974)=2,SUMIFS(Producao!$D:$D,Producao!$A:$A,"&gt;="&amp;O974,Producao!$A:$A,"&lt;"&amp;A974),IF(INDEX(Equipamentos!$D$2:$D$61,N974)=3,SUMIFS(Producao!$E:$E,Producao!$A:$A,"&gt;="&amp;O974,Producao!$A:$A,"&lt;"&amp;A974),SUMIFS(Producao!$B:$B,Producao!$A:$A,"&gt;="&amp;O974,Producao!$A:$A,"&lt;"&amp;A974)))))</f>
        <v/>
      </c>
      <c r="E974">
        <f>IF(N974="","",INDEX(Equipamentos!$C$2:$C$61,N974))</f>
        <v/>
      </c>
      <c r="F974" s="57">
        <f>IF(OR(D974="",N(Q974)&lt;=0),"",D974/Q974)</f>
        <v/>
      </c>
      <c r="G974" s="55" t="n"/>
      <c r="H974" s="58" t="n"/>
      <c r="I974" s="58" t="n"/>
      <c r="J974" s="55" t="n"/>
      <c r="K974" s="55" t="n"/>
      <c r="L974">
        <f>IF(OR(A974="",B974=""),"",_xlfn.MAXIFS(TrocasEquip!$A$2:$A$1000,TrocasEquip!$B$2:$B$1000,B974,TrocasEquip!$A$2:$A$1000,"&lt;"&amp;A974))</f>
        <v/>
      </c>
      <c r="M974">
        <f>IF(N(L974)=0,0,MATCH(1,INDEX((TrocasEquip!$B$2:$B$1000=B974)*(TrocasEquip!$A$2:$A$1000=L974),0),0))</f>
        <v/>
      </c>
      <c r="N974">
        <f>IF(B974="","",IFERROR(MATCH(B974,Equipamentos!$P$2:$P$61,0),""))</f>
        <v/>
      </c>
      <c r="O974">
        <f>IF(N974="","",IF(M974=0,INDEX(Equipamentos!$U$2:$U$61,N974),L974))</f>
        <v/>
      </c>
      <c r="P974">
        <f>IF(N974="","",IF(M974=0,N(INDEX(Equipamentos!$V$2:$V$61,N974)),N(INDEX(TrocasEquip!$I$2:$I$1000,M974))))</f>
        <v/>
      </c>
      <c r="Q974">
        <f>IF(N974="","",IF(M974=0,INDEX(Equipamentos!$T$2:$T$61,N974),IF(INDEX(TrocasEquip!$H$2:$H$1000,M974)="",INDEX(Equipamentos!$T$2:$T$61,N974),INDEX(TrocasEquip!$H$2:$H$1000,M974))))</f>
        <v/>
      </c>
    </row>
    <row r="975">
      <c r="A975" s="54" t="n"/>
      <c r="B975" s="55" t="n"/>
      <c r="C975">
        <f>IF(B975="","",IF(N975="","posição não encontrada",IF(M975=0,INDEX(Equipamentos!$S$2:$S$61,N975),INDEX(TrocasEquip!$G$2:$G$1000,M975))))</f>
        <v/>
      </c>
      <c r="D975" s="56">
        <f>IF(OR(A975="",N975=""),"",P975+IF(E975="dias",MAX(0,A975-O975),IF(INDEX(Equipamentos!$D$2:$D$61,N975)=2,SUMIFS(Producao!$D:$D,Producao!$A:$A,"&gt;="&amp;O975,Producao!$A:$A,"&lt;"&amp;A975),IF(INDEX(Equipamentos!$D$2:$D$61,N975)=3,SUMIFS(Producao!$E:$E,Producao!$A:$A,"&gt;="&amp;O975,Producao!$A:$A,"&lt;"&amp;A975),SUMIFS(Producao!$B:$B,Producao!$A:$A,"&gt;="&amp;O975,Producao!$A:$A,"&lt;"&amp;A975)))))</f>
        <v/>
      </c>
      <c r="E975">
        <f>IF(N975="","",INDEX(Equipamentos!$C$2:$C$61,N975))</f>
        <v/>
      </c>
      <c r="F975" s="57">
        <f>IF(OR(D975="",N(Q975)&lt;=0),"",D975/Q975)</f>
        <v/>
      </c>
      <c r="G975" s="55" t="n"/>
      <c r="H975" s="58" t="n"/>
      <c r="I975" s="58" t="n"/>
      <c r="J975" s="55" t="n"/>
      <c r="K975" s="55" t="n"/>
      <c r="L975">
        <f>IF(OR(A975="",B975=""),"",_xlfn.MAXIFS(TrocasEquip!$A$2:$A$1000,TrocasEquip!$B$2:$B$1000,B975,TrocasEquip!$A$2:$A$1000,"&lt;"&amp;A975))</f>
        <v/>
      </c>
      <c r="M975">
        <f>IF(N(L975)=0,0,MATCH(1,INDEX((TrocasEquip!$B$2:$B$1000=B975)*(TrocasEquip!$A$2:$A$1000=L975),0),0))</f>
        <v/>
      </c>
      <c r="N975">
        <f>IF(B975="","",IFERROR(MATCH(B975,Equipamentos!$P$2:$P$61,0),""))</f>
        <v/>
      </c>
      <c r="O975">
        <f>IF(N975="","",IF(M975=0,INDEX(Equipamentos!$U$2:$U$61,N975),L975))</f>
        <v/>
      </c>
      <c r="P975">
        <f>IF(N975="","",IF(M975=0,N(INDEX(Equipamentos!$V$2:$V$61,N975)),N(INDEX(TrocasEquip!$I$2:$I$1000,M975))))</f>
        <v/>
      </c>
      <c r="Q975">
        <f>IF(N975="","",IF(M975=0,INDEX(Equipamentos!$T$2:$T$61,N975),IF(INDEX(TrocasEquip!$H$2:$H$1000,M975)="",INDEX(Equipamentos!$T$2:$T$61,N975),INDEX(TrocasEquip!$H$2:$H$1000,M975))))</f>
        <v/>
      </c>
    </row>
    <row r="976">
      <c r="A976" s="54" t="n"/>
      <c r="B976" s="55" t="n"/>
      <c r="C976">
        <f>IF(B976="","",IF(N976="","posição não encontrada",IF(M976=0,INDEX(Equipamentos!$S$2:$S$61,N976),INDEX(TrocasEquip!$G$2:$G$1000,M976))))</f>
        <v/>
      </c>
      <c r="D976" s="56">
        <f>IF(OR(A976="",N976=""),"",P976+IF(E976="dias",MAX(0,A976-O976),IF(INDEX(Equipamentos!$D$2:$D$61,N976)=2,SUMIFS(Producao!$D:$D,Producao!$A:$A,"&gt;="&amp;O976,Producao!$A:$A,"&lt;"&amp;A976),IF(INDEX(Equipamentos!$D$2:$D$61,N976)=3,SUMIFS(Producao!$E:$E,Producao!$A:$A,"&gt;="&amp;O976,Producao!$A:$A,"&lt;"&amp;A976),SUMIFS(Producao!$B:$B,Producao!$A:$A,"&gt;="&amp;O976,Producao!$A:$A,"&lt;"&amp;A976)))))</f>
        <v/>
      </c>
      <c r="E976">
        <f>IF(N976="","",INDEX(Equipamentos!$C$2:$C$61,N976))</f>
        <v/>
      </c>
      <c r="F976" s="57">
        <f>IF(OR(D976="",N(Q976)&lt;=0),"",D976/Q976)</f>
        <v/>
      </c>
      <c r="G976" s="55" t="n"/>
      <c r="H976" s="58" t="n"/>
      <c r="I976" s="58" t="n"/>
      <c r="J976" s="55" t="n"/>
      <c r="K976" s="55" t="n"/>
      <c r="L976">
        <f>IF(OR(A976="",B976=""),"",_xlfn.MAXIFS(TrocasEquip!$A$2:$A$1000,TrocasEquip!$B$2:$B$1000,B976,TrocasEquip!$A$2:$A$1000,"&lt;"&amp;A976))</f>
        <v/>
      </c>
      <c r="M976">
        <f>IF(N(L976)=0,0,MATCH(1,INDEX((TrocasEquip!$B$2:$B$1000=B976)*(TrocasEquip!$A$2:$A$1000=L976),0),0))</f>
        <v/>
      </c>
      <c r="N976">
        <f>IF(B976="","",IFERROR(MATCH(B976,Equipamentos!$P$2:$P$61,0),""))</f>
        <v/>
      </c>
      <c r="O976">
        <f>IF(N976="","",IF(M976=0,INDEX(Equipamentos!$U$2:$U$61,N976),L976))</f>
        <v/>
      </c>
      <c r="P976">
        <f>IF(N976="","",IF(M976=0,N(INDEX(Equipamentos!$V$2:$V$61,N976)),N(INDEX(TrocasEquip!$I$2:$I$1000,M976))))</f>
        <v/>
      </c>
      <c r="Q976">
        <f>IF(N976="","",IF(M976=0,INDEX(Equipamentos!$T$2:$T$61,N976),IF(INDEX(TrocasEquip!$H$2:$H$1000,M976)="",INDEX(Equipamentos!$T$2:$T$61,N976),INDEX(TrocasEquip!$H$2:$H$1000,M976))))</f>
        <v/>
      </c>
    </row>
    <row r="977">
      <c r="A977" s="54" t="n"/>
      <c r="B977" s="55" t="n"/>
      <c r="C977">
        <f>IF(B977="","",IF(N977="","posição não encontrada",IF(M977=0,INDEX(Equipamentos!$S$2:$S$61,N977),INDEX(TrocasEquip!$G$2:$G$1000,M977))))</f>
        <v/>
      </c>
      <c r="D977" s="56">
        <f>IF(OR(A977="",N977=""),"",P977+IF(E977="dias",MAX(0,A977-O977),IF(INDEX(Equipamentos!$D$2:$D$61,N977)=2,SUMIFS(Producao!$D:$D,Producao!$A:$A,"&gt;="&amp;O977,Producao!$A:$A,"&lt;"&amp;A977),IF(INDEX(Equipamentos!$D$2:$D$61,N977)=3,SUMIFS(Producao!$E:$E,Producao!$A:$A,"&gt;="&amp;O977,Producao!$A:$A,"&lt;"&amp;A977),SUMIFS(Producao!$B:$B,Producao!$A:$A,"&gt;="&amp;O977,Producao!$A:$A,"&lt;"&amp;A977)))))</f>
        <v/>
      </c>
      <c r="E977">
        <f>IF(N977="","",INDEX(Equipamentos!$C$2:$C$61,N977))</f>
        <v/>
      </c>
      <c r="F977" s="57">
        <f>IF(OR(D977="",N(Q977)&lt;=0),"",D977/Q977)</f>
        <v/>
      </c>
      <c r="G977" s="55" t="n"/>
      <c r="H977" s="58" t="n"/>
      <c r="I977" s="58" t="n"/>
      <c r="J977" s="55" t="n"/>
      <c r="K977" s="55" t="n"/>
      <c r="L977">
        <f>IF(OR(A977="",B977=""),"",_xlfn.MAXIFS(TrocasEquip!$A$2:$A$1000,TrocasEquip!$B$2:$B$1000,B977,TrocasEquip!$A$2:$A$1000,"&lt;"&amp;A977))</f>
        <v/>
      </c>
      <c r="M977">
        <f>IF(N(L977)=0,0,MATCH(1,INDEX((TrocasEquip!$B$2:$B$1000=B977)*(TrocasEquip!$A$2:$A$1000=L977),0),0))</f>
        <v/>
      </c>
      <c r="N977">
        <f>IF(B977="","",IFERROR(MATCH(B977,Equipamentos!$P$2:$P$61,0),""))</f>
        <v/>
      </c>
      <c r="O977">
        <f>IF(N977="","",IF(M977=0,INDEX(Equipamentos!$U$2:$U$61,N977),L977))</f>
        <v/>
      </c>
      <c r="P977">
        <f>IF(N977="","",IF(M977=0,N(INDEX(Equipamentos!$V$2:$V$61,N977)),N(INDEX(TrocasEquip!$I$2:$I$1000,M977))))</f>
        <v/>
      </c>
      <c r="Q977">
        <f>IF(N977="","",IF(M977=0,INDEX(Equipamentos!$T$2:$T$61,N977),IF(INDEX(TrocasEquip!$H$2:$H$1000,M977)="",INDEX(Equipamentos!$T$2:$T$61,N977),INDEX(TrocasEquip!$H$2:$H$1000,M977))))</f>
        <v/>
      </c>
    </row>
    <row r="978">
      <c r="A978" s="54" t="n"/>
      <c r="B978" s="55" t="n"/>
      <c r="C978">
        <f>IF(B978="","",IF(N978="","posição não encontrada",IF(M978=0,INDEX(Equipamentos!$S$2:$S$61,N978),INDEX(TrocasEquip!$G$2:$G$1000,M978))))</f>
        <v/>
      </c>
      <c r="D978" s="56">
        <f>IF(OR(A978="",N978=""),"",P978+IF(E978="dias",MAX(0,A978-O978),IF(INDEX(Equipamentos!$D$2:$D$61,N978)=2,SUMIFS(Producao!$D:$D,Producao!$A:$A,"&gt;="&amp;O978,Producao!$A:$A,"&lt;"&amp;A978),IF(INDEX(Equipamentos!$D$2:$D$61,N978)=3,SUMIFS(Producao!$E:$E,Producao!$A:$A,"&gt;="&amp;O978,Producao!$A:$A,"&lt;"&amp;A978),SUMIFS(Producao!$B:$B,Producao!$A:$A,"&gt;="&amp;O978,Producao!$A:$A,"&lt;"&amp;A978)))))</f>
        <v/>
      </c>
      <c r="E978">
        <f>IF(N978="","",INDEX(Equipamentos!$C$2:$C$61,N978))</f>
        <v/>
      </c>
      <c r="F978" s="57">
        <f>IF(OR(D978="",N(Q978)&lt;=0),"",D978/Q978)</f>
        <v/>
      </c>
      <c r="G978" s="55" t="n"/>
      <c r="H978" s="58" t="n"/>
      <c r="I978" s="58" t="n"/>
      <c r="J978" s="55" t="n"/>
      <c r="K978" s="55" t="n"/>
      <c r="L978">
        <f>IF(OR(A978="",B978=""),"",_xlfn.MAXIFS(TrocasEquip!$A$2:$A$1000,TrocasEquip!$B$2:$B$1000,B978,TrocasEquip!$A$2:$A$1000,"&lt;"&amp;A978))</f>
        <v/>
      </c>
      <c r="M978">
        <f>IF(N(L978)=0,0,MATCH(1,INDEX((TrocasEquip!$B$2:$B$1000=B978)*(TrocasEquip!$A$2:$A$1000=L978),0),0))</f>
        <v/>
      </c>
      <c r="N978">
        <f>IF(B978="","",IFERROR(MATCH(B978,Equipamentos!$P$2:$P$61,0),""))</f>
        <v/>
      </c>
      <c r="O978">
        <f>IF(N978="","",IF(M978=0,INDEX(Equipamentos!$U$2:$U$61,N978),L978))</f>
        <v/>
      </c>
      <c r="P978">
        <f>IF(N978="","",IF(M978=0,N(INDEX(Equipamentos!$V$2:$V$61,N978)),N(INDEX(TrocasEquip!$I$2:$I$1000,M978))))</f>
        <v/>
      </c>
      <c r="Q978">
        <f>IF(N978="","",IF(M978=0,INDEX(Equipamentos!$T$2:$T$61,N978),IF(INDEX(TrocasEquip!$H$2:$H$1000,M978)="",INDEX(Equipamentos!$T$2:$T$61,N978),INDEX(TrocasEquip!$H$2:$H$1000,M978))))</f>
        <v/>
      </c>
    </row>
    <row r="979">
      <c r="A979" s="54" t="n"/>
      <c r="B979" s="55" t="n"/>
      <c r="C979">
        <f>IF(B979="","",IF(N979="","posição não encontrada",IF(M979=0,INDEX(Equipamentos!$S$2:$S$61,N979),INDEX(TrocasEquip!$G$2:$G$1000,M979))))</f>
        <v/>
      </c>
      <c r="D979" s="56">
        <f>IF(OR(A979="",N979=""),"",P979+IF(E979="dias",MAX(0,A979-O979),IF(INDEX(Equipamentos!$D$2:$D$61,N979)=2,SUMIFS(Producao!$D:$D,Producao!$A:$A,"&gt;="&amp;O979,Producao!$A:$A,"&lt;"&amp;A979),IF(INDEX(Equipamentos!$D$2:$D$61,N979)=3,SUMIFS(Producao!$E:$E,Producao!$A:$A,"&gt;="&amp;O979,Producao!$A:$A,"&lt;"&amp;A979),SUMIFS(Producao!$B:$B,Producao!$A:$A,"&gt;="&amp;O979,Producao!$A:$A,"&lt;"&amp;A979)))))</f>
        <v/>
      </c>
      <c r="E979">
        <f>IF(N979="","",INDEX(Equipamentos!$C$2:$C$61,N979))</f>
        <v/>
      </c>
      <c r="F979" s="57">
        <f>IF(OR(D979="",N(Q979)&lt;=0),"",D979/Q979)</f>
        <v/>
      </c>
      <c r="G979" s="55" t="n"/>
      <c r="H979" s="58" t="n"/>
      <c r="I979" s="58" t="n"/>
      <c r="J979" s="55" t="n"/>
      <c r="K979" s="55" t="n"/>
      <c r="L979">
        <f>IF(OR(A979="",B979=""),"",_xlfn.MAXIFS(TrocasEquip!$A$2:$A$1000,TrocasEquip!$B$2:$B$1000,B979,TrocasEquip!$A$2:$A$1000,"&lt;"&amp;A979))</f>
        <v/>
      </c>
      <c r="M979">
        <f>IF(N(L979)=0,0,MATCH(1,INDEX((TrocasEquip!$B$2:$B$1000=B979)*(TrocasEquip!$A$2:$A$1000=L979),0),0))</f>
        <v/>
      </c>
      <c r="N979">
        <f>IF(B979="","",IFERROR(MATCH(B979,Equipamentos!$P$2:$P$61,0),""))</f>
        <v/>
      </c>
      <c r="O979">
        <f>IF(N979="","",IF(M979=0,INDEX(Equipamentos!$U$2:$U$61,N979),L979))</f>
        <v/>
      </c>
      <c r="P979">
        <f>IF(N979="","",IF(M979=0,N(INDEX(Equipamentos!$V$2:$V$61,N979)),N(INDEX(TrocasEquip!$I$2:$I$1000,M979))))</f>
        <v/>
      </c>
      <c r="Q979">
        <f>IF(N979="","",IF(M979=0,INDEX(Equipamentos!$T$2:$T$61,N979),IF(INDEX(TrocasEquip!$H$2:$H$1000,M979)="",INDEX(Equipamentos!$T$2:$T$61,N979),INDEX(TrocasEquip!$H$2:$H$1000,M979))))</f>
        <v/>
      </c>
    </row>
    <row r="980">
      <c r="A980" s="54" t="n"/>
      <c r="B980" s="55" t="n"/>
      <c r="C980">
        <f>IF(B980="","",IF(N980="","posição não encontrada",IF(M980=0,INDEX(Equipamentos!$S$2:$S$61,N980),INDEX(TrocasEquip!$G$2:$G$1000,M980))))</f>
        <v/>
      </c>
      <c r="D980" s="56">
        <f>IF(OR(A980="",N980=""),"",P980+IF(E980="dias",MAX(0,A980-O980),IF(INDEX(Equipamentos!$D$2:$D$61,N980)=2,SUMIFS(Producao!$D:$D,Producao!$A:$A,"&gt;="&amp;O980,Producao!$A:$A,"&lt;"&amp;A980),IF(INDEX(Equipamentos!$D$2:$D$61,N980)=3,SUMIFS(Producao!$E:$E,Producao!$A:$A,"&gt;="&amp;O980,Producao!$A:$A,"&lt;"&amp;A980),SUMIFS(Producao!$B:$B,Producao!$A:$A,"&gt;="&amp;O980,Producao!$A:$A,"&lt;"&amp;A980)))))</f>
        <v/>
      </c>
      <c r="E980">
        <f>IF(N980="","",INDEX(Equipamentos!$C$2:$C$61,N980))</f>
        <v/>
      </c>
      <c r="F980" s="57">
        <f>IF(OR(D980="",N(Q980)&lt;=0),"",D980/Q980)</f>
        <v/>
      </c>
      <c r="G980" s="55" t="n"/>
      <c r="H980" s="58" t="n"/>
      <c r="I980" s="58" t="n"/>
      <c r="J980" s="55" t="n"/>
      <c r="K980" s="55" t="n"/>
      <c r="L980">
        <f>IF(OR(A980="",B980=""),"",_xlfn.MAXIFS(TrocasEquip!$A$2:$A$1000,TrocasEquip!$B$2:$B$1000,B980,TrocasEquip!$A$2:$A$1000,"&lt;"&amp;A980))</f>
        <v/>
      </c>
      <c r="M980">
        <f>IF(N(L980)=0,0,MATCH(1,INDEX((TrocasEquip!$B$2:$B$1000=B980)*(TrocasEquip!$A$2:$A$1000=L980),0),0))</f>
        <v/>
      </c>
      <c r="N980">
        <f>IF(B980="","",IFERROR(MATCH(B980,Equipamentos!$P$2:$P$61,0),""))</f>
        <v/>
      </c>
      <c r="O980">
        <f>IF(N980="","",IF(M980=0,INDEX(Equipamentos!$U$2:$U$61,N980),L980))</f>
        <v/>
      </c>
      <c r="P980">
        <f>IF(N980="","",IF(M980=0,N(INDEX(Equipamentos!$V$2:$V$61,N980)),N(INDEX(TrocasEquip!$I$2:$I$1000,M980))))</f>
        <v/>
      </c>
      <c r="Q980">
        <f>IF(N980="","",IF(M980=0,INDEX(Equipamentos!$T$2:$T$61,N980),IF(INDEX(TrocasEquip!$H$2:$H$1000,M980)="",INDEX(Equipamentos!$T$2:$T$61,N980),INDEX(TrocasEquip!$H$2:$H$1000,M980))))</f>
        <v/>
      </c>
    </row>
    <row r="981">
      <c r="A981" s="54" t="n"/>
      <c r="B981" s="55" t="n"/>
      <c r="C981">
        <f>IF(B981="","",IF(N981="","posição não encontrada",IF(M981=0,INDEX(Equipamentos!$S$2:$S$61,N981),INDEX(TrocasEquip!$G$2:$G$1000,M981))))</f>
        <v/>
      </c>
      <c r="D981" s="56">
        <f>IF(OR(A981="",N981=""),"",P981+IF(E981="dias",MAX(0,A981-O981),IF(INDEX(Equipamentos!$D$2:$D$61,N981)=2,SUMIFS(Producao!$D:$D,Producao!$A:$A,"&gt;="&amp;O981,Producao!$A:$A,"&lt;"&amp;A981),IF(INDEX(Equipamentos!$D$2:$D$61,N981)=3,SUMIFS(Producao!$E:$E,Producao!$A:$A,"&gt;="&amp;O981,Producao!$A:$A,"&lt;"&amp;A981),SUMIFS(Producao!$B:$B,Producao!$A:$A,"&gt;="&amp;O981,Producao!$A:$A,"&lt;"&amp;A981)))))</f>
        <v/>
      </c>
      <c r="E981">
        <f>IF(N981="","",INDEX(Equipamentos!$C$2:$C$61,N981))</f>
        <v/>
      </c>
      <c r="F981" s="57">
        <f>IF(OR(D981="",N(Q981)&lt;=0),"",D981/Q981)</f>
        <v/>
      </c>
      <c r="G981" s="55" t="n"/>
      <c r="H981" s="58" t="n"/>
      <c r="I981" s="58" t="n"/>
      <c r="J981" s="55" t="n"/>
      <c r="K981" s="55" t="n"/>
      <c r="L981">
        <f>IF(OR(A981="",B981=""),"",_xlfn.MAXIFS(TrocasEquip!$A$2:$A$1000,TrocasEquip!$B$2:$B$1000,B981,TrocasEquip!$A$2:$A$1000,"&lt;"&amp;A981))</f>
        <v/>
      </c>
      <c r="M981">
        <f>IF(N(L981)=0,0,MATCH(1,INDEX((TrocasEquip!$B$2:$B$1000=B981)*(TrocasEquip!$A$2:$A$1000=L981),0),0))</f>
        <v/>
      </c>
      <c r="N981">
        <f>IF(B981="","",IFERROR(MATCH(B981,Equipamentos!$P$2:$P$61,0),""))</f>
        <v/>
      </c>
      <c r="O981">
        <f>IF(N981="","",IF(M981=0,INDEX(Equipamentos!$U$2:$U$61,N981),L981))</f>
        <v/>
      </c>
      <c r="P981">
        <f>IF(N981="","",IF(M981=0,N(INDEX(Equipamentos!$V$2:$V$61,N981)),N(INDEX(TrocasEquip!$I$2:$I$1000,M981))))</f>
        <v/>
      </c>
      <c r="Q981">
        <f>IF(N981="","",IF(M981=0,INDEX(Equipamentos!$T$2:$T$61,N981),IF(INDEX(TrocasEquip!$H$2:$H$1000,M981)="",INDEX(Equipamentos!$T$2:$T$61,N981),INDEX(TrocasEquip!$H$2:$H$1000,M981))))</f>
        <v/>
      </c>
    </row>
    <row r="982">
      <c r="A982" s="54" t="n"/>
      <c r="B982" s="55" t="n"/>
      <c r="C982">
        <f>IF(B982="","",IF(N982="","posição não encontrada",IF(M982=0,INDEX(Equipamentos!$S$2:$S$61,N982),INDEX(TrocasEquip!$G$2:$G$1000,M982))))</f>
        <v/>
      </c>
      <c r="D982" s="56">
        <f>IF(OR(A982="",N982=""),"",P982+IF(E982="dias",MAX(0,A982-O982),IF(INDEX(Equipamentos!$D$2:$D$61,N982)=2,SUMIFS(Producao!$D:$D,Producao!$A:$A,"&gt;="&amp;O982,Producao!$A:$A,"&lt;"&amp;A982),IF(INDEX(Equipamentos!$D$2:$D$61,N982)=3,SUMIFS(Producao!$E:$E,Producao!$A:$A,"&gt;="&amp;O982,Producao!$A:$A,"&lt;"&amp;A982),SUMIFS(Producao!$B:$B,Producao!$A:$A,"&gt;="&amp;O982,Producao!$A:$A,"&lt;"&amp;A982)))))</f>
        <v/>
      </c>
      <c r="E982">
        <f>IF(N982="","",INDEX(Equipamentos!$C$2:$C$61,N982))</f>
        <v/>
      </c>
      <c r="F982" s="57">
        <f>IF(OR(D982="",N(Q982)&lt;=0),"",D982/Q982)</f>
        <v/>
      </c>
      <c r="G982" s="55" t="n"/>
      <c r="H982" s="58" t="n"/>
      <c r="I982" s="58" t="n"/>
      <c r="J982" s="55" t="n"/>
      <c r="K982" s="55" t="n"/>
      <c r="L982">
        <f>IF(OR(A982="",B982=""),"",_xlfn.MAXIFS(TrocasEquip!$A$2:$A$1000,TrocasEquip!$B$2:$B$1000,B982,TrocasEquip!$A$2:$A$1000,"&lt;"&amp;A982))</f>
        <v/>
      </c>
      <c r="M982">
        <f>IF(N(L982)=0,0,MATCH(1,INDEX((TrocasEquip!$B$2:$B$1000=B982)*(TrocasEquip!$A$2:$A$1000=L982),0),0))</f>
        <v/>
      </c>
      <c r="N982">
        <f>IF(B982="","",IFERROR(MATCH(B982,Equipamentos!$P$2:$P$61,0),""))</f>
        <v/>
      </c>
      <c r="O982">
        <f>IF(N982="","",IF(M982=0,INDEX(Equipamentos!$U$2:$U$61,N982),L982))</f>
        <v/>
      </c>
      <c r="P982">
        <f>IF(N982="","",IF(M982=0,N(INDEX(Equipamentos!$V$2:$V$61,N982)),N(INDEX(TrocasEquip!$I$2:$I$1000,M982))))</f>
        <v/>
      </c>
      <c r="Q982">
        <f>IF(N982="","",IF(M982=0,INDEX(Equipamentos!$T$2:$T$61,N982),IF(INDEX(TrocasEquip!$H$2:$H$1000,M982)="",INDEX(Equipamentos!$T$2:$T$61,N982),INDEX(TrocasEquip!$H$2:$H$1000,M982))))</f>
        <v/>
      </c>
    </row>
    <row r="983">
      <c r="A983" s="54" t="n"/>
      <c r="B983" s="55" t="n"/>
      <c r="C983">
        <f>IF(B983="","",IF(N983="","posição não encontrada",IF(M983=0,INDEX(Equipamentos!$S$2:$S$61,N983),INDEX(TrocasEquip!$G$2:$G$1000,M983))))</f>
        <v/>
      </c>
      <c r="D983" s="56">
        <f>IF(OR(A983="",N983=""),"",P983+IF(E983="dias",MAX(0,A983-O983),IF(INDEX(Equipamentos!$D$2:$D$61,N983)=2,SUMIFS(Producao!$D:$D,Producao!$A:$A,"&gt;="&amp;O983,Producao!$A:$A,"&lt;"&amp;A983),IF(INDEX(Equipamentos!$D$2:$D$61,N983)=3,SUMIFS(Producao!$E:$E,Producao!$A:$A,"&gt;="&amp;O983,Producao!$A:$A,"&lt;"&amp;A983),SUMIFS(Producao!$B:$B,Producao!$A:$A,"&gt;="&amp;O983,Producao!$A:$A,"&lt;"&amp;A983)))))</f>
        <v/>
      </c>
      <c r="E983">
        <f>IF(N983="","",INDEX(Equipamentos!$C$2:$C$61,N983))</f>
        <v/>
      </c>
      <c r="F983" s="57">
        <f>IF(OR(D983="",N(Q983)&lt;=0),"",D983/Q983)</f>
        <v/>
      </c>
      <c r="G983" s="55" t="n"/>
      <c r="H983" s="58" t="n"/>
      <c r="I983" s="58" t="n"/>
      <c r="J983" s="55" t="n"/>
      <c r="K983" s="55" t="n"/>
      <c r="L983">
        <f>IF(OR(A983="",B983=""),"",_xlfn.MAXIFS(TrocasEquip!$A$2:$A$1000,TrocasEquip!$B$2:$B$1000,B983,TrocasEquip!$A$2:$A$1000,"&lt;"&amp;A983))</f>
        <v/>
      </c>
      <c r="M983">
        <f>IF(N(L983)=0,0,MATCH(1,INDEX((TrocasEquip!$B$2:$B$1000=B983)*(TrocasEquip!$A$2:$A$1000=L983),0),0))</f>
        <v/>
      </c>
      <c r="N983">
        <f>IF(B983="","",IFERROR(MATCH(B983,Equipamentos!$P$2:$P$61,0),""))</f>
        <v/>
      </c>
      <c r="O983">
        <f>IF(N983="","",IF(M983=0,INDEX(Equipamentos!$U$2:$U$61,N983),L983))</f>
        <v/>
      </c>
      <c r="P983">
        <f>IF(N983="","",IF(M983=0,N(INDEX(Equipamentos!$V$2:$V$61,N983)),N(INDEX(TrocasEquip!$I$2:$I$1000,M983))))</f>
        <v/>
      </c>
      <c r="Q983">
        <f>IF(N983="","",IF(M983=0,INDEX(Equipamentos!$T$2:$T$61,N983),IF(INDEX(TrocasEquip!$H$2:$H$1000,M983)="",INDEX(Equipamentos!$T$2:$T$61,N983),INDEX(TrocasEquip!$H$2:$H$1000,M983))))</f>
        <v/>
      </c>
    </row>
    <row r="984">
      <c r="A984" s="54" t="n"/>
      <c r="B984" s="55" t="n"/>
      <c r="C984">
        <f>IF(B984="","",IF(N984="","posição não encontrada",IF(M984=0,INDEX(Equipamentos!$S$2:$S$61,N984),INDEX(TrocasEquip!$G$2:$G$1000,M984))))</f>
        <v/>
      </c>
      <c r="D984" s="56">
        <f>IF(OR(A984="",N984=""),"",P984+IF(E984="dias",MAX(0,A984-O984),IF(INDEX(Equipamentos!$D$2:$D$61,N984)=2,SUMIFS(Producao!$D:$D,Producao!$A:$A,"&gt;="&amp;O984,Producao!$A:$A,"&lt;"&amp;A984),IF(INDEX(Equipamentos!$D$2:$D$61,N984)=3,SUMIFS(Producao!$E:$E,Producao!$A:$A,"&gt;="&amp;O984,Producao!$A:$A,"&lt;"&amp;A984),SUMIFS(Producao!$B:$B,Producao!$A:$A,"&gt;="&amp;O984,Producao!$A:$A,"&lt;"&amp;A984)))))</f>
        <v/>
      </c>
      <c r="E984">
        <f>IF(N984="","",INDEX(Equipamentos!$C$2:$C$61,N984))</f>
        <v/>
      </c>
      <c r="F984" s="57">
        <f>IF(OR(D984="",N(Q984)&lt;=0),"",D984/Q984)</f>
        <v/>
      </c>
      <c r="G984" s="55" t="n"/>
      <c r="H984" s="58" t="n"/>
      <c r="I984" s="58" t="n"/>
      <c r="J984" s="55" t="n"/>
      <c r="K984" s="55" t="n"/>
      <c r="L984">
        <f>IF(OR(A984="",B984=""),"",_xlfn.MAXIFS(TrocasEquip!$A$2:$A$1000,TrocasEquip!$B$2:$B$1000,B984,TrocasEquip!$A$2:$A$1000,"&lt;"&amp;A984))</f>
        <v/>
      </c>
      <c r="M984">
        <f>IF(N(L984)=0,0,MATCH(1,INDEX((TrocasEquip!$B$2:$B$1000=B984)*(TrocasEquip!$A$2:$A$1000=L984),0),0))</f>
        <v/>
      </c>
      <c r="N984">
        <f>IF(B984="","",IFERROR(MATCH(B984,Equipamentos!$P$2:$P$61,0),""))</f>
        <v/>
      </c>
      <c r="O984">
        <f>IF(N984="","",IF(M984=0,INDEX(Equipamentos!$U$2:$U$61,N984),L984))</f>
        <v/>
      </c>
      <c r="P984">
        <f>IF(N984="","",IF(M984=0,N(INDEX(Equipamentos!$V$2:$V$61,N984)),N(INDEX(TrocasEquip!$I$2:$I$1000,M984))))</f>
        <v/>
      </c>
      <c r="Q984">
        <f>IF(N984="","",IF(M984=0,INDEX(Equipamentos!$T$2:$T$61,N984),IF(INDEX(TrocasEquip!$H$2:$H$1000,M984)="",INDEX(Equipamentos!$T$2:$T$61,N984),INDEX(TrocasEquip!$H$2:$H$1000,M984))))</f>
        <v/>
      </c>
    </row>
    <row r="985">
      <c r="A985" s="54" t="n"/>
      <c r="B985" s="55" t="n"/>
      <c r="C985">
        <f>IF(B985="","",IF(N985="","posição não encontrada",IF(M985=0,INDEX(Equipamentos!$S$2:$S$61,N985),INDEX(TrocasEquip!$G$2:$G$1000,M985))))</f>
        <v/>
      </c>
      <c r="D985" s="56">
        <f>IF(OR(A985="",N985=""),"",P985+IF(E985="dias",MAX(0,A985-O985),IF(INDEX(Equipamentos!$D$2:$D$61,N985)=2,SUMIFS(Producao!$D:$D,Producao!$A:$A,"&gt;="&amp;O985,Producao!$A:$A,"&lt;"&amp;A985),IF(INDEX(Equipamentos!$D$2:$D$61,N985)=3,SUMIFS(Producao!$E:$E,Producao!$A:$A,"&gt;="&amp;O985,Producao!$A:$A,"&lt;"&amp;A985),SUMIFS(Producao!$B:$B,Producao!$A:$A,"&gt;="&amp;O985,Producao!$A:$A,"&lt;"&amp;A985)))))</f>
        <v/>
      </c>
      <c r="E985">
        <f>IF(N985="","",INDEX(Equipamentos!$C$2:$C$61,N985))</f>
        <v/>
      </c>
      <c r="F985" s="57">
        <f>IF(OR(D985="",N(Q985)&lt;=0),"",D985/Q985)</f>
        <v/>
      </c>
      <c r="G985" s="55" t="n"/>
      <c r="H985" s="58" t="n"/>
      <c r="I985" s="58" t="n"/>
      <c r="J985" s="55" t="n"/>
      <c r="K985" s="55" t="n"/>
      <c r="L985">
        <f>IF(OR(A985="",B985=""),"",_xlfn.MAXIFS(TrocasEquip!$A$2:$A$1000,TrocasEquip!$B$2:$B$1000,B985,TrocasEquip!$A$2:$A$1000,"&lt;"&amp;A985))</f>
        <v/>
      </c>
      <c r="M985">
        <f>IF(N(L985)=0,0,MATCH(1,INDEX((TrocasEquip!$B$2:$B$1000=B985)*(TrocasEquip!$A$2:$A$1000=L985),0),0))</f>
        <v/>
      </c>
      <c r="N985">
        <f>IF(B985="","",IFERROR(MATCH(B985,Equipamentos!$P$2:$P$61,0),""))</f>
        <v/>
      </c>
      <c r="O985">
        <f>IF(N985="","",IF(M985=0,INDEX(Equipamentos!$U$2:$U$61,N985),L985))</f>
        <v/>
      </c>
      <c r="P985">
        <f>IF(N985="","",IF(M985=0,N(INDEX(Equipamentos!$V$2:$V$61,N985)),N(INDEX(TrocasEquip!$I$2:$I$1000,M985))))</f>
        <v/>
      </c>
      <c r="Q985">
        <f>IF(N985="","",IF(M985=0,INDEX(Equipamentos!$T$2:$T$61,N985),IF(INDEX(TrocasEquip!$H$2:$H$1000,M985)="",INDEX(Equipamentos!$T$2:$T$61,N985),INDEX(TrocasEquip!$H$2:$H$1000,M985))))</f>
        <v/>
      </c>
    </row>
    <row r="986">
      <c r="A986" s="54" t="n"/>
      <c r="B986" s="55" t="n"/>
      <c r="C986">
        <f>IF(B986="","",IF(N986="","posição não encontrada",IF(M986=0,INDEX(Equipamentos!$S$2:$S$61,N986),INDEX(TrocasEquip!$G$2:$G$1000,M986))))</f>
        <v/>
      </c>
      <c r="D986" s="56">
        <f>IF(OR(A986="",N986=""),"",P986+IF(E986="dias",MAX(0,A986-O986),IF(INDEX(Equipamentos!$D$2:$D$61,N986)=2,SUMIFS(Producao!$D:$D,Producao!$A:$A,"&gt;="&amp;O986,Producao!$A:$A,"&lt;"&amp;A986),IF(INDEX(Equipamentos!$D$2:$D$61,N986)=3,SUMIFS(Producao!$E:$E,Producao!$A:$A,"&gt;="&amp;O986,Producao!$A:$A,"&lt;"&amp;A986),SUMIFS(Producao!$B:$B,Producao!$A:$A,"&gt;="&amp;O986,Producao!$A:$A,"&lt;"&amp;A986)))))</f>
        <v/>
      </c>
      <c r="E986">
        <f>IF(N986="","",INDEX(Equipamentos!$C$2:$C$61,N986))</f>
        <v/>
      </c>
      <c r="F986" s="57">
        <f>IF(OR(D986="",N(Q986)&lt;=0),"",D986/Q986)</f>
        <v/>
      </c>
      <c r="G986" s="55" t="n"/>
      <c r="H986" s="58" t="n"/>
      <c r="I986" s="58" t="n"/>
      <c r="J986" s="55" t="n"/>
      <c r="K986" s="55" t="n"/>
      <c r="L986">
        <f>IF(OR(A986="",B986=""),"",_xlfn.MAXIFS(TrocasEquip!$A$2:$A$1000,TrocasEquip!$B$2:$B$1000,B986,TrocasEquip!$A$2:$A$1000,"&lt;"&amp;A986))</f>
        <v/>
      </c>
      <c r="M986">
        <f>IF(N(L986)=0,0,MATCH(1,INDEX((TrocasEquip!$B$2:$B$1000=B986)*(TrocasEquip!$A$2:$A$1000=L986),0),0))</f>
        <v/>
      </c>
      <c r="N986">
        <f>IF(B986="","",IFERROR(MATCH(B986,Equipamentos!$P$2:$P$61,0),""))</f>
        <v/>
      </c>
      <c r="O986">
        <f>IF(N986="","",IF(M986=0,INDEX(Equipamentos!$U$2:$U$61,N986),L986))</f>
        <v/>
      </c>
      <c r="P986">
        <f>IF(N986="","",IF(M986=0,N(INDEX(Equipamentos!$V$2:$V$61,N986)),N(INDEX(TrocasEquip!$I$2:$I$1000,M986))))</f>
        <v/>
      </c>
      <c r="Q986">
        <f>IF(N986="","",IF(M986=0,INDEX(Equipamentos!$T$2:$T$61,N986),IF(INDEX(TrocasEquip!$H$2:$H$1000,M986)="",INDEX(Equipamentos!$T$2:$T$61,N986),INDEX(TrocasEquip!$H$2:$H$1000,M986))))</f>
        <v/>
      </c>
    </row>
    <row r="987">
      <c r="A987" s="54" t="n"/>
      <c r="B987" s="55" t="n"/>
      <c r="C987">
        <f>IF(B987="","",IF(N987="","posição não encontrada",IF(M987=0,INDEX(Equipamentos!$S$2:$S$61,N987),INDEX(TrocasEquip!$G$2:$G$1000,M987))))</f>
        <v/>
      </c>
      <c r="D987" s="56">
        <f>IF(OR(A987="",N987=""),"",P987+IF(E987="dias",MAX(0,A987-O987),IF(INDEX(Equipamentos!$D$2:$D$61,N987)=2,SUMIFS(Producao!$D:$D,Producao!$A:$A,"&gt;="&amp;O987,Producao!$A:$A,"&lt;"&amp;A987),IF(INDEX(Equipamentos!$D$2:$D$61,N987)=3,SUMIFS(Producao!$E:$E,Producao!$A:$A,"&gt;="&amp;O987,Producao!$A:$A,"&lt;"&amp;A987),SUMIFS(Producao!$B:$B,Producao!$A:$A,"&gt;="&amp;O987,Producao!$A:$A,"&lt;"&amp;A987)))))</f>
        <v/>
      </c>
      <c r="E987">
        <f>IF(N987="","",INDEX(Equipamentos!$C$2:$C$61,N987))</f>
        <v/>
      </c>
      <c r="F987" s="57">
        <f>IF(OR(D987="",N(Q987)&lt;=0),"",D987/Q987)</f>
        <v/>
      </c>
      <c r="G987" s="55" t="n"/>
      <c r="H987" s="58" t="n"/>
      <c r="I987" s="58" t="n"/>
      <c r="J987" s="55" t="n"/>
      <c r="K987" s="55" t="n"/>
      <c r="L987">
        <f>IF(OR(A987="",B987=""),"",_xlfn.MAXIFS(TrocasEquip!$A$2:$A$1000,TrocasEquip!$B$2:$B$1000,B987,TrocasEquip!$A$2:$A$1000,"&lt;"&amp;A987))</f>
        <v/>
      </c>
      <c r="M987">
        <f>IF(N(L987)=0,0,MATCH(1,INDEX((TrocasEquip!$B$2:$B$1000=B987)*(TrocasEquip!$A$2:$A$1000=L987),0),0))</f>
        <v/>
      </c>
      <c r="N987">
        <f>IF(B987="","",IFERROR(MATCH(B987,Equipamentos!$P$2:$P$61,0),""))</f>
        <v/>
      </c>
      <c r="O987">
        <f>IF(N987="","",IF(M987=0,INDEX(Equipamentos!$U$2:$U$61,N987),L987))</f>
        <v/>
      </c>
      <c r="P987">
        <f>IF(N987="","",IF(M987=0,N(INDEX(Equipamentos!$V$2:$V$61,N987)),N(INDEX(TrocasEquip!$I$2:$I$1000,M987))))</f>
        <v/>
      </c>
      <c r="Q987">
        <f>IF(N987="","",IF(M987=0,INDEX(Equipamentos!$T$2:$T$61,N987),IF(INDEX(TrocasEquip!$H$2:$H$1000,M987)="",INDEX(Equipamentos!$T$2:$T$61,N987),INDEX(TrocasEquip!$H$2:$H$1000,M987))))</f>
        <v/>
      </c>
    </row>
    <row r="988">
      <c r="A988" s="54" t="n"/>
      <c r="B988" s="55" t="n"/>
      <c r="C988">
        <f>IF(B988="","",IF(N988="","posição não encontrada",IF(M988=0,INDEX(Equipamentos!$S$2:$S$61,N988),INDEX(TrocasEquip!$G$2:$G$1000,M988))))</f>
        <v/>
      </c>
      <c r="D988" s="56">
        <f>IF(OR(A988="",N988=""),"",P988+IF(E988="dias",MAX(0,A988-O988),IF(INDEX(Equipamentos!$D$2:$D$61,N988)=2,SUMIFS(Producao!$D:$D,Producao!$A:$A,"&gt;="&amp;O988,Producao!$A:$A,"&lt;"&amp;A988),IF(INDEX(Equipamentos!$D$2:$D$61,N988)=3,SUMIFS(Producao!$E:$E,Producao!$A:$A,"&gt;="&amp;O988,Producao!$A:$A,"&lt;"&amp;A988),SUMIFS(Producao!$B:$B,Producao!$A:$A,"&gt;="&amp;O988,Producao!$A:$A,"&lt;"&amp;A988)))))</f>
        <v/>
      </c>
      <c r="E988">
        <f>IF(N988="","",INDEX(Equipamentos!$C$2:$C$61,N988))</f>
        <v/>
      </c>
      <c r="F988" s="57">
        <f>IF(OR(D988="",N(Q988)&lt;=0),"",D988/Q988)</f>
        <v/>
      </c>
      <c r="G988" s="55" t="n"/>
      <c r="H988" s="58" t="n"/>
      <c r="I988" s="58" t="n"/>
      <c r="J988" s="55" t="n"/>
      <c r="K988" s="55" t="n"/>
      <c r="L988">
        <f>IF(OR(A988="",B988=""),"",_xlfn.MAXIFS(TrocasEquip!$A$2:$A$1000,TrocasEquip!$B$2:$B$1000,B988,TrocasEquip!$A$2:$A$1000,"&lt;"&amp;A988))</f>
        <v/>
      </c>
      <c r="M988">
        <f>IF(N(L988)=0,0,MATCH(1,INDEX((TrocasEquip!$B$2:$B$1000=B988)*(TrocasEquip!$A$2:$A$1000=L988),0),0))</f>
        <v/>
      </c>
      <c r="N988">
        <f>IF(B988="","",IFERROR(MATCH(B988,Equipamentos!$P$2:$P$61,0),""))</f>
        <v/>
      </c>
      <c r="O988">
        <f>IF(N988="","",IF(M988=0,INDEX(Equipamentos!$U$2:$U$61,N988),L988))</f>
        <v/>
      </c>
      <c r="P988">
        <f>IF(N988="","",IF(M988=0,N(INDEX(Equipamentos!$V$2:$V$61,N988)),N(INDEX(TrocasEquip!$I$2:$I$1000,M988))))</f>
        <v/>
      </c>
      <c r="Q988">
        <f>IF(N988="","",IF(M988=0,INDEX(Equipamentos!$T$2:$T$61,N988),IF(INDEX(TrocasEquip!$H$2:$H$1000,M988)="",INDEX(Equipamentos!$T$2:$T$61,N988),INDEX(TrocasEquip!$H$2:$H$1000,M988))))</f>
        <v/>
      </c>
    </row>
    <row r="989">
      <c r="A989" s="54" t="n"/>
      <c r="B989" s="55" t="n"/>
      <c r="C989">
        <f>IF(B989="","",IF(N989="","posição não encontrada",IF(M989=0,INDEX(Equipamentos!$S$2:$S$61,N989),INDEX(TrocasEquip!$G$2:$G$1000,M989))))</f>
        <v/>
      </c>
      <c r="D989" s="56">
        <f>IF(OR(A989="",N989=""),"",P989+IF(E989="dias",MAX(0,A989-O989),IF(INDEX(Equipamentos!$D$2:$D$61,N989)=2,SUMIFS(Producao!$D:$D,Producao!$A:$A,"&gt;="&amp;O989,Producao!$A:$A,"&lt;"&amp;A989),IF(INDEX(Equipamentos!$D$2:$D$61,N989)=3,SUMIFS(Producao!$E:$E,Producao!$A:$A,"&gt;="&amp;O989,Producao!$A:$A,"&lt;"&amp;A989),SUMIFS(Producao!$B:$B,Producao!$A:$A,"&gt;="&amp;O989,Producao!$A:$A,"&lt;"&amp;A989)))))</f>
        <v/>
      </c>
      <c r="E989">
        <f>IF(N989="","",INDEX(Equipamentos!$C$2:$C$61,N989))</f>
        <v/>
      </c>
      <c r="F989" s="57">
        <f>IF(OR(D989="",N(Q989)&lt;=0),"",D989/Q989)</f>
        <v/>
      </c>
      <c r="G989" s="55" t="n"/>
      <c r="H989" s="58" t="n"/>
      <c r="I989" s="58" t="n"/>
      <c r="J989" s="55" t="n"/>
      <c r="K989" s="55" t="n"/>
      <c r="L989">
        <f>IF(OR(A989="",B989=""),"",_xlfn.MAXIFS(TrocasEquip!$A$2:$A$1000,TrocasEquip!$B$2:$B$1000,B989,TrocasEquip!$A$2:$A$1000,"&lt;"&amp;A989))</f>
        <v/>
      </c>
      <c r="M989">
        <f>IF(N(L989)=0,0,MATCH(1,INDEX((TrocasEquip!$B$2:$B$1000=B989)*(TrocasEquip!$A$2:$A$1000=L989),0),0))</f>
        <v/>
      </c>
      <c r="N989">
        <f>IF(B989="","",IFERROR(MATCH(B989,Equipamentos!$P$2:$P$61,0),""))</f>
        <v/>
      </c>
      <c r="O989">
        <f>IF(N989="","",IF(M989=0,INDEX(Equipamentos!$U$2:$U$61,N989),L989))</f>
        <v/>
      </c>
      <c r="P989">
        <f>IF(N989="","",IF(M989=0,N(INDEX(Equipamentos!$V$2:$V$61,N989)),N(INDEX(TrocasEquip!$I$2:$I$1000,M989))))</f>
        <v/>
      </c>
      <c r="Q989">
        <f>IF(N989="","",IF(M989=0,INDEX(Equipamentos!$T$2:$T$61,N989),IF(INDEX(TrocasEquip!$H$2:$H$1000,M989)="",INDEX(Equipamentos!$T$2:$T$61,N989),INDEX(TrocasEquip!$H$2:$H$1000,M989))))</f>
        <v/>
      </c>
    </row>
    <row r="990">
      <c r="A990" s="54" t="n"/>
      <c r="B990" s="55" t="n"/>
      <c r="C990">
        <f>IF(B990="","",IF(N990="","posição não encontrada",IF(M990=0,INDEX(Equipamentos!$S$2:$S$61,N990),INDEX(TrocasEquip!$G$2:$G$1000,M990))))</f>
        <v/>
      </c>
      <c r="D990" s="56">
        <f>IF(OR(A990="",N990=""),"",P990+IF(E990="dias",MAX(0,A990-O990),IF(INDEX(Equipamentos!$D$2:$D$61,N990)=2,SUMIFS(Producao!$D:$D,Producao!$A:$A,"&gt;="&amp;O990,Producao!$A:$A,"&lt;"&amp;A990),IF(INDEX(Equipamentos!$D$2:$D$61,N990)=3,SUMIFS(Producao!$E:$E,Producao!$A:$A,"&gt;="&amp;O990,Producao!$A:$A,"&lt;"&amp;A990),SUMIFS(Producao!$B:$B,Producao!$A:$A,"&gt;="&amp;O990,Producao!$A:$A,"&lt;"&amp;A990)))))</f>
        <v/>
      </c>
      <c r="E990">
        <f>IF(N990="","",INDEX(Equipamentos!$C$2:$C$61,N990))</f>
        <v/>
      </c>
      <c r="F990" s="57">
        <f>IF(OR(D990="",N(Q990)&lt;=0),"",D990/Q990)</f>
        <v/>
      </c>
      <c r="G990" s="55" t="n"/>
      <c r="H990" s="58" t="n"/>
      <c r="I990" s="58" t="n"/>
      <c r="J990" s="55" t="n"/>
      <c r="K990" s="55" t="n"/>
      <c r="L990">
        <f>IF(OR(A990="",B990=""),"",_xlfn.MAXIFS(TrocasEquip!$A$2:$A$1000,TrocasEquip!$B$2:$B$1000,B990,TrocasEquip!$A$2:$A$1000,"&lt;"&amp;A990))</f>
        <v/>
      </c>
      <c r="M990">
        <f>IF(N(L990)=0,0,MATCH(1,INDEX((TrocasEquip!$B$2:$B$1000=B990)*(TrocasEquip!$A$2:$A$1000=L990),0),0))</f>
        <v/>
      </c>
      <c r="N990">
        <f>IF(B990="","",IFERROR(MATCH(B990,Equipamentos!$P$2:$P$61,0),""))</f>
        <v/>
      </c>
      <c r="O990">
        <f>IF(N990="","",IF(M990=0,INDEX(Equipamentos!$U$2:$U$61,N990),L990))</f>
        <v/>
      </c>
      <c r="P990">
        <f>IF(N990="","",IF(M990=0,N(INDEX(Equipamentos!$V$2:$V$61,N990)),N(INDEX(TrocasEquip!$I$2:$I$1000,M990))))</f>
        <v/>
      </c>
      <c r="Q990">
        <f>IF(N990="","",IF(M990=0,INDEX(Equipamentos!$T$2:$T$61,N990),IF(INDEX(TrocasEquip!$H$2:$H$1000,M990)="",INDEX(Equipamentos!$T$2:$T$61,N990),INDEX(TrocasEquip!$H$2:$H$1000,M990))))</f>
        <v/>
      </c>
    </row>
    <row r="991">
      <c r="A991" s="54" t="n"/>
      <c r="B991" s="55" t="n"/>
      <c r="C991">
        <f>IF(B991="","",IF(N991="","posição não encontrada",IF(M991=0,INDEX(Equipamentos!$S$2:$S$61,N991),INDEX(TrocasEquip!$G$2:$G$1000,M991))))</f>
        <v/>
      </c>
      <c r="D991" s="56">
        <f>IF(OR(A991="",N991=""),"",P991+IF(E991="dias",MAX(0,A991-O991),IF(INDEX(Equipamentos!$D$2:$D$61,N991)=2,SUMIFS(Producao!$D:$D,Producao!$A:$A,"&gt;="&amp;O991,Producao!$A:$A,"&lt;"&amp;A991),IF(INDEX(Equipamentos!$D$2:$D$61,N991)=3,SUMIFS(Producao!$E:$E,Producao!$A:$A,"&gt;="&amp;O991,Producao!$A:$A,"&lt;"&amp;A991),SUMIFS(Producao!$B:$B,Producao!$A:$A,"&gt;="&amp;O991,Producao!$A:$A,"&lt;"&amp;A991)))))</f>
        <v/>
      </c>
      <c r="E991">
        <f>IF(N991="","",INDEX(Equipamentos!$C$2:$C$61,N991))</f>
        <v/>
      </c>
      <c r="F991" s="57">
        <f>IF(OR(D991="",N(Q991)&lt;=0),"",D991/Q991)</f>
        <v/>
      </c>
      <c r="G991" s="55" t="n"/>
      <c r="H991" s="58" t="n"/>
      <c r="I991" s="58" t="n"/>
      <c r="J991" s="55" t="n"/>
      <c r="K991" s="55" t="n"/>
      <c r="L991">
        <f>IF(OR(A991="",B991=""),"",_xlfn.MAXIFS(TrocasEquip!$A$2:$A$1000,TrocasEquip!$B$2:$B$1000,B991,TrocasEquip!$A$2:$A$1000,"&lt;"&amp;A991))</f>
        <v/>
      </c>
      <c r="M991">
        <f>IF(N(L991)=0,0,MATCH(1,INDEX((TrocasEquip!$B$2:$B$1000=B991)*(TrocasEquip!$A$2:$A$1000=L991),0),0))</f>
        <v/>
      </c>
      <c r="N991">
        <f>IF(B991="","",IFERROR(MATCH(B991,Equipamentos!$P$2:$P$61,0),""))</f>
        <v/>
      </c>
      <c r="O991">
        <f>IF(N991="","",IF(M991=0,INDEX(Equipamentos!$U$2:$U$61,N991),L991))</f>
        <v/>
      </c>
      <c r="P991">
        <f>IF(N991="","",IF(M991=0,N(INDEX(Equipamentos!$V$2:$V$61,N991)),N(INDEX(TrocasEquip!$I$2:$I$1000,M991))))</f>
        <v/>
      </c>
      <c r="Q991">
        <f>IF(N991="","",IF(M991=0,INDEX(Equipamentos!$T$2:$T$61,N991),IF(INDEX(TrocasEquip!$H$2:$H$1000,M991)="",INDEX(Equipamentos!$T$2:$T$61,N991),INDEX(TrocasEquip!$H$2:$H$1000,M991))))</f>
        <v/>
      </c>
    </row>
    <row r="992">
      <c r="A992" s="54" t="n"/>
      <c r="B992" s="55" t="n"/>
      <c r="C992">
        <f>IF(B992="","",IF(N992="","posição não encontrada",IF(M992=0,INDEX(Equipamentos!$S$2:$S$61,N992),INDEX(TrocasEquip!$G$2:$G$1000,M992))))</f>
        <v/>
      </c>
      <c r="D992" s="56">
        <f>IF(OR(A992="",N992=""),"",P992+IF(E992="dias",MAX(0,A992-O992),IF(INDEX(Equipamentos!$D$2:$D$61,N992)=2,SUMIFS(Producao!$D:$D,Producao!$A:$A,"&gt;="&amp;O992,Producao!$A:$A,"&lt;"&amp;A992),IF(INDEX(Equipamentos!$D$2:$D$61,N992)=3,SUMIFS(Producao!$E:$E,Producao!$A:$A,"&gt;="&amp;O992,Producao!$A:$A,"&lt;"&amp;A992),SUMIFS(Producao!$B:$B,Producao!$A:$A,"&gt;="&amp;O992,Producao!$A:$A,"&lt;"&amp;A992)))))</f>
        <v/>
      </c>
      <c r="E992">
        <f>IF(N992="","",INDEX(Equipamentos!$C$2:$C$61,N992))</f>
        <v/>
      </c>
      <c r="F992" s="57">
        <f>IF(OR(D992="",N(Q992)&lt;=0),"",D992/Q992)</f>
        <v/>
      </c>
      <c r="G992" s="55" t="n"/>
      <c r="H992" s="58" t="n"/>
      <c r="I992" s="58" t="n"/>
      <c r="J992" s="55" t="n"/>
      <c r="K992" s="55" t="n"/>
      <c r="L992">
        <f>IF(OR(A992="",B992=""),"",_xlfn.MAXIFS(TrocasEquip!$A$2:$A$1000,TrocasEquip!$B$2:$B$1000,B992,TrocasEquip!$A$2:$A$1000,"&lt;"&amp;A992))</f>
        <v/>
      </c>
      <c r="M992">
        <f>IF(N(L992)=0,0,MATCH(1,INDEX((TrocasEquip!$B$2:$B$1000=B992)*(TrocasEquip!$A$2:$A$1000=L992),0),0))</f>
        <v/>
      </c>
      <c r="N992">
        <f>IF(B992="","",IFERROR(MATCH(B992,Equipamentos!$P$2:$P$61,0),""))</f>
        <v/>
      </c>
      <c r="O992">
        <f>IF(N992="","",IF(M992=0,INDEX(Equipamentos!$U$2:$U$61,N992),L992))</f>
        <v/>
      </c>
      <c r="P992">
        <f>IF(N992="","",IF(M992=0,N(INDEX(Equipamentos!$V$2:$V$61,N992)),N(INDEX(TrocasEquip!$I$2:$I$1000,M992))))</f>
        <v/>
      </c>
      <c r="Q992">
        <f>IF(N992="","",IF(M992=0,INDEX(Equipamentos!$T$2:$T$61,N992),IF(INDEX(TrocasEquip!$H$2:$H$1000,M992)="",INDEX(Equipamentos!$T$2:$T$61,N992),INDEX(TrocasEquip!$H$2:$H$1000,M992))))</f>
        <v/>
      </c>
    </row>
    <row r="993">
      <c r="A993" s="54" t="n"/>
      <c r="B993" s="55" t="n"/>
      <c r="C993">
        <f>IF(B993="","",IF(N993="","posição não encontrada",IF(M993=0,INDEX(Equipamentos!$S$2:$S$61,N993),INDEX(TrocasEquip!$G$2:$G$1000,M993))))</f>
        <v/>
      </c>
      <c r="D993" s="56">
        <f>IF(OR(A993="",N993=""),"",P993+IF(E993="dias",MAX(0,A993-O993),IF(INDEX(Equipamentos!$D$2:$D$61,N993)=2,SUMIFS(Producao!$D:$D,Producao!$A:$A,"&gt;="&amp;O993,Producao!$A:$A,"&lt;"&amp;A993),IF(INDEX(Equipamentos!$D$2:$D$61,N993)=3,SUMIFS(Producao!$E:$E,Producao!$A:$A,"&gt;="&amp;O993,Producao!$A:$A,"&lt;"&amp;A993),SUMIFS(Producao!$B:$B,Producao!$A:$A,"&gt;="&amp;O993,Producao!$A:$A,"&lt;"&amp;A993)))))</f>
        <v/>
      </c>
      <c r="E993">
        <f>IF(N993="","",INDEX(Equipamentos!$C$2:$C$61,N993))</f>
        <v/>
      </c>
      <c r="F993" s="57">
        <f>IF(OR(D993="",N(Q993)&lt;=0),"",D993/Q993)</f>
        <v/>
      </c>
      <c r="G993" s="55" t="n"/>
      <c r="H993" s="58" t="n"/>
      <c r="I993" s="58" t="n"/>
      <c r="J993" s="55" t="n"/>
      <c r="K993" s="55" t="n"/>
      <c r="L993">
        <f>IF(OR(A993="",B993=""),"",_xlfn.MAXIFS(TrocasEquip!$A$2:$A$1000,TrocasEquip!$B$2:$B$1000,B993,TrocasEquip!$A$2:$A$1000,"&lt;"&amp;A993))</f>
        <v/>
      </c>
      <c r="M993">
        <f>IF(N(L993)=0,0,MATCH(1,INDEX((TrocasEquip!$B$2:$B$1000=B993)*(TrocasEquip!$A$2:$A$1000=L993),0),0))</f>
        <v/>
      </c>
      <c r="N993">
        <f>IF(B993="","",IFERROR(MATCH(B993,Equipamentos!$P$2:$P$61,0),""))</f>
        <v/>
      </c>
      <c r="O993">
        <f>IF(N993="","",IF(M993=0,INDEX(Equipamentos!$U$2:$U$61,N993),L993))</f>
        <v/>
      </c>
      <c r="P993">
        <f>IF(N993="","",IF(M993=0,N(INDEX(Equipamentos!$V$2:$V$61,N993)),N(INDEX(TrocasEquip!$I$2:$I$1000,M993))))</f>
        <v/>
      </c>
      <c r="Q993">
        <f>IF(N993="","",IF(M993=0,INDEX(Equipamentos!$T$2:$T$61,N993),IF(INDEX(TrocasEquip!$H$2:$H$1000,M993)="",INDEX(Equipamentos!$T$2:$T$61,N993),INDEX(TrocasEquip!$H$2:$H$1000,M993))))</f>
        <v/>
      </c>
    </row>
    <row r="994">
      <c r="A994" s="54" t="n"/>
      <c r="B994" s="55" t="n"/>
      <c r="C994">
        <f>IF(B994="","",IF(N994="","posição não encontrada",IF(M994=0,INDEX(Equipamentos!$S$2:$S$61,N994),INDEX(TrocasEquip!$G$2:$G$1000,M994))))</f>
        <v/>
      </c>
      <c r="D994" s="56">
        <f>IF(OR(A994="",N994=""),"",P994+IF(E994="dias",MAX(0,A994-O994),IF(INDEX(Equipamentos!$D$2:$D$61,N994)=2,SUMIFS(Producao!$D:$D,Producao!$A:$A,"&gt;="&amp;O994,Producao!$A:$A,"&lt;"&amp;A994),IF(INDEX(Equipamentos!$D$2:$D$61,N994)=3,SUMIFS(Producao!$E:$E,Producao!$A:$A,"&gt;="&amp;O994,Producao!$A:$A,"&lt;"&amp;A994),SUMIFS(Producao!$B:$B,Producao!$A:$A,"&gt;="&amp;O994,Producao!$A:$A,"&lt;"&amp;A994)))))</f>
        <v/>
      </c>
      <c r="E994">
        <f>IF(N994="","",INDEX(Equipamentos!$C$2:$C$61,N994))</f>
        <v/>
      </c>
      <c r="F994" s="57">
        <f>IF(OR(D994="",N(Q994)&lt;=0),"",D994/Q994)</f>
        <v/>
      </c>
      <c r="G994" s="55" t="n"/>
      <c r="H994" s="58" t="n"/>
      <c r="I994" s="58" t="n"/>
      <c r="J994" s="55" t="n"/>
      <c r="K994" s="55" t="n"/>
      <c r="L994">
        <f>IF(OR(A994="",B994=""),"",_xlfn.MAXIFS(TrocasEquip!$A$2:$A$1000,TrocasEquip!$B$2:$B$1000,B994,TrocasEquip!$A$2:$A$1000,"&lt;"&amp;A994))</f>
        <v/>
      </c>
      <c r="M994">
        <f>IF(N(L994)=0,0,MATCH(1,INDEX((TrocasEquip!$B$2:$B$1000=B994)*(TrocasEquip!$A$2:$A$1000=L994),0),0))</f>
        <v/>
      </c>
      <c r="N994">
        <f>IF(B994="","",IFERROR(MATCH(B994,Equipamentos!$P$2:$P$61,0),""))</f>
        <v/>
      </c>
      <c r="O994">
        <f>IF(N994="","",IF(M994=0,INDEX(Equipamentos!$U$2:$U$61,N994),L994))</f>
        <v/>
      </c>
      <c r="P994">
        <f>IF(N994="","",IF(M994=0,N(INDEX(Equipamentos!$V$2:$V$61,N994)),N(INDEX(TrocasEquip!$I$2:$I$1000,M994))))</f>
        <v/>
      </c>
      <c r="Q994">
        <f>IF(N994="","",IF(M994=0,INDEX(Equipamentos!$T$2:$T$61,N994),IF(INDEX(TrocasEquip!$H$2:$H$1000,M994)="",INDEX(Equipamentos!$T$2:$T$61,N994),INDEX(TrocasEquip!$H$2:$H$1000,M994))))</f>
        <v/>
      </c>
    </row>
    <row r="995">
      <c r="A995" s="54" t="n"/>
      <c r="B995" s="55" t="n"/>
      <c r="C995">
        <f>IF(B995="","",IF(N995="","posição não encontrada",IF(M995=0,INDEX(Equipamentos!$S$2:$S$61,N995),INDEX(TrocasEquip!$G$2:$G$1000,M995))))</f>
        <v/>
      </c>
      <c r="D995" s="56">
        <f>IF(OR(A995="",N995=""),"",P995+IF(E995="dias",MAX(0,A995-O995),IF(INDEX(Equipamentos!$D$2:$D$61,N995)=2,SUMIFS(Producao!$D:$D,Producao!$A:$A,"&gt;="&amp;O995,Producao!$A:$A,"&lt;"&amp;A995),IF(INDEX(Equipamentos!$D$2:$D$61,N995)=3,SUMIFS(Producao!$E:$E,Producao!$A:$A,"&gt;="&amp;O995,Producao!$A:$A,"&lt;"&amp;A995),SUMIFS(Producao!$B:$B,Producao!$A:$A,"&gt;="&amp;O995,Producao!$A:$A,"&lt;"&amp;A995)))))</f>
        <v/>
      </c>
      <c r="E995">
        <f>IF(N995="","",INDEX(Equipamentos!$C$2:$C$61,N995))</f>
        <v/>
      </c>
      <c r="F995" s="57">
        <f>IF(OR(D995="",N(Q995)&lt;=0),"",D995/Q995)</f>
        <v/>
      </c>
      <c r="G995" s="55" t="n"/>
      <c r="H995" s="58" t="n"/>
      <c r="I995" s="58" t="n"/>
      <c r="J995" s="55" t="n"/>
      <c r="K995" s="55" t="n"/>
      <c r="L995">
        <f>IF(OR(A995="",B995=""),"",_xlfn.MAXIFS(TrocasEquip!$A$2:$A$1000,TrocasEquip!$B$2:$B$1000,B995,TrocasEquip!$A$2:$A$1000,"&lt;"&amp;A995))</f>
        <v/>
      </c>
      <c r="M995">
        <f>IF(N(L995)=0,0,MATCH(1,INDEX((TrocasEquip!$B$2:$B$1000=B995)*(TrocasEquip!$A$2:$A$1000=L995),0),0))</f>
        <v/>
      </c>
      <c r="N995">
        <f>IF(B995="","",IFERROR(MATCH(B995,Equipamentos!$P$2:$P$61,0),""))</f>
        <v/>
      </c>
      <c r="O995">
        <f>IF(N995="","",IF(M995=0,INDEX(Equipamentos!$U$2:$U$61,N995),L995))</f>
        <v/>
      </c>
      <c r="P995">
        <f>IF(N995="","",IF(M995=0,N(INDEX(Equipamentos!$V$2:$V$61,N995)),N(INDEX(TrocasEquip!$I$2:$I$1000,M995))))</f>
        <v/>
      </c>
      <c r="Q995">
        <f>IF(N995="","",IF(M995=0,INDEX(Equipamentos!$T$2:$T$61,N995),IF(INDEX(TrocasEquip!$H$2:$H$1000,M995)="",INDEX(Equipamentos!$T$2:$T$61,N995),INDEX(TrocasEquip!$H$2:$H$1000,M995))))</f>
        <v/>
      </c>
    </row>
    <row r="996">
      <c r="A996" s="54" t="n"/>
      <c r="B996" s="55" t="n"/>
      <c r="C996">
        <f>IF(B996="","",IF(N996="","posição não encontrada",IF(M996=0,INDEX(Equipamentos!$S$2:$S$61,N996),INDEX(TrocasEquip!$G$2:$G$1000,M996))))</f>
        <v/>
      </c>
      <c r="D996" s="56">
        <f>IF(OR(A996="",N996=""),"",P996+IF(E996="dias",MAX(0,A996-O996),IF(INDEX(Equipamentos!$D$2:$D$61,N996)=2,SUMIFS(Producao!$D:$D,Producao!$A:$A,"&gt;="&amp;O996,Producao!$A:$A,"&lt;"&amp;A996),IF(INDEX(Equipamentos!$D$2:$D$61,N996)=3,SUMIFS(Producao!$E:$E,Producao!$A:$A,"&gt;="&amp;O996,Producao!$A:$A,"&lt;"&amp;A996),SUMIFS(Producao!$B:$B,Producao!$A:$A,"&gt;="&amp;O996,Producao!$A:$A,"&lt;"&amp;A996)))))</f>
        <v/>
      </c>
      <c r="E996">
        <f>IF(N996="","",INDEX(Equipamentos!$C$2:$C$61,N996))</f>
        <v/>
      </c>
      <c r="F996" s="57">
        <f>IF(OR(D996="",N(Q996)&lt;=0),"",D996/Q996)</f>
        <v/>
      </c>
      <c r="G996" s="55" t="n"/>
      <c r="H996" s="58" t="n"/>
      <c r="I996" s="58" t="n"/>
      <c r="J996" s="55" t="n"/>
      <c r="K996" s="55" t="n"/>
      <c r="L996">
        <f>IF(OR(A996="",B996=""),"",_xlfn.MAXIFS(TrocasEquip!$A$2:$A$1000,TrocasEquip!$B$2:$B$1000,B996,TrocasEquip!$A$2:$A$1000,"&lt;"&amp;A996))</f>
        <v/>
      </c>
      <c r="M996">
        <f>IF(N(L996)=0,0,MATCH(1,INDEX((TrocasEquip!$B$2:$B$1000=B996)*(TrocasEquip!$A$2:$A$1000=L996),0),0))</f>
        <v/>
      </c>
      <c r="N996">
        <f>IF(B996="","",IFERROR(MATCH(B996,Equipamentos!$P$2:$P$61,0),""))</f>
        <v/>
      </c>
      <c r="O996">
        <f>IF(N996="","",IF(M996=0,INDEX(Equipamentos!$U$2:$U$61,N996),L996))</f>
        <v/>
      </c>
      <c r="P996">
        <f>IF(N996="","",IF(M996=0,N(INDEX(Equipamentos!$V$2:$V$61,N996)),N(INDEX(TrocasEquip!$I$2:$I$1000,M996))))</f>
        <v/>
      </c>
      <c r="Q996">
        <f>IF(N996="","",IF(M996=0,INDEX(Equipamentos!$T$2:$T$61,N996),IF(INDEX(TrocasEquip!$H$2:$H$1000,M996)="",INDEX(Equipamentos!$T$2:$T$61,N996),INDEX(TrocasEquip!$H$2:$H$1000,M996))))</f>
        <v/>
      </c>
    </row>
    <row r="997">
      <c r="A997" s="54" t="n"/>
      <c r="B997" s="55" t="n"/>
      <c r="C997">
        <f>IF(B997="","",IF(N997="","posição não encontrada",IF(M997=0,INDEX(Equipamentos!$S$2:$S$61,N997),INDEX(TrocasEquip!$G$2:$G$1000,M997))))</f>
        <v/>
      </c>
      <c r="D997" s="56">
        <f>IF(OR(A997="",N997=""),"",P997+IF(E997="dias",MAX(0,A997-O997),IF(INDEX(Equipamentos!$D$2:$D$61,N997)=2,SUMIFS(Producao!$D:$D,Producao!$A:$A,"&gt;="&amp;O997,Producao!$A:$A,"&lt;"&amp;A997),IF(INDEX(Equipamentos!$D$2:$D$61,N997)=3,SUMIFS(Producao!$E:$E,Producao!$A:$A,"&gt;="&amp;O997,Producao!$A:$A,"&lt;"&amp;A997),SUMIFS(Producao!$B:$B,Producao!$A:$A,"&gt;="&amp;O997,Producao!$A:$A,"&lt;"&amp;A997)))))</f>
        <v/>
      </c>
      <c r="E997">
        <f>IF(N997="","",INDEX(Equipamentos!$C$2:$C$61,N997))</f>
        <v/>
      </c>
      <c r="F997" s="57">
        <f>IF(OR(D997="",N(Q997)&lt;=0),"",D997/Q997)</f>
        <v/>
      </c>
      <c r="G997" s="55" t="n"/>
      <c r="H997" s="58" t="n"/>
      <c r="I997" s="58" t="n"/>
      <c r="J997" s="55" t="n"/>
      <c r="K997" s="55" t="n"/>
      <c r="L997">
        <f>IF(OR(A997="",B997=""),"",_xlfn.MAXIFS(TrocasEquip!$A$2:$A$1000,TrocasEquip!$B$2:$B$1000,B997,TrocasEquip!$A$2:$A$1000,"&lt;"&amp;A997))</f>
        <v/>
      </c>
      <c r="M997">
        <f>IF(N(L997)=0,0,MATCH(1,INDEX((TrocasEquip!$B$2:$B$1000=B997)*(TrocasEquip!$A$2:$A$1000=L997),0),0))</f>
        <v/>
      </c>
      <c r="N997">
        <f>IF(B997="","",IFERROR(MATCH(B997,Equipamentos!$P$2:$P$61,0),""))</f>
        <v/>
      </c>
      <c r="O997">
        <f>IF(N997="","",IF(M997=0,INDEX(Equipamentos!$U$2:$U$61,N997),L997))</f>
        <v/>
      </c>
      <c r="P997">
        <f>IF(N997="","",IF(M997=0,N(INDEX(Equipamentos!$V$2:$V$61,N997)),N(INDEX(TrocasEquip!$I$2:$I$1000,M997))))</f>
        <v/>
      </c>
      <c r="Q997">
        <f>IF(N997="","",IF(M997=0,INDEX(Equipamentos!$T$2:$T$61,N997),IF(INDEX(TrocasEquip!$H$2:$H$1000,M997)="",INDEX(Equipamentos!$T$2:$T$61,N997),INDEX(TrocasEquip!$H$2:$H$1000,M997))))</f>
        <v/>
      </c>
    </row>
    <row r="998">
      <c r="A998" s="54" t="n"/>
      <c r="B998" s="55" t="n"/>
      <c r="C998">
        <f>IF(B998="","",IF(N998="","posição não encontrada",IF(M998=0,INDEX(Equipamentos!$S$2:$S$61,N998),INDEX(TrocasEquip!$G$2:$G$1000,M998))))</f>
        <v/>
      </c>
      <c r="D998" s="56">
        <f>IF(OR(A998="",N998=""),"",P998+IF(E998="dias",MAX(0,A998-O998),IF(INDEX(Equipamentos!$D$2:$D$61,N998)=2,SUMIFS(Producao!$D:$D,Producao!$A:$A,"&gt;="&amp;O998,Producao!$A:$A,"&lt;"&amp;A998),IF(INDEX(Equipamentos!$D$2:$D$61,N998)=3,SUMIFS(Producao!$E:$E,Producao!$A:$A,"&gt;="&amp;O998,Producao!$A:$A,"&lt;"&amp;A998),SUMIFS(Producao!$B:$B,Producao!$A:$A,"&gt;="&amp;O998,Producao!$A:$A,"&lt;"&amp;A998)))))</f>
        <v/>
      </c>
      <c r="E998">
        <f>IF(N998="","",INDEX(Equipamentos!$C$2:$C$61,N998))</f>
        <v/>
      </c>
      <c r="F998" s="57">
        <f>IF(OR(D998="",N(Q998)&lt;=0),"",D998/Q998)</f>
        <v/>
      </c>
      <c r="G998" s="55" t="n"/>
      <c r="H998" s="58" t="n"/>
      <c r="I998" s="58" t="n"/>
      <c r="J998" s="55" t="n"/>
      <c r="K998" s="55" t="n"/>
      <c r="L998">
        <f>IF(OR(A998="",B998=""),"",_xlfn.MAXIFS(TrocasEquip!$A$2:$A$1000,TrocasEquip!$B$2:$B$1000,B998,TrocasEquip!$A$2:$A$1000,"&lt;"&amp;A998))</f>
        <v/>
      </c>
      <c r="M998">
        <f>IF(N(L998)=0,0,MATCH(1,INDEX((TrocasEquip!$B$2:$B$1000=B998)*(TrocasEquip!$A$2:$A$1000=L998),0),0))</f>
        <v/>
      </c>
      <c r="N998">
        <f>IF(B998="","",IFERROR(MATCH(B998,Equipamentos!$P$2:$P$61,0),""))</f>
        <v/>
      </c>
      <c r="O998">
        <f>IF(N998="","",IF(M998=0,INDEX(Equipamentos!$U$2:$U$61,N998),L998))</f>
        <v/>
      </c>
      <c r="P998">
        <f>IF(N998="","",IF(M998=0,N(INDEX(Equipamentos!$V$2:$V$61,N998)),N(INDEX(TrocasEquip!$I$2:$I$1000,M998))))</f>
        <v/>
      </c>
      <c r="Q998">
        <f>IF(N998="","",IF(M998=0,INDEX(Equipamentos!$T$2:$T$61,N998),IF(INDEX(TrocasEquip!$H$2:$H$1000,M998)="",INDEX(Equipamentos!$T$2:$T$61,N998),INDEX(TrocasEquip!$H$2:$H$1000,M998))))</f>
        <v/>
      </c>
    </row>
    <row r="999">
      <c r="A999" s="54" t="n"/>
      <c r="B999" s="55" t="n"/>
      <c r="C999">
        <f>IF(B999="","",IF(N999="","posição não encontrada",IF(M999=0,INDEX(Equipamentos!$S$2:$S$61,N999),INDEX(TrocasEquip!$G$2:$G$1000,M999))))</f>
        <v/>
      </c>
      <c r="D999" s="56">
        <f>IF(OR(A999="",N999=""),"",P999+IF(E999="dias",MAX(0,A999-O999),IF(INDEX(Equipamentos!$D$2:$D$61,N999)=2,SUMIFS(Producao!$D:$D,Producao!$A:$A,"&gt;="&amp;O999,Producao!$A:$A,"&lt;"&amp;A999),IF(INDEX(Equipamentos!$D$2:$D$61,N999)=3,SUMIFS(Producao!$E:$E,Producao!$A:$A,"&gt;="&amp;O999,Producao!$A:$A,"&lt;"&amp;A999),SUMIFS(Producao!$B:$B,Producao!$A:$A,"&gt;="&amp;O999,Producao!$A:$A,"&lt;"&amp;A999)))))</f>
        <v/>
      </c>
      <c r="E999">
        <f>IF(N999="","",INDEX(Equipamentos!$C$2:$C$61,N999))</f>
        <v/>
      </c>
      <c r="F999" s="57">
        <f>IF(OR(D999="",N(Q999)&lt;=0),"",D999/Q999)</f>
        <v/>
      </c>
      <c r="G999" s="55" t="n"/>
      <c r="H999" s="58" t="n"/>
      <c r="I999" s="58" t="n"/>
      <c r="J999" s="55" t="n"/>
      <c r="K999" s="55" t="n"/>
      <c r="L999">
        <f>IF(OR(A999="",B999=""),"",_xlfn.MAXIFS(TrocasEquip!$A$2:$A$1000,TrocasEquip!$B$2:$B$1000,B999,TrocasEquip!$A$2:$A$1000,"&lt;"&amp;A999))</f>
        <v/>
      </c>
      <c r="M999">
        <f>IF(N(L999)=0,0,MATCH(1,INDEX((TrocasEquip!$B$2:$B$1000=B999)*(TrocasEquip!$A$2:$A$1000=L999),0),0))</f>
        <v/>
      </c>
      <c r="N999">
        <f>IF(B999="","",IFERROR(MATCH(B999,Equipamentos!$P$2:$P$61,0),""))</f>
        <v/>
      </c>
      <c r="O999">
        <f>IF(N999="","",IF(M999=0,INDEX(Equipamentos!$U$2:$U$61,N999),L999))</f>
        <v/>
      </c>
      <c r="P999">
        <f>IF(N999="","",IF(M999=0,N(INDEX(Equipamentos!$V$2:$V$61,N999)),N(INDEX(TrocasEquip!$I$2:$I$1000,M999))))</f>
        <v/>
      </c>
      <c r="Q999">
        <f>IF(N999="","",IF(M999=0,INDEX(Equipamentos!$T$2:$T$61,N999),IF(INDEX(TrocasEquip!$H$2:$H$1000,M999)="",INDEX(Equipamentos!$T$2:$T$61,N999),INDEX(TrocasEquip!$H$2:$H$1000,M999))))</f>
        <v/>
      </c>
    </row>
    <row r="1000">
      <c r="A1000" s="54" t="n"/>
      <c r="B1000" s="55" t="n"/>
      <c r="C1000">
        <f>IF(B1000="","",IF(N1000="","posição não encontrada",IF(M1000=0,INDEX(Equipamentos!$S$2:$S$61,N1000),INDEX(TrocasEquip!$G$2:$G$1000,M1000))))</f>
        <v/>
      </c>
      <c r="D1000" s="56">
        <f>IF(OR(A1000="",N1000=""),"",P1000+IF(E1000="dias",MAX(0,A1000-O1000),IF(INDEX(Equipamentos!$D$2:$D$61,N1000)=2,SUMIFS(Producao!$D:$D,Producao!$A:$A,"&gt;="&amp;O1000,Producao!$A:$A,"&lt;"&amp;A1000),IF(INDEX(Equipamentos!$D$2:$D$61,N1000)=3,SUMIFS(Producao!$E:$E,Producao!$A:$A,"&gt;="&amp;O1000,Producao!$A:$A,"&lt;"&amp;A1000),SUMIFS(Producao!$B:$B,Producao!$A:$A,"&gt;="&amp;O1000,Producao!$A:$A,"&lt;"&amp;A1000)))))</f>
        <v/>
      </c>
      <c r="E1000">
        <f>IF(N1000="","",INDEX(Equipamentos!$C$2:$C$61,N1000))</f>
        <v/>
      </c>
      <c r="F1000" s="57">
        <f>IF(OR(D1000="",N(Q1000)&lt;=0),"",D1000/Q1000)</f>
        <v/>
      </c>
      <c r="G1000" s="55" t="n"/>
      <c r="H1000" s="58" t="n"/>
      <c r="I1000" s="58" t="n"/>
      <c r="J1000" s="55" t="n"/>
      <c r="K1000" s="55" t="n"/>
      <c r="L1000">
        <f>IF(OR(A1000="",B1000=""),"",_xlfn.MAXIFS(TrocasEquip!$A$2:$A$1000,TrocasEquip!$B$2:$B$1000,B1000,TrocasEquip!$A$2:$A$1000,"&lt;"&amp;A1000))</f>
        <v/>
      </c>
      <c r="M1000">
        <f>IF(N(L1000)=0,0,MATCH(1,INDEX((TrocasEquip!$B$2:$B$1000=B1000)*(TrocasEquip!$A$2:$A$1000=L1000),0),0))</f>
        <v/>
      </c>
      <c r="N1000">
        <f>IF(B1000="","",IFERROR(MATCH(B1000,Equipamentos!$P$2:$P$61,0),""))</f>
        <v/>
      </c>
      <c r="O1000">
        <f>IF(N1000="","",IF(M1000=0,INDEX(Equipamentos!$U$2:$U$61,N1000),L1000))</f>
        <v/>
      </c>
      <c r="P1000">
        <f>IF(N1000="","",IF(M1000=0,N(INDEX(Equipamentos!$V$2:$V$61,N1000)),N(INDEX(TrocasEquip!$I$2:$I$1000,M1000))))</f>
        <v/>
      </c>
      <c r="Q1000">
        <f>IF(N1000="","",IF(M1000=0,INDEX(Equipamentos!$T$2:$T$61,N1000),IF(INDEX(TrocasEquip!$H$2:$H$1000,M1000)="",INDEX(Equipamentos!$T$2:$T$61,N1000),INDEX(TrocasEquip!$H$2:$H$1000,M1000))))</f>
        <v/>
      </c>
    </row>
  </sheetData>
  <autoFilter ref="A1:Q5000"/>
  <dataValidations count="2">
    <dataValidation sqref="B2:B1000" showDropDown="0" showInputMessage="0" showErrorMessage="0" allowBlank="1" type="list">
      <formula1>=Equipamentos!$P$2:$P$61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0" customHeight="1">
      <c r="A1" s="53" t="inlineStr">
        <is>
          <t>Início</t>
        </is>
      </c>
      <c r="B1" s="53" t="inlineStr">
        <is>
          <t>Fim</t>
        </is>
      </c>
      <c r="C1" s="53" t="inlineStr">
        <is>
          <t>Veio / equipamento</t>
        </is>
      </c>
      <c r="D1" s="53" t="inlineStr">
        <is>
          <t>Motivo</t>
        </is>
      </c>
      <c r="E1" s="53" t="inlineStr">
        <is>
          <t>Dias parado</t>
        </is>
      </c>
      <c r="F1" s="53" t="inlineStr">
        <is>
          <t>Observação</t>
        </is>
      </c>
    </row>
    <row r="2">
      <c r="A2" s="54" t="n"/>
      <c r="B2" s="54" t="n"/>
      <c r="C2" s="55" t="n"/>
      <c r="D2" s="55" t="n"/>
      <c r="E2">
        <f>IF(OR(A2="",B2=""),"",B2-A2)</f>
        <v/>
      </c>
      <c r="F2" s="55" t="n"/>
    </row>
    <row r="3">
      <c r="A3" s="54" t="n"/>
      <c r="B3" s="54" t="n"/>
      <c r="C3" s="55" t="n"/>
      <c r="D3" s="55" t="n"/>
      <c r="E3">
        <f>IF(OR(A3="",B3=""),"",B3-A3)</f>
        <v/>
      </c>
      <c r="F3" s="55" t="n"/>
    </row>
    <row r="4">
      <c r="A4" s="54" t="n"/>
      <c r="B4" s="54" t="n"/>
      <c r="C4" s="55" t="n"/>
      <c r="D4" s="55" t="n"/>
      <c r="E4">
        <f>IF(OR(A4="",B4=""),"",B4-A4)</f>
        <v/>
      </c>
      <c r="F4" s="55" t="n"/>
    </row>
    <row r="5">
      <c r="A5" s="54" t="n"/>
      <c r="B5" s="54" t="n"/>
      <c r="C5" s="55" t="n"/>
      <c r="D5" s="55" t="n"/>
      <c r="E5">
        <f>IF(OR(A5="",B5=""),"",B5-A5)</f>
        <v/>
      </c>
      <c r="F5" s="55" t="n"/>
    </row>
    <row r="6">
      <c r="A6" s="54" t="n"/>
      <c r="B6" s="54" t="n"/>
      <c r="C6" s="55" t="n"/>
      <c r="D6" s="55" t="n"/>
      <c r="E6">
        <f>IF(OR(A6="",B6=""),"",B6-A6)</f>
        <v/>
      </c>
      <c r="F6" s="55" t="n"/>
    </row>
    <row r="7">
      <c r="A7" s="54" t="n"/>
      <c r="B7" s="54" t="n"/>
      <c r="C7" s="55" t="n"/>
      <c r="D7" s="55" t="n"/>
      <c r="E7">
        <f>IF(OR(A7="",B7=""),"",B7-A7)</f>
        <v/>
      </c>
      <c r="F7" s="55" t="n"/>
    </row>
    <row r="8">
      <c r="A8" s="54" t="n"/>
      <c r="B8" s="54" t="n"/>
      <c r="C8" s="55" t="n"/>
      <c r="D8" s="55" t="n"/>
      <c r="E8">
        <f>IF(OR(A8="",B8=""),"",B8-A8)</f>
        <v/>
      </c>
      <c r="F8" s="55" t="n"/>
    </row>
    <row r="9">
      <c r="A9" s="54" t="n"/>
      <c r="B9" s="54" t="n"/>
      <c r="C9" s="55" t="n"/>
      <c r="D9" s="55" t="n"/>
      <c r="E9">
        <f>IF(OR(A9="",B9=""),"",B9-A9)</f>
        <v/>
      </c>
      <c r="F9" s="55" t="n"/>
    </row>
    <row r="10">
      <c r="A10" s="54" t="n"/>
      <c r="B10" s="54" t="n"/>
      <c r="C10" s="55" t="n"/>
      <c r="D10" s="55" t="n"/>
      <c r="E10">
        <f>IF(OR(A10="",B10=""),"",B10-A10)</f>
        <v/>
      </c>
      <c r="F10" s="55" t="n"/>
    </row>
    <row r="11">
      <c r="A11" s="54" t="n"/>
      <c r="B11" s="54" t="n"/>
      <c r="C11" s="55" t="n"/>
      <c r="D11" s="55" t="n"/>
      <c r="E11">
        <f>IF(OR(A11="",B11=""),"",B11-A11)</f>
        <v/>
      </c>
      <c r="F11" s="55" t="n"/>
    </row>
    <row r="12">
      <c r="A12" s="54" t="n"/>
      <c r="B12" s="54" t="n"/>
      <c r="C12" s="55" t="n"/>
      <c r="D12" s="55" t="n"/>
      <c r="E12">
        <f>IF(OR(A12="",B12=""),"",B12-A12)</f>
        <v/>
      </c>
      <c r="F12" s="55" t="n"/>
    </row>
    <row r="13">
      <c r="A13" s="54" t="n"/>
      <c r="B13" s="54" t="n"/>
      <c r="C13" s="55" t="n"/>
      <c r="D13" s="55" t="n"/>
      <c r="E13">
        <f>IF(OR(A13="",B13=""),"",B13-A13)</f>
        <v/>
      </c>
      <c r="F13" s="55" t="n"/>
    </row>
    <row r="14">
      <c r="A14" s="54" t="n"/>
      <c r="B14" s="54" t="n"/>
      <c r="C14" s="55" t="n"/>
      <c r="D14" s="55" t="n"/>
      <c r="E14">
        <f>IF(OR(A14="",B14=""),"",B14-A14)</f>
        <v/>
      </c>
      <c r="F14" s="55" t="n"/>
    </row>
    <row r="15">
      <c r="A15" s="54" t="n"/>
      <c r="B15" s="54" t="n"/>
      <c r="C15" s="55" t="n"/>
      <c r="D15" s="55" t="n"/>
      <c r="E15">
        <f>IF(OR(A15="",B15=""),"",B15-A15)</f>
        <v/>
      </c>
      <c r="F15" s="55" t="n"/>
    </row>
    <row r="16">
      <c r="A16" s="54" t="n"/>
      <c r="B16" s="54" t="n"/>
      <c r="C16" s="55" t="n"/>
      <c r="D16" s="55" t="n"/>
      <c r="E16">
        <f>IF(OR(A16="",B16=""),"",B16-A16)</f>
        <v/>
      </c>
      <c r="F16" s="55" t="n"/>
    </row>
    <row r="17">
      <c r="A17" s="54" t="n"/>
      <c r="B17" s="54" t="n"/>
      <c r="C17" s="55" t="n"/>
      <c r="D17" s="55" t="n"/>
      <c r="E17">
        <f>IF(OR(A17="",B17=""),"",B17-A17)</f>
        <v/>
      </c>
      <c r="F17" s="55" t="n"/>
    </row>
    <row r="18">
      <c r="A18" s="54" t="n"/>
      <c r="B18" s="54" t="n"/>
      <c r="C18" s="55" t="n"/>
      <c r="D18" s="55" t="n"/>
      <c r="E18">
        <f>IF(OR(A18="",B18=""),"",B18-A18)</f>
        <v/>
      </c>
      <c r="F18" s="55" t="n"/>
    </row>
    <row r="19">
      <c r="A19" s="54" t="n"/>
      <c r="B19" s="54" t="n"/>
      <c r="C19" s="55" t="n"/>
      <c r="D19" s="55" t="n"/>
      <c r="E19">
        <f>IF(OR(A19="",B19=""),"",B19-A19)</f>
        <v/>
      </c>
      <c r="F19" s="55" t="n"/>
    </row>
    <row r="20">
      <c r="A20" s="54" t="n"/>
      <c r="B20" s="54" t="n"/>
      <c r="C20" s="55" t="n"/>
      <c r="D20" s="55" t="n"/>
      <c r="E20">
        <f>IF(OR(A20="",B20=""),"",B20-A20)</f>
        <v/>
      </c>
      <c r="F20" s="55" t="n"/>
    </row>
    <row r="21">
      <c r="A21" s="54" t="n"/>
      <c r="B21" s="54" t="n"/>
      <c r="C21" s="55" t="n"/>
      <c r="D21" s="55" t="n"/>
      <c r="E21">
        <f>IF(OR(A21="",B21=""),"",B21-A21)</f>
        <v/>
      </c>
      <c r="F21" s="55" t="n"/>
    </row>
    <row r="22">
      <c r="A22" s="54" t="n"/>
      <c r="B22" s="54" t="n"/>
      <c r="C22" s="55" t="n"/>
      <c r="D22" s="55" t="n"/>
      <c r="E22">
        <f>IF(OR(A22="",B22=""),"",B22-A22)</f>
        <v/>
      </c>
      <c r="F22" s="55" t="n"/>
    </row>
    <row r="23">
      <c r="A23" s="54" t="n"/>
      <c r="B23" s="54" t="n"/>
      <c r="C23" s="55" t="n"/>
      <c r="D23" s="55" t="n"/>
      <c r="E23">
        <f>IF(OR(A23="",B23=""),"",B23-A23)</f>
        <v/>
      </c>
      <c r="F23" s="55" t="n"/>
    </row>
    <row r="24">
      <c r="A24" s="54" t="n"/>
      <c r="B24" s="54" t="n"/>
      <c r="C24" s="55" t="n"/>
      <c r="D24" s="55" t="n"/>
      <c r="E24">
        <f>IF(OR(A24="",B24=""),"",B24-A24)</f>
        <v/>
      </c>
      <c r="F24" s="55" t="n"/>
    </row>
    <row r="25">
      <c r="A25" s="54" t="n"/>
      <c r="B25" s="54" t="n"/>
      <c r="C25" s="55" t="n"/>
      <c r="D25" s="55" t="n"/>
      <c r="E25">
        <f>IF(OR(A25="",B25=""),"",B25-A25)</f>
        <v/>
      </c>
      <c r="F25" s="55" t="n"/>
    </row>
    <row r="26">
      <c r="A26" s="54" t="n"/>
      <c r="B26" s="54" t="n"/>
      <c r="C26" s="55" t="n"/>
      <c r="D26" s="55" t="n"/>
      <c r="E26">
        <f>IF(OR(A26="",B26=""),"",B26-A26)</f>
        <v/>
      </c>
      <c r="F26" s="55" t="n"/>
    </row>
    <row r="27">
      <c r="A27" s="54" t="n"/>
      <c r="B27" s="54" t="n"/>
      <c r="C27" s="55" t="n"/>
      <c r="D27" s="55" t="n"/>
      <c r="E27">
        <f>IF(OR(A27="",B27=""),"",B27-A27)</f>
        <v/>
      </c>
      <c r="F27" s="55" t="n"/>
    </row>
    <row r="28">
      <c r="A28" s="54" t="n"/>
      <c r="B28" s="54" t="n"/>
      <c r="C28" s="55" t="n"/>
      <c r="D28" s="55" t="n"/>
      <c r="E28">
        <f>IF(OR(A28="",B28=""),"",B28-A28)</f>
        <v/>
      </c>
      <c r="F28" s="55" t="n"/>
    </row>
    <row r="29">
      <c r="A29" s="54" t="n"/>
      <c r="B29" s="54" t="n"/>
      <c r="C29" s="55" t="n"/>
      <c r="D29" s="55" t="n"/>
      <c r="E29">
        <f>IF(OR(A29="",B29=""),"",B29-A29)</f>
        <v/>
      </c>
      <c r="F29" s="55" t="n"/>
    </row>
    <row r="30">
      <c r="A30" s="54" t="n"/>
      <c r="B30" s="54" t="n"/>
      <c r="C30" s="55" t="n"/>
      <c r="D30" s="55" t="n"/>
      <c r="E30">
        <f>IF(OR(A30="",B30=""),"",B30-A30)</f>
        <v/>
      </c>
      <c r="F30" s="55" t="n"/>
    </row>
    <row r="31">
      <c r="A31" s="54" t="n"/>
      <c r="B31" s="54" t="n"/>
      <c r="C31" s="55" t="n"/>
      <c r="D31" s="55" t="n"/>
      <c r="E31">
        <f>IF(OR(A31="",B31=""),"",B31-A31)</f>
        <v/>
      </c>
      <c r="F31" s="55" t="n"/>
    </row>
    <row r="32">
      <c r="A32" s="54" t="n"/>
      <c r="B32" s="54" t="n"/>
      <c r="C32" s="55" t="n"/>
      <c r="D32" s="55" t="n"/>
      <c r="E32">
        <f>IF(OR(A32="",B32=""),"",B32-A32)</f>
        <v/>
      </c>
      <c r="F32" s="55" t="n"/>
    </row>
    <row r="33">
      <c r="A33" s="54" t="n"/>
      <c r="B33" s="54" t="n"/>
      <c r="C33" s="55" t="n"/>
      <c r="D33" s="55" t="n"/>
      <c r="E33">
        <f>IF(OR(A33="",B33=""),"",B33-A33)</f>
        <v/>
      </c>
      <c r="F33" s="55" t="n"/>
    </row>
    <row r="34">
      <c r="A34" s="54" t="n"/>
      <c r="B34" s="54" t="n"/>
      <c r="C34" s="55" t="n"/>
      <c r="D34" s="55" t="n"/>
      <c r="E34">
        <f>IF(OR(A34="",B34=""),"",B34-A34)</f>
        <v/>
      </c>
      <c r="F34" s="55" t="n"/>
    </row>
    <row r="35">
      <c r="A35" s="54" t="n"/>
      <c r="B35" s="54" t="n"/>
      <c r="C35" s="55" t="n"/>
      <c r="D35" s="55" t="n"/>
      <c r="E35">
        <f>IF(OR(A35="",B35=""),"",B35-A35)</f>
        <v/>
      </c>
      <c r="F35" s="55" t="n"/>
    </row>
    <row r="36">
      <c r="A36" s="54" t="n"/>
      <c r="B36" s="54" t="n"/>
      <c r="C36" s="55" t="n"/>
      <c r="D36" s="55" t="n"/>
      <c r="E36">
        <f>IF(OR(A36="",B36=""),"",B36-A36)</f>
        <v/>
      </c>
      <c r="F36" s="55" t="n"/>
    </row>
    <row r="37">
      <c r="A37" s="54" t="n"/>
      <c r="B37" s="54" t="n"/>
      <c r="C37" s="55" t="n"/>
      <c r="D37" s="55" t="n"/>
      <c r="E37">
        <f>IF(OR(A37="",B37=""),"",B37-A37)</f>
        <v/>
      </c>
      <c r="F37" s="55" t="n"/>
    </row>
    <row r="38">
      <c r="A38" s="54" t="n"/>
      <c r="B38" s="54" t="n"/>
      <c r="C38" s="55" t="n"/>
      <c r="D38" s="55" t="n"/>
      <c r="E38">
        <f>IF(OR(A38="",B38=""),"",B38-A38)</f>
        <v/>
      </c>
      <c r="F38" s="55" t="n"/>
    </row>
    <row r="39">
      <c r="A39" s="54" t="n"/>
      <c r="B39" s="54" t="n"/>
      <c r="C39" s="55" t="n"/>
      <c r="D39" s="55" t="n"/>
      <c r="E39">
        <f>IF(OR(A39="",B39=""),"",B39-A39)</f>
        <v/>
      </c>
      <c r="F39" s="55" t="n"/>
    </row>
    <row r="40">
      <c r="A40" s="54" t="n"/>
      <c r="B40" s="54" t="n"/>
      <c r="C40" s="55" t="n"/>
      <c r="D40" s="55" t="n"/>
      <c r="E40">
        <f>IF(OR(A40="",B40=""),"",B40-A40)</f>
        <v/>
      </c>
      <c r="F40" s="55" t="n"/>
    </row>
    <row r="41">
      <c r="A41" s="54" t="n"/>
      <c r="B41" s="54" t="n"/>
      <c r="C41" s="55" t="n"/>
      <c r="D41" s="55" t="n"/>
      <c r="E41">
        <f>IF(OR(A41="",B41=""),"",B41-A41)</f>
        <v/>
      </c>
      <c r="F41" s="55" t="n"/>
    </row>
    <row r="42">
      <c r="A42" s="54" t="n"/>
      <c r="B42" s="54" t="n"/>
      <c r="C42" s="55" t="n"/>
      <c r="D42" s="55" t="n"/>
      <c r="E42">
        <f>IF(OR(A42="",B42=""),"",B42-A42)</f>
        <v/>
      </c>
      <c r="F42" s="55" t="n"/>
    </row>
    <row r="43">
      <c r="A43" s="54" t="n"/>
      <c r="B43" s="54" t="n"/>
      <c r="C43" s="55" t="n"/>
      <c r="D43" s="55" t="n"/>
      <c r="E43">
        <f>IF(OR(A43="",B43=""),"",B43-A43)</f>
        <v/>
      </c>
      <c r="F43" s="55" t="n"/>
    </row>
    <row r="44">
      <c r="A44" s="54" t="n"/>
      <c r="B44" s="54" t="n"/>
      <c r="C44" s="55" t="n"/>
      <c r="D44" s="55" t="n"/>
      <c r="E44">
        <f>IF(OR(A44="",B44=""),"",B44-A44)</f>
        <v/>
      </c>
      <c r="F44" s="55" t="n"/>
    </row>
    <row r="45">
      <c r="A45" s="54" t="n"/>
      <c r="B45" s="54" t="n"/>
      <c r="C45" s="55" t="n"/>
      <c r="D45" s="55" t="n"/>
      <c r="E45">
        <f>IF(OR(A45="",B45=""),"",B45-A45)</f>
        <v/>
      </c>
      <c r="F45" s="55" t="n"/>
    </row>
    <row r="46">
      <c r="A46" s="54" t="n"/>
      <c r="B46" s="54" t="n"/>
      <c r="C46" s="55" t="n"/>
      <c r="D46" s="55" t="n"/>
      <c r="E46">
        <f>IF(OR(A46="",B46=""),"",B46-A46)</f>
        <v/>
      </c>
      <c r="F46" s="55" t="n"/>
    </row>
    <row r="47">
      <c r="A47" s="54" t="n"/>
      <c r="B47" s="54" t="n"/>
      <c r="C47" s="55" t="n"/>
      <c r="D47" s="55" t="n"/>
      <c r="E47">
        <f>IF(OR(A47="",B47=""),"",B47-A47)</f>
        <v/>
      </c>
      <c r="F47" s="55" t="n"/>
    </row>
    <row r="48">
      <c r="A48" s="54" t="n"/>
      <c r="B48" s="54" t="n"/>
      <c r="C48" s="55" t="n"/>
      <c r="D48" s="55" t="n"/>
      <c r="E48">
        <f>IF(OR(A48="",B48=""),"",B48-A48)</f>
        <v/>
      </c>
      <c r="F48" s="55" t="n"/>
    </row>
    <row r="49">
      <c r="A49" s="54" t="n"/>
      <c r="B49" s="54" t="n"/>
      <c r="C49" s="55" t="n"/>
      <c r="D49" s="55" t="n"/>
      <c r="E49">
        <f>IF(OR(A49="",B49=""),"",B49-A49)</f>
        <v/>
      </c>
      <c r="F49" s="55" t="n"/>
    </row>
    <row r="50">
      <c r="A50" s="54" t="n"/>
      <c r="B50" s="54" t="n"/>
      <c r="C50" s="55" t="n"/>
      <c r="D50" s="55" t="n"/>
      <c r="E50">
        <f>IF(OR(A50="",B50=""),"",B50-A50)</f>
        <v/>
      </c>
      <c r="F50" s="55" t="n"/>
    </row>
    <row r="51">
      <c r="A51" s="54" t="n"/>
      <c r="B51" s="54" t="n"/>
      <c r="C51" s="55" t="n"/>
      <c r="D51" s="55" t="n"/>
      <c r="E51">
        <f>IF(OR(A51="",B51=""),"",B51-A51)</f>
        <v/>
      </c>
      <c r="F51" s="55" t="n"/>
    </row>
    <row r="52">
      <c r="A52" s="54" t="n"/>
      <c r="B52" s="54" t="n"/>
      <c r="C52" s="55" t="n"/>
      <c r="D52" s="55" t="n"/>
      <c r="E52">
        <f>IF(OR(A52="",B52=""),"",B52-A52)</f>
        <v/>
      </c>
      <c r="F52" s="55" t="n"/>
    </row>
    <row r="53">
      <c r="A53" s="54" t="n"/>
      <c r="B53" s="54" t="n"/>
      <c r="C53" s="55" t="n"/>
      <c r="D53" s="55" t="n"/>
      <c r="E53">
        <f>IF(OR(A53="",B53=""),"",B53-A53)</f>
        <v/>
      </c>
      <c r="F53" s="55" t="n"/>
    </row>
    <row r="54">
      <c r="A54" s="54" t="n"/>
      <c r="B54" s="54" t="n"/>
      <c r="C54" s="55" t="n"/>
      <c r="D54" s="55" t="n"/>
      <c r="E54">
        <f>IF(OR(A54="",B54=""),"",B54-A54)</f>
        <v/>
      </c>
      <c r="F54" s="55" t="n"/>
    </row>
    <row r="55">
      <c r="A55" s="54" t="n"/>
      <c r="B55" s="54" t="n"/>
      <c r="C55" s="55" t="n"/>
      <c r="D55" s="55" t="n"/>
      <c r="E55">
        <f>IF(OR(A55="",B55=""),"",B55-A55)</f>
        <v/>
      </c>
      <c r="F55" s="55" t="n"/>
    </row>
    <row r="56">
      <c r="A56" s="54" t="n"/>
      <c r="B56" s="54" t="n"/>
      <c r="C56" s="55" t="n"/>
      <c r="D56" s="55" t="n"/>
      <c r="E56">
        <f>IF(OR(A56="",B56=""),"",B56-A56)</f>
        <v/>
      </c>
      <c r="F56" s="55" t="n"/>
    </row>
    <row r="57">
      <c r="A57" s="54" t="n"/>
      <c r="B57" s="54" t="n"/>
      <c r="C57" s="55" t="n"/>
      <c r="D57" s="55" t="n"/>
      <c r="E57">
        <f>IF(OR(A57="",B57=""),"",B57-A57)</f>
        <v/>
      </c>
      <c r="F57" s="55" t="n"/>
    </row>
    <row r="58">
      <c r="A58" s="54" t="n"/>
      <c r="B58" s="54" t="n"/>
      <c r="C58" s="55" t="n"/>
      <c r="D58" s="55" t="n"/>
      <c r="E58">
        <f>IF(OR(A58="",B58=""),"",B58-A58)</f>
        <v/>
      </c>
      <c r="F58" s="55" t="n"/>
    </row>
    <row r="59">
      <c r="A59" s="54" t="n"/>
      <c r="B59" s="54" t="n"/>
      <c r="C59" s="55" t="n"/>
      <c r="D59" s="55" t="n"/>
      <c r="E59">
        <f>IF(OR(A59="",B59=""),"",B59-A59)</f>
        <v/>
      </c>
      <c r="F59" s="55" t="n"/>
    </row>
    <row r="60">
      <c r="A60" s="54" t="n"/>
      <c r="B60" s="54" t="n"/>
      <c r="C60" s="55" t="n"/>
      <c r="D60" s="55" t="n"/>
      <c r="E60">
        <f>IF(OR(A60="",B60=""),"",B60-A60)</f>
        <v/>
      </c>
      <c r="F60" s="55" t="n"/>
    </row>
    <row r="61">
      <c r="A61" s="54" t="n"/>
      <c r="B61" s="54" t="n"/>
      <c r="C61" s="55" t="n"/>
      <c r="D61" s="55" t="n"/>
      <c r="E61">
        <f>IF(OR(A61="",B61=""),"",B61-A61)</f>
        <v/>
      </c>
      <c r="F61" s="55" t="n"/>
    </row>
    <row r="62">
      <c r="A62" s="54" t="n"/>
      <c r="B62" s="54" t="n"/>
      <c r="C62" s="55" t="n"/>
      <c r="D62" s="55" t="n"/>
      <c r="E62">
        <f>IF(OR(A62="",B62=""),"",B62-A62)</f>
        <v/>
      </c>
      <c r="F62" s="55" t="n"/>
    </row>
    <row r="63">
      <c r="A63" s="54" t="n"/>
      <c r="B63" s="54" t="n"/>
      <c r="C63" s="55" t="n"/>
      <c r="D63" s="55" t="n"/>
      <c r="E63">
        <f>IF(OR(A63="",B63=""),"",B63-A63)</f>
        <v/>
      </c>
      <c r="F63" s="55" t="n"/>
    </row>
    <row r="64">
      <c r="A64" s="54" t="n"/>
      <c r="B64" s="54" t="n"/>
      <c r="C64" s="55" t="n"/>
      <c r="D64" s="55" t="n"/>
      <c r="E64">
        <f>IF(OR(A64="",B64=""),"",B64-A64)</f>
        <v/>
      </c>
      <c r="F64" s="55" t="n"/>
    </row>
    <row r="65">
      <c r="A65" s="54" t="n"/>
      <c r="B65" s="54" t="n"/>
      <c r="C65" s="55" t="n"/>
      <c r="D65" s="55" t="n"/>
      <c r="E65">
        <f>IF(OR(A65="",B65=""),"",B65-A65)</f>
        <v/>
      </c>
      <c r="F65" s="55" t="n"/>
    </row>
    <row r="66">
      <c r="A66" s="54" t="n"/>
      <c r="B66" s="54" t="n"/>
      <c r="C66" s="55" t="n"/>
      <c r="D66" s="55" t="n"/>
      <c r="E66">
        <f>IF(OR(A66="",B66=""),"",B66-A66)</f>
        <v/>
      </c>
      <c r="F66" s="55" t="n"/>
    </row>
    <row r="67">
      <c r="A67" s="54" t="n"/>
      <c r="B67" s="54" t="n"/>
      <c r="C67" s="55" t="n"/>
      <c r="D67" s="55" t="n"/>
      <c r="E67">
        <f>IF(OR(A67="",B67=""),"",B67-A67)</f>
        <v/>
      </c>
      <c r="F67" s="55" t="n"/>
    </row>
    <row r="68">
      <c r="A68" s="54" t="n"/>
      <c r="B68" s="54" t="n"/>
      <c r="C68" s="55" t="n"/>
      <c r="D68" s="55" t="n"/>
      <c r="E68">
        <f>IF(OR(A68="",B68=""),"",B68-A68)</f>
        <v/>
      </c>
      <c r="F68" s="55" t="n"/>
    </row>
    <row r="69">
      <c r="A69" s="54" t="n"/>
      <c r="B69" s="54" t="n"/>
      <c r="C69" s="55" t="n"/>
      <c r="D69" s="55" t="n"/>
      <c r="E69">
        <f>IF(OR(A69="",B69=""),"",B69-A69)</f>
        <v/>
      </c>
      <c r="F69" s="55" t="n"/>
    </row>
    <row r="70">
      <c r="A70" s="54" t="n"/>
      <c r="B70" s="54" t="n"/>
      <c r="C70" s="55" t="n"/>
      <c r="D70" s="55" t="n"/>
      <c r="E70">
        <f>IF(OR(A70="",B70=""),"",B70-A70)</f>
        <v/>
      </c>
      <c r="F70" s="55" t="n"/>
    </row>
    <row r="71">
      <c r="A71" s="54" t="n"/>
      <c r="B71" s="54" t="n"/>
      <c r="C71" s="55" t="n"/>
      <c r="D71" s="55" t="n"/>
      <c r="E71">
        <f>IF(OR(A71="",B71=""),"",B71-A71)</f>
        <v/>
      </c>
      <c r="F71" s="55" t="n"/>
    </row>
    <row r="72">
      <c r="A72" s="54" t="n"/>
      <c r="B72" s="54" t="n"/>
      <c r="C72" s="55" t="n"/>
      <c r="D72" s="55" t="n"/>
      <c r="E72">
        <f>IF(OR(A72="",B72=""),"",B72-A72)</f>
        <v/>
      </c>
      <c r="F72" s="55" t="n"/>
    </row>
    <row r="73">
      <c r="A73" s="54" t="n"/>
      <c r="B73" s="54" t="n"/>
      <c r="C73" s="55" t="n"/>
      <c r="D73" s="55" t="n"/>
      <c r="E73">
        <f>IF(OR(A73="",B73=""),"",B73-A73)</f>
        <v/>
      </c>
      <c r="F73" s="55" t="n"/>
    </row>
    <row r="74">
      <c r="A74" s="54" t="n"/>
      <c r="B74" s="54" t="n"/>
      <c r="C74" s="55" t="n"/>
      <c r="D74" s="55" t="n"/>
      <c r="E74">
        <f>IF(OR(A74="",B74=""),"",B74-A74)</f>
        <v/>
      </c>
      <c r="F74" s="55" t="n"/>
    </row>
    <row r="75">
      <c r="A75" s="54" t="n"/>
      <c r="B75" s="54" t="n"/>
      <c r="C75" s="55" t="n"/>
      <c r="D75" s="55" t="n"/>
      <c r="E75">
        <f>IF(OR(A75="",B75=""),"",B75-A75)</f>
        <v/>
      </c>
      <c r="F75" s="55" t="n"/>
    </row>
    <row r="76">
      <c r="A76" s="54" t="n"/>
      <c r="B76" s="54" t="n"/>
      <c r="C76" s="55" t="n"/>
      <c r="D76" s="55" t="n"/>
      <c r="E76">
        <f>IF(OR(A76="",B76=""),"",B76-A76)</f>
        <v/>
      </c>
      <c r="F76" s="55" t="n"/>
    </row>
    <row r="77">
      <c r="A77" s="54" t="n"/>
      <c r="B77" s="54" t="n"/>
      <c r="C77" s="55" t="n"/>
      <c r="D77" s="55" t="n"/>
      <c r="E77">
        <f>IF(OR(A77="",B77=""),"",B77-A77)</f>
        <v/>
      </c>
      <c r="F77" s="55" t="n"/>
    </row>
    <row r="78">
      <c r="A78" s="54" t="n"/>
      <c r="B78" s="54" t="n"/>
      <c r="C78" s="55" t="n"/>
      <c r="D78" s="55" t="n"/>
      <c r="E78">
        <f>IF(OR(A78="",B78=""),"",B78-A78)</f>
        <v/>
      </c>
      <c r="F78" s="55" t="n"/>
    </row>
    <row r="79">
      <c r="A79" s="54" t="n"/>
      <c r="B79" s="54" t="n"/>
      <c r="C79" s="55" t="n"/>
      <c r="D79" s="55" t="n"/>
      <c r="E79">
        <f>IF(OR(A79="",B79=""),"",B79-A79)</f>
        <v/>
      </c>
      <c r="F79" s="55" t="n"/>
    </row>
    <row r="80">
      <c r="A80" s="54" t="n"/>
      <c r="B80" s="54" t="n"/>
      <c r="C80" s="55" t="n"/>
      <c r="D80" s="55" t="n"/>
      <c r="E80">
        <f>IF(OR(A80="",B80=""),"",B80-A80)</f>
        <v/>
      </c>
      <c r="F80" s="55" t="n"/>
    </row>
    <row r="81">
      <c r="A81" s="54" t="n"/>
      <c r="B81" s="54" t="n"/>
      <c r="C81" s="55" t="n"/>
      <c r="D81" s="55" t="n"/>
      <c r="E81">
        <f>IF(OR(A81="",B81=""),"",B81-A81)</f>
        <v/>
      </c>
      <c r="F81" s="55" t="n"/>
    </row>
    <row r="82">
      <c r="A82" s="54" t="n"/>
      <c r="B82" s="54" t="n"/>
      <c r="C82" s="55" t="n"/>
      <c r="D82" s="55" t="n"/>
      <c r="E82">
        <f>IF(OR(A82="",B82=""),"",B82-A82)</f>
        <v/>
      </c>
      <c r="F82" s="55" t="n"/>
    </row>
    <row r="83">
      <c r="A83" s="54" t="n"/>
      <c r="B83" s="54" t="n"/>
      <c r="C83" s="55" t="n"/>
      <c r="D83" s="55" t="n"/>
      <c r="E83">
        <f>IF(OR(A83="",B83=""),"",B83-A83)</f>
        <v/>
      </c>
      <c r="F83" s="55" t="n"/>
    </row>
    <row r="84">
      <c r="A84" s="54" t="n"/>
      <c r="B84" s="54" t="n"/>
      <c r="C84" s="55" t="n"/>
      <c r="D84" s="55" t="n"/>
      <c r="E84">
        <f>IF(OR(A84="",B84=""),"",B84-A84)</f>
        <v/>
      </c>
      <c r="F84" s="55" t="n"/>
    </row>
    <row r="85">
      <c r="A85" s="54" t="n"/>
      <c r="B85" s="54" t="n"/>
      <c r="C85" s="55" t="n"/>
      <c r="D85" s="55" t="n"/>
      <c r="E85">
        <f>IF(OR(A85="",B85=""),"",B85-A85)</f>
        <v/>
      </c>
      <c r="F85" s="55" t="n"/>
    </row>
    <row r="86">
      <c r="A86" s="54" t="n"/>
      <c r="B86" s="54" t="n"/>
      <c r="C86" s="55" t="n"/>
      <c r="D86" s="55" t="n"/>
      <c r="E86">
        <f>IF(OR(A86="",B86=""),"",B86-A86)</f>
        <v/>
      </c>
      <c r="F86" s="55" t="n"/>
    </row>
    <row r="87">
      <c r="A87" s="54" t="n"/>
      <c r="B87" s="54" t="n"/>
      <c r="C87" s="55" t="n"/>
      <c r="D87" s="55" t="n"/>
      <c r="E87">
        <f>IF(OR(A87="",B87=""),"",B87-A87)</f>
        <v/>
      </c>
      <c r="F87" s="55" t="n"/>
    </row>
    <row r="88">
      <c r="A88" s="54" t="n"/>
      <c r="B88" s="54" t="n"/>
      <c r="C88" s="55" t="n"/>
      <c r="D88" s="55" t="n"/>
      <c r="E88">
        <f>IF(OR(A88="",B88=""),"",B88-A88)</f>
        <v/>
      </c>
      <c r="F88" s="55" t="n"/>
    </row>
    <row r="89">
      <c r="A89" s="54" t="n"/>
      <c r="B89" s="54" t="n"/>
      <c r="C89" s="55" t="n"/>
      <c r="D89" s="55" t="n"/>
      <c r="E89">
        <f>IF(OR(A89="",B89=""),"",B89-A89)</f>
        <v/>
      </c>
      <c r="F89" s="55" t="n"/>
    </row>
    <row r="90">
      <c r="A90" s="54" t="n"/>
      <c r="B90" s="54" t="n"/>
      <c r="C90" s="55" t="n"/>
      <c r="D90" s="55" t="n"/>
      <c r="E90">
        <f>IF(OR(A90="",B90=""),"",B90-A90)</f>
        <v/>
      </c>
      <c r="F90" s="55" t="n"/>
    </row>
    <row r="91">
      <c r="A91" s="54" t="n"/>
      <c r="B91" s="54" t="n"/>
      <c r="C91" s="55" t="n"/>
      <c r="D91" s="55" t="n"/>
      <c r="E91">
        <f>IF(OR(A91="",B91=""),"",B91-A91)</f>
        <v/>
      </c>
      <c r="F91" s="55" t="n"/>
    </row>
    <row r="92">
      <c r="A92" s="54" t="n"/>
      <c r="B92" s="54" t="n"/>
      <c r="C92" s="55" t="n"/>
      <c r="D92" s="55" t="n"/>
      <c r="E92">
        <f>IF(OR(A92="",B92=""),"",B92-A92)</f>
        <v/>
      </c>
      <c r="F92" s="55" t="n"/>
    </row>
    <row r="93">
      <c r="A93" s="54" t="n"/>
      <c r="B93" s="54" t="n"/>
      <c r="C93" s="55" t="n"/>
      <c r="D93" s="55" t="n"/>
      <c r="E93">
        <f>IF(OR(A93="",B93=""),"",B93-A93)</f>
        <v/>
      </c>
      <c r="F93" s="55" t="n"/>
    </row>
    <row r="94">
      <c r="A94" s="54" t="n"/>
      <c r="B94" s="54" t="n"/>
      <c r="C94" s="55" t="n"/>
      <c r="D94" s="55" t="n"/>
      <c r="E94">
        <f>IF(OR(A94="",B94=""),"",B94-A94)</f>
        <v/>
      </c>
      <c r="F94" s="55" t="n"/>
    </row>
    <row r="95">
      <c r="A95" s="54" t="n"/>
      <c r="B95" s="54" t="n"/>
      <c r="C95" s="55" t="n"/>
      <c r="D95" s="55" t="n"/>
      <c r="E95">
        <f>IF(OR(A95="",B95=""),"",B95-A95)</f>
        <v/>
      </c>
      <c r="F95" s="55" t="n"/>
    </row>
    <row r="96">
      <c r="A96" s="54" t="n"/>
      <c r="B96" s="54" t="n"/>
      <c r="C96" s="55" t="n"/>
      <c r="D96" s="55" t="n"/>
      <c r="E96">
        <f>IF(OR(A96="",B96=""),"",B96-A96)</f>
        <v/>
      </c>
      <c r="F96" s="55" t="n"/>
    </row>
    <row r="97">
      <c r="A97" s="54" t="n"/>
      <c r="B97" s="54" t="n"/>
      <c r="C97" s="55" t="n"/>
      <c r="D97" s="55" t="n"/>
      <c r="E97">
        <f>IF(OR(A97="",B97=""),"",B97-A97)</f>
        <v/>
      </c>
      <c r="F97" s="55" t="n"/>
    </row>
    <row r="98">
      <c r="A98" s="54" t="n"/>
      <c r="B98" s="54" t="n"/>
      <c r="C98" s="55" t="n"/>
      <c r="D98" s="55" t="n"/>
      <c r="E98">
        <f>IF(OR(A98="",B98=""),"",B98-A98)</f>
        <v/>
      </c>
      <c r="F98" s="55" t="n"/>
    </row>
    <row r="99">
      <c r="A99" s="54" t="n"/>
      <c r="B99" s="54" t="n"/>
      <c r="C99" s="55" t="n"/>
      <c r="D99" s="55" t="n"/>
      <c r="E99">
        <f>IF(OR(A99="",B99=""),"",B99-A99)</f>
        <v/>
      </c>
      <c r="F99" s="55" t="n"/>
    </row>
    <row r="100">
      <c r="A100" s="54" t="n"/>
      <c r="B100" s="54" t="n"/>
      <c r="C100" s="55" t="n"/>
      <c r="D100" s="55" t="n"/>
      <c r="E100">
        <f>IF(OR(A100="",B100=""),"",B100-A100)</f>
        <v/>
      </c>
      <c r="F100" s="55" t="n"/>
    </row>
    <row r="101">
      <c r="A101" s="54" t="n"/>
      <c r="B101" s="54" t="n"/>
      <c r="C101" s="55" t="n"/>
      <c r="D101" s="55" t="n"/>
      <c r="E101">
        <f>IF(OR(A101="",B101=""),"",B101-A101)</f>
        <v/>
      </c>
      <c r="F101" s="55" t="n"/>
    </row>
    <row r="102">
      <c r="A102" s="54" t="n"/>
      <c r="B102" s="54" t="n"/>
      <c r="C102" s="55" t="n"/>
      <c r="D102" s="55" t="n"/>
      <c r="E102">
        <f>IF(OR(A102="",B102=""),"",B102-A102)</f>
        <v/>
      </c>
      <c r="F102" s="55" t="n"/>
    </row>
    <row r="103">
      <c r="A103" s="54" t="n"/>
      <c r="B103" s="54" t="n"/>
      <c r="C103" s="55" t="n"/>
      <c r="D103" s="55" t="n"/>
      <c r="E103">
        <f>IF(OR(A103="",B103=""),"",B103-A103)</f>
        <v/>
      </c>
      <c r="F103" s="55" t="n"/>
    </row>
    <row r="104">
      <c r="A104" s="54" t="n"/>
      <c r="B104" s="54" t="n"/>
      <c r="C104" s="55" t="n"/>
      <c r="D104" s="55" t="n"/>
      <c r="E104">
        <f>IF(OR(A104="",B104=""),"",B104-A104)</f>
        <v/>
      </c>
      <c r="F104" s="55" t="n"/>
    </row>
    <row r="105">
      <c r="A105" s="54" t="n"/>
      <c r="B105" s="54" t="n"/>
      <c r="C105" s="55" t="n"/>
      <c r="D105" s="55" t="n"/>
      <c r="E105">
        <f>IF(OR(A105="",B105=""),"",B105-A105)</f>
        <v/>
      </c>
      <c r="F105" s="55" t="n"/>
    </row>
    <row r="106">
      <c r="A106" s="54" t="n"/>
      <c r="B106" s="54" t="n"/>
      <c r="C106" s="55" t="n"/>
      <c r="D106" s="55" t="n"/>
      <c r="E106">
        <f>IF(OR(A106="",B106=""),"",B106-A106)</f>
        <v/>
      </c>
      <c r="F106" s="55" t="n"/>
    </row>
    <row r="107">
      <c r="A107" s="54" t="n"/>
      <c r="B107" s="54" t="n"/>
      <c r="C107" s="55" t="n"/>
      <c r="D107" s="55" t="n"/>
      <c r="E107">
        <f>IF(OR(A107="",B107=""),"",B107-A107)</f>
        <v/>
      </c>
      <c r="F107" s="55" t="n"/>
    </row>
    <row r="108">
      <c r="A108" s="54" t="n"/>
      <c r="B108" s="54" t="n"/>
      <c r="C108" s="55" t="n"/>
      <c r="D108" s="55" t="n"/>
      <c r="E108">
        <f>IF(OR(A108="",B108=""),"",B108-A108)</f>
        <v/>
      </c>
      <c r="F108" s="55" t="n"/>
    </row>
    <row r="109">
      <c r="A109" s="54" t="n"/>
      <c r="B109" s="54" t="n"/>
      <c r="C109" s="55" t="n"/>
      <c r="D109" s="55" t="n"/>
      <c r="E109">
        <f>IF(OR(A109="",B109=""),"",B109-A109)</f>
        <v/>
      </c>
      <c r="F109" s="55" t="n"/>
    </row>
    <row r="110">
      <c r="A110" s="54" t="n"/>
      <c r="B110" s="54" t="n"/>
      <c r="C110" s="55" t="n"/>
      <c r="D110" s="55" t="n"/>
      <c r="E110">
        <f>IF(OR(A110="",B110=""),"",B110-A110)</f>
        <v/>
      </c>
      <c r="F110" s="55" t="n"/>
    </row>
    <row r="111">
      <c r="A111" s="54" t="n"/>
      <c r="B111" s="54" t="n"/>
      <c r="C111" s="55" t="n"/>
      <c r="D111" s="55" t="n"/>
      <c r="E111">
        <f>IF(OR(A111="",B111=""),"",B111-A111)</f>
        <v/>
      </c>
      <c r="F111" s="55" t="n"/>
    </row>
    <row r="112">
      <c r="A112" s="54" t="n"/>
      <c r="B112" s="54" t="n"/>
      <c r="C112" s="55" t="n"/>
      <c r="D112" s="55" t="n"/>
      <c r="E112">
        <f>IF(OR(A112="",B112=""),"",B112-A112)</f>
        <v/>
      </c>
      <c r="F112" s="55" t="n"/>
    </row>
    <row r="113">
      <c r="A113" s="54" t="n"/>
      <c r="B113" s="54" t="n"/>
      <c r="C113" s="55" t="n"/>
      <c r="D113" s="55" t="n"/>
      <c r="E113">
        <f>IF(OR(A113="",B113=""),"",B113-A113)</f>
        <v/>
      </c>
      <c r="F113" s="55" t="n"/>
    </row>
    <row r="114">
      <c r="A114" s="54" t="n"/>
      <c r="B114" s="54" t="n"/>
      <c r="C114" s="55" t="n"/>
      <c r="D114" s="55" t="n"/>
      <c r="E114">
        <f>IF(OR(A114="",B114=""),"",B114-A114)</f>
        <v/>
      </c>
      <c r="F114" s="55" t="n"/>
    </row>
    <row r="115">
      <c r="A115" s="54" t="n"/>
      <c r="B115" s="54" t="n"/>
      <c r="C115" s="55" t="n"/>
      <c r="D115" s="55" t="n"/>
      <c r="E115">
        <f>IF(OR(A115="",B115=""),"",B115-A115)</f>
        <v/>
      </c>
      <c r="F115" s="55" t="n"/>
    </row>
    <row r="116">
      <c r="A116" s="54" t="n"/>
      <c r="B116" s="54" t="n"/>
      <c r="C116" s="55" t="n"/>
      <c r="D116" s="55" t="n"/>
      <c r="E116">
        <f>IF(OR(A116="",B116=""),"",B116-A116)</f>
        <v/>
      </c>
      <c r="F116" s="55" t="n"/>
    </row>
    <row r="117">
      <c r="A117" s="54" t="n"/>
      <c r="B117" s="54" t="n"/>
      <c r="C117" s="55" t="n"/>
      <c r="D117" s="55" t="n"/>
      <c r="E117">
        <f>IF(OR(A117="",B117=""),"",B117-A117)</f>
        <v/>
      </c>
      <c r="F117" s="55" t="n"/>
    </row>
    <row r="118">
      <c r="A118" s="54" t="n"/>
      <c r="B118" s="54" t="n"/>
      <c r="C118" s="55" t="n"/>
      <c r="D118" s="55" t="n"/>
      <c r="E118">
        <f>IF(OR(A118="",B118=""),"",B118-A118)</f>
        <v/>
      </c>
      <c r="F118" s="55" t="n"/>
    </row>
    <row r="119">
      <c r="A119" s="54" t="n"/>
      <c r="B119" s="54" t="n"/>
      <c r="C119" s="55" t="n"/>
      <c r="D119" s="55" t="n"/>
      <c r="E119">
        <f>IF(OR(A119="",B119=""),"",B119-A119)</f>
        <v/>
      </c>
      <c r="F119" s="55" t="n"/>
    </row>
    <row r="120">
      <c r="A120" s="54" t="n"/>
      <c r="B120" s="54" t="n"/>
      <c r="C120" s="55" t="n"/>
      <c r="D120" s="55" t="n"/>
      <c r="E120">
        <f>IF(OR(A120="",B120=""),"",B120-A120)</f>
        <v/>
      </c>
      <c r="F120" s="55" t="n"/>
    </row>
    <row r="121">
      <c r="A121" s="54" t="n"/>
      <c r="B121" s="54" t="n"/>
      <c r="C121" s="55" t="n"/>
      <c r="D121" s="55" t="n"/>
      <c r="E121">
        <f>IF(OR(A121="",B121=""),"",B121-A121)</f>
        <v/>
      </c>
      <c r="F121" s="55" t="n"/>
    </row>
    <row r="122">
      <c r="A122" s="54" t="n"/>
      <c r="B122" s="54" t="n"/>
      <c r="C122" s="55" t="n"/>
      <c r="D122" s="55" t="n"/>
      <c r="E122">
        <f>IF(OR(A122="",B122=""),"",B122-A122)</f>
        <v/>
      </c>
      <c r="F122" s="55" t="n"/>
    </row>
    <row r="123">
      <c r="A123" s="54" t="n"/>
      <c r="B123" s="54" t="n"/>
      <c r="C123" s="55" t="n"/>
      <c r="D123" s="55" t="n"/>
      <c r="E123">
        <f>IF(OR(A123="",B123=""),"",B123-A123)</f>
        <v/>
      </c>
      <c r="F123" s="55" t="n"/>
    </row>
    <row r="124">
      <c r="A124" s="54" t="n"/>
      <c r="B124" s="54" t="n"/>
      <c r="C124" s="55" t="n"/>
      <c r="D124" s="55" t="n"/>
      <c r="E124">
        <f>IF(OR(A124="",B124=""),"",B124-A124)</f>
        <v/>
      </c>
      <c r="F124" s="55" t="n"/>
    </row>
    <row r="125">
      <c r="A125" s="54" t="n"/>
      <c r="B125" s="54" t="n"/>
      <c r="C125" s="55" t="n"/>
      <c r="D125" s="55" t="n"/>
      <c r="E125">
        <f>IF(OR(A125="",B125=""),"",B125-A125)</f>
        <v/>
      </c>
      <c r="F125" s="55" t="n"/>
    </row>
    <row r="126">
      <c r="A126" s="54" t="n"/>
      <c r="B126" s="54" t="n"/>
      <c r="C126" s="55" t="n"/>
      <c r="D126" s="55" t="n"/>
      <c r="E126">
        <f>IF(OR(A126="",B126=""),"",B126-A126)</f>
        <v/>
      </c>
      <c r="F126" s="55" t="n"/>
    </row>
    <row r="127">
      <c r="A127" s="54" t="n"/>
      <c r="B127" s="54" t="n"/>
      <c r="C127" s="55" t="n"/>
      <c r="D127" s="55" t="n"/>
      <c r="E127">
        <f>IF(OR(A127="",B127=""),"",B127-A127)</f>
        <v/>
      </c>
      <c r="F127" s="55" t="n"/>
    </row>
    <row r="128">
      <c r="A128" s="54" t="n"/>
      <c r="B128" s="54" t="n"/>
      <c r="C128" s="55" t="n"/>
      <c r="D128" s="55" t="n"/>
      <c r="E128">
        <f>IF(OR(A128="",B128=""),"",B128-A128)</f>
        <v/>
      </c>
      <c r="F128" s="55" t="n"/>
    </row>
    <row r="129">
      <c r="A129" s="54" t="n"/>
      <c r="B129" s="54" t="n"/>
      <c r="C129" s="55" t="n"/>
      <c r="D129" s="55" t="n"/>
      <c r="E129">
        <f>IF(OR(A129="",B129=""),"",B129-A129)</f>
        <v/>
      </c>
      <c r="F129" s="55" t="n"/>
    </row>
    <row r="130">
      <c r="A130" s="54" t="n"/>
      <c r="B130" s="54" t="n"/>
      <c r="C130" s="55" t="n"/>
      <c r="D130" s="55" t="n"/>
      <c r="E130">
        <f>IF(OR(A130="",B130=""),"",B130-A130)</f>
        <v/>
      </c>
      <c r="F130" s="55" t="n"/>
    </row>
    <row r="131">
      <c r="A131" s="54" t="n"/>
      <c r="B131" s="54" t="n"/>
      <c r="C131" s="55" t="n"/>
      <c r="D131" s="55" t="n"/>
      <c r="E131">
        <f>IF(OR(A131="",B131=""),"",B131-A131)</f>
        <v/>
      </c>
      <c r="F131" s="55" t="n"/>
    </row>
    <row r="132">
      <c r="A132" s="54" t="n"/>
      <c r="B132" s="54" t="n"/>
      <c r="C132" s="55" t="n"/>
      <c r="D132" s="55" t="n"/>
      <c r="E132">
        <f>IF(OR(A132="",B132=""),"",B132-A132)</f>
        <v/>
      </c>
      <c r="F132" s="55" t="n"/>
    </row>
    <row r="133">
      <c r="A133" s="54" t="n"/>
      <c r="B133" s="54" t="n"/>
      <c r="C133" s="55" t="n"/>
      <c r="D133" s="55" t="n"/>
      <c r="E133">
        <f>IF(OR(A133="",B133=""),"",B133-A133)</f>
        <v/>
      </c>
      <c r="F133" s="55" t="n"/>
    </row>
    <row r="134">
      <c r="A134" s="54" t="n"/>
      <c r="B134" s="54" t="n"/>
      <c r="C134" s="55" t="n"/>
      <c r="D134" s="55" t="n"/>
      <c r="E134">
        <f>IF(OR(A134="",B134=""),"",B134-A134)</f>
        <v/>
      </c>
      <c r="F134" s="55" t="n"/>
    </row>
    <row r="135">
      <c r="A135" s="54" t="n"/>
      <c r="B135" s="54" t="n"/>
      <c r="C135" s="55" t="n"/>
      <c r="D135" s="55" t="n"/>
      <c r="E135">
        <f>IF(OR(A135="",B135=""),"",B135-A135)</f>
        <v/>
      </c>
      <c r="F135" s="55" t="n"/>
    </row>
    <row r="136">
      <c r="A136" s="54" t="n"/>
      <c r="B136" s="54" t="n"/>
      <c r="C136" s="55" t="n"/>
      <c r="D136" s="55" t="n"/>
      <c r="E136">
        <f>IF(OR(A136="",B136=""),"",B136-A136)</f>
        <v/>
      </c>
      <c r="F136" s="55" t="n"/>
    </row>
    <row r="137">
      <c r="A137" s="54" t="n"/>
      <c r="B137" s="54" t="n"/>
      <c r="C137" s="55" t="n"/>
      <c r="D137" s="55" t="n"/>
      <c r="E137">
        <f>IF(OR(A137="",B137=""),"",B137-A137)</f>
        <v/>
      </c>
      <c r="F137" s="55" t="n"/>
    </row>
    <row r="138">
      <c r="A138" s="54" t="n"/>
      <c r="B138" s="54" t="n"/>
      <c r="C138" s="55" t="n"/>
      <c r="D138" s="55" t="n"/>
      <c r="E138">
        <f>IF(OR(A138="",B138=""),"",B138-A138)</f>
        <v/>
      </c>
      <c r="F138" s="55" t="n"/>
    </row>
    <row r="139">
      <c r="A139" s="54" t="n"/>
      <c r="B139" s="54" t="n"/>
      <c r="C139" s="55" t="n"/>
      <c r="D139" s="55" t="n"/>
      <c r="E139">
        <f>IF(OR(A139="",B139=""),"",B139-A139)</f>
        <v/>
      </c>
      <c r="F139" s="55" t="n"/>
    </row>
    <row r="140">
      <c r="A140" s="54" t="n"/>
      <c r="B140" s="54" t="n"/>
      <c r="C140" s="55" t="n"/>
      <c r="D140" s="55" t="n"/>
      <c r="E140">
        <f>IF(OR(A140="",B140=""),"",B140-A140)</f>
        <v/>
      </c>
      <c r="F140" s="55" t="n"/>
    </row>
    <row r="141">
      <c r="A141" s="54" t="n"/>
      <c r="B141" s="54" t="n"/>
      <c r="C141" s="55" t="n"/>
      <c r="D141" s="55" t="n"/>
      <c r="E141">
        <f>IF(OR(A141="",B141=""),"",B141-A141)</f>
        <v/>
      </c>
      <c r="F141" s="55" t="n"/>
    </row>
    <row r="142">
      <c r="A142" s="54" t="n"/>
      <c r="B142" s="54" t="n"/>
      <c r="C142" s="55" t="n"/>
      <c r="D142" s="55" t="n"/>
      <c r="E142">
        <f>IF(OR(A142="",B142=""),"",B142-A142)</f>
        <v/>
      </c>
      <c r="F142" s="55" t="n"/>
    </row>
    <row r="143">
      <c r="A143" s="54" t="n"/>
      <c r="B143" s="54" t="n"/>
      <c r="C143" s="55" t="n"/>
      <c r="D143" s="55" t="n"/>
      <c r="E143">
        <f>IF(OR(A143="",B143=""),"",B143-A143)</f>
        <v/>
      </c>
      <c r="F143" s="55" t="n"/>
    </row>
    <row r="144">
      <c r="A144" s="54" t="n"/>
      <c r="B144" s="54" t="n"/>
      <c r="C144" s="55" t="n"/>
      <c r="D144" s="55" t="n"/>
      <c r="E144">
        <f>IF(OR(A144="",B144=""),"",B144-A144)</f>
        <v/>
      </c>
      <c r="F144" s="55" t="n"/>
    </row>
    <row r="145">
      <c r="A145" s="54" t="n"/>
      <c r="B145" s="54" t="n"/>
      <c r="C145" s="55" t="n"/>
      <c r="D145" s="55" t="n"/>
      <c r="E145">
        <f>IF(OR(A145="",B145=""),"",B145-A145)</f>
        <v/>
      </c>
      <c r="F145" s="55" t="n"/>
    </row>
    <row r="146">
      <c r="A146" s="54" t="n"/>
      <c r="B146" s="54" t="n"/>
      <c r="C146" s="55" t="n"/>
      <c r="D146" s="55" t="n"/>
      <c r="E146">
        <f>IF(OR(A146="",B146=""),"",B146-A146)</f>
        <v/>
      </c>
      <c r="F146" s="55" t="n"/>
    </row>
    <row r="147">
      <c r="A147" s="54" t="n"/>
      <c r="B147" s="54" t="n"/>
      <c r="C147" s="55" t="n"/>
      <c r="D147" s="55" t="n"/>
      <c r="E147">
        <f>IF(OR(A147="",B147=""),"",B147-A147)</f>
        <v/>
      </c>
      <c r="F147" s="55" t="n"/>
    </row>
    <row r="148">
      <c r="A148" s="54" t="n"/>
      <c r="B148" s="54" t="n"/>
      <c r="C148" s="55" t="n"/>
      <c r="D148" s="55" t="n"/>
      <c r="E148">
        <f>IF(OR(A148="",B148=""),"",B148-A148)</f>
        <v/>
      </c>
      <c r="F148" s="55" t="n"/>
    </row>
    <row r="149">
      <c r="A149" s="54" t="n"/>
      <c r="B149" s="54" t="n"/>
      <c r="C149" s="55" t="n"/>
      <c r="D149" s="55" t="n"/>
      <c r="E149">
        <f>IF(OR(A149="",B149=""),"",B149-A149)</f>
        <v/>
      </c>
      <c r="F149" s="55" t="n"/>
    </row>
    <row r="150">
      <c r="A150" s="54" t="n"/>
      <c r="B150" s="54" t="n"/>
      <c r="C150" s="55" t="n"/>
      <c r="D150" s="55" t="n"/>
      <c r="E150">
        <f>IF(OR(A150="",B150=""),"",B150-A150)</f>
        <v/>
      </c>
      <c r="F150" s="55" t="n"/>
    </row>
    <row r="151">
      <c r="A151" s="54" t="n"/>
      <c r="B151" s="54" t="n"/>
      <c r="C151" s="55" t="n"/>
      <c r="D151" s="55" t="n"/>
      <c r="E151">
        <f>IF(OR(A151="",B151=""),"",B151-A151)</f>
        <v/>
      </c>
      <c r="F151" s="55" t="n"/>
    </row>
    <row r="152">
      <c r="A152" s="54" t="n"/>
      <c r="B152" s="54" t="n"/>
      <c r="C152" s="55" t="n"/>
      <c r="D152" s="55" t="n"/>
      <c r="E152">
        <f>IF(OR(A152="",B152=""),"",B152-A152)</f>
        <v/>
      </c>
      <c r="F152" s="55" t="n"/>
    </row>
    <row r="153">
      <c r="A153" s="54" t="n"/>
      <c r="B153" s="54" t="n"/>
      <c r="C153" s="55" t="n"/>
      <c r="D153" s="55" t="n"/>
      <c r="E153">
        <f>IF(OR(A153="",B153=""),"",B153-A153)</f>
        <v/>
      </c>
      <c r="F153" s="55" t="n"/>
    </row>
    <row r="154">
      <c r="A154" s="54" t="n"/>
      <c r="B154" s="54" t="n"/>
      <c r="C154" s="55" t="n"/>
      <c r="D154" s="55" t="n"/>
      <c r="E154">
        <f>IF(OR(A154="",B154=""),"",B154-A154)</f>
        <v/>
      </c>
      <c r="F154" s="55" t="n"/>
    </row>
    <row r="155">
      <c r="A155" s="54" t="n"/>
      <c r="B155" s="54" t="n"/>
      <c r="C155" s="55" t="n"/>
      <c r="D155" s="55" t="n"/>
      <c r="E155">
        <f>IF(OR(A155="",B155=""),"",B155-A155)</f>
        <v/>
      </c>
      <c r="F155" s="55" t="n"/>
    </row>
    <row r="156">
      <c r="A156" s="54" t="n"/>
      <c r="B156" s="54" t="n"/>
      <c r="C156" s="55" t="n"/>
      <c r="D156" s="55" t="n"/>
      <c r="E156">
        <f>IF(OR(A156="",B156=""),"",B156-A156)</f>
        <v/>
      </c>
      <c r="F156" s="55" t="n"/>
    </row>
    <row r="157">
      <c r="A157" s="54" t="n"/>
      <c r="B157" s="54" t="n"/>
      <c r="C157" s="55" t="n"/>
      <c r="D157" s="55" t="n"/>
      <c r="E157">
        <f>IF(OR(A157="",B157=""),"",B157-A157)</f>
        <v/>
      </c>
      <c r="F157" s="55" t="n"/>
    </row>
    <row r="158">
      <c r="A158" s="54" t="n"/>
      <c r="B158" s="54" t="n"/>
      <c r="C158" s="55" t="n"/>
      <c r="D158" s="55" t="n"/>
      <c r="E158">
        <f>IF(OR(A158="",B158=""),"",B158-A158)</f>
        <v/>
      </c>
      <c r="F158" s="55" t="n"/>
    </row>
    <row r="159">
      <c r="A159" s="54" t="n"/>
      <c r="B159" s="54" t="n"/>
      <c r="C159" s="55" t="n"/>
      <c r="D159" s="55" t="n"/>
      <c r="E159">
        <f>IF(OR(A159="",B159=""),"",B159-A159)</f>
        <v/>
      </c>
      <c r="F159" s="55" t="n"/>
    </row>
    <row r="160">
      <c r="A160" s="54" t="n"/>
      <c r="B160" s="54" t="n"/>
      <c r="C160" s="55" t="n"/>
      <c r="D160" s="55" t="n"/>
      <c r="E160">
        <f>IF(OR(A160="",B160=""),"",B160-A160)</f>
        <v/>
      </c>
      <c r="F160" s="55" t="n"/>
    </row>
    <row r="161">
      <c r="A161" s="54" t="n"/>
      <c r="B161" s="54" t="n"/>
      <c r="C161" s="55" t="n"/>
      <c r="D161" s="55" t="n"/>
      <c r="E161">
        <f>IF(OR(A161="",B161=""),"",B161-A161)</f>
        <v/>
      </c>
      <c r="F161" s="55" t="n"/>
    </row>
    <row r="162">
      <c r="A162" s="54" t="n"/>
      <c r="B162" s="54" t="n"/>
      <c r="C162" s="55" t="n"/>
      <c r="D162" s="55" t="n"/>
      <c r="E162">
        <f>IF(OR(A162="",B162=""),"",B162-A162)</f>
        <v/>
      </c>
      <c r="F162" s="55" t="n"/>
    </row>
    <row r="163">
      <c r="A163" s="54" t="n"/>
      <c r="B163" s="54" t="n"/>
      <c r="C163" s="55" t="n"/>
      <c r="D163" s="55" t="n"/>
      <c r="E163">
        <f>IF(OR(A163="",B163=""),"",B163-A163)</f>
        <v/>
      </c>
      <c r="F163" s="55" t="n"/>
    </row>
    <row r="164">
      <c r="A164" s="54" t="n"/>
      <c r="B164" s="54" t="n"/>
      <c r="C164" s="55" t="n"/>
      <c r="D164" s="55" t="n"/>
      <c r="E164">
        <f>IF(OR(A164="",B164=""),"",B164-A164)</f>
        <v/>
      </c>
      <c r="F164" s="55" t="n"/>
    </row>
    <row r="165">
      <c r="A165" s="54" t="n"/>
      <c r="B165" s="54" t="n"/>
      <c r="C165" s="55" t="n"/>
      <c r="D165" s="55" t="n"/>
      <c r="E165">
        <f>IF(OR(A165="",B165=""),"",B165-A165)</f>
        <v/>
      </c>
      <c r="F165" s="55" t="n"/>
    </row>
    <row r="166">
      <c r="A166" s="54" t="n"/>
      <c r="B166" s="54" t="n"/>
      <c r="C166" s="55" t="n"/>
      <c r="D166" s="55" t="n"/>
      <c r="E166">
        <f>IF(OR(A166="",B166=""),"",B166-A166)</f>
        <v/>
      </c>
      <c r="F166" s="55" t="n"/>
    </row>
    <row r="167">
      <c r="A167" s="54" t="n"/>
      <c r="B167" s="54" t="n"/>
      <c r="C167" s="55" t="n"/>
      <c r="D167" s="55" t="n"/>
      <c r="E167">
        <f>IF(OR(A167="",B167=""),"",B167-A167)</f>
        <v/>
      </c>
      <c r="F167" s="55" t="n"/>
    </row>
    <row r="168">
      <c r="A168" s="54" t="n"/>
      <c r="B168" s="54" t="n"/>
      <c r="C168" s="55" t="n"/>
      <c r="D168" s="55" t="n"/>
      <c r="E168">
        <f>IF(OR(A168="",B168=""),"",B168-A168)</f>
        <v/>
      </c>
      <c r="F168" s="55" t="n"/>
    </row>
    <row r="169">
      <c r="A169" s="54" t="n"/>
      <c r="B169" s="54" t="n"/>
      <c r="C169" s="55" t="n"/>
      <c r="D169" s="55" t="n"/>
      <c r="E169">
        <f>IF(OR(A169="",B169=""),"",B169-A169)</f>
        <v/>
      </c>
      <c r="F169" s="55" t="n"/>
    </row>
    <row r="170">
      <c r="A170" s="54" t="n"/>
      <c r="B170" s="54" t="n"/>
      <c r="C170" s="55" t="n"/>
      <c r="D170" s="55" t="n"/>
      <c r="E170">
        <f>IF(OR(A170="",B170=""),"",B170-A170)</f>
        <v/>
      </c>
      <c r="F170" s="55" t="n"/>
    </row>
    <row r="171">
      <c r="A171" s="54" t="n"/>
      <c r="B171" s="54" t="n"/>
      <c r="C171" s="55" t="n"/>
      <c r="D171" s="55" t="n"/>
      <c r="E171">
        <f>IF(OR(A171="",B171=""),"",B171-A171)</f>
        <v/>
      </c>
      <c r="F171" s="55" t="n"/>
    </row>
    <row r="172">
      <c r="A172" s="54" t="n"/>
      <c r="B172" s="54" t="n"/>
      <c r="C172" s="55" t="n"/>
      <c r="D172" s="55" t="n"/>
      <c r="E172">
        <f>IF(OR(A172="",B172=""),"",B172-A172)</f>
        <v/>
      </c>
      <c r="F172" s="55" t="n"/>
    </row>
    <row r="173">
      <c r="A173" s="54" t="n"/>
      <c r="B173" s="54" t="n"/>
      <c r="C173" s="55" t="n"/>
      <c r="D173" s="55" t="n"/>
      <c r="E173">
        <f>IF(OR(A173="",B173=""),"",B173-A173)</f>
        <v/>
      </c>
      <c r="F173" s="55" t="n"/>
    </row>
    <row r="174">
      <c r="A174" s="54" t="n"/>
      <c r="B174" s="54" t="n"/>
      <c r="C174" s="55" t="n"/>
      <c r="D174" s="55" t="n"/>
      <c r="E174">
        <f>IF(OR(A174="",B174=""),"",B174-A174)</f>
        <v/>
      </c>
      <c r="F174" s="55" t="n"/>
    </row>
    <row r="175">
      <c r="A175" s="54" t="n"/>
      <c r="B175" s="54" t="n"/>
      <c r="C175" s="55" t="n"/>
      <c r="D175" s="55" t="n"/>
      <c r="E175">
        <f>IF(OR(A175="",B175=""),"",B175-A175)</f>
        <v/>
      </c>
      <c r="F175" s="55" t="n"/>
    </row>
    <row r="176">
      <c r="A176" s="54" t="n"/>
      <c r="B176" s="54" t="n"/>
      <c r="C176" s="55" t="n"/>
      <c r="D176" s="55" t="n"/>
      <c r="E176">
        <f>IF(OR(A176="",B176=""),"",B176-A176)</f>
        <v/>
      </c>
      <c r="F176" s="55" t="n"/>
    </row>
    <row r="177">
      <c r="A177" s="54" t="n"/>
      <c r="B177" s="54" t="n"/>
      <c r="C177" s="55" t="n"/>
      <c r="D177" s="55" t="n"/>
      <c r="E177">
        <f>IF(OR(A177="",B177=""),"",B177-A177)</f>
        <v/>
      </c>
      <c r="F177" s="55" t="n"/>
    </row>
    <row r="178">
      <c r="A178" s="54" t="n"/>
      <c r="B178" s="54" t="n"/>
      <c r="C178" s="55" t="n"/>
      <c r="D178" s="55" t="n"/>
      <c r="E178">
        <f>IF(OR(A178="",B178=""),"",B178-A178)</f>
        <v/>
      </c>
      <c r="F178" s="55" t="n"/>
    </row>
    <row r="179">
      <c r="A179" s="54" t="n"/>
      <c r="B179" s="54" t="n"/>
      <c r="C179" s="55" t="n"/>
      <c r="D179" s="55" t="n"/>
      <c r="E179">
        <f>IF(OR(A179="",B179=""),"",B179-A179)</f>
        <v/>
      </c>
      <c r="F179" s="55" t="n"/>
    </row>
    <row r="180">
      <c r="A180" s="54" t="n"/>
      <c r="B180" s="54" t="n"/>
      <c r="C180" s="55" t="n"/>
      <c r="D180" s="55" t="n"/>
      <c r="E180">
        <f>IF(OR(A180="",B180=""),"",B180-A180)</f>
        <v/>
      </c>
      <c r="F180" s="55" t="n"/>
    </row>
    <row r="181">
      <c r="A181" s="54" t="n"/>
      <c r="B181" s="54" t="n"/>
      <c r="C181" s="55" t="n"/>
      <c r="D181" s="55" t="n"/>
      <c r="E181">
        <f>IF(OR(A181="",B181=""),"",B181-A181)</f>
        <v/>
      </c>
      <c r="F181" s="55" t="n"/>
    </row>
    <row r="182">
      <c r="A182" s="54" t="n"/>
      <c r="B182" s="54" t="n"/>
      <c r="C182" s="55" t="n"/>
      <c r="D182" s="55" t="n"/>
      <c r="E182">
        <f>IF(OR(A182="",B182=""),"",B182-A182)</f>
        <v/>
      </c>
      <c r="F182" s="55" t="n"/>
    </row>
    <row r="183">
      <c r="A183" s="54" t="n"/>
      <c r="B183" s="54" t="n"/>
      <c r="C183" s="55" t="n"/>
      <c r="D183" s="55" t="n"/>
      <c r="E183">
        <f>IF(OR(A183="",B183=""),"",B183-A183)</f>
        <v/>
      </c>
      <c r="F183" s="55" t="n"/>
    </row>
    <row r="184">
      <c r="A184" s="54" t="n"/>
      <c r="B184" s="54" t="n"/>
      <c r="C184" s="55" t="n"/>
      <c r="D184" s="55" t="n"/>
      <c r="E184">
        <f>IF(OR(A184="",B184=""),"",B184-A184)</f>
        <v/>
      </c>
      <c r="F184" s="55" t="n"/>
    </row>
    <row r="185">
      <c r="A185" s="54" t="n"/>
      <c r="B185" s="54" t="n"/>
      <c r="C185" s="55" t="n"/>
      <c r="D185" s="55" t="n"/>
      <c r="E185">
        <f>IF(OR(A185="",B185=""),"",B185-A185)</f>
        <v/>
      </c>
      <c r="F185" s="55" t="n"/>
    </row>
    <row r="186">
      <c r="A186" s="54" t="n"/>
      <c r="B186" s="54" t="n"/>
      <c r="C186" s="55" t="n"/>
      <c r="D186" s="55" t="n"/>
      <c r="E186">
        <f>IF(OR(A186="",B186=""),"",B186-A186)</f>
        <v/>
      </c>
      <c r="F186" s="55" t="n"/>
    </row>
    <row r="187">
      <c r="A187" s="54" t="n"/>
      <c r="B187" s="54" t="n"/>
      <c r="C187" s="55" t="n"/>
      <c r="D187" s="55" t="n"/>
      <c r="E187">
        <f>IF(OR(A187="",B187=""),"",B187-A187)</f>
        <v/>
      </c>
      <c r="F187" s="55" t="n"/>
    </row>
    <row r="188">
      <c r="A188" s="54" t="n"/>
      <c r="B188" s="54" t="n"/>
      <c r="C188" s="55" t="n"/>
      <c r="D188" s="55" t="n"/>
      <c r="E188">
        <f>IF(OR(A188="",B188=""),"",B188-A188)</f>
        <v/>
      </c>
      <c r="F188" s="55" t="n"/>
    </row>
    <row r="189">
      <c r="A189" s="54" t="n"/>
      <c r="B189" s="54" t="n"/>
      <c r="C189" s="55" t="n"/>
      <c r="D189" s="55" t="n"/>
      <c r="E189">
        <f>IF(OR(A189="",B189=""),"",B189-A189)</f>
        <v/>
      </c>
      <c r="F189" s="55" t="n"/>
    </row>
    <row r="190">
      <c r="A190" s="54" t="n"/>
      <c r="B190" s="54" t="n"/>
      <c r="C190" s="55" t="n"/>
      <c r="D190" s="55" t="n"/>
      <c r="E190">
        <f>IF(OR(A190="",B190=""),"",B190-A190)</f>
        <v/>
      </c>
      <c r="F190" s="55" t="n"/>
    </row>
    <row r="191">
      <c r="A191" s="54" t="n"/>
      <c r="B191" s="54" t="n"/>
      <c r="C191" s="55" t="n"/>
      <c r="D191" s="55" t="n"/>
      <c r="E191">
        <f>IF(OR(A191="",B191=""),"",B191-A191)</f>
        <v/>
      </c>
      <c r="F191" s="55" t="n"/>
    </row>
    <row r="192">
      <c r="A192" s="54" t="n"/>
      <c r="B192" s="54" t="n"/>
      <c r="C192" s="55" t="n"/>
      <c r="D192" s="55" t="n"/>
      <c r="E192">
        <f>IF(OR(A192="",B192=""),"",B192-A192)</f>
        <v/>
      </c>
      <c r="F192" s="55" t="n"/>
    </row>
    <row r="193">
      <c r="A193" s="54" t="n"/>
      <c r="B193" s="54" t="n"/>
      <c r="C193" s="55" t="n"/>
      <c r="D193" s="55" t="n"/>
      <c r="E193">
        <f>IF(OR(A193="",B193=""),"",B193-A193)</f>
        <v/>
      </c>
      <c r="F193" s="55" t="n"/>
    </row>
    <row r="194">
      <c r="A194" s="54" t="n"/>
      <c r="B194" s="54" t="n"/>
      <c r="C194" s="55" t="n"/>
      <c r="D194" s="55" t="n"/>
      <c r="E194">
        <f>IF(OR(A194="",B194=""),"",B194-A194)</f>
        <v/>
      </c>
      <c r="F194" s="55" t="n"/>
    </row>
    <row r="195">
      <c r="A195" s="54" t="n"/>
      <c r="B195" s="54" t="n"/>
      <c r="C195" s="55" t="n"/>
      <c r="D195" s="55" t="n"/>
      <c r="E195">
        <f>IF(OR(A195="",B195=""),"",B195-A195)</f>
        <v/>
      </c>
      <c r="F195" s="55" t="n"/>
    </row>
    <row r="196">
      <c r="A196" s="54" t="n"/>
      <c r="B196" s="54" t="n"/>
      <c r="C196" s="55" t="n"/>
      <c r="D196" s="55" t="n"/>
      <c r="E196">
        <f>IF(OR(A196="",B196=""),"",B196-A196)</f>
        <v/>
      </c>
      <c r="F196" s="55" t="n"/>
    </row>
    <row r="197">
      <c r="A197" s="54" t="n"/>
      <c r="B197" s="54" t="n"/>
      <c r="C197" s="55" t="n"/>
      <c r="D197" s="55" t="n"/>
      <c r="E197">
        <f>IF(OR(A197="",B197=""),"",B197-A197)</f>
        <v/>
      </c>
      <c r="F197" s="55" t="n"/>
    </row>
    <row r="198">
      <c r="A198" s="54" t="n"/>
      <c r="B198" s="54" t="n"/>
      <c r="C198" s="55" t="n"/>
      <c r="D198" s="55" t="n"/>
      <c r="E198">
        <f>IF(OR(A198="",B198=""),"",B198-A198)</f>
        <v/>
      </c>
      <c r="F198" s="55" t="n"/>
    </row>
    <row r="199">
      <c r="A199" s="54" t="n"/>
      <c r="B199" s="54" t="n"/>
      <c r="C199" s="55" t="n"/>
      <c r="D199" s="55" t="n"/>
      <c r="E199">
        <f>IF(OR(A199="",B199=""),"",B199-A199)</f>
        <v/>
      </c>
      <c r="F199" s="55" t="n"/>
    </row>
    <row r="200">
      <c r="A200" s="54" t="n"/>
      <c r="B200" s="54" t="n"/>
      <c r="C200" s="55" t="n"/>
      <c r="D200" s="55" t="n"/>
      <c r="E200">
        <f>IF(OR(A200="",B200=""),"",B200-A200)</f>
        <v/>
      </c>
      <c r="F200" s="55" t="n"/>
    </row>
    <row r="201">
      <c r="A201" s="54" t="n"/>
      <c r="B201" s="54" t="n"/>
      <c r="C201" s="55" t="n"/>
      <c r="D201" s="55" t="n"/>
      <c r="E201">
        <f>IF(OR(A201="",B201=""),"",B201-A201)</f>
        <v/>
      </c>
      <c r="F201" s="55" t="n"/>
    </row>
    <row r="202">
      <c r="A202" s="54" t="n"/>
      <c r="B202" s="54" t="n"/>
      <c r="C202" s="55" t="n"/>
      <c r="D202" s="55" t="n"/>
      <c r="E202">
        <f>IF(OR(A202="",B202=""),"",B202-A202)</f>
        <v/>
      </c>
      <c r="F202" s="55" t="n"/>
    </row>
    <row r="203">
      <c r="A203" s="54" t="n"/>
      <c r="B203" s="54" t="n"/>
      <c r="C203" s="55" t="n"/>
      <c r="D203" s="55" t="n"/>
      <c r="E203">
        <f>IF(OR(A203="",B203=""),"",B203-A203)</f>
        <v/>
      </c>
      <c r="F203" s="55" t="n"/>
    </row>
    <row r="204">
      <c r="A204" s="54" t="n"/>
      <c r="B204" s="54" t="n"/>
      <c r="C204" s="55" t="n"/>
      <c r="D204" s="55" t="n"/>
      <c r="E204">
        <f>IF(OR(A204="",B204=""),"",B204-A204)</f>
        <v/>
      </c>
      <c r="F204" s="55" t="n"/>
    </row>
    <row r="205">
      <c r="A205" s="54" t="n"/>
      <c r="B205" s="54" t="n"/>
      <c r="C205" s="55" t="n"/>
      <c r="D205" s="55" t="n"/>
      <c r="E205">
        <f>IF(OR(A205="",B205=""),"",B205-A205)</f>
        <v/>
      </c>
      <c r="F205" s="55" t="n"/>
    </row>
    <row r="206">
      <c r="A206" s="54" t="n"/>
      <c r="B206" s="54" t="n"/>
      <c r="C206" s="55" t="n"/>
      <c r="D206" s="55" t="n"/>
      <c r="E206">
        <f>IF(OR(A206="",B206=""),"",B206-A206)</f>
        <v/>
      </c>
      <c r="F206" s="55" t="n"/>
    </row>
    <row r="207">
      <c r="A207" s="54" t="n"/>
      <c r="B207" s="54" t="n"/>
      <c r="C207" s="55" t="n"/>
      <c r="D207" s="55" t="n"/>
      <c r="E207">
        <f>IF(OR(A207="",B207=""),"",B207-A207)</f>
        <v/>
      </c>
      <c r="F207" s="55" t="n"/>
    </row>
    <row r="208">
      <c r="A208" s="54" t="n"/>
      <c r="B208" s="54" t="n"/>
      <c r="C208" s="55" t="n"/>
      <c r="D208" s="55" t="n"/>
      <c r="E208">
        <f>IF(OR(A208="",B208=""),"",B208-A208)</f>
        <v/>
      </c>
      <c r="F208" s="55" t="n"/>
    </row>
    <row r="209">
      <c r="A209" s="54" t="n"/>
      <c r="B209" s="54" t="n"/>
      <c r="C209" s="55" t="n"/>
      <c r="D209" s="55" t="n"/>
      <c r="E209">
        <f>IF(OR(A209="",B209=""),"",B209-A209)</f>
        <v/>
      </c>
      <c r="F209" s="55" t="n"/>
    </row>
    <row r="210">
      <c r="A210" s="54" t="n"/>
      <c r="B210" s="54" t="n"/>
      <c r="C210" s="55" t="n"/>
      <c r="D210" s="55" t="n"/>
      <c r="E210">
        <f>IF(OR(A210="",B210=""),"",B210-A210)</f>
        <v/>
      </c>
      <c r="F210" s="55" t="n"/>
    </row>
    <row r="211">
      <c r="A211" s="54" t="n"/>
      <c r="B211" s="54" t="n"/>
      <c r="C211" s="55" t="n"/>
      <c r="D211" s="55" t="n"/>
      <c r="E211">
        <f>IF(OR(A211="",B211=""),"",B211-A211)</f>
        <v/>
      </c>
      <c r="F211" s="55" t="n"/>
    </row>
    <row r="212">
      <c r="A212" s="54" t="n"/>
      <c r="B212" s="54" t="n"/>
      <c r="C212" s="55" t="n"/>
      <c r="D212" s="55" t="n"/>
      <c r="E212">
        <f>IF(OR(A212="",B212=""),"",B212-A212)</f>
        <v/>
      </c>
      <c r="F212" s="55" t="n"/>
    </row>
    <row r="213">
      <c r="A213" s="54" t="n"/>
      <c r="B213" s="54" t="n"/>
      <c r="C213" s="55" t="n"/>
      <c r="D213" s="55" t="n"/>
      <c r="E213">
        <f>IF(OR(A213="",B213=""),"",B213-A213)</f>
        <v/>
      </c>
      <c r="F213" s="55" t="n"/>
    </row>
    <row r="214">
      <c r="A214" s="54" t="n"/>
      <c r="B214" s="54" t="n"/>
      <c r="C214" s="55" t="n"/>
      <c r="D214" s="55" t="n"/>
      <c r="E214">
        <f>IF(OR(A214="",B214=""),"",B214-A214)</f>
        <v/>
      </c>
      <c r="F214" s="55" t="n"/>
    </row>
    <row r="215">
      <c r="A215" s="54" t="n"/>
      <c r="B215" s="54" t="n"/>
      <c r="C215" s="55" t="n"/>
      <c r="D215" s="55" t="n"/>
      <c r="E215">
        <f>IF(OR(A215="",B215=""),"",B215-A215)</f>
        <v/>
      </c>
      <c r="F215" s="55" t="n"/>
    </row>
    <row r="216">
      <c r="A216" s="54" t="n"/>
      <c r="B216" s="54" t="n"/>
      <c r="C216" s="55" t="n"/>
      <c r="D216" s="55" t="n"/>
      <c r="E216">
        <f>IF(OR(A216="",B216=""),"",B216-A216)</f>
        <v/>
      </c>
      <c r="F216" s="55" t="n"/>
    </row>
    <row r="217">
      <c r="A217" s="54" t="n"/>
      <c r="B217" s="54" t="n"/>
      <c r="C217" s="55" t="n"/>
      <c r="D217" s="55" t="n"/>
      <c r="E217">
        <f>IF(OR(A217="",B217=""),"",B217-A217)</f>
        <v/>
      </c>
      <c r="F217" s="55" t="n"/>
    </row>
    <row r="218">
      <c r="A218" s="54" t="n"/>
      <c r="B218" s="54" t="n"/>
      <c r="C218" s="55" t="n"/>
      <c r="D218" s="55" t="n"/>
      <c r="E218">
        <f>IF(OR(A218="",B218=""),"",B218-A218)</f>
        <v/>
      </c>
      <c r="F218" s="55" t="n"/>
    </row>
    <row r="219">
      <c r="A219" s="54" t="n"/>
      <c r="B219" s="54" t="n"/>
      <c r="C219" s="55" t="n"/>
      <c r="D219" s="55" t="n"/>
      <c r="E219">
        <f>IF(OR(A219="",B219=""),"",B219-A219)</f>
        <v/>
      </c>
      <c r="F219" s="55" t="n"/>
    </row>
    <row r="220">
      <c r="A220" s="54" t="n"/>
      <c r="B220" s="54" t="n"/>
      <c r="C220" s="55" t="n"/>
      <c r="D220" s="55" t="n"/>
      <c r="E220">
        <f>IF(OR(A220="",B220=""),"",B220-A220)</f>
        <v/>
      </c>
      <c r="F220" s="55" t="n"/>
    </row>
    <row r="221">
      <c r="A221" s="54" t="n"/>
      <c r="B221" s="54" t="n"/>
      <c r="C221" s="55" t="n"/>
      <c r="D221" s="55" t="n"/>
      <c r="E221">
        <f>IF(OR(A221="",B221=""),"",B221-A221)</f>
        <v/>
      </c>
      <c r="F221" s="55" t="n"/>
    </row>
    <row r="222">
      <c r="A222" s="54" t="n"/>
      <c r="B222" s="54" t="n"/>
      <c r="C222" s="55" t="n"/>
      <c r="D222" s="55" t="n"/>
      <c r="E222">
        <f>IF(OR(A222="",B222=""),"",B222-A222)</f>
        <v/>
      </c>
      <c r="F222" s="55" t="n"/>
    </row>
    <row r="223">
      <c r="A223" s="54" t="n"/>
      <c r="B223" s="54" t="n"/>
      <c r="C223" s="55" t="n"/>
      <c r="D223" s="55" t="n"/>
      <c r="E223">
        <f>IF(OR(A223="",B223=""),"",B223-A223)</f>
        <v/>
      </c>
      <c r="F223" s="55" t="n"/>
    </row>
    <row r="224">
      <c r="A224" s="54" t="n"/>
      <c r="B224" s="54" t="n"/>
      <c r="C224" s="55" t="n"/>
      <c r="D224" s="55" t="n"/>
      <c r="E224">
        <f>IF(OR(A224="",B224=""),"",B224-A224)</f>
        <v/>
      </c>
      <c r="F224" s="55" t="n"/>
    </row>
    <row r="225">
      <c r="A225" s="54" t="n"/>
      <c r="B225" s="54" t="n"/>
      <c r="C225" s="55" t="n"/>
      <c r="D225" s="55" t="n"/>
      <c r="E225">
        <f>IF(OR(A225="",B225=""),"",B225-A225)</f>
        <v/>
      </c>
      <c r="F225" s="55" t="n"/>
    </row>
    <row r="226">
      <c r="A226" s="54" t="n"/>
      <c r="B226" s="54" t="n"/>
      <c r="C226" s="55" t="n"/>
      <c r="D226" s="55" t="n"/>
      <c r="E226">
        <f>IF(OR(A226="",B226=""),"",B226-A226)</f>
        <v/>
      </c>
      <c r="F226" s="55" t="n"/>
    </row>
    <row r="227">
      <c r="A227" s="54" t="n"/>
      <c r="B227" s="54" t="n"/>
      <c r="C227" s="55" t="n"/>
      <c r="D227" s="55" t="n"/>
      <c r="E227">
        <f>IF(OR(A227="",B227=""),"",B227-A227)</f>
        <v/>
      </c>
      <c r="F227" s="55" t="n"/>
    </row>
    <row r="228">
      <c r="A228" s="54" t="n"/>
      <c r="B228" s="54" t="n"/>
      <c r="C228" s="55" t="n"/>
      <c r="D228" s="55" t="n"/>
      <c r="E228">
        <f>IF(OR(A228="",B228=""),"",B228-A228)</f>
        <v/>
      </c>
      <c r="F228" s="55" t="n"/>
    </row>
    <row r="229">
      <c r="A229" s="54" t="n"/>
      <c r="B229" s="54" t="n"/>
      <c r="C229" s="55" t="n"/>
      <c r="D229" s="55" t="n"/>
      <c r="E229">
        <f>IF(OR(A229="",B229=""),"",B229-A229)</f>
        <v/>
      </c>
      <c r="F229" s="55" t="n"/>
    </row>
    <row r="230">
      <c r="A230" s="54" t="n"/>
      <c r="B230" s="54" t="n"/>
      <c r="C230" s="55" t="n"/>
      <c r="D230" s="55" t="n"/>
      <c r="E230">
        <f>IF(OR(A230="",B230=""),"",B230-A230)</f>
        <v/>
      </c>
      <c r="F230" s="55" t="n"/>
    </row>
    <row r="231">
      <c r="A231" s="54" t="n"/>
      <c r="B231" s="54" t="n"/>
      <c r="C231" s="55" t="n"/>
      <c r="D231" s="55" t="n"/>
      <c r="E231">
        <f>IF(OR(A231="",B231=""),"",B231-A231)</f>
        <v/>
      </c>
      <c r="F231" s="55" t="n"/>
    </row>
    <row r="232">
      <c r="A232" s="54" t="n"/>
      <c r="B232" s="54" t="n"/>
      <c r="C232" s="55" t="n"/>
      <c r="D232" s="55" t="n"/>
      <c r="E232">
        <f>IF(OR(A232="",B232=""),"",B232-A232)</f>
        <v/>
      </c>
      <c r="F232" s="55" t="n"/>
    </row>
    <row r="233">
      <c r="A233" s="54" t="n"/>
      <c r="B233" s="54" t="n"/>
      <c r="C233" s="55" t="n"/>
      <c r="D233" s="55" t="n"/>
      <c r="E233">
        <f>IF(OR(A233="",B233=""),"",B233-A233)</f>
        <v/>
      </c>
      <c r="F233" s="55" t="n"/>
    </row>
    <row r="234">
      <c r="A234" s="54" t="n"/>
      <c r="B234" s="54" t="n"/>
      <c r="C234" s="55" t="n"/>
      <c r="D234" s="55" t="n"/>
      <c r="E234">
        <f>IF(OR(A234="",B234=""),"",B234-A234)</f>
        <v/>
      </c>
      <c r="F234" s="55" t="n"/>
    </row>
    <row r="235">
      <c r="A235" s="54" t="n"/>
      <c r="B235" s="54" t="n"/>
      <c r="C235" s="55" t="n"/>
      <c r="D235" s="55" t="n"/>
      <c r="E235">
        <f>IF(OR(A235="",B235=""),"",B235-A235)</f>
        <v/>
      </c>
      <c r="F235" s="55" t="n"/>
    </row>
    <row r="236">
      <c r="A236" s="54" t="n"/>
      <c r="B236" s="54" t="n"/>
      <c r="C236" s="55" t="n"/>
      <c r="D236" s="55" t="n"/>
      <c r="E236">
        <f>IF(OR(A236="",B236=""),"",B236-A236)</f>
        <v/>
      </c>
      <c r="F236" s="55" t="n"/>
    </row>
    <row r="237">
      <c r="A237" s="54" t="n"/>
      <c r="B237" s="54" t="n"/>
      <c r="C237" s="55" t="n"/>
      <c r="D237" s="55" t="n"/>
      <c r="E237">
        <f>IF(OR(A237="",B237=""),"",B237-A237)</f>
        <v/>
      </c>
      <c r="F237" s="55" t="n"/>
    </row>
    <row r="238">
      <c r="A238" s="54" t="n"/>
      <c r="B238" s="54" t="n"/>
      <c r="C238" s="55" t="n"/>
      <c r="D238" s="55" t="n"/>
      <c r="E238">
        <f>IF(OR(A238="",B238=""),"",B238-A238)</f>
        <v/>
      </c>
      <c r="F238" s="55" t="n"/>
    </row>
    <row r="239">
      <c r="A239" s="54" t="n"/>
      <c r="B239" s="54" t="n"/>
      <c r="C239" s="55" t="n"/>
      <c r="D239" s="55" t="n"/>
      <c r="E239">
        <f>IF(OR(A239="",B239=""),"",B239-A239)</f>
        <v/>
      </c>
      <c r="F239" s="55" t="n"/>
    </row>
    <row r="240">
      <c r="A240" s="54" t="n"/>
      <c r="B240" s="54" t="n"/>
      <c r="C240" s="55" t="n"/>
      <c r="D240" s="55" t="n"/>
      <c r="E240">
        <f>IF(OR(A240="",B240=""),"",B240-A240)</f>
        <v/>
      </c>
      <c r="F240" s="55" t="n"/>
    </row>
    <row r="241">
      <c r="A241" s="54" t="n"/>
      <c r="B241" s="54" t="n"/>
      <c r="C241" s="55" t="n"/>
      <c r="D241" s="55" t="n"/>
      <c r="E241">
        <f>IF(OR(A241="",B241=""),"",B241-A241)</f>
        <v/>
      </c>
      <c r="F241" s="55" t="n"/>
    </row>
    <row r="242">
      <c r="A242" s="54" t="n"/>
      <c r="B242" s="54" t="n"/>
      <c r="C242" s="55" t="n"/>
      <c r="D242" s="55" t="n"/>
      <c r="E242">
        <f>IF(OR(A242="",B242=""),"",B242-A242)</f>
        <v/>
      </c>
      <c r="F242" s="55" t="n"/>
    </row>
    <row r="243">
      <c r="A243" s="54" t="n"/>
      <c r="B243" s="54" t="n"/>
      <c r="C243" s="55" t="n"/>
      <c r="D243" s="55" t="n"/>
      <c r="E243">
        <f>IF(OR(A243="",B243=""),"",B243-A243)</f>
        <v/>
      </c>
      <c r="F243" s="55" t="n"/>
    </row>
    <row r="244">
      <c r="A244" s="54" t="n"/>
      <c r="B244" s="54" t="n"/>
      <c r="C244" s="55" t="n"/>
      <c r="D244" s="55" t="n"/>
      <c r="E244">
        <f>IF(OR(A244="",B244=""),"",B244-A244)</f>
        <v/>
      </c>
      <c r="F244" s="55" t="n"/>
    </row>
    <row r="245">
      <c r="A245" s="54" t="n"/>
      <c r="B245" s="54" t="n"/>
      <c r="C245" s="55" t="n"/>
      <c r="D245" s="55" t="n"/>
      <c r="E245">
        <f>IF(OR(A245="",B245=""),"",B245-A245)</f>
        <v/>
      </c>
      <c r="F245" s="55" t="n"/>
    </row>
    <row r="246">
      <c r="A246" s="54" t="n"/>
      <c r="B246" s="54" t="n"/>
      <c r="C246" s="55" t="n"/>
      <c r="D246" s="55" t="n"/>
      <c r="E246">
        <f>IF(OR(A246="",B246=""),"",B246-A246)</f>
        <v/>
      </c>
      <c r="F246" s="55" t="n"/>
    </row>
    <row r="247">
      <c r="A247" s="54" t="n"/>
      <c r="B247" s="54" t="n"/>
      <c r="C247" s="55" t="n"/>
      <c r="D247" s="55" t="n"/>
      <c r="E247">
        <f>IF(OR(A247="",B247=""),"",B247-A247)</f>
        <v/>
      </c>
      <c r="F247" s="55" t="n"/>
    </row>
    <row r="248">
      <c r="A248" s="54" t="n"/>
      <c r="B248" s="54" t="n"/>
      <c r="C248" s="55" t="n"/>
      <c r="D248" s="55" t="n"/>
      <c r="E248">
        <f>IF(OR(A248="",B248=""),"",B248-A248)</f>
        <v/>
      </c>
      <c r="F248" s="55" t="n"/>
    </row>
    <row r="249">
      <c r="A249" s="54" t="n"/>
      <c r="B249" s="54" t="n"/>
      <c r="C249" s="55" t="n"/>
      <c r="D249" s="55" t="n"/>
      <c r="E249">
        <f>IF(OR(A249="",B249=""),"",B249-A249)</f>
        <v/>
      </c>
      <c r="F249" s="55" t="n"/>
    </row>
    <row r="250">
      <c r="A250" s="54" t="n"/>
      <c r="B250" s="54" t="n"/>
      <c r="C250" s="55" t="n"/>
      <c r="D250" s="55" t="n"/>
      <c r="E250">
        <f>IF(OR(A250="",B250=""),"",B250-A250)</f>
        <v/>
      </c>
      <c r="F250" s="55" t="n"/>
    </row>
    <row r="251">
      <c r="A251" s="54" t="n"/>
      <c r="B251" s="54" t="n"/>
      <c r="C251" s="55" t="n"/>
      <c r="D251" s="55" t="n"/>
      <c r="E251">
        <f>IF(OR(A251="",B251=""),"",B251-A251)</f>
        <v/>
      </c>
      <c r="F251" s="55" t="n"/>
    </row>
    <row r="252">
      <c r="A252" s="54" t="n"/>
      <c r="B252" s="54" t="n"/>
      <c r="C252" s="55" t="n"/>
      <c r="D252" s="55" t="n"/>
      <c r="E252">
        <f>IF(OR(A252="",B252=""),"",B252-A252)</f>
        <v/>
      </c>
      <c r="F252" s="55" t="n"/>
    </row>
    <row r="253">
      <c r="A253" s="54" t="n"/>
      <c r="B253" s="54" t="n"/>
      <c r="C253" s="55" t="n"/>
      <c r="D253" s="55" t="n"/>
      <c r="E253">
        <f>IF(OR(A253="",B253=""),"",B253-A253)</f>
        <v/>
      </c>
      <c r="F253" s="55" t="n"/>
    </row>
    <row r="254">
      <c r="A254" s="54" t="n"/>
      <c r="B254" s="54" t="n"/>
      <c r="C254" s="55" t="n"/>
      <c r="D254" s="55" t="n"/>
      <c r="E254">
        <f>IF(OR(A254="",B254=""),"",B254-A254)</f>
        <v/>
      </c>
      <c r="F254" s="55" t="n"/>
    </row>
    <row r="255">
      <c r="A255" s="54" t="n"/>
      <c r="B255" s="54" t="n"/>
      <c r="C255" s="55" t="n"/>
      <c r="D255" s="55" t="n"/>
      <c r="E255">
        <f>IF(OR(A255="",B255=""),"",B255-A255)</f>
        <v/>
      </c>
      <c r="F255" s="55" t="n"/>
    </row>
    <row r="256">
      <c r="A256" s="54" t="n"/>
      <c r="B256" s="54" t="n"/>
      <c r="C256" s="55" t="n"/>
      <c r="D256" s="55" t="n"/>
      <c r="E256">
        <f>IF(OR(A256="",B256=""),"",B256-A256)</f>
        <v/>
      </c>
      <c r="F256" s="55" t="n"/>
    </row>
    <row r="257">
      <c r="A257" s="54" t="n"/>
      <c r="B257" s="54" t="n"/>
      <c r="C257" s="55" t="n"/>
      <c r="D257" s="55" t="n"/>
      <c r="E257">
        <f>IF(OR(A257="",B257=""),"",B257-A257)</f>
        <v/>
      </c>
      <c r="F257" s="55" t="n"/>
    </row>
    <row r="258">
      <c r="A258" s="54" t="n"/>
      <c r="B258" s="54" t="n"/>
      <c r="C258" s="55" t="n"/>
      <c r="D258" s="55" t="n"/>
      <c r="E258">
        <f>IF(OR(A258="",B258=""),"",B258-A258)</f>
        <v/>
      </c>
      <c r="F258" s="55" t="n"/>
    </row>
    <row r="259">
      <c r="A259" s="54" t="n"/>
      <c r="B259" s="54" t="n"/>
      <c r="C259" s="55" t="n"/>
      <c r="D259" s="55" t="n"/>
      <c r="E259">
        <f>IF(OR(A259="",B259=""),"",B259-A259)</f>
        <v/>
      </c>
      <c r="F259" s="55" t="n"/>
    </row>
    <row r="260">
      <c r="A260" s="54" t="n"/>
      <c r="B260" s="54" t="n"/>
      <c r="C260" s="55" t="n"/>
      <c r="D260" s="55" t="n"/>
      <c r="E260">
        <f>IF(OR(A260="",B260=""),"",B260-A260)</f>
        <v/>
      </c>
      <c r="F260" s="55" t="n"/>
    </row>
    <row r="261">
      <c r="A261" s="54" t="n"/>
      <c r="B261" s="54" t="n"/>
      <c r="C261" s="55" t="n"/>
      <c r="D261" s="55" t="n"/>
      <c r="E261">
        <f>IF(OR(A261="",B261=""),"",B261-A261)</f>
        <v/>
      </c>
      <c r="F261" s="55" t="n"/>
    </row>
    <row r="262">
      <c r="A262" s="54" t="n"/>
      <c r="B262" s="54" t="n"/>
      <c r="C262" s="55" t="n"/>
      <c r="D262" s="55" t="n"/>
      <c r="E262">
        <f>IF(OR(A262="",B262=""),"",B262-A262)</f>
        <v/>
      </c>
      <c r="F262" s="55" t="n"/>
    </row>
    <row r="263">
      <c r="A263" s="54" t="n"/>
      <c r="B263" s="54" t="n"/>
      <c r="C263" s="55" t="n"/>
      <c r="D263" s="55" t="n"/>
      <c r="E263">
        <f>IF(OR(A263="",B263=""),"",B263-A263)</f>
        <v/>
      </c>
      <c r="F263" s="55" t="n"/>
    </row>
    <row r="264">
      <c r="A264" s="54" t="n"/>
      <c r="B264" s="54" t="n"/>
      <c r="C264" s="55" t="n"/>
      <c r="D264" s="55" t="n"/>
      <c r="E264">
        <f>IF(OR(A264="",B264=""),"",B264-A264)</f>
        <v/>
      </c>
      <c r="F264" s="55" t="n"/>
    </row>
    <row r="265">
      <c r="A265" s="54" t="n"/>
      <c r="B265" s="54" t="n"/>
      <c r="C265" s="55" t="n"/>
      <c r="D265" s="55" t="n"/>
      <c r="E265">
        <f>IF(OR(A265="",B265=""),"",B265-A265)</f>
        <v/>
      </c>
      <c r="F265" s="55" t="n"/>
    </row>
    <row r="266">
      <c r="A266" s="54" t="n"/>
      <c r="B266" s="54" t="n"/>
      <c r="C266" s="55" t="n"/>
      <c r="D266" s="55" t="n"/>
      <c r="E266">
        <f>IF(OR(A266="",B266=""),"",B266-A266)</f>
        <v/>
      </c>
      <c r="F266" s="55" t="n"/>
    </row>
    <row r="267">
      <c r="A267" s="54" t="n"/>
      <c r="B267" s="54" t="n"/>
      <c r="C267" s="55" t="n"/>
      <c r="D267" s="55" t="n"/>
      <c r="E267">
        <f>IF(OR(A267="",B267=""),"",B267-A267)</f>
        <v/>
      </c>
      <c r="F267" s="55" t="n"/>
    </row>
    <row r="268">
      <c r="A268" s="54" t="n"/>
      <c r="B268" s="54" t="n"/>
      <c r="C268" s="55" t="n"/>
      <c r="D268" s="55" t="n"/>
      <c r="E268">
        <f>IF(OR(A268="",B268=""),"",B268-A268)</f>
        <v/>
      </c>
      <c r="F268" s="55" t="n"/>
    </row>
    <row r="269">
      <c r="A269" s="54" t="n"/>
      <c r="B269" s="54" t="n"/>
      <c r="C269" s="55" t="n"/>
      <c r="D269" s="55" t="n"/>
      <c r="E269">
        <f>IF(OR(A269="",B269=""),"",B269-A269)</f>
        <v/>
      </c>
      <c r="F269" s="55" t="n"/>
    </row>
    <row r="270">
      <c r="A270" s="54" t="n"/>
      <c r="B270" s="54" t="n"/>
      <c r="C270" s="55" t="n"/>
      <c r="D270" s="55" t="n"/>
      <c r="E270">
        <f>IF(OR(A270="",B270=""),"",B270-A270)</f>
        <v/>
      </c>
      <c r="F270" s="55" t="n"/>
    </row>
    <row r="271">
      <c r="A271" s="54" t="n"/>
      <c r="B271" s="54" t="n"/>
      <c r="C271" s="55" t="n"/>
      <c r="D271" s="55" t="n"/>
      <c r="E271">
        <f>IF(OR(A271="",B271=""),"",B271-A271)</f>
        <v/>
      </c>
      <c r="F271" s="55" t="n"/>
    </row>
    <row r="272">
      <c r="A272" s="54" t="n"/>
      <c r="B272" s="54" t="n"/>
      <c r="C272" s="55" t="n"/>
      <c r="D272" s="55" t="n"/>
      <c r="E272">
        <f>IF(OR(A272="",B272=""),"",B272-A272)</f>
        <v/>
      </c>
      <c r="F272" s="55" t="n"/>
    </row>
    <row r="273">
      <c r="A273" s="54" t="n"/>
      <c r="B273" s="54" t="n"/>
      <c r="C273" s="55" t="n"/>
      <c r="D273" s="55" t="n"/>
      <c r="E273">
        <f>IF(OR(A273="",B273=""),"",B273-A273)</f>
        <v/>
      </c>
      <c r="F273" s="55" t="n"/>
    </row>
    <row r="274">
      <c r="A274" s="54" t="n"/>
      <c r="B274" s="54" t="n"/>
      <c r="C274" s="55" t="n"/>
      <c r="D274" s="55" t="n"/>
      <c r="E274">
        <f>IF(OR(A274="",B274=""),"",B274-A274)</f>
        <v/>
      </c>
      <c r="F274" s="55" t="n"/>
    </row>
    <row r="275">
      <c r="A275" s="54" t="n"/>
      <c r="B275" s="54" t="n"/>
      <c r="C275" s="55" t="n"/>
      <c r="D275" s="55" t="n"/>
      <c r="E275">
        <f>IF(OR(A275="",B275=""),"",B275-A275)</f>
        <v/>
      </c>
      <c r="F275" s="55" t="n"/>
    </row>
    <row r="276">
      <c r="A276" s="54" t="n"/>
      <c r="B276" s="54" t="n"/>
      <c r="C276" s="55" t="n"/>
      <c r="D276" s="55" t="n"/>
      <c r="E276">
        <f>IF(OR(A276="",B276=""),"",B276-A276)</f>
        <v/>
      </c>
      <c r="F276" s="55" t="n"/>
    </row>
    <row r="277">
      <c r="A277" s="54" t="n"/>
      <c r="B277" s="54" t="n"/>
      <c r="C277" s="55" t="n"/>
      <c r="D277" s="55" t="n"/>
      <c r="E277">
        <f>IF(OR(A277="",B277=""),"",B277-A277)</f>
        <v/>
      </c>
      <c r="F277" s="55" t="n"/>
    </row>
    <row r="278">
      <c r="A278" s="54" t="n"/>
      <c r="B278" s="54" t="n"/>
      <c r="C278" s="55" t="n"/>
      <c r="D278" s="55" t="n"/>
      <c r="E278">
        <f>IF(OR(A278="",B278=""),"",B278-A278)</f>
        <v/>
      </c>
      <c r="F278" s="55" t="n"/>
    </row>
    <row r="279">
      <c r="A279" s="54" t="n"/>
      <c r="B279" s="54" t="n"/>
      <c r="C279" s="55" t="n"/>
      <c r="D279" s="55" t="n"/>
      <c r="E279">
        <f>IF(OR(A279="",B279=""),"",B279-A279)</f>
        <v/>
      </c>
      <c r="F279" s="55" t="n"/>
    </row>
    <row r="280">
      <c r="A280" s="54" t="n"/>
      <c r="B280" s="54" t="n"/>
      <c r="C280" s="55" t="n"/>
      <c r="D280" s="55" t="n"/>
      <c r="E280">
        <f>IF(OR(A280="",B280=""),"",B280-A280)</f>
        <v/>
      </c>
      <c r="F280" s="55" t="n"/>
    </row>
    <row r="281">
      <c r="A281" s="54" t="n"/>
      <c r="B281" s="54" t="n"/>
      <c r="C281" s="55" t="n"/>
      <c r="D281" s="55" t="n"/>
      <c r="E281">
        <f>IF(OR(A281="",B281=""),"",B281-A281)</f>
        <v/>
      </c>
      <c r="F281" s="55" t="n"/>
    </row>
    <row r="282">
      <c r="A282" s="54" t="n"/>
      <c r="B282" s="54" t="n"/>
      <c r="C282" s="55" t="n"/>
      <c r="D282" s="55" t="n"/>
      <c r="E282">
        <f>IF(OR(A282="",B282=""),"",B282-A282)</f>
        <v/>
      </c>
      <c r="F282" s="55" t="n"/>
    </row>
    <row r="283">
      <c r="A283" s="54" t="n"/>
      <c r="B283" s="54" t="n"/>
      <c r="C283" s="55" t="n"/>
      <c r="D283" s="55" t="n"/>
      <c r="E283">
        <f>IF(OR(A283="",B283=""),"",B283-A283)</f>
        <v/>
      </c>
      <c r="F283" s="55" t="n"/>
    </row>
    <row r="284">
      <c r="A284" s="54" t="n"/>
      <c r="B284" s="54" t="n"/>
      <c r="C284" s="55" t="n"/>
      <c r="D284" s="55" t="n"/>
      <c r="E284">
        <f>IF(OR(A284="",B284=""),"",B284-A284)</f>
        <v/>
      </c>
      <c r="F284" s="55" t="n"/>
    </row>
    <row r="285">
      <c r="A285" s="54" t="n"/>
      <c r="B285" s="54" t="n"/>
      <c r="C285" s="55" t="n"/>
      <c r="D285" s="55" t="n"/>
      <c r="E285">
        <f>IF(OR(A285="",B285=""),"",B285-A285)</f>
        <v/>
      </c>
      <c r="F285" s="55" t="n"/>
    </row>
    <row r="286">
      <c r="A286" s="54" t="n"/>
      <c r="B286" s="54" t="n"/>
      <c r="C286" s="55" t="n"/>
      <c r="D286" s="55" t="n"/>
      <c r="E286">
        <f>IF(OR(A286="",B286=""),"",B286-A286)</f>
        <v/>
      </c>
      <c r="F286" s="55" t="n"/>
    </row>
    <row r="287">
      <c r="A287" s="54" t="n"/>
      <c r="B287" s="54" t="n"/>
      <c r="C287" s="55" t="n"/>
      <c r="D287" s="55" t="n"/>
      <c r="E287">
        <f>IF(OR(A287="",B287=""),"",B287-A287)</f>
        <v/>
      </c>
      <c r="F287" s="55" t="n"/>
    </row>
    <row r="288">
      <c r="A288" s="54" t="n"/>
      <c r="B288" s="54" t="n"/>
      <c r="C288" s="55" t="n"/>
      <c r="D288" s="55" t="n"/>
      <c r="E288">
        <f>IF(OR(A288="",B288=""),"",B288-A288)</f>
        <v/>
      </c>
      <c r="F288" s="55" t="n"/>
    </row>
    <row r="289">
      <c r="A289" s="54" t="n"/>
      <c r="B289" s="54" t="n"/>
      <c r="C289" s="55" t="n"/>
      <c r="D289" s="55" t="n"/>
      <c r="E289">
        <f>IF(OR(A289="",B289=""),"",B289-A289)</f>
        <v/>
      </c>
      <c r="F289" s="55" t="n"/>
    </row>
    <row r="290">
      <c r="A290" s="54" t="n"/>
      <c r="B290" s="54" t="n"/>
      <c r="C290" s="55" t="n"/>
      <c r="D290" s="55" t="n"/>
      <c r="E290">
        <f>IF(OR(A290="",B290=""),"",B290-A290)</f>
        <v/>
      </c>
      <c r="F290" s="55" t="n"/>
    </row>
    <row r="291">
      <c r="A291" s="54" t="n"/>
      <c r="B291" s="54" t="n"/>
      <c r="C291" s="55" t="n"/>
      <c r="D291" s="55" t="n"/>
      <c r="E291">
        <f>IF(OR(A291="",B291=""),"",B291-A291)</f>
        <v/>
      </c>
      <c r="F291" s="55" t="n"/>
    </row>
    <row r="292">
      <c r="A292" s="54" t="n"/>
      <c r="B292" s="54" t="n"/>
      <c r="C292" s="55" t="n"/>
      <c r="D292" s="55" t="n"/>
      <c r="E292">
        <f>IF(OR(A292="",B292=""),"",B292-A292)</f>
        <v/>
      </c>
      <c r="F292" s="55" t="n"/>
    </row>
    <row r="293">
      <c r="A293" s="54" t="n"/>
      <c r="B293" s="54" t="n"/>
      <c r="C293" s="55" t="n"/>
      <c r="D293" s="55" t="n"/>
      <c r="E293">
        <f>IF(OR(A293="",B293=""),"",B293-A293)</f>
        <v/>
      </c>
      <c r="F293" s="55" t="n"/>
    </row>
    <row r="294">
      <c r="A294" s="54" t="n"/>
      <c r="B294" s="54" t="n"/>
      <c r="C294" s="55" t="n"/>
      <c r="D294" s="55" t="n"/>
      <c r="E294">
        <f>IF(OR(A294="",B294=""),"",B294-A294)</f>
        <v/>
      </c>
      <c r="F294" s="55" t="n"/>
    </row>
    <row r="295">
      <c r="A295" s="54" t="n"/>
      <c r="B295" s="54" t="n"/>
      <c r="C295" s="55" t="n"/>
      <c r="D295" s="55" t="n"/>
      <c r="E295">
        <f>IF(OR(A295="",B295=""),"",B295-A295)</f>
        <v/>
      </c>
      <c r="F295" s="55" t="n"/>
    </row>
    <row r="296">
      <c r="A296" s="54" t="n"/>
      <c r="B296" s="54" t="n"/>
      <c r="C296" s="55" t="n"/>
      <c r="D296" s="55" t="n"/>
      <c r="E296">
        <f>IF(OR(A296="",B296=""),"",B296-A296)</f>
        <v/>
      </c>
      <c r="F296" s="55" t="n"/>
    </row>
    <row r="297">
      <c r="A297" s="54" t="n"/>
      <c r="B297" s="54" t="n"/>
      <c r="C297" s="55" t="n"/>
      <c r="D297" s="55" t="n"/>
      <c r="E297">
        <f>IF(OR(A297="",B297=""),"",B297-A297)</f>
        <v/>
      </c>
      <c r="F297" s="55" t="n"/>
    </row>
    <row r="298">
      <c r="A298" s="54" t="n"/>
      <c r="B298" s="54" t="n"/>
      <c r="C298" s="55" t="n"/>
      <c r="D298" s="55" t="n"/>
      <c r="E298">
        <f>IF(OR(A298="",B298=""),"",B298-A298)</f>
        <v/>
      </c>
      <c r="F298" s="55" t="n"/>
    </row>
    <row r="299">
      <c r="A299" s="54" t="n"/>
      <c r="B299" s="54" t="n"/>
      <c r="C299" s="55" t="n"/>
      <c r="D299" s="55" t="n"/>
      <c r="E299">
        <f>IF(OR(A299="",B299=""),"",B299-A299)</f>
        <v/>
      </c>
      <c r="F299" s="55" t="n"/>
    </row>
    <row r="300">
      <c r="A300" s="54" t="n"/>
      <c r="B300" s="54" t="n"/>
      <c r="C300" s="55" t="n"/>
      <c r="D300" s="55" t="n"/>
      <c r="E300">
        <f>IF(OR(A300="",B300=""),"",B300-A300)</f>
        <v/>
      </c>
      <c r="F300" s="55" t="n"/>
    </row>
    <row r="301">
      <c r="A301" s="54" t="n"/>
      <c r="B301" s="54" t="n"/>
      <c r="C301" s="55" t="n"/>
      <c r="D301" s="55" t="n"/>
      <c r="E301">
        <f>IF(OR(A301="",B301=""),"",B301-A301)</f>
        <v/>
      </c>
      <c r="F301" s="55" t="n"/>
    </row>
    <row r="302">
      <c r="A302" s="54" t="n"/>
      <c r="B302" s="54" t="n"/>
      <c r="C302" s="55" t="n"/>
      <c r="D302" s="55" t="n"/>
      <c r="E302">
        <f>IF(OR(A302="",B302=""),"",B302-A302)</f>
        <v/>
      </c>
      <c r="F302" s="55" t="n"/>
    </row>
    <row r="303">
      <c r="A303" s="54" t="n"/>
      <c r="B303" s="54" t="n"/>
      <c r="C303" s="55" t="n"/>
      <c r="D303" s="55" t="n"/>
      <c r="E303">
        <f>IF(OR(A303="",B303=""),"",B303-A303)</f>
        <v/>
      </c>
      <c r="F303" s="55" t="n"/>
    </row>
    <row r="304">
      <c r="A304" s="54" t="n"/>
      <c r="B304" s="54" t="n"/>
      <c r="C304" s="55" t="n"/>
      <c r="D304" s="55" t="n"/>
      <c r="E304">
        <f>IF(OR(A304="",B304=""),"",B304-A304)</f>
        <v/>
      </c>
      <c r="F304" s="55" t="n"/>
    </row>
    <row r="305">
      <c r="A305" s="54" t="n"/>
      <c r="B305" s="54" t="n"/>
      <c r="C305" s="55" t="n"/>
      <c r="D305" s="55" t="n"/>
      <c r="E305">
        <f>IF(OR(A305="",B305=""),"",B305-A305)</f>
        <v/>
      </c>
      <c r="F305" s="55" t="n"/>
    </row>
    <row r="306">
      <c r="A306" s="54" t="n"/>
      <c r="B306" s="54" t="n"/>
      <c r="C306" s="55" t="n"/>
      <c r="D306" s="55" t="n"/>
      <c r="E306">
        <f>IF(OR(A306="",B306=""),"",B306-A306)</f>
        <v/>
      </c>
      <c r="F306" s="55" t="n"/>
    </row>
    <row r="307">
      <c r="A307" s="54" t="n"/>
      <c r="B307" s="54" t="n"/>
      <c r="C307" s="55" t="n"/>
      <c r="D307" s="55" t="n"/>
      <c r="E307">
        <f>IF(OR(A307="",B307=""),"",B307-A307)</f>
        <v/>
      </c>
      <c r="F307" s="55" t="n"/>
    </row>
    <row r="308">
      <c r="A308" s="54" t="n"/>
      <c r="B308" s="54" t="n"/>
      <c r="C308" s="55" t="n"/>
      <c r="D308" s="55" t="n"/>
      <c r="E308">
        <f>IF(OR(A308="",B308=""),"",B308-A308)</f>
        <v/>
      </c>
      <c r="F308" s="55" t="n"/>
    </row>
    <row r="309">
      <c r="A309" s="54" t="n"/>
      <c r="B309" s="54" t="n"/>
      <c r="C309" s="55" t="n"/>
      <c r="D309" s="55" t="n"/>
      <c r="E309">
        <f>IF(OR(A309="",B309=""),"",B309-A309)</f>
        <v/>
      </c>
      <c r="F309" s="55" t="n"/>
    </row>
    <row r="310">
      <c r="A310" s="54" t="n"/>
      <c r="B310" s="54" t="n"/>
      <c r="C310" s="55" t="n"/>
      <c r="D310" s="55" t="n"/>
      <c r="E310">
        <f>IF(OR(A310="",B310=""),"",B310-A310)</f>
        <v/>
      </c>
      <c r="F310" s="55" t="n"/>
    </row>
    <row r="311">
      <c r="A311" s="54" t="n"/>
      <c r="B311" s="54" t="n"/>
      <c r="C311" s="55" t="n"/>
      <c r="D311" s="55" t="n"/>
      <c r="E311">
        <f>IF(OR(A311="",B311=""),"",B311-A311)</f>
        <v/>
      </c>
      <c r="F311" s="55" t="n"/>
    </row>
    <row r="312">
      <c r="A312" s="54" t="n"/>
      <c r="B312" s="54" t="n"/>
      <c r="C312" s="55" t="n"/>
      <c r="D312" s="55" t="n"/>
      <c r="E312">
        <f>IF(OR(A312="",B312=""),"",B312-A312)</f>
        <v/>
      </c>
      <c r="F312" s="55" t="n"/>
    </row>
    <row r="313">
      <c r="A313" s="54" t="n"/>
      <c r="B313" s="54" t="n"/>
      <c r="C313" s="55" t="n"/>
      <c r="D313" s="55" t="n"/>
      <c r="E313">
        <f>IF(OR(A313="",B313=""),"",B313-A313)</f>
        <v/>
      </c>
      <c r="F313" s="55" t="n"/>
    </row>
    <row r="314">
      <c r="A314" s="54" t="n"/>
      <c r="B314" s="54" t="n"/>
      <c r="C314" s="55" t="n"/>
      <c r="D314" s="55" t="n"/>
      <c r="E314">
        <f>IF(OR(A314="",B314=""),"",B314-A314)</f>
        <v/>
      </c>
      <c r="F314" s="55" t="n"/>
    </row>
    <row r="315">
      <c r="A315" s="54" t="n"/>
      <c r="B315" s="54" t="n"/>
      <c r="C315" s="55" t="n"/>
      <c r="D315" s="55" t="n"/>
      <c r="E315">
        <f>IF(OR(A315="",B315=""),"",B315-A315)</f>
        <v/>
      </c>
      <c r="F315" s="55" t="n"/>
    </row>
    <row r="316">
      <c r="A316" s="54" t="n"/>
      <c r="B316" s="54" t="n"/>
      <c r="C316" s="55" t="n"/>
      <c r="D316" s="55" t="n"/>
      <c r="E316">
        <f>IF(OR(A316="",B316=""),"",B316-A316)</f>
        <v/>
      </c>
      <c r="F316" s="55" t="n"/>
    </row>
    <row r="317">
      <c r="A317" s="54" t="n"/>
      <c r="B317" s="54" t="n"/>
      <c r="C317" s="55" t="n"/>
      <c r="D317" s="55" t="n"/>
      <c r="E317">
        <f>IF(OR(A317="",B317=""),"",B317-A317)</f>
        <v/>
      </c>
      <c r="F317" s="55" t="n"/>
    </row>
    <row r="318">
      <c r="A318" s="54" t="n"/>
      <c r="B318" s="54" t="n"/>
      <c r="C318" s="55" t="n"/>
      <c r="D318" s="55" t="n"/>
      <c r="E318">
        <f>IF(OR(A318="",B318=""),"",B318-A318)</f>
        <v/>
      </c>
      <c r="F318" s="55" t="n"/>
    </row>
    <row r="319">
      <c r="A319" s="54" t="n"/>
      <c r="B319" s="54" t="n"/>
      <c r="C319" s="55" t="n"/>
      <c r="D319" s="55" t="n"/>
      <c r="E319">
        <f>IF(OR(A319="",B319=""),"",B319-A319)</f>
        <v/>
      </c>
      <c r="F319" s="55" t="n"/>
    </row>
    <row r="320">
      <c r="A320" s="54" t="n"/>
      <c r="B320" s="54" t="n"/>
      <c r="C320" s="55" t="n"/>
      <c r="D320" s="55" t="n"/>
      <c r="E320">
        <f>IF(OR(A320="",B320=""),"",B320-A320)</f>
        <v/>
      </c>
      <c r="F320" s="55" t="n"/>
    </row>
    <row r="321">
      <c r="A321" s="54" t="n"/>
      <c r="B321" s="54" t="n"/>
      <c r="C321" s="55" t="n"/>
      <c r="D321" s="55" t="n"/>
      <c r="E321">
        <f>IF(OR(A321="",B321=""),"",B321-A321)</f>
        <v/>
      </c>
      <c r="F321" s="55" t="n"/>
    </row>
    <row r="322">
      <c r="A322" s="54" t="n"/>
      <c r="B322" s="54" t="n"/>
      <c r="C322" s="55" t="n"/>
      <c r="D322" s="55" t="n"/>
      <c r="E322">
        <f>IF(OR(A322="",B322=""),"",B322-A322)</f>
        <v/>
      </c>
      <c r="F322" s="55" t="n"/>
    </row>
    <row r="323">
      <c r="A323" s="54" t="n"/>
      <c r="B323" s="54" t="n"/>
      <c r="C323" s="55" t="n"/>
      <c r="D323" s="55" t="n"/>
      <c r="E323">
        <f>IF(OR(A323="",B323=""),"",B323-A323)</f>
        <v/>
      </c>
      <c r="F323" s="55" t="n"/>
    </row>
    <row r="324">
      <c r="A324" s="54" t="n"/>
      <c r="B324" s="54" t="n"/>
      <c r="C324" s="55" t="n"/>
      <c r="D324" s="55" t="n"/>
      <c r="E324">
        <f>IF(OR(A324="",B324=""),"",B324-A324)</f>
        <v/>
      </c>
      <c r="F324" s="55" t="n"/>
    </row>
    <row r="325">
      <c r="A325" s="54" t="n"/>
      <c r="B325" s="54" t="n"/>
      <c r="C325" s="55" t="n"/>
      <c r="D325" s="55" t="n"/>
      <c r="E325">
        <f>IF(OR(A325="",B325=""),"",B325-A325)</f>
        <v/>
      </c>
      <c r="F325" s="55" t="n"/>
    </row>
    <row r="326">
      <c r="A326" s="54" t="n"/>
      <c r="B326" s="54" t="n"/>
      <c r="C326" s="55" t="n"/>
      <c r="D326" s="55" t="n"/>
      <c r="E326">
        <f>IF(OR(A326="",B326=""),"",B326-A326)</f>
        <v/>
      </c>
      <c r="F326" s="55" t="n"/>
    </row>
    <row r="327">
      <c r="A327" s="54" t="n"/>
      <c r="B327" s="54" t="n"/>
      <c r="C327" s="55" t="n"/>
      <c r="D327" s="55" t="n"/>
      <c r="E327">
        <f>IF(OR(A327="",B327=""),"",B327-A327)</f>
        <v/>
      </c>
      <c r="F327" s="55" t="n"/>
    </row>
    <row r="328">
      <c r="A328" s="54" t="n"/>
      <c r="B328" s="54" t="n"/>
      <c r="C328" s="55" t="n"/>
      <c r="D328" s="55" t="n"/>
      <c r="E328">
        <f>IF(OR(A328="",B328=""),"",B328-A328)</f>
        <v/>
      </c>
      <c r="F328" s="55" t="n"/>
    </row>
    <row r="329">
      <c r="A329" s="54" t="n"/>
      <c r="B329" s="54" t="n"/>
      <c r="C329" s="55" t="n"/>
      <c r="D329" s="55" t="n"/>
      <c r="E329">
        <f>IF(OR(A329="",B329=""),"",B329-A329)</f>
        <v/>
      </c>
      <c r="F329" s="55" t="n"/>
    </row>
    <row r="330">
      <c r="A330" s="54" t="n"/>
      <c r="B330" s="54" t="n"/>
      <c r="C330" s="55" t="n"/>
      <c r="D330" s="55" t="n"/>
      <c r="E330">
        <f>IF(OR(A330="",B330=""),"",B330-A330)</f>
        <v/>
      </c>
      <c r="F330" s="55" t="n"/>
    </row>
    <row r="331">
      <c r="A331" s="54" t="n"/>
      <c r="B331" s="54" t="n"/>
      <c r="C331" s="55" t="n"/>
      <c r="D331" s="55" t="n"/>
      <c r="E331">
        <f>IF(OR(A331="",B331=""),"",B331-A331)</f>
        <v/>
      </c>
      <c r="F331" s="55" t="n"/>
    </row>
    <row r="332">
      <c r="A332" s="54" t="n"/>
      <c r="B332" s="54" t="n"/>
      <c r="C332" s="55" t="n"/>
      <c r="D332" s="55" t="n"/>
      <c r="E332">
        <f>IF(OR(A332="",B332=""),"",B332-A332)</f>
        <v/>
      </c>
      <c r="F332" s="55" t="n"/>
    </row>
    <row r="333">
      <c r="A333" s="54" t="n"/>
      <c r="B333" s="54" t="n"/>
      <c r="C333" s="55" t="n"/>
      <c r="D333" s="55" t="n"/>
      <c r="E333">
        <f>IF(OR(A333="",B333=""),"",B333-A333)</f>
        <v/>
      </c>
      <c r="F333" s="55" t="n"/>
    </row>
    <row r="334">
      <c r="A334" s="54" t="n"/>
      <c r="B334" s="54" t="n"/>
      <c r="C334" s="55" t="n"/>
      <c r="D334" s="55" t="n"/>
      <c r="E334">
        <f>IF(OR(A334="",B334=""),"",B334-A334)</f>
        <v/>
      </c>
      <c r="F334" s="55" t="n"/>
    </row>
    <row r="335">
      <c r="A335" s="54" t="n"/>
      <c r="B335" s="54" t="n"/>
      <c r="C335" s="55" t="n"/>
      <c r="D335" s="55" t="n"/>
      <c r="E335">
        <f>IF(OR(A335="",B335=""),"",B335-A335)</f>
        <v/>
      </c>
      <c r="F335" s="55" t="n"/>
    </row>
    <row r="336">
      <c r="A336" s="54" t="n"/>
      <c r="B336" s="54" t="n"/>
      <c r="C336" s="55" t="n"/>
      <c r="D336" s="55" t="n"/>
      <c r="E336">
        <f>IF(OR(A336="",B336=""),"",B336-A336)</f>
        <v/>
      </c>
      <c r="F336" s="55" t="n"/>
    </row>
    <row r="337">
      <c r="A337" s="54" t="n"/>
      <c r="B337" s="54" t="n"/>
      <c r="C337" s="55" t="n"/>
      <c r="D337" s="55" t="n"/>
      <c r="E337">
        <f>IF(OR(A337="",B337=""),"",B337-A337)</f>
        <v/>
      </c>
      <c r="F337" s="55" t="n"/>
    </row>
    <row r="338">
      <c r="A338" s="54" t="n"/>
      <c r="B338" s="54" t="n"/>
      <c r="C338" s="55" t="n"/>
      <c r="D338" s="55" t="n"/>
      <c r="E338">
        <f>IF(OR(A338="",B338=""),"",B338-A338)</f>
        <v/>
      </c>
      <c r="F338" s="55" t="n"/>
    </row>
    <row r="339">
      <c r="A339" s="54" t="n"/>
      <c r="B339" s="54" t="n"/>
      <c r="C339" s="55" t="n"/>
      <c r="D339" s="55" t="n"/>
      <c r="E339">
        <f>IF(OR(A339="",B339=""),"",B339-A339)</f>
        <v/>
      </c>
      <c r="F339" s="55" t="n"/>
    </row>
    <row r="340">
      <c r="A340" s="54" t="n"/>
      <c r="B340" s="54" t="n"/>
      <c r="C340" s="55" t="n"/>
      <c r="D340" s="55" t="n"/>
      <c r="E340">
        <f>IF(OR(A340="",B340=""),"",B340-A340)</f>
        <v/>
      </c>
      <c r="F340" s="55" t="n"/>
    </row>
    <row r="341">
      <c r="A341" s="54" t="n"/>
      <c r="B341" s="54" t="n"/>
      <c r="C341" s="55" t="n"/>
      <c r="D341" s="55" t="n"/>
      <c r="E341">
        <f>IF(OR(A341="",B341=""),"",B341-A341)</f>
        <v/>
      </c>
      <c r="F341" s="55" t="n"/>
    </row>
    <row r="342">
      <c r="A342" s="54" t="n"/>
      <c r="B342" s="54" t="n"/>
      <c r="C342" s="55" t="n"/>
      <c r="D342" s="55" t="n"/>
      <c r="E342">
        <f>IF(OR(A342="",B342=""),"",B342-A342)</f>
        <v/>
      </c>
      <c r="F342" s="55" t="n"/>
    </row>
    <row r="343">
      <c r="A343" s="54" t="n"/>
      <c r="B343" s="54" t="n"/>
      <c r="C343" s="55" t="n"/>
      <c r="D343" s="55" t="n"/>
      <c r="E343">
        <f>IF(OR(A343="",B343=""),"",B343-A343)</f>
        <v/>
      </c>
      <c r="F343" s="55" t="n"/>
    </row>
    <row r="344">
      <c r="A344" s="54" t="n"/>
      <c r="B344" s="54" t="n"/>
      <c r="C344" s="55" t="n"/>
      <c r="D344" s="55" t="n"/>
      <c r="E344">
        <f>IF(OR(A344="",B344=""),"",B344-A344)</f>
        <v/>
      </c>
      <c r="F344" s="55" t="n"/>
    </row>
    <row r="345">
      <c r="A345" s="54" t="n"/>
      <c r="B345" s="54" t="n"/>
      <c r="C345" s="55" t="n"/>
      <c r="D345" s="55" t="n"/>
      <c r="E345">
        <f>IF(OR(A345="",B345=""),"",B345-A345)</f>
        <v/>
      </c>
      <c r="F345" s="55" t="n"/>
    </row>
    <row r="346">
      <c r="A346" s="54" t="n"/>
      <c r="B346" s="54" t="n"/>
      <c r="C346" s="55" t="n"/>
      <c r="D346" s="55" t="n"/>
      <c r="E346">
        <f>IF(OR(A346="",B346=""),"",B346-A346)</f>
        <v/>
      </c>
      <c r="F346" s="55" t="n"/>
    </row>
    <row r="347">
      <c r="A347" s="54" t="n"/>
      <c r="B347" s="54" t="n"/>
      <c r="C347" s="55" t="n"/>
      <c r="D347" s="55" t="n"/>
      <c r="E347">
        <f>IF(OR(A347="",B347=""),"",B347-A347)</f>
        <v/>
      </c>
      <c r="F347" s="55" t="n"/>
    </row>
    <row r="348">
      <c r="A348" s="54" t="n"/>
      <c r="B348" s="54" t="n"/>
      <c r="C348" s="55" t="n"/>
      <c r="D348" s="55" t="n"/>
      <c r="E348">
        <f>IF(OR(A348="",B348=""),"",B348-A348)</f>
        <v/>
      </c>
      <c r="F348" s="55" t="n"/>
    </row>
    <row r="349">
      <c r="A349" s="54" t="n"/>
      <c r="B349" s="54" t="n"/>
      <c r="C349" s="55" t="n"/>
      <c r="D349" s="55" t="n"/>
      <c r="E349">
        <f>IF(OR(A349="",B349=""),"",B349-A349)</f>
        <v/>
      </c>
      <c r="F349" s="55" t="n"/>
    </row>
    <row r="350">
      <c r="A350" s="54" t="n"/>
      <c r="B350" s="54" t="n"/>
      <c r="C350" s="55" t="n"/>
      <c r="D350" s="55" t="n"/>
      <c r="E350">
        <f>IF(OR(A350="",B350=""),"",B350-A350)</f>
        <v/>
      </c>
      <c r="F350" s="55" t="n"/>
    </row>
    <row r="351">
      <c r="A351" s="54" t="n"/>
      <c r="B351" s="54" t="n"/>
      <c r="C351" s="55" t="n"/>
      <c r="D351" s="55" t="n"/>
      <c r="E351">
        <f>IF(OR(A351="",B351=""),"",B351-A351)</f>
        <v/>
      </c>
      <c r="F351" s="55" t="n"/>
    </row>
    <row r="352">
      <c r="A352" s="54" t="n"/>
      <c r="B352" s="54" t="n"/>
      <c r="C352" s="55" t="n"/>
      <c r="D352" s="55" t="n"/>
      <c r="E352">
        <f>IF(OR(A352="",B352=""),"",B352-A352)</f>
        <v/>
      </c>
      <c r="F352" s="55" t="n"/>
    </row>
    <row r="353">
      <c r="A353" s="54" t="n"/>
      <c r="B353" s="54" t="n"/>
      <c r="C353" s="55" t="n"/>
      <c r="D353" s="55" t="n"/>
      <c r="E353">
        <f>IF(OR(A353="",B353=""),"",B353-A353)</f>
        <v/>
      </c>
      <c r="F353" s="55" t="n"/>
    </row>
    <row r="354">
      <c r="A354" s="54" t="n"/>
      <c r="B354" s="54" t="n"/>
      <c r="C354" s="55" t="n"/>
      <c r="D354" s="55" t="n"/>
      <c r="E354">
        <f>IF(OR(A354="",B354=""),"",B354-A354)</f>
        <v/>
      </c>
      <c r="F354" s="55" t="n"/>
    </row>
    <row r="355">
      <c r="A355" s="54" t="n"/>
      <c r="B355" s="54" t="n"/>
      <c r="C355" s="55" t="n"/>
      <c r="D355" s="55" t="n"/>
      <c r="E355">
        <f>IF(OR(A355="",B355=""),"",B355-A355)</f>
        <v/>
      </c>
      <c r="F355" s="55" t="n"/>
    </row>
    <row r="356">
      <c r="A356" s="54" t="n"/>
      <c r="B356" s="54" t="n"/>
      <c r="C356" s="55" t="n"/>
      <c r="D356" s="55" t="n"/>
      <c r="E356">
        <f>IF(OR(A356="",B356=""),"",B356-A356)</f>
        <v/>
      </c>
      <c r="F356" s="55" t="n"/>
    </row>
    <row r="357">
      <c r="A357" s="54" t="n"/>
      <c r="B357" s="54" t="n"/>
      <c r="C357" s="55" t="n"/>
      <c r="D357" s="55" t="n"/>
      <c r="E357">
        <f>IF(OR(A357="",B357=""),"",B357-A357)</f>
        <v/>
      </c>
      <c r="F357" s="55" t="n"/>
    </row>
    <row r="358">
      <c r="A358" s="54" t="n"/>
      <c r="B358" s="54" t="n"/>
      <c r="C358" s="55" t="n"/>
      <c r="D358" s="55" t="n"/>
      <c r="E358">
        <f>IF(OR(A358="",B358=""),"",B358-A358)</f>
        <v/>
      </c>
      <c r="F358" s="55" t="n"/>
    </row>
    <row r="359">
      <c r="A359" s="54" t="n"/>
      <c r="B359" s="54" t="n"/>
      <c r="C359" s="55" t="n"/>
      <c r="D359" s="55" t="n"/>
      <c r="E359">
        <f>IF(OR(A359="",B359=""),"",B359-A359)</f>
        <v/>
      </c>
      <c r="F359" s="55" t="n"/>
    </row>
    <row r="360">
      <c r="A360" s="54" t="n"/>
      <c r="B360" s="54" t="n"/>
      <c r="C360" s="55" t="n"/>
      <c r="D360" s="55" t="n"/>
      <c r="E360">
        <f>IF(OR(A360="",B360=""),"",B360-A360)</f>
        <v/>
      </c>
      <c r="F360" s="55" t="n"/>
    </row>
    <row r="361">
      <c r="A361" s="54" t="n"/>
      <c r="B361" s="54" t="n"/>
      <c r="C361" s="55" t="n"/>
      <c r="D361" s="55" t="n"/>
      <c r="E361">
        <f>IF(OR(A361="",B361=""),"",B361-A361)</f>
        <v/>
      </c>
      <c r="F361" s="55" t="n"/>
    </row>
    <row r="362">
      <c r="A362" s="54" t="n"/>
      <c r="B362" s="54" t="n"/>
      <c r="C362" s="55" t="n"/>
      <c r="D362" s="55" t="n"/>
      <c r="E362">
        <f>IF(OR(A362="",B362=""),"",B362-A362)</f>
        <v/>
      </c>
      <c r="F362" s="55" t="n"/>
    </row>
    <row r="363">
      <c r="A363" s="54" t="n"/>
      <c r="B363" s="54" t="n"/>
      <c r="C363" s="55" t="n"/>
      <c r="D363" s="55" t="n"/>
      <c r="E363">
        <f>IF(OR(A363="",B363=""),"",B363-A363)</f>
        <v/>
      </c>
      <c r="F363" s="55" t="n"/>
    </row>
    <row r="364">
      <c r="A364" s="54" t="n"/>
      <c r="B364" s="54" t="n"/>
      <c r="C364" s="55" t="n"/>
      <c r="D364" s="55" t="n"/>
      <c r="E364">
        <f>IF(OR(A364="",B364=""),"",B364-A364)</f>
        <v/>
      </c>
      <c r="F364" s="55" t="n"/>
    </row>
    <row r="365">
      <c r="A365" s="54" t="n"/>
      <c r="B365" s="54" t="n"/>
      <c r="C365" s="55" t="n"/>
      <c r="D365" s="55" t="n"/>
      <c r="E365">
        <f>IF(OR(A365="",B365=""),"",B365-A365)</f>
        <v/>
      </c>
      <c r="F365" s="55" t="n"/>
    </row>
    <row r="366">
      <c r="A366" s="54" t="n"/>
      <c r="B366" s="54" t="n"/>
      <c r="C366" s="55" t="n"/>
      <c r="D366" s="55" t="n"/>
      <c r="E366">
        <f>IF(OR(A366="",B366=""),"",B366-A366)</f>
        <v/>
      </c>
      <c r="F366" s="55" t="n"/>
    </row>
    <row r="367">
      <c r="A367" s="54" t="n"/>
      <c r="B367" s="54" t="n"/>
      <c r="C367" s="55" t="n"/>
      <c r="D367" s="55" t="n"/>
      <c r="E367">
        <f>IF(OR(A367="",B367=""),"",B367-A367)</f>
        <v/>
      </c>
      <c r="F367" s="55" t="n"/>
    </row>
    <row r="368">
      <c r="A368" s="54" t="n"/>
      <c r="B368" s="54" t="n"/>
      <c r="C368" s="55" t="n"/>
      <c r="D368" s="55" t="n"/>
      <c r="E368">
        <f>IF(OR(A368="",B368=""),"",B368-A368)</f>
        <v/>
      </c>
      <c r="F368" s="55" t="n"/>
    </row>
    <row r="369">
      <c r="A369" s="54" t="n"/>
      <c r="B369" s="54" t="n"/>
      <c r="C369" s="55" t="n"/>
      <c r="D369" s="55" t="n"/>
      <c r="E369">
        <f>IF(OR(A369="",B369=""),"",B369-A369)</f>
        <v/>
      </c>
      <c r="F369" s="55" t="n"/>
    </row>
    <row r="370">
      <c r="A370" s="54" t="n"/>
      <c r="B370" s="54" t="n"/>
      <c r="C370" s="55" t="n"/>
      <c r="D370" s="55" t="n"/>
      <c r="E370">
        <f>IF(OR(A370="",B370=""),"",B370-A370)</f>
        <v/>
      </c>
      <c r="F370" s="55" t="n"/>
    </row>
    <row r="371">
      <c r="A371" s="54" t="n"/>
      <c r="B371" s="54" t="n"/>
      <c r="C371" s="55" t="n"/>
      <c r="D371" s="55" t="n"/>
      <c r="E371">
        <f>IF(OR(A371="",B371=""),"",B371-A371)</f>
        <v/>
      </c>
      <c r="F371" s="55" t="n"/>
    </row>
    <row r="372">
      <c r="A372" s="54" t="n"/>
      <c r="B372" s="54" t="n"/>
      <c r="C372" s="55" t="n"/>
      <c r="D372" s="55" t="n"/>
      <c r="E372">
        <f>IF(OR(A372="",B372=""),"",B372-A372)</f>
        <v/>
      </c>
      <c r="F372" s="55" t="n"/>
    </row>
    <row r="373">
      <c r="A373" s="54" t="n"/>
      <c r="B373" s="54" t="n"/>
      <c r="C373" s="55" t="n"/>
      <c r="D373" s="55" t="n"/>
      <c r="E373">
        <f>IF(OR(A373="",B373=""),"",B373-A373)</f>
        <v/>
      </c>
      <c r="F373" s="55" t="n"/>
    </row>
    <row r="374">
      <c r="A374" s="54" t="n"/>
      <c r="B374" s="54" t="n"/>
      <c r="C374" s="55" t="n"/>
      <c r="D374" s="55" t="n"/>
      <c r="E374">
        <f>IF(OR(A374="",B374=""),"",B374-A374)</f>
        <v/>
      </c>
      <c r="F374" s="55" t="n"/>
    </row>
    <row r="375">
      <c r="A375" s="54" t="n"/>
      <c r="B375" s="54" t="n"/>
      <c r="C375" s="55" t="n"/>
      <c r="D375" s="55" t="n"/>
      <c r="E375">
        <f>IF(OR(A375="",B375=""),"",B375-A375)</f>
        <v/>
      </c>
      <c r="F375" s="55" t="n"/>
    </row>
    <row r="376">
      <c r="A376" s="54" t="n"/>
      <c r="B376" s="54" t="n"/>
      <c r="C376" s="55" t="n"/>
      <c r="D376" s="55" t="n"/>
      <c r="E376">
        <f>IF(OR(A376="",B376=""),"",B376-A376)</f>
        <v/>
      </c>
      <c r="F376" s="55" t="n"/>
    </row>
    <row r="377">
      <c r="A377" s="54" t="n"/>
      <c r="B377" s="54" t="n"/>
      <c r="C377" s="55" t="n"/>
      <c r="D377" s="55" t="n"/>
      <c r="E377">
        <f>IF(OR(A377="",B377=""),"",B377-A377)</f>
        <v/>
      </c>
      <c r="F377" s="55" t="n"/>
    </row>
    <row r="378">
      <c r="A378" s="54" t="n"/>
      <c r="B378" s="54" t="n"/>
      <c r="C378" s="55" t="n"/>
      <c r="D378" s="55" t="n"/>
      <c r="E378">
        <f>IF(OR(A378="",B378=""),"",B378-A378)</f>
        <v/>
      </c>
      <c r="F378" s="55" t="n"/>
    </row>
    <row r="379">
      <c r="A379" s="54" t="n"/>
      <c r="B379" s="54" t="n"/>
      <c r="C379" s="55" t="n"/>
      <c r="D379" s="55" t="n"/>
      <c r="E379">
        <f>IF(OR(A379="",B379=""),"",B379-A379)</f>
        <v/>
      </c>
      <c r="F379" s="55" t="n"/>
    </row>
    <row r="380">
      <c r="A380" s="54" t="n"/>
      <c r="B380" s="54" t="n"/>
      <c r="C380" s="55" t="n"/>
      <c r="D380" s="55" t="n"/>
      <c r="E380">
        <f>IF(OR(A380="",B380=""),"",B380-A380)</f>
        <v/>
      </c>
      <c r="F380" s="55" t="n"/>
    </row>
    <row r="381">
      <c r="A381" s="54" t="n"/>
      <c r="B381" s="54" t="n"/>
      <c r="C381" s="55" t="n"/>
      <c r="D381" s="55" t="n"/>
      <c r="E381">
        <f>IF(OR(A381="",B381=""),"",B381-A381)</f>
        <v/>
      </c>
      <c r="F381" s="55" t="n"/>
    </row>
    <row r="382">
      <c r="A382" s="54" t="n"/>
      <c r="B382" s="54" t="n"/>
      <c r="C382" s="55" t="n"/>
      <c r="D382" s="55" t="n"/>
      <c r="E382">
        <f>IF(OR(A382="",B382=""),"",B382-A382)</f>
        <v/>
      </c>
      <c r="F382" s="55" t="n"/>
    </row>
    <row r="383">
      <c r="A383" s="54" t="n"/>
      <c r="B383" s="54" t="n"/>
      <c r="C383" s="55" t="n"/>
      <c r="D383" s="55" t="n"/>
      <c r="E383">
        <f>IF(OR(A383="",B383=""),"",B383-A383)</f>
        <v/>
      </c>
      <c r="F383" s="55" t="n"/>
    </row>
    <row r="384">
      <c r="A384" s="54" t="n"/>
      <c r="B384" s="54" t="n"/>
      <c r="C384" s="55" t="n"/>
      <c r="D384" s="55" t="n"/>
      <c r="E384">
        <f>IF(OR(A384="",B384=""),"",B384-A384)</f>
        <v/>
      </c>
      <c r="F384" s="55" t="n"/>
    </row>
    <row r="385">
      <c r="A385" s="54" t="n"/>
      <c r="B385" s="54" t="n"/>
      <c r="C385" s="55" t="n"/>
      <c r="D385" s="55" t="n"/>
      <c r="E385">
        <f>IF(OR(A385="",B385=""),"",B385-A385)</f>
        <v/>
      </c>
      <c r="F385" s="55" t="n"/>
    </row>
    <row r="386">
      <c r="A386" s="54" t="n"/>
      <c r="B386" s="54" t="n"/>
      <c r="C386" s="55" t="n"/>
      <c r="D386" s="55" t="n"/>
      <c r="E386">
        <f>IF(OR(A386="",B386=""),"",B386-A386)</f>
        <v/>
      </c>
      <c r="F386" s="55" t="n"/>
    </row>
    <row r="387">
      <c r="A387" s="54" t="n"/>
      <c r="B387" s="54" t="n"/>
      <c r="C387" s="55" t="n"/>
      <c r="D387" s="55" t="n"/>
      <c r="E387">
        <f>IF(OR(A387="",B387=""),"",B387-A387)</f>
        <v/>
      </c>
      <c r="F387" s="55" t="n"/>
    </row>
    <row r="388">
      <c r="A388" s="54" t="n"/>
      <c r="B388" s="54" t="n"/>
      <c r="C388" s="55" t="n"/>
      <c r="D388" s="55" t="n"/>
      <c r="E388">
        <f>IF(OR(A388="",B388=""),"",B388-A388)</f>
        <v/>
      </c>
      <c r="F388" s="55" t="n"/>
    </row>
    <row r="389">
      <c r="A389" s="54" t="n"/>
      <c r="B389" s="54" t="n"/>
      <c r="C389" s="55" t="n"/>
      <c r="D389" s="55" t="n"/>
      <c r="E389">
        <f>IF(OR(A389="",B389=""),"",B389-A389)</f>
        <v/>
      </c>
      <c r="F389" s="55" t="n"/>
    </row>
    <row r="390">
      <c r="A390" s="54" t="n"/>
      <c r="B390" s="54" t="n"/>
      <c r="C390" s="55" t="n"/>
      <c r="D390" s="55" t="n"/>
      <c r="E390">
        <f>IF(OR(A390="",B390=""),"",B390-A390)</f>
        <v/>
      </c>
      <c r="F390" s="55" t="n"/>
    </row>
    <row r="391">
      <c r="A391" s="54" t="n"/>
      <c r="B391" s="54" t="n"/>
      <c r="C391" s="55" t="n"/>
      <c r="D391" s="55" t="n"/>
      <c r="E391">
        <f>IF(OR(A391="",B391=""),"",B391-A391)</f>
        <v/>
      </c>
      <c r="F391" s="55" t="n"/>
    </row>
    <row r="392">
      <c r="A392" s="54" t="n"/>
      <c r="B392" s="54" t="n"/>
      <c r="C392" s="55" t="n"/>
      <c r="D392" s="55" t="n"/>
      <c r="E392">
        <f>IF(OR(A392="",B392=""),"",B392-A392)</f>
        <v/>
      </c>
      <c r="F392" s="55" t="n"/>
    </row>
    <row r="393">
      <c r="A393" s="54" t="n"/>
      <c r="B393" s="54" t="n"/>
      <c r="C393" s="55" t="n"/>
      <c r="D393" s="55" t="n"/>
      <c r="E393">
        <f>IF(OR(A393="",B393=""),"",B393-A393)</f>
        <v/>
      </c>
      <c r="F393" s="55" t="n"/>
    </row>
    <row r="394">
      <c r="A394" s="54" t="n"/>
      <c r="B394" s="54" t="n"/>
      <c r="C394" s="55" t="n"/>
      <c r="D394" s="55" t="n"/>
      <c r="E394">
        <f>IF(OR(A394="",B394=""),"",B394-A394)</f>
        <v/>
      </c>
      <c r="F394" s="55" t="n"/>
    </row>
    <row r="395">
      <c r="A395" s="54" t="n"/>
      <c r="B395" s="54" t="n"/>
      <c r="C395" s="55" t="n"/>
      <c r="D395" s="55" t="n"/>
      <c r="E395">
        <f>IF(OR(A395="",B395=""),"",B395-A395)</f>
        <v/>
      </c>
      <c r="F395" s="55" t="n"/>
    </row>
    <row r="396">
      <c r="A396" s="54" t="n"/>
      <c r="B396" s="54" t="n"/>
      <c r="C396" s="55" t="n"/>
      <c r="D396" s="55" t="n"/>
      <c r="E396">
        <f>IF(OR(A396="",B396=""),"",B396-A396)</f>
        <v/>
      </c>
      <c r="F396" s="55" t="n"/>
    </row>
    <row r="397">
      <c r="A397" s="54" t="n"/>
      <c r="B397" s="54" t="n"/>
      <c r="C397" s="55" t="n"/>
      <c r="D397" s="55" t="n"/>
      <c r="E397">
        <f>IF(OR(A397="",B397=""),"",B397-A397)</f>
        <v/>
      </c>
      <c r="F397" s="55" t="n"/>
    </row>
    <row r="398">
      <c r="A398" s="54" t="n"/>
      <c r="B398" s="54" t="n"/>
      <c r="C398" s="55" t="n"/>
      <c r="D398" s="55" t="n"/>
      <c r="E398">
        <f>IF(OR(A398="",B398=""),"",B398-A398)</f>
        <v/>
      </c>
      <c r="F398" s="55" t="n"/>
    </row>
    <row r="399">
      <c r="A399" s="54" t="n"/>
      <c r="B399" s="54" t="n"/>
      <c r="C399" s="55" t="n"/>
      <c r="D399" s="55" t="n"/>
      <c r="E399">
        <f>IF(OR(A399="",B399=""),"",B399-A399)</f>
        <v/>
      </c>
      <c r="F399" s="55" t="n"/>
    </row>
    <row r="400">
      <c r="A400" s="54" t="n"/>
      <c r="B400" s="54" t="n"/>
      <c r="C400" s="55" t="n"/>
      <c r="D400" s="55" t="n"/>
      <c r="E400">
        <f>IF(OR(A400="",B400=""),"",B400-A400)</f>
        <v/>
      </c>
      <c r="F400" s="55" t="n"/>
    </row>
    <row r="401">
      <c r="A401" s="54" t="n"/>
      <c r="B401" s="54" t="n"/>
      <c r="C401" s="55" t="n"/>
      <c r="D401" s="55" t="n"/>
      <c r="E401">
        <f>IF(OR(A401="",B401=""),"",B401-A401)</f>
        <v/>
      </c>
      <c r="F401" s="55" t="n"/>
    </row>
    <row r="402">
      <c r="A402" s="54" t="n"/>
      <c r="B402" s="54" t="n"/>
      <c r="C402" s="55" t="n"/>
      <c r="D402" s="55" t="n"/>
      <c r="E402">
        <f>IF(OR(A402="",B402=""),"",B402-A402)</f>
        <v/>
      </c>
      <c r="F402" s="55" t="n"/>
    </row>
    <row r="403">
      <c r="A403" s="54" t="n"/>
      <c r="B403" s="54" t="n"/>
      <c r="C403" s="55" t="n"/>
      <c r="D403" s="55" t="n"/>
      <c r="E403">
        <f>IF(OR(A403="",B403=""),"",B403-A403)</f>
        <v/>
      </c>
      <c r="F403" s="55" t="n"/>
    </row>
    <row r="404">
      <c r="A404" s="54" t="n"/>
      <c r="B404" s="54" t="n"/>
      <c r="C404" s="55" t="n"/>
      <c r="D404" s="55" t="n"/>
      <c r="E404">
        <f>IF(OR(A404="",B404=""),"",B404-A404)</f>
        <v/>
      </c>
      <c r="F404" s="55" t="n"/>
    </row>
    <row r="405">
      <c r="A405" s="54" t="n"/>
      <c r="B405" s="54" t="n"/>
      <c r="C405" s="55" t="n"/>
      <c r="D405" s="55" t="n"/>
      <c r="E405">
        <f>IF(OR(A405="",B405=""),"",B405-A405)</f>
        <v/>
      </c>
      <c r="F405" s="55" t="n"/>
    </row>
    <row r="406">
      <c r="A406" s="54" t="n"/>
      <c r="B406" s="54" t="n"/>
      <c r="C406" s="55" t="n"/>
      <c r="D406" s="55" t="n"/>
      <c r="E406">
        <f>IF(OR(A406="",B406=""),"",B406-A406)</f>
        <v/>
      </c>
      <c r="F406" s="55" t="n"/>
    </row>
    <row r="407">
      <c r="A407" s="54" t="n"/>
      <c r="B407" s="54" t="n"/>
      <c r="C407" s="55" t="n"/>
      <c r="D407" s="55" t="n"/>
      <c r="E407">
        <f>IF(OR(A407="",B407=""),"",B407-A407)</f>
        <v/>
      </c>
      <c r="F407" s="55" t="n"/>
    </row>
    <row r="408">
      <c r="A408" s="54" t="n"/>
      <c r="B408" s="54" t="n"/>
      <c r="C408" s="55" t="n"/>
      <c r="D408" s="55" t="n"/>
      <c r="E408">
        <f>IF(OR(A408="",B408=""),"",B408-A408)</f>
        <v/>
      </c>
      <c r="F408" s="55" t="n"/>
    </row>
    <row r="409">
      <c r="A409" s="54" t="n"/>
      <c r="B409" s="54" t="n"/>
      <c r="C409" s="55" t="n"/>
      <c r="D409" s="55" t="n"/>
      <c r="E409">
        <f>IF(OR(A409="",B409=""),"",B409-A409)</f>
        <v/>
      </c>
      <c r="F409" s="55" t="n"/>
    </row>
    <row r="410">
      <c r="A410" s="54" t="n"/>
      <c r="B410" s="54" t="n"/>
      <c r="C410" s="55" t="n"/>
      <c r="D410" s="55" t="n"/>
      <c r="E410">
        <f>IF(OR(A410="",B410=""),"",B410-A410)</f>
        <v/>
      </c>
      <c r="F410" s="55" t="n"/>
    </row>
    <row r="411">
      <c r="A411" s="54" t="n"/>
      <c r="B411" s="54" t="n"/>
      <c r="C411" s="55" t="n"/>
      <c r="D411" s="55" t="n"/>
      <c r="E411">
        <f>IF(OR(A411="",B411=""),"",B411-A411)</f>
        <v/>
      </c>
      <c r="F411" s="55" t="n"/>
    </row>
    <row r="412">
      <c r="A412" s="54" t="n"/>
      <c r="B412" s="54" t="n"/>
      <c r="C412" s="55" t="n"/>
      <c r="D412" s="55" t="n"/>
      <c r="E412">
        <f>IF(OR(A412="",B412=""),"",B412-A412)</f>
        <v/>
      </c>
      <c r="F412" s="55" t="n"/>
    </row>
    <row r="413">
      <c r="A413" s="54" t="n"/>
      <c r="B413" s="54" t="n"/>
      <c r="C413" s="55" t="n"/>
      <c r="D413" s="55" t="n"/>
      <c r="E413">
        <f>IF(OR(A413="",B413=""),"",B413-A413)</f>
        <v/>
      </c>
      <c r="F413" s="55" t="n"/>
    </row>
    <row r="414">
      <c r="A414" s="54" t="n"/>
      <c r="B414" s="54" t="n"/>
      <c r="C414" s="55" t="n"/>
      <c r="D414" s="55" t="n"/>
      <c r="E414">
        <f>IF(OR(A414="",B414=""),"",B414-A414)</f>
        <v/>
      </c>
      <c r="F414" s="55" t="n"/>
    </row>
    <row r="415">
      <c r="A415" s="54" t="n"/>
      <c r="B415" s="54" t="n"/>
      <c r="C415" s="55" t="n"/>
      <c r="D415" s="55" t="n"/>
      <c r="E415">
        <f>IF(OR(A415="",B415=""),"",B415-A415)</f>
        <v/>
      </c>
      <c r="F415" s="55" t="n"/>
    </row>
    <row r="416">
      <c r="A416" s="54" t="n"/>
      <c r="B416" s="54" t="n"/>
      <c r="C416" s="55" t="n"/>
      <c r="D416" s="55" t="n"/>
      <c r="E416">
        <f>IF(OR(A416="",B416=""),"",B416-A416)</f>
        <v/>
      </c>
      <c r="F416" s="55" t="n"/>
    </row>
    <row r="417">
      <c r="A417" s="54" t="n"/>
      <c r="B417" s="54" t="n"/>
      <c r="C417" s="55" t="n"/>
      <c r="D417" s="55" t="n"/>
      <c r="E417">
        <f>IF(OR(A417="",B417=""),"",B417-A417)</f>
        <v/>
      </c>
      <c r="F417" s="55" t="n"/>
    </row>
    <row r="418">
      <c r="A418" s="54" t="n"/>
      <c r="B418" s="54" t="n"/>
      <c r="C418" s="55" t="n"/>
      <c r="D418" s="55" t="n"/>
      <c r="E418">
        <f>IF(OR(A418="",B418=""),"",B418-A418)</f>
        <v/>
      </c>
      <c r="F418" s="55" t="n"/>
    </row>
    <row r="419">
      <c r="A419" s="54" t="n"/>
      <c r="B419" s="54" t="n"/>
      <c r="C419" s="55" t="n"/>
      <c r="D419" s="55" t="n"/>
      <c r="E419">
        <f>IF(OR(A419="",B419=""),"",B419-A419)</f>
        <v/>
      </c>
      <c r="F419" s="55" t="n"/>
    </row>
    <row r="420">
      <c r="A420" s="54" t="n"/>
      <c r="B420" s="54" t="n"/>
      <c r="C420" s="55" t="n"/>
      <c r="D420" s="55" t="n"/>
      <c r="E420">
        <f>IF(OR(A420="",B420=""),"",B420-A420)</f>
        <v/>
      </c>
      <c r="F420" s="55" t="n"/>
    </row>
    <row r="421">
      <c r="A421" s="54" t="n"/>
      <c r="B421" s="54" t="n"/>
      <c r="C421" s="55" t="n"/>
      <c r="D421" s="55" t="n"/>
      <c r="E421">
        <f>IF(OR(A421="",B421=""),"",B421-A421)</f>
        <v/>
      </c>
      <c r="F421" s="55" t="n"/>
    </row>
    <row r="422">
      <c r="A422" s="54" t="n"/>
      <c r="B422" s="54" t="n"/>
      <c r="C422" s="55" t="n"/>
      <c r="D422" s="55" t="n"/>
      <c r="E422">
        <f>IF(OR(A422="",B422=""),"",B422-A422)</f>
        <v/>
      </c>
      <c r="F422" s="55" t="n"/>
    </row>
    <row r="423">
      <c r="A423" s="54" t="n"/>
      <c r="B423" s="54" t="n"/>
      <c r="C423" s="55" t="n"/>
      <c r="D423" s="55" t="n"/>
      <c r="E423">
        <f>IF(OR(A423="",B423=""),"",B423-A423)</f>
        <v/>
      </c>
      <c r="F423" s="55" t="n"/>
    </row>
    <row r="424">
      <c r="A424" s="54" t="n"/>
      <c r="B424" s="54" t="n"/>
      <c r="C424" s="55" t="n"/>
      <c r="D424" s="55" t="n"/>
      <c r="E424">
        <f>IF(OR(A424="",B424=""),"",B424-A424)</f>
        <v/>
      </c>
      <c r="F424" s="55" t="n"/>
    </row>
    <row r="425">
      <c r="A425" s="54" t="n"/>
      <c r="B425" s="54" t="n"/>
      <c r="C425" s="55" t="n"/>
      <c r="D425" s="55" t="n"/>
      <c r="E425">
        <f>IF(OR(A425="",B425=""),"",B425-A425)</f>
        <v/>
      </c>
      <c r="F425" s="55" t="n"/>
    </row>
    <row r="426">
      <c r="A426" s="54" t="n"/>
      <c r="B426" s="54" t="n"/>
      <c r="C426" s="55" t="n"/>
      <c r="D426" s="55" t="n"/>
      <c r="E426">
        <f>IF(OR(A426="",B426=""),"",B426-A426)</f>
        <v/>
      </c>
      <c r="F426" s="55" t="n"/>
    </row>
    <row r="427">
      <c r="A427" s="54" t="n"/>
      <c r="B427" s="54" t="n"/>
      <c r="C427" s="55" t="n"/>
      <c r="D427" s="55" t="n"/>
      <c r="E427">
        <f>IF(OR(A427="",B427=""),"",B427-A427)</f>
        <v/>
      </c>
      <c r="F427" s="55" t="n"/>
    </row>
    <row r="428">
      <c r="A428" s="54" t="n"/>
      <c r="B428" s="54" t="n"/>
      <c r="C428" s="55" t="n"/>
      <c r="D428" s="55" t="n"/>
      <c r="E428">
        <f>IF(OR(A428="",B428=""),"",B428-A428)</f>
        <v/>
      </c>
      <c r="F428" s="55" t="n"/>
    </row>
    <row r="429">
      <c r="A429" s="54" t="n"/>
      <c r="B429" s="54" t="n"/>
      <c r="C429" s="55" t="n"/>
      <c r="D429" s="55" t="n"/>
      <c r="E429">
        <f>IF(OR(A429="",B429=""),"",B429-A429)</f>
        <v/>
      </c>
      <c r="F429" s="55" t="n"/>
    </row>
    <row r="430">
      <c r="A430" s="54" t="n"/>
      <c r="B430" s="54" t="n"/>
      <c r="C430" s="55" t="n"/>
      <c r="D430" s="55" t="n"/>
      <c r="E430">
        <f>IF(OR(A430="",B430=""),"",B430-A430)</f>
        <v/>
      </c>
      <c r="F430" s="55" t="n"/>
    </row>
    <row r="431">
      <c r="A431" s="54" t="n"/>
      <c r="B431" s="54" t="n"/>
      <c r="C431" s="55" t="n"/>
      <c r="D431" s="55" t="n"/>
      <c r="E431">
        <f>IF(OR(A431="",B431=""),"",B431-A431)</f>
        <v/>
      </c>
      <c r="F431" s="55" t="n"/>
    </row>
    <row r="432">
      <c r="A432" s="54" t="n"/>
      <c r="B432" s="54" t="n"/>
      <c r="C432" s="55" t="n"/>
      <c r="D432" s="55" t="n"/>
      <c r="E432">
        <f>IF(OR(A432="",B432=""),"",B432-A432)</f>
        <v/>
      </c>
      <c r="F432" s="55" t="n"/>
    </row>
    <row r="433">
      <c r="A433" s="54" t="n"/>
      <c r="B433" s="54" t="n"/>
      <c r="C433" s="55" t="n"/>
      <c r="D433" s="55" t="n"/>
      <c r="E433">
        <f>IF(OR(A433="",B433=""),"",B433-A433)</f>
        <v/>
      </c>
      <c r="F433" s="55" t="n"/>
    </row>
    <row r="434">
      <c r="A434" s="54" t="n"/>
      <c r="B434" s="54" t="n"/>
      <c r="C434" s="55" t="n"/>
      <c r="D434" s="55" t="n"/>
      <c r="E434">
        <f>IF(OR(A434="",B434=""),"",B434-A434)</f>
        <v/>
      </c>
      <c r="F434" s="55" t="n"/>
    </row>
    <row r="435">
      <c r="A435" s="54" t="n"/>
      <c r="B435" s="54" t="n"/>
      <c r="C435" s="55" t="n"/>
      <c r="D435" s="55" t="n"/>
      <c r="E435">
        <f>IF(OR(A435="",B435=""),"",B435-A435)</f>
        <v/>
      </c>
      <c r="F435" s="55" t="n"/>
    </row>
    <row r="436">
      <c r="A436" s="54" t="n"/>
      <c r="B436" s="54" t="n"/>
      <c r="C436" s="55" t="n"/>
      <c r="D436" s="55" t="n"/>
      <c r="E436">
        <f>IF(OR(A436="",B436=""),"",B436-A436)</f>
        <v/>
      </c>
      <c r="F436" s="55" t="n"/>
    </row>
    <row r="437">
      <c r="A437" s="54" t="n"/>
      <c r="B437" s="54" t="n"/>
      <c r="C437" s="55" t="n"/>
      <c r="D437" s="55" t="n"/>
      <c r="E437">
        <f>IF(OR(A437="",B437=""),"",B437-A437)</f>
        <v/>
      </c>
      <c r="F437" s="55" t="n"/>
    </row>
    <row r="438">
      <c r="A438" s="54" t="n"/>
      <c r="B438" s="54" t="n"/>
      <c r="C438" s="55" t="n"/>
      <c r="D438" s="55" t="n"/>
      <c r="E438">
        <f>IF(OR(A438="",B438=""),"",B438-A438)</f>
        <v/>
      </c>
      <c r="F438" s="55" t="n"/>
    </row>
    <row r="439">
      <c r="A439" s="54" t="n"/>
      <c r="B439" s="54" t="n"/>
      <c r="C439" s="55" t="n"/>
      <c r="D439" s="55" t="n"/>
      <c r="E439">
        <f>IF(OR(A439="",B439=""),"",B439-A439)</f>
        <v/>
      </c>
      <c r="F439" s="55" t="n"/>
    </row>
    <row r="440">
      <c r="A440" s="54" t="n"/>
      <c r="B440" s="54" t="n"/>
      <c r="C440" s="55" t="n"/>
      <c r="D440" s="55" t="n"/>
      <c r="E440">
        <f>IF(OR(A440="",B440=""),"",B440-A440)</f>
        <v/>
      </c>
      <c r="F440" s="55" t="n"/>
    </row>
    <row r="441">
      <c r="A441" s="54" t="n"/>
      <c r="B441" s="54" t="n"/>
      <c r="C441" s="55" t="n"/>
      <c r="D441" s="55" t="n"/>
      <c r="E441">
        <f>IF(OR(A441="",B441=""),"",B441-A441)</f>
        <v/>
      </c>
      <c r="F441" s="55" t="n"/>
    </row>
    <row r="442">
      <c r="A442" s="54" t="n"/>
      <c r="B442" s="54" t="n"/>
      <c r="C442" s="55" t="n"/>
      <c r="D442" s="55" t="n"/>
      <c r="E442">
        <f>IF(OR(A442="",B442=""),"",B442-A442)</f>
        <v/>
      </c>
      <c r="F442" s="55" t="n"/>
    </row>
    <row r="443">
      <c r="A443" s="54" t="n"/>
      <c r="B443" s="54" t="n"/>
      <c r="C443" s="55" t="n"/>
      <c r="D443" s="55" t="n"/>
      <c r="E443">
        <f>IF(OR(A443="",B443=""),"",B443-A443)</f>
        <v/>
      </c>
      <c r="F443" s="55" t="n"/>
    </row>
    <row r="444">
      <c r="A444" s="54" t="n"/>
      <c r="B444" s="54" t="n"/>
      <c r="C444" s="55" t="n"/>
      <c r="D444" s="55" t="n"/>
      <c r="E444">
        <f>IF(OR(A444="",B444=""),"",B444-A444)</f>
        <v/>
      </c>
      <c r="F444" s="55" t="n"/>
    </row>
    <row r="445">
      <c r="A445" s="54" t="n"/>
      <c r="B445" s="54" t="n"/>
      <c r="C445" s="55" t="n"/>
      <c r="D445" s="55" t="n"/>
      <c r="E445">
        <f>IF(OR(A445="",B445=""),"",B445-A445)</f>
        <v/>
      </c>
      <c r="F445" s="55" t="n"/>
    </row>
    <row r="446">
      <c r="A446" s="54" t="n"/>
      <c r="B446" s="54" t="n"/>
      <c r="C446" s="55" t="n"/>
      <c r="D446" s="55" t="n"/>
      <c r="E446">
        <f>IF(OR(A446="",B446=""),"",B446-A446)</f>
        <v/>
      </c>
      <c r="F446" s="55" t="n"/>
    </row>
    <row r="447">
      <c r="A447" s="54" t="n"/>
      <c r="B447" s="54" t="n"/>
      <c r="C447" s="55" t="n"/>
      <c r="D447" s="55" t="n"/>
      <c r="E447">
        <f>IF(OR(A447="",B447=""),"",B447-A447)</f>
        <v/>
      </c>
      <c r="F447" s="55" t="n"/>
    </row>
    <row r="448">
      <c r="A448" s="54" t="n"/>
      <c r="B448" s="54" t="n"/>
      <c r="C448" s="55" t="n"/>
      <c r="D448" s="55" t="n"/>
      <c r="E448">
        <f>IF(OR(A448="",B448=""),"",B448-A448)</f>
        <v/>
      </c>
      <c r="F448" s="55" t="n"/>
    </row>
    <row r="449">
      <c r="A449" s="54" t="n"/>
      <c r="B449" s="54" t="n"/>
      <c r="C449" s="55" t="n"/>
      <c r="D449" s="55" t="n"/>
      <c r="E449">
        <f>IF(OR(A449="",B449=""),"",B449-A449)</f>
        <v/>
      </c>
      <c r="F449" s="55" t="n"/>
    </row>
    <row r="450">
      <c r="A450" s="54" t="n"/>
      <c r="B450" s="54" t="n"/>
      <c r="C450" s="55" t="n"/>
      <c r="D450" s="55" t="n"/>
      <c r="E450">
        <f>IF(OR(A450="",B450=""),"",B450-A450)</f>
        <v/>
      </c>
      <c r="F450" s="55" t="n"/>
    </row>
    <row r="451">
      <c r="A451" s="54" t="n"/>
      <c r="B451" s="54" t="n"/>
      <c r="C451" s="55" t="n"/>
      <c r="D451" s="55" t="n"/>
      <c r="E451">
        <f>IF(OR(A451="",B451=""),"",B451-A451)</f>
        <v/>
      </c>
      <c r="F451" s="55" t="n"/>
    </row>
    <row r="452">
      <c r="A452" s="54" t="n"/>
      <c r="B452" s="54" t="n"/>
      <c r="C452" s="55" t="n"/>
      <c r="D452" s="55" t="n"/>
      <c r="E452">
        <f>IF(OR(A452="",B452=""),"",B452-A452)</f>
        <v/>
      </c>
      <c r="F452" s="55" t="n"/>
    </row>
    <row r="453">
      <c r="A453" s="54" t="n"/>
      <c r="B453" s="54" t="n"/>
      <c r="C453" s="55" t="n"/>
      <c r="D453" s="55" t="n"/>
      <c r="E453">
        <f>IF(OR(A453="",B453=""),"",B453-A453)</f>
        <v/>
      </c>
      <c r="F453" s="55" t="n"/>
    </row>
    <row r="454">
      <c r="A454" s="54" t="n"/>
      <c r="B454" s="54" t="n"/>
      <c r="C454" s="55" t="n"/>
      <c r="D454" s="55" t="n"/>
      <c r="E454">
        <f>IF(OR(A454="",B454=""),"",B454-A454)</f>
        <v/>
      </c>
      <c r="F454" s="55" t="n"/>
    </row>
    <row r="455">
      <c r="A455" s="54" t="n"/>
      <c r="B455" s="54" t="n"/>
      <c r="C455" s="55" t="n"/>
      <c r="D455" s="55" t="n"/>
      <c r="E455">
        <f>IF(OR(A455="",B455=""),"",B455-A455)</f>
        <v/>
      </c>
      <c r="F455" s="55" t="n"/>
    </row>
    <row r="456">
      <c r="A456" s="54" t="n"/>
      <c r="B456" s="54" t="n"/>
      <c r="C456" s="55" t="n"/>
      <c r="D456" s="55" t="n"/>
      <c r="E456">
        <f>IF(OR(A456="",B456=""),"",B456-A456)</f>
        <v/>
      </c>
      <c r="F456" s="55" t="n"/>
    </row>
    <row r="457">
      <c r="A457" s="54" t="n"/>
      <c r="B457" s="54" t="n"/>
      <c r="C457" s="55" t="n"/>
      <c r="D457" s="55" t="n"/>
      <c r="E457">
        <f>IF(OR(A457="",B457=""),"",B457-A457)</f>
        <v/>
      </c>
      <c r="F457" s="55" t="n"/>
    </row>
    <row r="458">
      <c r="A458" s="54" t="n"/>
      <c r="B458" s="54" t="n"/>
      <c r="C458" s="55" t="n"/>
      <c r="D458" s="55" t="n"/>
      <c r="E458">
        <f>IF(OR(A458="",B458=""),"",B458-A458)</f>
        <v/>
      </c>
      <c r="F458" s="55" t="n"/>
    </row>
    <row r="459">
      <c r="A459" s="54" t="n"/>
      <c r="B459" s="54" t="n"/>
      <c r="C459" s="55" t="n"/>
      <c r="D459" s="55" t="n"/>
      <c r="E459">
        <f>IF(OR(A459="",B459=""),"",B459-A459)</f>
        <v/>
      </c>
      <c r="F459" s="55" t="n"/>
    </row>
    <row r="460">
      <c r="A460" s="54" t="n"/>
      <c r="B460" s="54" t="n"/>
      <c r="C460" s="55" t="n"/>
      <c r="D460" s="55" t="n"/>
      <c r="E460">
        <f>IF(OR(A460="",B460=""),"",B460-A460)</f>
        <v/>
      </c>
      <c r="F460" s="55" t="n"/>
    </row>
    <row r="461">
      <c r="A461" s="54" t="n"/>
      <c r="B461" s="54" t="n"/>
      <c r="C461" s="55" t="n"/>
      <c r="D461" s="55" t="n"/>
      <c r="E461">
        <f>IF(OR(A461="",B461=""),"",B461-A461)</f>
        <v/>
      </c>
      <c r="F461" s="55" t="n"/>
    </row>
    <row r="462">
      <c r="A462" s="54" t="n"/>
      <c r="B462" s="54" t="n"/>
      <c r="C462" s="55" t="n"/>
      <c r="D462" s="55" t="n"/>
      <c r="E462">
        <f>IF(OR(A462="",B462=""),"",B462-A462)</f>
        <v/>
      </c>
      <c r="F462" s="55" t="n"/>
    </row>
    <row r="463">
      <c r="A463" s="54" t="n"/>
      <c r="B463" s="54" t="n"/>
      <c r="C463" s="55" t="n"/>
      <c r="D463" s="55" t="n"/>
      <c r="E463">
        <f>IF(OR(A463="",B463=""),"",B463-A463)</f>
        <v/>
      </c>
      <c r="F463" s="55" t="n"/>
    </row>
    <row r="464">
      <c r="A464" s="54" t="n"/>
      <c r="B464" s="54" t="n"/>
      <c r="C464" s="55" t="n"/>
      <c r="D464" s="55" t="n"/>
      <c r="E464">
        <f>IF(OR(A464="",B464=""),"",B464-A464)</f>
        <v/>
      </c>
      <c r="F464" s="55" t="n"/>
    </row>
    <row r="465">
      <c r="A465" s="54" t="n"/>
      <c r="B465" s="54" t="n"/>
      <c r="C465" s="55" t="n"/>
      <c r="D465" s="55" t="n"/>
      <c r="E465">
        <f>IF(OR(A465="",B465=""),"",B465-A465)</f>
        <v/>
      </c>
      <c r="F465" s="55" t="n"/>
    </row>
    <row r="466">
      <c r="A466" s="54" t="n"/>
      <c r="B466" s="54" t="n"/>
      <c r="C466" s="55" t="n"/>
      <c r="D466" s="55" t="n"/>
      <c r="E466">
        <f>IF(OR(A466="",B466=""),"",B466-A466)</f>
        <v/>
      </c>
      <c r="F466" s="55" t="n"/>
    </row>
    <row r="467">
      <c r="A467" s="54" t="n"/>
      <c r="B467" s="54" t="n"/>
      <c r="C467" s="55" t="n"/>
      <c r="D467" s="55" t="n"/>
      <c r="E467">
        <f>IF(OR(A467="",B467=""),"",B467-A467)</f>
        <v/>
      </c>
      <c r="F467" s="55" t="n"/>
    </row>
    <row r="468">
      <c r="A468" s="54" t="n"/>
      <c r="B468" s="54" t="n"/>
      <c r="C468" s="55" t="n"/>
      <c r="D468" s="55" t="n"/>
      <c r="E468">
        <f>IF(OR(A468="",B468=""),"",B468-A468)</f>
        <v/>
      </c>
      <c r="F468" s="55" t="n"/>
    </row>
    <row r="469">
      <c r="A469" s="54" t="n"/>
      <c r="B469" s="54" t="n"/>
      <c r="C469" s="55" t="n"/>
      <c r="D469" s="55" t="n"/>
      <c r="E469">
        <f>IF(OR(A469="",B469=""),"",B469-A469)</f>
        <v/>
      </c>
      <c r="F469" s="55" t="n"/>
    </row>
    <row r="470">
      <c r="A470" s="54" t="n"/>
      <c r="B470" s="54" t="n"/>
      <c r="C470" s="55" t="n"/>
      <c r="D470" s="55" t="n"/>
      <c r="E470">
        <f>IF(OR(A470="",B470=""),"",B470-A470)</f>
        <v/>
      </c>
      <c r="F470" s="55" t="n"/>
    </row>
    <row r="471">
      <c r="A471" s="54" t="n"/>
      <c r="B471" s="54" t="n"/>
      <c r="C471" s="55" t="n"/>
      <c r="D471" s="55" t="n"/>
      <c r="E471">
        <f>IF(OR(A471="",B471=""),"",B471-A471)</f>
        <v/>
      </c>
      <c r="F471" s="55" t="n"/>
    </row>
    <row r="472">
      <c r="A472" s="54" t="n"/>
      <c r="B472" s="54" t="n"/>
      <c r="C472" s="55" t="n"/>
      <c r="D472" s="55" t="n"/>
      <c r="E472">
        <f>IF(OR(A472="",B472=""),"",B472-A472)</f>
        <v/>
      </c>
      <c r="F472" s="55" t="n"/>
    </row>
    <row r="473">
      <c r="A473" s="54" t="n"/>
      <c r="B473" s="54" t="n"/>
      <c r="C473" s="55" t="n"/>
      <c r="D473" s="55" t="n"/>
      <c r="E473">
        <f>IF(OR(A473="",B473=""),"",B473-A473)</f>
        <v/>
      </c>
      <c r="F473" s="55" t="n"/>
    </row>
    <row r="474">
      <c r="A474" s="54" t="n"/>
      <c r="B474" s="54" t="n"/>
      <c r="C474" s="55" t="n"/>
      <c r="D474" s="55" t="n"/>
      <c r="E474">
        <f>IF(OR(A474="",B474=""),"",B474-A474)</f>
        <v/>
      </c>
      <c r="F474" s="55" t="n"/>
    </row>
    <row r="475">
      <c r="A475" s="54" t="n"/>
      <c r="B475" s="54" t="n"/>
      <c r="C475" s="55" t="n"/>
      <c r="D475" s="55" t="n"/>
      <c r="E475">
        <f>IF(OR(A475="",B475=""),"",B475-A475)</f>
        <v/>
      </c>
      <c r="F475" s="55" t="n"/>
    </row>
    <row r="476">
      <c r="A476" s="54" t="n"/>
      <c r="B476" s="54" t="n"/>
      <c r="C476" s="55" t="n"/>
      <c r="D476" s="55" t="n"/>
      <c r="E476">
        <f>IF(OR(A476="",B476=""),"",B476-A476)</f>
        <v/>
      </c>
      <c r="F476" s="55" t="n"/>
    </row>
    <row r="477">
      <c r="A477" s="54" t="n"/>
      <c r="B477" s="54" t="n"/>
      <c r="C477" s="55" t="n"/>
      <c r="D477" s="55" t="n"/>
      <c r="E477">
        <f>IF(OR(A477="",B477=""),"",B477-A477)</f>
        <v/>
      </c>
      <c r="F477" s="55" t="n"/>
    </row>
    <row r="478">
      <c r="A478" s="54" t="n"/>
      <c r="B478" s="54" t="n"/>
      <c r="C478" s="55" t="n"/>
      <c r="D478" s="55" t="n"/>
      <c r="E478">
        <f>IF(OR(A478="",B478=""),"",B478-A478)</f>
        <v/>
      </c>
      <c r="F478" s="55" t="n"/>
    </row>
    <row r="479">
      <c r="A479" s="54" t="n"/>
      <c r="B479" s="54" t="n"/>
      <c r="C479" s="55" t="n"/>
      <c r="D479" s="55" t="n"/>
      <c r="E479">
        <f>IF(OR(A479="",B479=""),"",B479-A479)</f>
        <v/>
      </c>
      <c r="F479" s="55" t="n"/>
    </row>
    <row r="480">
      <c r="A480" s="54" t="n"/>
      <c r="B480" s="54" t="n"/>
      <c r="C480" s="55" t="n"/>
      <c r="D480" s="55" t="n"/>
      <c r="E480">
        <f>IF(OR(A480="",B480=""),"",B480-A480)</f>
        <v/>
      </c>
      <c r="F480" s="55" t="n"/>
    </row>
    <row r="481">
      <c r="A481" s="54" t="n"/>
      <c r="B481" s="54" t="n"/>
      <c r="C481" s="55" t="n"/>
      <c r="D481" s="55" t="n"/>
      <c r="E481">
        <f>IF(OR(A481="",B481=""),"",B481-A481)</f>
        <v/>
      </c>
      <c r="F481" s="55" t="n"/>
    </row>
    <row r="482">
      <c r="A482" s="54" t="n"/>
      <c r="B482" s="54" t="n"/>
      <c r="C482" s="55" t="n"/>
      <c r="D482" s="55" t="n"/>
      <c r="E482">
        <f>IF(OR(A482="",B482=""),"",B482-A482)</f>
        <v/>
      </c>
      <c r="F482" s="55" t="n"/>
    </row>
    <row r="483">
      <c r="A483" s="54" t="n"/>
      <c r="B483" s="54" t="n"/>
      <c r="C483" s="55" t="n"/>
      <c r="D483" s="55" t="n"/>
      <c r="E483">
        <f>IF(OR(A483="",B483=""),"",B483-A483)</f>
        <v/>
      </c>
      <c r="F483" s="55" t="n"/>
    </row>
    <row r="484">
      <c r="A484" s="54" t="n"/>
      <c r="B484" s="54" t="n"/>
      <c r="C484" s="55" t="n"/>
      <c r="D484" s="55" t="n"/>
      <c r="E484">
        <f>IF(OR(A484="",B484=""),"",B484-A484)</f>
        <v/>
      </c>
      <c r="F484" s="55" t="n"/>
    </row>
    <row r="485">
      <c r="A485" s="54" t="n"/>
      <c r="B485" s="54" t="n"/>
      <c r="C485" s="55" t="n"/>
      <c r="D485" s="55" t="n"/>
      <c r="E485">
        <f>IF(OR(A485="",B485=""),"",B485-A485)</f>
        <v/>
      </c>
      <c r="F485" s="55" t="n"/>
    </row>
    <row r="486">
      <c r="A486" s="54" t="n"/>
      <c r="B486" s="54" t="n"/>
      <c r="C486" s="55" t="n"/>
      <c r="D486" s="55" t="n"/>
      <c r="E486">
        <f>IF(OR(A486="",B486=""),"",B486-A486)</f>
        <v/>
      </c>
      <c r="F486" s="55" t="n"/>
    </row>
    <row r="487">
      <c r="A487" s="54" t="n"/>
      <c r="B487" s="54" t="n"/>
      <c r="C487" s="55" t="n"/>
      <c r="D487" s="55" t="n"/>
      <c r="E487">
        <f>IF(OR(A487="",B487=""),"",B487-A487)</f>
        <v/>
      </c>
      <c r="F487" s="55" t="n"/>
    </row>
    <row r="488">
      <c r="A488" s="54" t="n"/>
      <c r="B488" s="54" t="n"/>
      <c r="C488" s="55" t="n"/>
      <c r="D488" s="55" t="n"/>
      <c r="E488">
        <f>IF(OR(A488="",B488=""),"",B488-A488)</f>
        <v/>
      </c>
      <c r="F488" s="55" t="n"/>
    </row>
    <row r="489">
      <c r="A489" s="54" t="n"/>
      <c r="B489" s="54" t="n"/>
      <c r="C489" s="55" t="n"/>
      <c r="D489" s="55" t="n"/>
      <c r="E489">
        <f>IF(OR(A489="",B489=""),"",B489-A489)</f>
        <v/>
      </c>
      <c r="F489" s="55" t="n"/>
    </row>
    <row r="490">
      <c r="A490" s="54" t="n"/>
      <c r="B490" s="54" t="n"/>
      <c r="C490" s="55" t="n"/>
      <c r="D490" s="55" t="n"/>
      <c r="E490">
        <f>IF(OR(A490="",B490=""),"",B490-A490)</f>
        <v/>
      </c>
      <c r="F490" s="55" t="n"/>
    </row>
    <row r="491">
      <c r="A491" s="54" t="n"/>
      <c r="B491" s="54" t="n"/>
      <c r="C491" s="55" t="n"/>
      <c r="D491" s="55" t="n"/>
      <c r="E491">
        <f>IF(OR(A491="",B491=""),"",B491-A491)</f>
        <v/>
      </c>
      <c r="F491" s="55" t="n"/>
    </row>
    <row r="492">
      <c r="A492" s="54" t="n"/>
      <c r="B492" s="54" t="n"/>
      <c r="C492" s="55" t="n"/>
      <c r="D492" s="55" t="n"/>
      <c r="E492">
        <f>IF(OR(A492="",B492=""),"",B492-A492)</f>
        <v/>
      </c>
      <c r="F492" s="55" t="n"/>
    </row>
    <row r="493">
      <c r="A493" s="54" t="n"/>
      <c r="B493" s="54" t="n"/>
      <c r="C493" s="55" t="n"/>
      <c r="D493" s="55" t="n"/>
      <c r="E493">
        <f>IF(OR(A493="",B493=""),"",B493-A493)</f>
        <v/>
      </c>
      <c r="F493" s="55" t="n"/>
    </row>
    <row r="494">
      <c r="A494" s="54" t="n"/>
      <c r="B494" s="54" t="n"/>
      <c r="C494" s="55" t="n"/>
      <c r="D494" s="55" t="n"/>
      <c r="E494">
        <f>IF(OR(A494="",B494=""),"",B494-A494)</f>
        <v/>
      </c>
      <c r="F494" s="55" t="n"/>
    </row>
    <row r="495">
      <c r="A495" s="54" t="n"/>
      <c r="B495" s="54" t="n"/>
      <c r="C495" s="55" t="n"/>
      <c r="D495" s="55" t="n"/>
      <c r="E495">
        <f>IF(OR(A495="",B495=""),"",B495-A495)</f>
        <v/>
      </c>
      <c r="F495" s="55" t="n"/>
    </row>
    <row r="496">
      <c r="A496" s="54" t="n"/>
      <c r="B496" s="54" t="n"/>
      <c r="C496" s="55" t="n"/>
      <c r="D496" s="55" t="n"/>
      <c r="E496">
        <f>IF(OR(A496="",B496=""),"",B496-A496)</f>
        <v/>
      </c>
      <c r="F496" s="55" t="n"/>
    </row>
    <row r="497">
      <c r="A497" s="54" t="n"/>
      <c r="B497" s="54" t="n"/>
      <c r="C497" s="55" t="n"/>
      <c r="D497" s="55" t="n"/>
      <c r="E497">
        <f>IF(OR(A497="",B497=""),"",B497-A497)</f>
        <v/>
      </c>
      <c r="F497" s="55" t="n"/>
    </row>
    <row r="498">
      <c r="A498" s="54" t="n"/>
      <c r="B498" s="54" t="n"/>
      <c r="C498" s="55" t="n"/>
      <c r="D498" s="55" t="n"/>
      <c r="E498">
        <f>IF(OR(A498="",B498=""),"",B498-A498)</f>
        <v/>
      </c>
      <c r="F498" s="55" t="n"/>
    </row>
    <row r="499">
      <c r="A499" s="54" t="n"/>
      <c r="B499" s="54" t="n"/>
      <c r="C499" s="55" t="n"/>
      <c r="D499" s="55" t="n"/>
      <c r="E499">
        <f>IF(OR(A499="",B499=""),"",B499-A499)</f>
        <v/>
      </c>
      <c r="F499" s="55" t="n"/>
    </row>
    <row r="500">
      <c r="A500" s="54" t="n"/>
      <c r="B500" s="54" t="n"/>
      <c r="C500" s="55" t="n"/>
      <c r="D500" s="55" t="n"/>
      <c r="E500">
        <f>IF(OR(A500="",B500=""),"",B500-A500)</f>
        <v/>
      </c>
      <c r="F500" s="55" t="n"/>
    </row>
    <row r="501">
      <c r="A501" s="54" t="n"/>
      <c r="B501" s="54" t="n"/>
      <c r="C501" s="55" t="n"/>
      <c r="D501" s="55" t="n"/>
      <c r="E501">
        <f>IF(OR(A501="",B501=""),"",B501-A501)</f>
        <v/>
      </c>
      <c r="F501" s="55" t="n"/>
    </row>
    <row r="502">
      <c r="A502" s="54" t="n"/>
      <c r="B502" s="54" t="n"/>
      <c r="C502" s="55" t="n"/>
      <c r="D502" s="55" t="n"/>
      <c r="E502">
        <f>IF(OR(A502="",B502=""),"",B502-A502)</f>
        <v/>
      </c>
      <c r="F502" s="55" t="n"/>
    </row>
    <row r="503">
      <c r="A503" s="54" t="n"/>
      <c r="B503" s="54" t="n"/>
      <c r="C503" s="55" t="n"/>
      <c r="D503" s="55" t="n"/>
      <c r="E503">
        <f>IF(OR(A503="",B503=""),"",B503-A503)</f>
        <v/>
      </c>
      <c r="F503" s="55" t="n"/>
    </row>
    <row r="504">
      <c r="A504" s="54" t="n"/>
      <c r="B504" s="54" t="n"/>
      <c r="C504" s="55" t="n"/>
      <c r="D504" s="55" t="n"/>
      <c r="E504">
        <f>IF(OR(A504="",B504=""),"",B504-A504)</f>
        <v/>
      </c>
      <c r="F504" s="55" t="n"/>
    </row>
    <row r="505">
      <c r="A505" s="54" t="n"/>
      <c r="B505" s="54" t="n"/>
      <c r="C505" s="55" t="n"/>
      <c r="D505" s="55" t="n"/>
      <c r="E505">
        <f>IF(OR(A505="",B505=""),"",B505-A505)</f>
        <v/>
      </c>
      <c r="F505" s="55" t="n"/>
    </row>
    <row r="506">
      <c r="A506" s="54" t="n"/>
      <c r="B506" s="54" t="n"/>
      <c r="C506" s="55" t="n"/>
      <c r="D506" s="55" t="n"/>
      <c r="E506">
        <f>IF(OR(A506="",B506=""),"",B506-A506)</f>
        <v/>
      </c>
      <c r="F506" s="55" t="n"/>
    </row>
    <row r="507">
      <c r="A507" s="54" t="n"/>
      <c r="B507" s="54" t="n"/>
      <c r="C507" s="55" t="n"/>
      <c r="D507" s="55" t="n"/>
      <c r="E507">
        <f>IF(OR(A507="",B507=""),"",B507-A507)</f>
        <v/>
      </c>
      <c r="F507" s="55" t="n"/>
    </row>
    <row r="508">
      <c r="A508" s="54" t="n"/>
      <c r="B508" s="54" t="n"/>
      <c r="C508" s="55" t="n"/>
      <c r="D508" s="55" t="n"/>
      <c r="E508">
        <f>IF(OR(A508="",B508=""),"",B508-A508)</f>
        <v/>
      </c>
      <c r="F508" s="55" t="n"/>
    </row>
    <row r="509">
      <c r="A509" s="54" t="n"/>
      <c r="B509" s="54" t="n"/>
      <c r="C509" s="55" t="n"/>
      <c r="D509" s="55" t="n"/>
      <c r="E509">
        <f>IF(OR(A509="",B509=""),"",B509-A509)</f>
        <v/>
      </c>
      <c r="F509" s="55" t="n"/>
    </row>
    <row r="510">
      <c r="A510" s="54" t="n"/>
      <c r="B510" s="54" t="n"/>
      <c r="C510" s="55" t="n"/>
      <c r="D510" s="55" t="n"/>
      <c r="E510">
        <f>IF(OR(A510="",B510=""),"",B510-A510)</f>
        <v/>
      </c>
      <c r="F510" s="55" t="n"/>
    </row>
    <row r="511">
      <c r="A511" s="54" t="n"/>
      <c r="B511" s="54" t="n"/>
      <c r="C511" s="55" t="n"/>
      <c r="D511" s="55" t="n"/>
      <c r="E511">
        <f>IF(OR(A511="",B511=""),"",B511-A511)</f>
        <v/>
      </c>
      <c r="F511" s="55" t="n"/>
    </row>
    <row r="512">
      <c r="A512" s="54" t="n"/>
      <c r="B512" s="54" t="n"/>
      <c r="C512" s="55" t="n"/>
      <c r="D512" s="55" t="n"/>
      <c r="E512">
        <f>IF(OR(A512="",B512=""),"",B512-A512)</f>
        <v/>
      </c>
      <c r="F512" s="55" t="n"/>
    </row>
    <row r="513">
      <c r="A513" s="54" t="n"/>
      <c r="B513" s="54" t="n"/>
      <c r="C513" s="55" t="n"/>
      <c r="D513" s="55" t="n"/>
      <c r="E513">
        <f>IF(OR(A513="",B513=""),"",B513-A513)</f>
        <v/>
      </c>
      <c r="F513" s="55" t="n"/>
    </row>
    <row r="514">
      <c r="A514" s="54" t="n"/>
      <c r="B514" s="54" t="n"/>
      <c r="C514" s="55" t="n"/>
      <c r="D514" s="55" t="n"/>
      <c r="E514">
        <f>IF(OR(A514="",B514=""),"",B514-A514)</f>
        <v/>
      </c>
      <c r="F514" s="55" t="n"/>
    </row>
    <row r="515">
      <c r="A515" s="54" t="n"/>
      <c r="B515" s="54" t="n"/>
      <c r="C515" s="55" t="n"/>
      <c r="D515" s="55" t="n"/>
      <c r="E515">
        <f>IF(OR(A515="",B515=""),"",B515-A515)</f>
        <v/>
      </c>
      <c r="F515" s="55" t="n"/>
    </row>
    <row r="516">
      <c r="A516" s="54" t="n"/>
      <c r="B516" s="54" t="n"/>
      <c r="C516" s="55" t="n"/>
      <c r="D516" s="55" t="n"/>
      <c r="E516">
        <f>IF(OR(A516="",B516=""),"",B516-A516)</f>
        <v/>
      </c>
      <c r="F516" s="55" t="n"/>
    </row>
    <row r="517">
      <c r="A517" s="54" t="n"/>
      <c r="B517" s="54" t="n"/>
      <c r="C517" s="55" t="n"/>
      <c r="D517" s="55" t="n"/>
      <c r="E517">
        <f>IF(OR(A517="",B517=""),"",B517-A517)</f>
        <v/>
      </c>
      <c r="F517" s="55" t="n"/>
    </row>
    <row r="518">
      <c r="A518" s="54" t="n"/>
      <c r="B518" s="54" t="n"/>
      <c r="C518" s="55" t="n"/>
      <c r="D518" s="55" t="n"/>
      <c r="E518">
        <f>IF(OR(A518="",B518=""),"",B518-A518)</f>
        <v/>
      </c>
      <c r="F518" s="55" t="n"/>
    </row>
    <row r="519">
      <c r="A519" s="54" t="n"/>
      <c r="B519" s="54" t="n"/>
      <c r="C519" s="55" t="n"/>
      <c r="D519" s="55" t="n"/>
      <c r="E519">
        <f>IF(OR(A519="",B519=""),"",B519-A519)</f>
        <v/>
      </c>
      <c r="F519" s="55" t="n"/>
    </row>
    <row r="520">
      <c r="A520" s="54" t="n"/>
      <c r="B520" s="54" t="n"/>
      <c r="C520" s="55" t="n"/>
      <c r="D520" s="55" t="n"/>
      <c r="E520">
        <f>IF(OR(A520="",B520=""),"",B520-A520)</f>
        <v/>
      </c>
      <c r="F520" s="55" t="n"/>
    </row>
    <row r="521">
      <c r="A521" s="54" t="n"/>
      <c r="B521" s="54" t="n"/>
      <c r="C521" s="55" t="n"/>
      <c r="D521" s="55" t="n"/>
      <c r="E521">
        <f>IF(OR(A521="",B521=""),"",B521-A521)</f>
        <v/>
      </c>
      <c r="F521" s="55" t="n"/>
    </row>
    <row r="522">
      <c r="A522" s="54" t="n"/>
      <c r="B522" s="54" t="n"/>
      <c r="C522" s="55" t="n"/>
      <c r="D522" s="55" t="n"/>
      <c r="E522">
        <f>IF(OR(A522="",B522=""),"",B522-A522)</f>
        <v/>
      </c>
      <c r="F522" s="55" t="n"/>
    </row>
    <row r="523">
      <c r="A523" s="54" t="n"/>
      <c r="B523" s="54" t="n"/>
      <c r="C523" s="55" t="n"/>
      <c r="D523" s="55" t="n"/>
      <c r="E523">
        <f>IF(OR(A523="",B523=""),"",B523-A523)</f>
        <v/>
      </c>
      <c r="F523" s="55" t="n"/>
    </row>
    <row r="524">
      <c r="A524" s="54" t="n"/>
      <c r="B524" s="54" t="n"/>
      <c r="C524" s="55" t="n"/>
      <c r="D524" s="55" t="n"/>
      <c r="E524">
        <f>IF(OR(A524="",B524=""),"",B524-A524)</f>
        <v/>
      </c>
      <c r="F524" s="55" t="n"/>
    </row>
    <row r="525">
      <c r="A525" s="54" t="n"/>
      <c r="B525" s="54" t="n"/>
      <c r="C525" s="55" t="n"/>
      <c r="D525" s="55" t="n"/>
      <c r="E525">
        <f>IF(OR(A525="",B525=""),"",B525-A525)</f>
        <v/>
      </c>
      <c r="F525" s="55" t="n"/>
    </row>
    <row r="526">
      <c r="A526" s="54" t="n"/>
      <c r="B526" s="54" t="n"/>
      <c r="C526" s="55" t="n"/>
      <c r="D526" s="55" t="n"/>
      <c r="E526">
        <f>IF(OR(A526="",B526=""),"",B526-A526)</f>
        <v/>
      </c>
      <c r="F526" s="55" t="n"/>
    </row>
    <row r="527">
      <c r="A527" s="54" t="n"/>
      <c r="B527" s="54" t="n"/>
      <c r="C527" s="55" t="n"/>
      <c r="D527" s="55" t="n"/>
      <c r="E527">
        <f>IF(OR(A527="",B527=""),"",B527-A527)</f>
        <v/>
      </c>
      <c r="F527" s="55" t="n"/>
    </row>
    <row r="528">
      <c r="A528" s="54" t="n"/>
      <c r="B528" s="54" t="n"/>
      <c r="C528" s="55" t="n"/>
      <c r="D528" s="55" t="n"/>
      <c r="E528">
        <f>IF(OR(A528="",B528=""),"",B528-A528)</f>
        <v/>
      </c>
      <c r="F528" s="55" t="n"/>
    </row>
    <row r="529">
      <c r="A529" s="54" t="n"/>
      <c r="B529" s="54" t="n"/>
      <c r="C529" s="55" t="n"/>
      <c r="D529" s="55" t="n"/>
      <c r="E529">
        <f>IF(OR(A529="",B529=""),"",B529-A529)</f>
        <v/>
      </c>
      <c r="F529" s="55" t="n"/>
    </row>
    <row r="530">
      <c r="A530" s="54" t="n"/>
      <c r="B530" s="54" t="n"/>
      <c r="C530" s="55" t="n"/>
      <c r="D530" s="55" t="n"/>
      <c r="E530">
        <f>IF(OR(A530="",B530=""),"",B530-A530)</f>
        <v/>
      </c>
      <c r="F530" s="55" t="n"/>
    </row>
    <row r="531">
      <c r="A531" s="54" t="n"/>
      <c r="B531" s="54" t="n"/>
      <c r="C531" s="55" t="n"/>
      <c r="D531" s="55" t="n"/>
      <c r="E531">
        <f>IF(OR(A531="",B531=""),"",B531-A531)</f>
        <v/>
      </c>
      <c r="F531" s="55" t="n"/>
    </row>
    <row r="532">
      <c r="A532" s="54" t="n"/>
      <c r="B532" s="54" t="n"/>
      <c r="C532" s="55" t="n"/>
      <c r="D532" s="55" t="n"/>
      <c r="E532">
        <f>IF(OR(A532="",B532=""),"",B532-A532)</f>
        <v/>
      </c>
      <c r="F532" s="55" t="n"/>
    </row>
    <row r="533">
      <c r="A533" s="54" t="n"/>
      <c r="B533" s="54" t="n"/>
      <c r="C533" s="55" t="n"/>
      <c r="D533" s="55" t="n"/>
      <c r="E533">
        <f>IF(OR(A533="",B533=""),"",B533-A533)</f>
        <v/>
      </c>
      <c r="F533" s="55" t="n"/>
    </row>
    <row r="534">
      <c r="A534" s="54" t="n"/>
      <c r="B534" s="54" t="n"/>
      <c r="C534" s="55" t="n"/>
      <c r="D534" s="55" t="n"/>
      <c r="E534">
        <f>IF(OR(A534="",B534=""),"",B534-A534)</f>
        <v/>
      </c>
      <c r="F534" s="55" t="n"/>
    </row>
    <row r="535">
      <c r="A535" s="54" t="n"/>
      <c r="B535" s="54" t="n"/>
      <c r="C535" s="55" t="n"/>
      <c r="D535" s="55" t="n"/>
      <c r="E535">
        <f>IF(OR(A535="",B535=""),"",B535-A535)</f>
        <v/>
      </c>
      <c r="F535" s="55" t="n"/>
    </row>
    <row r="536">
      <c r="A536" s="54" t="n"/>
      <c r="B536" s="54" t="n"/>
      <c r="C536" s="55" t="n"/>
      <c r="D536" s="55" t="n"/>
      <c r="E536">
        <f>IF(OR(A536="",B536=""),"",B536-A536)</f>
        <v/>
      </c>
      <c r="F536" s="55" t="n"/>
    </row>
    <row r="537">
      <c r="A537" s="54" t="n"/>
      <c r="B537" s="54" t="n"/>
      <c r="C537" s="55" t="n"/>
      <c r="D537" s="55" t="n"/>
      <c r="E537">
        <f>IF(OR(A537="",B537=""),"",B537-A537)</f>
        <v/>
      </c>
      <c r="F537" s="55" t="n"/>
    </row>
    <row r="538">
      <c r="A538" s="54" t="n"/>
      <c r="B538" s="54" t="n"/>
      <c r="C538" s="55" t="n"/>
      <c r="D538" s="55" t="n"/>
      <c r="E538">
        <f>IF(OR(A538="",B538=""),"",B538-A538)</f>
        <v/>
      </c>
      <c r="F538" s="55" t="n"/>
    </row>
    <row r="539">
      <c r="A539" s="54" t="n"/>
      <c r="B539" s="54" t="n"/>
      <c r="C539" s="55" t="n"/>
      <c r="D539" s="55" t="n"/>
      <c r="E539">
        <f>IF(OR(A539="",B539=""),"",B539-A539)</f>
        <v/>
      </c>
      <c r="F539" s="55" t="n"/>
    </row>
    <row r="540">
      <c r="A540" s="54" t="n"/>
      <c r="B540" s="54" t="n"/>
      <c r="C540" s="55" t="n"/>
      <c r="D540" s="55" t="n"/>
      <c r="E540">
        <f>IF(OR(A540="",B540=""),"",B540-A540)</f>
        <v/>
      </c>
      <c r="F540" s="55" t="n"/>
    </row>
    <row r="541">
      <c r="A541" s="54" t="n"/>
      <c r="B541" s="54" t="n"/>
      <c r="C541" s="55" t="n"/>
      <c r="D541" s="55" t="n"/>
      <c r="E541">
        <f>IF(OR(A541="",B541=""),"",B541-A541)</f>
        <v/>
      </c>
      <c r="F541" s="55" t="n"/>
    </row>
    <row r="542">
      <c r="A542" s="54" t="n"/>
      <c r="B542" s="54" t="n"/>
      <c r="C542" s="55" t="n"/>
      <c r="D542" s="55" t="n"/>
      <c r="E542">
        <f>IF(OR(A542="",B542=""),"",B542-A542)</f>
        <v/>
      </c>
      <c r="F542" s="55" t="n"/>
    </row>
    <row r="543">
      <c r="A543" s="54" t="n"/>
      <c r="B543" s="54" t="n"/>
      <c r="C543" s="55" t="n"/>
      <c r="D543" s="55" t="n"/>
      <c r="E543">
        <f>IF(OR(A543="",B543=""),"",B543-A543)</f>
        <v/>
      </c>
      <c r="F543" s="55" t="n"/>
    </row>
    <row r="544">
      <c r="A544" s="54" t="n"/>
      <c r="B544" s="54" t="n"/>
      <c r="C544" s="55" t="n"/>
      <c r="D544" s="55" t="n"/>
      <c r="E544">
        <f>IF(OR(A544="",B544=""),"",B544-A544)</f>
        <v/>
      </c>
      <c r="F544" s="55" t="n"/>
    </row>
    <row r="545">
      <c r="A545" s="54" t="n"/>
      <c r="B545" s="54" t="n"/>
      <c r="C545" s="55" t="n"/>
      <c r="D545" s="55" t="n"/>
      <c r="E545">
        <f>IF(OR(A545="",B545=""),"",B545-A545)</f>
        <v/>
      </c>
      <c r="F545" s="55" t="n"/>
    </row>
    <row r="546">
      <c r="A546" s="54" t="n"/>
      <c r="B546" s="54" t="n"/>
      <c r="C546" s="55" t="n"/>
      <c r="D546" s="55" t="n"/>
      <c r="E546">
        <f>IF(OR(A546="",B546=""),"",B546-A546)</f>
        <v/>
      </c>
      <c r="F546" s="55" t="n"/>
    </row>
    <row r="547">
      <c r="A547" s="54" t="n"/>
      <c r="B547" s="54" t="n"/>
      <c r="C547" s="55" t="n"/>
      <c r="D547" s="55" t="n"/>
      <c r="E547">
        <f>IF(OR(A547="",B547=""),"",B547-A547)</f>
        <v/>
      </c>
      <c r="F547" s="55" t="n"/>
    </row>
    <row r="548">
      <c r="A548" s="54" t="n"/>
      <c r="B548" s="54" t="n"/>
      <c r="C548" s="55" t="n"/>
      <c r="D548" s="55" t="n"/>
      <c r="E548">
        <f>IF(OR(A548="",B548=""),"",B548-A548)</f>
        <v/>
      </c>
      <c r="F548" s="55" t="n"/>
    </row>
    <row r="549">
      <c r="A549" s="54" t="n"/>
      <c r="B549" s="54" t="n"/>
      <c r="C549" s="55" t="n"/>
      <c r="D549" s="55" t="n"/>
      <c r="E549">
        <f>IF(OR(A549="",B549=""),"",B549-A549)</f>
        <v/>
      </c>
      <c r="F549" s="55" t="n"/>
    </row>
    <row r="550">
      <c r="A550" s="54" t="n"/>
      <c r="B550" s="54" t="n"/>
      <c r="C550" s="55" t="n"/>
      <c r="D550" s="55" t="n"/>
      <c r="E550">
        <f>IF(OR(A550="",B550=""),"",B550-A550)</f>
        <v/>
      </c>
      <c r="F550" s="55" t="n"/>
    </row>
    <row r="551">
      <c r="A551" s="54" t="n"/>
      <c r="B551" s="54" t="n"/>
      <c r="C551" s="55" t="n"/>
      <c r="D551" s="55" t="n"/>
      <c r="E551">
        <f>IF(OR(A551="",B551=""),"",B551-A551)</f>
        <v/>
      </c>
      <c r="F551" s="55" t="n"/>
    </row>
    <row r="552">
      <c r="A552" s="54" t="n"/>
      <c r="B552" s="54" t="n"/>
      <c r="C552" s="55" t="n"/>
      <c r="D552" s="55" t="n"/>
      <c r="E552">
        <f>IF(OR(A552="",B552=""),"",B552-A552)</f>
        <v/>
      </c>
      <c r="F552" s="55" t="n"/>
    </row>
    <row r="553">
      <c r="A553" s="54" t="n"/>
      <c r="B553" s="54" t="n"/>
      <c r="C553" s="55" t="n"/>
      <c r="D553" s="55" t="n"/>
      <c r="E553">
        <f>IF(OR(A553="",B553=""),"",B553-A553)</f>
        <v/>
      </c>
      <c r="F553" s="55" t="n"/>
    </row>
    <row r="554">
      <c r="A554" s="54" t="n"/>
      <c r="B554" s="54" t="n"/>
      <c r="C554" s="55" t="n"/>
      <c r="D554" s="55" t="n"/>
      <c r="E554">
        <f>IF(OR(A554="",B554=""),"",B554-A554)</f>
        <v/>
      </c>
      <c r="F554" s="55" t="n"/>
    </row>
    <row r="555">
      <c r="A555" s="54" t="n"/>
      <c r="B555" s="54" t="n"/>
      <c r="C555" s="55" t="n"/>
      <c r="D555" s="55" t="n"/>
      <c r="E555">
        <f>IF(OR(A555="",B555=""),"",B555-A555)</f>
        <v/>
      </c>
      <c r="F555" s="55" t="n"/>
    </row>
    <row r="556">
      <c r="A556" s="54" t="n"/>
      <c r="B556" s="54" t="n"/>
      <c r="C556" s="55" t="n"/>
      <c r="D556" s="55" t="n"/>
      <c r="E556">
        <f>IF(OR(A556="",B556=""),"",B556-A556)</f>
        <v/>
      </c>
      <c r="F556" s="55" t="n"/>
    </row>
    <row r="557">
      <c r="A557" s="54" t="n"/>
      <c r="B557" s="54" t="n"/>
      <c r="C557" s="55" t="n"/>
      <c r="D557" s="55" t="n"/>
      <c r="E557">
        <f>IF(OR(A557="",B557=""),"",B557-A557)</f>
        <v/>
      </c>
      <c r="F557" s="55" t="n"/>
    </row>
    <row r="558">
      <c r="A558" s="54" t="n"/>
      <c r="B558" s="54" t="n"/>
      <c r="C558" s="55" t="n"/>
      <c r="D558" s="55" t="n"/>
      <c r="E558">
        <f>IF(OR(A558="",B558=""),"",B558-A558)</f>
        <v/>
      </c>
      <c r="F558" s="55" t="n"/>
    </row>
    <row r="559">
      <c r="A559" s="54" t="n"/>
      <c r="B559" s="54" t="n"/>
      <c r="C559" s="55" t="n"/>
      <c r="D559" s="55" t="n"/>
      <c r="E559">
        <f>IF(OR(A559="",B559=""),"",B559-A559)</f>
        <v/>
      </c>
      <c r="F559" s="55" t="n"/>
    </row>
    <row r="560">
      <c r="A560" s="54" t="n"/>
      <c r="B560" s="54" t="n"/>
      <c r="C560" s="55" t="n"/>
      <c r="D560" s="55" t="n"/>
      <c r="E560">
        <f>IF(OR(A560="",B560=""),"",B560-A560)</f>
        <v/>
      </c>
      <c r="F560" s="55" t="n"/>
    </row>
    <row r="561">
      <c r="A561" s="54" t="n"/>
      <c r="B561" s="54" t="n"/>
      <c r="C561" s="55" t="n"/>
      <c r="D561" s="55" t="n"/>
      <c r="E561">
        <f>IF(OR(A561="",B561=""),"",B561-A561)</f>
        <v/>
      </c>
      <c r="F561" s="55" t="n"/>
    </row>
    <row r="562">
      <c r="A562" s="54" t="n"/>
      <c r="B562" s="54" t="n"/>
      <c r="C562" s="55" t="n"/>
      <c r="D562" s="55" t="n"/>
      <c r="E562">
        <f>IF(OR(A562="",B562=""),"",B562-A562)</f>
        <v/>
      </c>
      <c r="F562" s="55" t="n"/>
    </row>
    <row r="563">
      <c r="A563" s="54" t="n"/>
      <c r="B563" s="54" t="n"/>
      <c r="C563" s="55" t="n"/>
      <c r="D563" s="55" t="n"/>
      <c r="E563">
        <f>IF(OR(A563="",B563=""),"",B563-A563)</f>
        <v/>
      </c>
      <c r="F563" s="55" t="n"/>
    </row>
    <row r="564">
      <c r="A564" s="54" t="n"/>
      <c r="B564" s="54" t="n"/>
      <c r="C564" s="55" t="n"/>
      <c r="D564" s="55" t="n"/>
      <c r="E564">
        <f>IF(OR(A564="",B564=""),"",B564-A564)</f>
        <v/>
      </c>
      <c r="F564" s="55" t="n"/>
    </row>
    <row r="565">
      <c r="A565" s="54" t="n"/>
      <c r="B565" s="54" t="n"/>
      <c r="C565" s="55" t="n"/>
      <c r="D565" s="55" t="n"/>
      <c r="E565">
        <f>IF(OR(A565="",B565=""),"",B565-A565)</f>
        <v/>
      </c>
      <c r="F565" s="55" t="n"/>
    </row>
    <row r="566">
      <c r="A566" s="54" t="n"/>
      <c r="B566" s="54" t="n"/>
      <c r="C566" s="55" t="n"/>
      <c r="D566" s="55" t="n"/>
      <c r="E566">
        <f>IF(OR(A566="",B566=""),"",B566-A566)</f>
        <v/>
      </c>
      <c r="F566" s="55" t="n"/>
    </row>
    <row r="567">
      <c r="A567" s="54" t="n"/>
      <c r="B567" s="54" t="n"/>
      <c r="C567" s="55" t="n"/>
      <c r="D567" s="55" t="n"/>
      <c r="E567">
        <f>IF(OR(A567="",B567=""),"",B567-A567)</f>
        <v/>
      </c>
      <c r="F567" s="55" t="n"/>
    </row>
    <row r="568">
      <c r="A568" s="54" t="n"/>
      <c r="B568" s="54" t="n"/>
      <c r="C568" s="55" t="n"/>
      <c r="D568" s="55" t="n"/>
      <c r="E568">
        <f>IF(OR(A568="",B568=""),"",B568-A568)</f>
        <v/>
      </c>
      <c r="F568" s="55" t="n"/>
    </row>
    <row r="569">
      <c r="A569" s="54" t="n"/>
      <c r="B569" s="54" t="n"/>
      <c r="C569" s="55" t="n"/>
      <c r="D569" s="55" t="n"/>
      <c r="E569">
        <f>IF(OR(A569="",B569=""),"",B569-A569)</f>
        <v/>
      </c>
      <c r="F569" s="55" t="n"/>
    </row>
    <row r="570">
      <c r="A570" s="54" t="n"/>
      <c r="B570" s="54" t="n"/>
      <c r="C570" s="55" t="n"/>
      <c r="D570" s="55" t="n"/>
      <c r="E570">
        <f>IF(OR(A570="",B570=""),"",B570-A570)</f>
        <v/>
      </c>
      <c r="F570" s="55" t="n"/>
    </row>
    <row r="571">
      <c r="A571" s="54" t="n"/>
      <c r="B571" s="54" t="n"/>
      <c r="C571" s="55" t="n"/>
      <c r="D571" s="55" t="n"/>
      <c r="E571">
        <f>IF(OR(A571="",B571=""),"",B571-A571)</f>
        <v/>
      </c>
      <c r="F571" s="55" t="n"/>
    </row>
    <row r="572">
      <c r="A572" s="54" t="n"/>
      <c r="B572" s="54" t="n"/>
      <c r="C572" s="55" t="n"/>
      <c r="D572" s="55" t="n"/>
      <c r="E572">
        <f>IF(OR(A572="",B572=""),"",B572-A572)</f>
        <v/>
      </c>
      <c r="F572" s="55" t="n"/>
    </row>
    <row r="573">
      <c r="A573" s="54" t="n"/>
      <c r="B573" s="54" t="n"/>
      <c r="C573" s="55" t="n"/>
      <c r="D573" s="55" t="n"/>
      <c r="E573">
        <f>IF(OR(A573="",B573=""),"",B573-A573)</f>
        <v/>
      </c>
      <c r="F573" s="55" t="n"/>
    </row>
    <row r="574">
      <c r="A574" s="54" t="n"/>
      <c r="B574" s="54" t="n"/>
      <c r="C574" s="55" t="n"/>
      <c r="D574" s="55" t="n"/>
      <c r="E574">
        <f>IF(OR(A574="",B574=""),"",B574-A574)</f>
        <v/>
      </c>
      <c r="F574" s="55" t="n"/>
    </row>
    <row r="575">
      <c r="A575" s="54" t="n"/>
      <c r="B575" s="54" t="n"/>
      <c r="C575" s="55" t="n"/>
      <c r="D575" s="55" t="n"/>
      <c r="E575">
        <f>IF(OR(A575="",B575=""),"",B575-A575)</f>
        <v/>
      </c>
      <c r="F575" s="55" t="n"/>
    </row>
    <row r="576">
      <c r="A576" s="54" t="n"/>
      <c r="B576" s="54" t="n"/>
      <c r="C576" s="55" t="n"/>
      <c r="D576" s="55" t="n"/>
      <c r="E576">
        <f>IF(OR(A576="",B576=""),"",B576-A576)</f>
        <v/>
      </c>
      <c r="F576" s="55" t="n"/>
    </row>
    <row r="577">
      <c r="A577" s="54" t="n"/>
      <c r="B577" s="54" t="n"/>
      <c r="C577" s="55" t="n"/>
      <c r="D577" s="55" t="n"/>
      <c r="E577">
        <f>IF(OR(A577="",B577=""),"",B577-A577)</f>
        <v/>
      </c>
      <c r="F577" s="55" t="n"/>
    </row>
    <row r="578">
      <c r="A578" s="54" t="n"/>
      <c r="B578" s="54" t="n"/>
      <c r="C578" s="55" t="n"/>
      <c r="D578" s="55" t="n"/>
      <c r="E578">
        <f>IF(OR(A578="",B578=""),"",B578-A578)</f>
        <v/>
      </c>
      <c r="F578" s="55" t="n"/>
    </row>
    <row r="579">
      <c r="A579" s="54" t="n"/>
      <c r="B579" s="54" t="n"/>
      <c r="C579" s="55" t="n"/>
      <c r="D579" s="55" t="n"/>
      <c r="E579">
        <f>IF(OR(A579="",B579=""),"",B579-A579)</f>
        <v/>
      </c>
      <c r="F579" s="55" t="n"/>
    </row>
    <row r="580">
      <c r="A580" s="54" t="n"/>
      <c r="B580" s="54" t="n"/>
      <c r="C580" s="55" t="n"/>
      <c r="D580" s="55" t="n"/>
      <c r="E580">
        <f>IF(OR(A580="",B580=""),"",B580-A580)</f>
        <v/>
      </c>
      <c r="F580" s="55" t="n"/>
    </row>
    <row r="581">
      <c r="A581" s="54" t="n"/>
      <c r="B581" s="54" t="n"/>
      <c r="C581" s="55" t="n"/>
      <c r="D581" s="55" t="n"/>
      <c r="E581">
        <f>IF(OR(A581="",B581=""),"",B581-A581)</f>
        <v/>
      </c>
      <c r="F581" s="55" t="n"/>
    </row>
    <row r="582">
      <c r="A582" s="54" t="n"/>
      <c r="B582" s="54" t="n"/>
      <c r="C582" s="55" t="n"/>
      <c r="D582" s="55" t="n"/>
      <c r="E582">
        <f>IF(OR(A582="",B582=""),"",B582-A582)</f>
        <v/>
      </c>
      <c r="F582" s="55" t="n"/>
    </row>
    <row r="583">
      <c r="A583" s="54" t="n"/>
      <c r="B583" s="54" t="n"/>
      <c r="C583" s="55" t="n"/>
      <c r="D583" s="55" t="n"/>
      <c r="E583">
        <f>IF(OR(A583="",B583=""),"",B583-A583)</f>
        <v/>
      </c>
      <c r="F583" s="55" t="n"/>
    </row>
    <row r="584">
      <c r="A584" s="54" t="n"/>
      <c r="B584" s="54" t="n"/>
      <c r="C584" s="55" t="n"/>
      <c r="D584" s="55" t="n"/>
      <c r="E584">
        <f>IF(OR(A584="",B584=""),"",B584-A584)</f>
        <v/>
      </c>
      <c r="F584" s="55" t="n"/>
    </row>
    <row r="585">
      <c r="A585" s="54" t="n"/>
      <c r="B585" s="54" t="n"/>
      <c r="C585" s="55" t="n"/>
      <c r="D585" s="55" t="n"/>
      <c r="E585">
        <f>IF(OR(A585="",B585=""),"",B585-A585)</f>
        <v/>
      </c>
      <c r="F585" s="55" t="n"/>
    </row>
    <row r="586">
      <c r="A586" s="54" t="n"/>
      <c r="B586" s="54" t="n"/>
      <c r="C586" s="55" t="n"/>
      <c r="D586" s="55" t="n"/>
      <c r="E586">
        <f>IF(OR(A586="",B586=""),"",B586-A586)</f>
        <v/>
      </c>
      <c r="F586" s="55" t="n"/>
    </row>
    <row r="587">
      <c r="A587" s="54" t="n"/>
      <c r="B587" s="54" t="n"/>
      <c r="C587" s="55" t="n"/>
      <c r="D587" s="55" t="n"/>
      <c r="E587">
        <f>IF(OR(A587="",B587=""),"",B587-A587)</f>
        <v/>
      </c>
      <c r="F587" s="55" t="n"/>
    </row>
    <row r="588">
      <c r="A588" s="54" t="n"/>
      <c r="B588" s="54" t="n"/>
      <c r="C588" s="55" t="n"/>
      <c r="D588" s="55" t="n"/>
      <c r="E588">
        <f>IF(OR(A588="",B588=""),"",B588-A588)</f>
        <v/>
      </c>
      <c r="F588" s="55" t="n"/>
    </row>
    <row r="589">
      <c r="A589" s="54" t="n"/>
      <c r="B589" s="54" t="n"/>
      <c r="C589" s="55" t="n"/>
      <c r="D589" s="55" t="n"/>
      <c r="E589">
        <f>IF(OR(A589="",B589=""),"",B589-A589)</f>
        <v/>
      </c>
      <c r="F589" s="55" t="n"/>
    </row>
    <row r="590">
      <c r="A590" s="54" t="n"/>
      <c r="B590" s="54" t="n"/>
      <c r="C590" s="55" t="n"/>
      <c r="D590" s="55" t="n"/>
      <c r="E590">
        <f>IF(OR(A590="",B590=""),"",B590-A590)</f>
        <v/>
      </c>
      <c r="F590" s="55" t="n"/>
    </row>
    <row r="591">
      <c r="A591" s="54" t="n"/>
      <c r="B591" s="54" t="n"/>
      <c r="C591" s="55" t="n"/>
      <c r="D591" s="55" t="n"/>
      <c r="E591">
        <f>IF(OR(A591="",B591=""),"",B591-A591)</f>
        <v/>
      </c>
      <c r="F591" s="55" t="n"/>
    </row>
    <row r="592">
      <c r="A592" s="54" t="n"/>
      <c r="B592" s="54" t="n"/>
      <c r="C592" s="55" t="n"/>
      <c r="D592" s="55" t="n"/>
      <c r="E592">
        <f>IF(OR(A592="",B592=""),"",B592-A592)</f>
        <v/>
      </c>
      <c r="F592" s="55" t="n"/>
    </row>
    <row r="593">
      <c r="A593" s="54" t="n"/>
      <c r="B593" s="54" t="n"/>
      <c r="C593" s="55" t="n"/>
      <c r="D593" s="55" t="n"/>
      <c r="E593">
        <f>IF(OR(A593="",B593=""),"",B593-A593)</f>
        <v/>
      </c>
      <c r="F593" s="55" t="n"/>
    </row>
    <row r="594">
      <c r="A594" s="54" t="n"/>
      <c r="B594" s="54" t="n"/>
      <c r="C594" s="55" t="n"/>
      <c r="D594" s="55" t="n"/>
      <c r="E594">
        <f>IF(OR(A594="",B594=""),"",B594-A594)</f>
        <v/>
      </c>
      <c r="F594" s="55" t="n"/>
    </row>
    <row r="595">
      <c r="A595" s="54" t="n"/>
      <c r="B595" s="54" t="n"/>
      <c r="C595" s="55" t="n"/>
      <c r="D595" s="55" t="n"/>
      <c r="E595">
        <f>IF(OR(A595="",B595=""),"",B595-A595)</f>
        <v/>
      </c>
      <c r="F595" s="55" t="n"/>
    </row>
    <row r="596">
      <c r="A596" s="54" t="n"/>
      <c r="B596" s="54" t="n"/>
      <c r="C596" s="55" t="n"/>
      <c r="D596" s="55" t="n"/>
      <c r="E596">
        <f>IF(OR(A596="",B596=""),"",B596-A596)</f>
        <v/>
      </c>
      <c r="F596" s="55" t="n"/>
    </row>
    <row r="597">
      <c r="A597" s="54" t="n"/>
      <c r="B597" s="54" t="n"/>
      <c r="C597" s="55" t="n"/>
      <c r="D597" s="55" t="n"/>
      <c r="E597">
        <f>IF(OR(A597="",B597=""),"",B597-A597)</f>
        <v/>
      </c>
      <c r="F597" s="55" t="n"/>
    </row>
    <row r="598">
      <c r="A598" s="54" t="n"/>
      <c r="B598" s="54" t="n"/>
      <c r="C598" s="55" t="n"/>
      <c r="D598" s="55" t="n"/>
      <c r="E598">
        <f>IF(OR(A598="",B598=""),"",B598-A598)</f>
        <v/>
      </c>
      <c r="F598" s="55" t="n"/>
    </row>
    <row r="599">
      <c r="A599" s="54" t="n"/>
      <c r="B599" s="54" t="n"/>
      <c r="C599" s="55" t="n"/>
      <c r="D599" s="55" t="n"/>
      <c r="E599">
        <f>IF(OR(A599="",B599=""),"",B599-A599)</f>
        <v/>
      </c>
      <c r="F599" s="55" t="n"/>
    </row>
    <row r="600">
      <c r="A600" s="54" t="n"/>
      <c r="B600" s="54" t="n"/>
      <c r="C600" s="55" t="n"/>
      <c r="D600" s="55" t="n"/>
      <c r="E600">
        <f>IF(OR(A600="",B600=""),"",B600-A600)</f>
        <v/>
      </c>
      <c r="F600" s="55" t="n"/>
    </row>
    <row r="601">
      <c r="A601" s="54" t="n"/>
      <c r="B601" s="54" t="n"/>
      <c r="C601" s="55" t="n"/>
      <c r="D601" s="55" t="n"/>
      <c r="E601">
        <f>IF(OR(A601="",B601=""),"",B601-A601)</f>
        <v/>
      </c>
      <c r="F601" s="55" t="n"/>
    </row>
    <row r="602">
      <c r="A602" s="54" t="n"/>
      <c r="B602" s="54" t="n"/>
      <c r="C602" s="55" t="n"/>
      <c r="D602" s="55" t="n"/>
      <c r="E602">
        <f>IF(OR(A602="",B602=""),"",B602-A602)</f>
        <v/>
      </c>
      <c r="F602" s="55" t="n"/>
    </row>
    <row r="603">
      <c r="A603" s="54" t="n"/>
      <c r="B603" s="54" t="n"/>
      <c r="C603" s="55" t="n"/>
      <c r="D603" s="55" t="n"/>
      <c r="E603">
        <f>IF(OR(A603="",B603=""),"",B603-A603)</f>
        <v/>
      </c>
      <c r="F603" s="55" t="n"/>
    </row>
    <row r="604">
      <c r="A604" s="54" t="n"/>
      <c r="B604" s="54" t="n"/>
      <c r="C604" s="55" t="n"/>
      <c r="D604" s="55" t="n"/>
      <c r="E604">
        <f>IF(OR(A604="",B604=""),"",B604-A604)</f>
        <v/>
      </c>
      <c r="F604" s="55" t="n"/>
    </row>
    <row r="605">
      <c r="A605" s="54" t="n"/>
      <c r="B605" s="54" t="n"/>
      <c r="C605" s="55" t="n"/>
      <c r="D605" s="55" t="n"/>
      <c r="E605">
        <f>IF(OR(A605="",B605=""),"",B605-A605)</f>
        <v/>
      </c>
      <c r="F605" s="55" t="n"/>
    </row>
    <row r="606">
      <c r="A606" s="54" t="n"/>
      <c r="B606" s="54" t="n"/>
      <c r="C606" s="55" t="n"/>
      <c r="D606" s="55" t="n"/>
      <c r="E606">
        <f>IF(OR(A606="",B606=""),"",B606-A606)</f>
        <v/>
      </c>
      <c r="F606" s="55" t="n"/>
    </row>
    <row r="607">
      <c r="A607" s="54" t="n"/>
      <c r="B607" s="54" t="n"/>
      <c r="C607" s="55" t="n"/>
      <c r="D607" s="55" t="n"/>
      <c r="E607">
        <f>IF(OR(A607="",B607=""),"",B607-A607)</f>
        <v/>
      </c>
      <c r="F607" s="55" t="n"/>
    </row>
    <row r="608">
      <c r="A608" s="54" t="n"/>
      <c r="B608" s="54" t="n"/>
      <c r="C608" s="55" t="n"/>
      <c r="D608" s="55" t="n"/>
      <c r="E608">
        <f>IF(OR(A608="",B608=""),"",B608-A608)</f>
        <v/>
      </c>
      <c r="F608" s="55" t="n"/>
    </row>
    <row r="609">
      <c r="A609" s="54" t="n"/>
      <c r="B609" s="54" t="n"/>
      <c r="C609" s="55" t="n"/>
      <c r="D609" s="55" t="n"/>
      <c r="E609">
        <f>IF(OR(A609="",B609=""),"",B609-A609)</f>
        <v/>
      </c>
      <c r="F609" s="55" t="n"/>
    </row>
    <row r="610">
      <c r="A610" s="54" t="n"/>
      <c r="B610" s="54" t="n"/>
      <c r="C610" s="55" t="n"/>
      <c r="D610" s="55" t="n"/>
      <c r="E610">
        <f>IF(OR(A610="",B610=""),"",B610-A610)</f>
        <v/>
      </c>
      <c r="F610" s="55" t="n"/>
    </row>
    <row r="611">
      <c r="A611" s="54" t="n"/>
      <c r="B611" s="54" t="n"/>
      <c r="C611" s="55" t="n"/>
      <c r="D611" s="55" t="n"/>
      <c r="E611">
        <f>IF(OR(A611="",B611=""),"",B611-A611)</f>
        <v/>
      </c>
      <c r="F611" s="55" t="n"/>
    </row>
    <row r="612">
      <c r="A612" s="54" t="n"/>
      <c r="B612" s="54" t="n"/>
      <c r="C612" s="55" t="n"/>
      <c r="D612" s="55" t="n"/>
      <c r="E612">
        <f>IF(OR(A612="",B612=""),"",B612-A612)</f>
        <v/>
      </c>
      <c r="F612" s="55" t="n"/>
    </row>
    <row r="613">
      <c r="A613" s="54" t="n"/>
      <c r="B613" s="54" t="n"/>
      <c r="C613" s="55" t="n"/>
      <c r="D613" s="55" t="n"/>
      <c r="E613">
        <f>IF(OR(A613="",B613=""),"",B613-A613)</f>
        <v/>
      </c>
      <c r="F613" s="55" t="n"/>
    </row>
    <row r="614">
      <c r="A614" s="54" t="n"/>
      <c r="B614" s="54" t="n"/>
      <c r="C614" s="55" t="n"/>
      <c r="D614" s="55" t="n"/>
      <c r="E614">
        <f>IF(OR(A614="",B614=""),"",B614-A614)</f>
        <v/>
      </c>
      <c r="F614" s="55" t="n"/>
    </row>
    <row r="615">
      <c r="A615" s="54" t="n"/>
      <c r="B615" s="54" t="n"/>
      <c r="C615" s="55" t="n"/>
      <c r="D615" s="55" t="n"/>
      <c r="E615">
        <f>IF(OR(A615="",B615=""),"",B615-A615)</f>
        <v/>
      </c>
      <c r="F615" s="55" t="n"/>
    </row>
    <row r="616">
      <c r="A616" s="54" t="n"/>
      <c r="B616" s="54" t="n"/>
      <c r="C616" s="55" t="n"/>
      <c r="D616" s="55" t="n"/>
      <c r="E616">
        <f>IF(OR(A616="",B616=""),"",B616-A616)</f>
        <v/>
      </c>
      <c r="F616" s="55" t="n"/>
    </row>
    <row r="617">
      <c r="A617" s="54" t="n"/>
      <c r="B617" s="54" t="n"/>
      <c r="C617" s="55" t="n"/>
      <c r="D617" s="55" t="n"/>
      <c r="E617">
        <f>IF(OR(A617="",B617=""),"",B617-A617)</f>
        <v/>
      </c>
      <c r="F617" s="55" t="n"/>
    </row>
    <row r="618">
      <c r="A618" s="54" t="n"/>
      <c r="B618" s="54" t="n"/>
      <c r="C618" s="55" t="n"/>
      <c r="D618" s="55" t="n"/>
      <c r="E618">
        <f>IF(OR(A618="",B618=""),"",B618-A618)</f>
        <v/>
      </c>
      <c r="F618" s="55" t="n"/>
    </row>
    <row r="619">
      <c r="A619" s="54" t="n"/>
      <c r="B619" s="54" t="n"/>
      <c r="C619" s="55" t="n"/>
      <c r="D619" s="55" t="n"/>
      <c r="E619">
        <f>IF(OR(A619="",B619=""),"",B619-A619)</f>
        <v/>
      </c>
      <c r="F619" s="55" t="n"/>
    </row>
    <row r="620">
      <c r="A620" s="54" t="n"/>
      <c r="B620" s="54" t="n"/>
      <c r="C620" s="55" t="n"/>
      <c r="D620" s="55" t="n"/>
      <c r="E620">
        <f>IF(OR(A620="",B620=""),"",B620-A620)</f>
        <v/>
      </c>
      <c r="F620" s="55" t="n"/>
    </row>
    <row r="621">
      <c r="A621" s="54" t="n"/>
      <c r="B621" s="54" t="n"/>
      <c r="C621" s="55" t="n"/>
      <c r="D621" s="55" t="n"/>
      <c r="E621">
        <f>IF(OR(A621="",B621=""),"",B621-A621)</f>
        <v/>
      </c>
      <c r="F621" s="55" t="n"/>
    </row>
    <row r="622">
      <c r="A622" s="54" t="n"/>
      <c r="B622" s="54" t="n"/>
      <c r="C622" s="55" t="n"/>
      <c r="D622" s="55" t="n"/>
      <c r="E622">
        <f>IF(OR(A622="",B622=""),"",B622-A622)</f>
        <v/>
      </c>
      <c r="F622" s="55" t="n"/>
    </row>
    <row r="623">
      <c r="A623" s="54" t="n"/>
      <c r="B623" s="54" t="n"/>
      <c r="C623" s="55" t="n"/>
      <c r="D623" s="55" t="n"/>
      <c r="E623">
        <f>IF(OR(A623="",B623=""),"",B623-A623)</f>
        <v/>
      </c>
      <c r="F623" s="55" t="n"/>
    </row>
    <row r="624">
      <c r="A624" s="54" t="n"/>
      <c r="B624" s="54" t="n"/>
      <c r="C624" s="55" t="n"/>
      <c r="D624" s="55" t="n"/>
      <c r="E624">
        <f>IF(OR(A624="",B624=""),"",B624-A624)</f>
        <v/>
      </c>
      <c r="F624" s="55" t="n"/>
    </row>
    <row r="625">
      <c r="A625" s="54" t="n"/>
      <c r="B625" s="54" t="n"/>
      <c r="C625" s="55" t="n"/>
      <c r="D625" s="55" t="n"/>
      <c r="E625">
        <f>IF(OR(A625="",B625=""),"",B625-A625)</f>
        <v/>
      </c>
      <c r="F625" s="55" t="n"/>
    </row>
    <row r="626">
      <c r="A626" s="54" t="n"/>
      <c r="B626" s="54" t="n"/>
      <c r="C626" s="55" t="n"/>
      <c r="D626" s="55" t="n"/>
      <c r="E626">
        <f>IF(OR(A626="",B626=""),"",B626-A626)</f>
        <v/>
      </c>
      <c r="F626" s="55" t="n"/>
    </row>
    <row r="627">
      <c r="A627" s="54" t="n"/>
      <c r="B627" s="54" t="n"/>
      <c r="C627" s="55" t="n"/>
      <c r="D627" s="55" t="n"/>
      <c r="E627">
        <f>IF(OR(A627="",B627=""),"",B627-A627)</f>
        <v/>
      </c>
      <c r="F627" s="55" t="n"/>
    </row>
    <row r="628">
      <c r="A628" s="54" t="n"/>
      <c r="B628" s="54" t="n"/>
      <c r="C628" s="55" t="n"/>
      <c r="D628" s="55" t="n"/>
      <c r="E628">
        <f>IF(OR(A628="",B628=""),"",B628-A628)</f>
        <v/>
      </c>
      <c r="F628" s="55" t="n"/>
    </row>
    <row r="629">
      <c r="A629" s="54" t="n"/>
      <c r="B629" s="54" t="n"/>
      <c r="C629" s="55" t="n"/>
      <c r="D629" s="55" t="n"/>
      <c r="E629">
        <f>IF(OR(A629="",B629=""),"",B629-A629)</f>
        <v/>
      </c>
      <c r="F629" s="55" t="n"/>
    </row>
    <row r="630">
      <c r="A630" s="54" t="n"/>
      <c r="B630" s="54" t="n"/>
      <c r="C630" s="55" t="n"/>
      <c r="D630" s="55" t="n"/>
      <c r="E630">
        <f>IF(OR(A630="",B630=""),"",B630-A630)</f>
        <v/>
      </c>
      <c r="F630" s="55" t="n"/>
    </row>
    <row r="631">
      <c r="A631" s="54" t="n"/>
      <c r="B631" s="54" t="n"/>
      <c r="C631" s="55" t="n"/>
      <c r="D631" s="55" t="n"/>
      <c r="E631">
        <f>IF(OR(A631="",B631=""),"",B631-A631)</f>
        <v/>
      </c>
      <c r="F631" s="55" t="n"/>
    </row>
    <row r="632">
      <c r="A632" s="54" t="n"/>
      <c r="B632" s="54" t="n"/>
      <c r="C632" s="55" t="n"/>
      <c r="D632" s="55" t="n"/>
      <c r="E632">
        <f>IF(OR(A632="",B632=""),"",B632-A632)</f>
        <v/>
      </c>
      <c r="F632" s="55" t="n"/>
    </row>
    <row r="633">
      <c r="A633" s="54" t="n"/>
      <c r="B633" s="54" t="n"/>
      <c r="C633" s="55" t="n"/>
      <c r="D633" s="55" t="n"/>
      <c r="E633">
        <f>IF(OR(A633="",B633=""),"",B633-A633)</f>
        <v/>
      </c>
      <c r="F633" s="55" t="n"/>
    </row>
    <row r="634">
      <c r="A634" s="54" t="n"/>
      <c r="B634" s="54" t="n"/>
      <c r="C634" s="55" t="n"/>
      <c r="D634" s="55" t="n"/>
      <c r="E634">
        <f>IF(OR(A634="",B634=""),"",B634-A634)</f>
        <v/>
      </c>
      <c r="F634" s="55" t="n"/>
    </row>
    <row r="635">
      <c r="A635" s="54" t="n"/>
      <c r="B635" s="54" t="n"/>
      <c r="C635" s="55" t="n"/>
      <c r="D635" s="55" t="n"/>
      <c r="E635">
        <f>IF(OR(A635="",B635=""),"",B635-A635)</f>
        <v/>
      </c>
      <c r="F635" s="55" t="n"/>
    </row>
    <row r="636">
      <c r="A636" s="54" t="n"/>
      <c r="B636" s="54" t="n"/>
      <c r="C636" s="55" t="n"/>
      <c r="D636" s="55" t="n"/>
      <c r="E636">
        <f>IF(OR(A636="",B636=""),"",B636-A636)</f>
        <v/>
      </c>
      <c r="F636" s="55" t="n"/>
    </row>
    <row r="637">
      <c r="A637" s="54" t="n"/>
      <c r="B637" s="54" t="n"/>
      <c r="C637" s="55" t="n"/>
      <c r="D637" s="55" t="n"/>
      <c r="E637">
        <f>IF(OR(A637="",B637=""),"",B637-A637)</f>
        <v/>
      </c>
      <c r="F637" s="55" t="n"/>
    </row>
    <row r="638">
      <c r="A638" s="54" t="n"/>
      <c r="B638" s="54" t="n"/>
      <c r="C638" s="55" t="n"/>
      <c r="D638" s="55" t="n"/>
      <c r="E638">
        <f>IF(OR(A638="",B638=""),"",B638-A638)</f>
        <v/>
      </c>
      <c r="F638" s="55" t="n"/>
    </row>
    <row r="639">
      <c r="A639" s="54" t="n"/>
      <c r="B639" s="54" t="n"/>
      <c r="C639" s="55" t="n"/>
      <c r="D639" s="55" t="n"/>
      <c r="E639">
        <f>IF(OR(A639="",B639=""),"",B639-A639)</f>
        <v/>
      </c>
      <c r="F639" s="55" t="n"/>
    </row>
    <row r="640">
      <c r="A640" s="54" t="n"/>
      <c r="B640" s="54" t="n"/>
      <c r="C640" s="55" t="n"/>
      <c r="D640" s="55" t="n"/>
      <c r="E640">
        <f>IF(OR(A640="",B640=""),"",B640-A640)</f>
        <v/>
      </c>
      <c r="F640" s="55" t="n"/>
    </row>
    <row r="641">
      <c r="A641" s="54" t="n"/>
      <c r="B641" s="54" t="n"/>
      <c r="C641" s="55" t="n"/>
      <c r="D641" s="55" t="n"/>
      <c r="E641">
        <f>IF(OR(A641="",B641=""),"",B641-A641)</f>
        <v/>
      </c>
      <c r="F641" s="55" t="n"/>
    </row>
    <row r="642">
      <c r="A642" s="54" t="n"/>
      <c r="B642" s="54" t="n"/>
      <c r="C642" s="55" t="n"/>
      <c r="D642" s="55" t="n"/>
      <c r="E642">
        <f>IF(OR(A642="",B642=""),"",B642-A642)</f>
        <v/>
      </c>
      <c r="F642" s="55" t="n"/>
    </row>
    <row r="643">
      <c r="A643" s="54" t="n"/>
      <c r="B643" s="54" t="n"/>
      <c r="C643" s="55" t="n"/>
      <c r="D643" s="55" t="n"/>
      <c r="E643">
        <f>IF(OR(A643="",B643=""),"",B643-A643)</f>
        <v/>
      </c>
      <c r="F643" s="55" t="n"/>
    </row>
    <row r="644">
      <c r="A644" s="54" t="n"/>
      <c r="B644" s="54" t="n"/>
      <c r="C644" s="55" t="n"/>
      <c r="D644" s="55" t="n"/>
      <c r="E644">
        <f>IF(OR(A644="",B644=""),"",B644-A644)</f>
        <v/>
      </c>
      <c r="F644" s="55" t="n"/>
    </row>
    <row r="645">
      <c r="A645" s="54" t="n"/>
      <c r="B645" s="54" t="n"/>
      <c r="C645" s="55" t="n"/>
      <c r="D645" s="55" t="n"/>
      <c r="E645">
        <f>IF(OR(A645="",B645=""),"",B645-A645)</f>
        <v/>
      </c>
      <c r="F645" s="55" t="n"/>
    </row>
    <row r="646">
      <c r="A646" s="54" t="n"/>
      <c r="B646" s="54" t="n"/>
      <c r="C646" s="55" t="n"/>
      <c r="D646" s="55" t="n"/>
      <c r="E646">
        <f>IF(OR(A646="",B646=""),"",B646-A646)</f>
        <v/>
      </c>
      <c r="F646" s="55" t="n"/>
    </row>
    <row r="647">
      <c r="A647" s="54" t="n"/>
      <c r="B647" s="54" t="n"/>
      <c r="C647" s="55" t="n"/>
      <c r="D647" s="55" t="n"/>
      <c r="E647">
        <f>IF(OR(A647="",B647=""),"",B647-A647)</f>
        <v/>
      </c>
      <c r="F647" s="55" t="n"/>
    </row>
    <row r="648">
      <c r="A648" s="54" t="n"/>
      <c r="B648" s="54" t="n"/>
      <c r="C648" s="55" t="n"/>
      <c r="D648" s="55" t="n"/>
      <c r="E648">
        <f>IF(OR(A648="",B648=""),"",B648-A648)</f>
        <v/>
      </c>
      <c r="F648" s="55" t="n"/>
    </row>
    <row r="649">
      <c r="A649" s="54" t="n"/>
      <c r="B649" s="54" t="n"/>
      <c r="C649" s="55" t="n"/>
      <c r="D649" s="55" t="n"/>
      <c r="E649">
        <f>IF(OR(A649="",B649=""),"",B649-A649)</f>
        <v/>
      </c>
      <c r="F649" s="55" t="n"/>
    </row>
    <row r="650">
      <c r="A650" s="54" t="n"/>
      <c r="B650" s="54" t="n"/>
      <c r="C650" s="55" t="n"/>
      <c r="D650" s="55" t="n"/>
      <c r="E650">
        <f>IF(OR(A650="",B650=""),"",B650-A650)</f>
        <v/>
      </c>
      <c r="F650" s="55" t="n"/>
    </row>
    <row r="651">
      <c r="A651" s="54" t="n"/>
      <c r="B651" s="54" t="n"/>
      <c r="C651" s="55" t="n"/>
      <c r="D651" s="55" t="n"/>
      <c r="E651">
        <f>IF(OR(A651="",B651=""),"",B651-A651)</f>
        <v/>
      </c>
      <c r="F651" s="55" t="n"/>
    </row>
    <row r="652">
      <c r="A652" s="54" t="n"/>
      <c r="B652" s="54" t="n"/>
      <c r="C652" s="55" t="n"/>
      <c r="D652" s="55" t="n"/>
      <c r="E652">
        <f>IF(OR(A652="",B652=""),"",B652-A652)</f>
        <v/>
      </c>
      <c r="F652" s="55" t="n"/>
    </row>
    <row r="653">
      <c r="A653" s="54" t="n"/>
      <c r="B653" s="54" t="n"/>
      <c r="C653" s="55" t="n"/>
      <c r="D653" s="55" t="n"/>
      <c r="E653">
        <f>IF(OR(A653="",B653=""),"",B653-A653)</f>
        <v/>
      </c>
      <c r="F653" s="55" t="n"/>
    </row>
    <row r="654">
      <c r="A654" s="54" t="n"/>
      <c r="B654" s="54" t="n"/>
      <c r="C654" s="55" t="n"/>
      <c r="D654" s="55" t="n"/>
      <c r="E654">
        <f>IF(OR(A654="",B654=""),"",B654-A654)</f>
        <v/>
      </c>
      <c r="F654" s="55" t="n"/>
    </row>
    <row r="655">
      <c r="A655" s="54" t="n"/>
      <c r="B655" s="54" t="n"/>
      <c r="C655" s="55" t="n"/>
      <c r="D655" s="55" t="n"/>
      <c r="E655">
        <f>IF(OR(A655="",B655=""),"",B655-A655)</f>
        <v/>
      </c>
      <c r="F655" s="55" t="n"/>
    </row>
    <row r="656">
      <c r="A656" s="54" t="n"/>
      <c r="B656" s="54" t="n"/>
      <c r="C656" s="55" t="n"/>
      <c r="D656" s="55" t="n"/>
      <c r="E656">
        <f>IF(OR(A656="",B656=""),"",B656-A656)</f>
        <v/>
      </c>
      <c r="F656" s="55" t="n"/>
    </row>
    <row r="657">
      <c r="A657" s="54" t="n"/>
      <c r="B657" s="54" t="n"/>
      <c r="C657" s="55" t="n"/>
      <c r="D657" s="55" t="n"/>
      <c r="E657">
        <f>IF(OR(A657="",B657=""),"",B657-A657)</f>
        <v/>
      </c>
      <c r="F657" s="55" t="n"/>
    </row>
    <row r="658">
      <c r="A658" s="54" t="n"/>
      <c r="B658" s="54" t="n"/>
      <c r="C658" s="55" t="n"/>
      <c r="D658" s="55" t="n"/>
      <c r="E658">
        <f>IF(OR(A658="",B658=""),"",B658-A658)</f>
        <v/>
      </c>
      <c r="F658" s="55" t="n"/>
    </row>
    <row r="659">
      <c r="A659" s="54" t="n"/>
      <c r="B659" s="54" t="n"/>
      <c r="C659" s="55" t="n"/>
      <c r="D659" s="55" t="n"/>
      <c r="E659">
        <f>IF(OR(A659="",B659=""),"",B659-A659)</f>
        <v/>
      </c>
      <c r="F659" s="55" t="n"/>
    </row>
    <row r="660">
      <c r="A660" s="54" t="n"/>
      <c r="B660" s="54" t="n"/>
      <c r="C660" s="55" t="n"/>
      <c r="D660" s="55" t="n"/>
      <c r="E660">
        <f>IF(OR(A660="",B660=""),"",B660-A660)</f>
        <v/>
      </c>
      <c r="F660" s="55" t="n"/>
    </row>
    <row r="661">
      <c r="A661" s="54" t="n"/>
      <c r="B661" s="54" t="n"/>
      <c r="C661" s="55" t="n"/>
      <c r="D661" s="55" t="n"/>
      <c r="E661">
        <f>IF(OR(A661="",B661=""),"",B661-A661)</f>
        <v/>
      </c>
      <c r="F661" s="55" t="n"/>
    </row>
    <row r="662">
      <c r="A662" s="54" t="n"/>
      <c r="B662" s="54" t="n"/>
      <c r="C662" s="55" t="n"/>
      <c r="D662" s="55" t="n"/>
      <c r="E662">
        <f>IF(OR(A662="",B662=""),"",B662-A662)</f>
        <v/>
      </c>
      <c r="F662" s="55" t="n"/>
    </row>
    <row r="663">
      <c r="A663" s="54" t="n"/>
      <c r="B663" s="54" t="n"/>
      <c r="C663" s="55" t="n"/>
      <c r="D663" s="55" t="n"/>
      <c r="E663">
        <f>IF(OR(A663="",B663=""),"",B663-A663)</f>
        <v/>
      </c>
      <c r="F663" s="55" t="n"/>
    </row>
    <row r="664">
      <c r="A664" s="54" t="n"/>
      <c r="B664" s="54" t="n"/>
      <c r="C664" s="55" t="n"/>
      <c r="D664" s="55" t="n"/>
      <c r="E664">
        <f>IF(OR(A664="",B664=""),"",B664-A664)</f>
        <v/>
      </c>
      <c r="F664" s="55" t="n"/>
    </row>
    <row r="665">
      <c r="A665" s="54" t="n"/>
      <c r="B665" s="54" t="n"/>
      <c r="C665" s="55" t="n"/>
      <c r="D665" s="55" t="n"/>
      <c r="E665">
        <f>IF(OR(A665="",B665=""),"",B665-A665)</f>
        <v/>
      </c>
      <c r="F665" s="55" t="n"/>
    </row>
    <row r="666">
      <c r="A666" s="54" t="n"/>
      <c r="B666" s="54" t="n"/>
      <c r="C666" s="55" t="n"/>
      <c r="D666" s="55" t="n"/>
      <c r="E666">
        <f>IF(OR(A666="",B666=""),"",B666-A666)</f>
        <v/>
      </c>
      <c r="F666" s="55" t="n"/>
    </row>
    <row r="667">
      <c r="A667" s="54" t="n"/>
      <c r="B667" s="54" t="n"/>
      <c r="C667" s="55" t="n"/>
      <c r="D667" s="55" t="n"/>
      <c r="E667">
        <f>IF(OR(A667="",B667=""),"",B667-A667)</f>
        <v/>
      </c>
      <c r="F667" s="55" t="n"/>
    </row>
    <row r="668">
      <c r="A668" s="54" t="n"/>
      <c r="B668" s="54" t="n"/>
      <c r="C668" s="55" t="n"/>
      <c r="D668" s="55" t="n"/>
      <c r="E668">
        <f>IF(OR(A668="",B668=""),"",B668-A668)</f>
        <v/>
      </c>
      <c r="F668" s="55" t="n"/>
    </row>
    <row r="669">
      <c r="A669" s="54" t="n"/>
      <c r="B669" s="54" t="n"/>
      <c r="C669" s="55" t="n"/>
      <c r="D669" s="55" t="n"/>
      <c r="E669">
        <f>IF(OR(A669="",B669=""),"",B669-A669)</f>
        <v/>
      </c>
      <c r="F669" s="55" t="n"/>
    </row>
    <row r="670">
      <c r="A670" s="54" t="n"/>
      <c r="B670" s="54" t="n"/>
      <c r="C670" s="55" t="n"/>
      <c r="D670" s="55" t="n"/>
      <c r="E670">
        <f>IF(OR(A670="",B670=""),"",B670-A670)</f>
        <v/>
      </c>
      <c r="F670" s="55" t="n"/>
    </row>
    <row r="671">
      <c r="A671" s="54" t="n"/>
      <c r="B671" s="54" t="n"/>
      <c r="C671" s="55" t="n"/>
      <c r="D671" s="55" t="n"/>
      <c r="E671">
        <f>IF(OR(A671="",B671=""),"",B671-A671)</f>
        <v/>
      </c>
      <c r="F671" s="55" t="n"/>
    </row>
    <row r="672">
      <c r="A672" s="54" t="n"/>
      <c r="B672" s="54" t="n"/>
      <c r="C672" s="55" t="n"/>
      <c r="D672" s="55" t="n"/>
      <c r="E672">
        <f>IF(OR(A672="",B672=""),"",B672-A672)</f>
        <v/>
      </c>
      <c r="F672" s="55" t="n"/>
    </row>
    <row r="673">
      <c r="A673" s="54" t="n"/>
      <c r="B673" s="54" t="n"/>
      <c r="C673" s="55" t="n"/>
      <c r="D673" s="55" t="n"/>
      <c r="E673">
        <f>IF(OR(A673="",B673=""),"",B673-A673)</f>
        <v/>
      </c>
      <c r="F673" s="55" t="n"/>
    </row>
    <row r="674">
      <c r="A674" s="54" t="n"/>
      <c r="B674" s="54" t="n"/>
      <c r="C674" s="55" t="n"/>
      <c r="D674" s="55" t="n"/>
      <c r="E674">
        <f>IF(OR(A674="",B674=""),"",B674-A674)</f>
        <v/>
      </c>
      <c r="F674" s="55" t="n"/>
    </row>
    <row r="675">
      <c r="A675" s="54" t="n"/>
      <c r="B675" s="54" t="n"/>
      <c r="C675" s="55" t="n"/>
      <c r="D675" s="55" t="n"/>
      <c r="E675">
        <f>IF(OR(A675="",B675=""),"",B675-A675)</f>
        <v/>
      </c>
      <c r="F675" s="55" t="n"/>
    </row>
    <row r="676">
      <c r="A676" s="54" t="n"/>
      <c r="B676" s="54" t="n"/>
      <c r="C676" s="55" t="n"/>
      <c r="D676" s="55" t="n"/>
      <c r="E676">
        <f>IF(OR(A676="",B676=""),"",B676-A676)</f>
        <v/>
      </c>
      <c r="F676" s="55" t="n"/>
    </row>
    <row r="677">
      <c r="A677" s="54" t="n"/>
      <c r="B677" s="54" t="n"/>
      <c r="C677" s="55" t="n"/>
      <c r="D677" s="55" t="n"/>
      <c r="E677">
        <f>IF(OR(A677="",B677=""),"",B677-A677)</f>
        <v/>
      </c>
      <c r="F677" s="55" t="n"/>
    </row>
    <row r="678">
      <c r="A678" s="54" t="n"/>
      <c r="B678" s="54" t="n"/>
      <c r="C678" s="55" t="n"/>
      <c r="D678" s="55" t="n"/>
      <c r="E678">
        <f>IF(OR(A678="",B678=""),"",B678-A678)</f>
        <v/>
      </c>
      <c r="F678" s="55" t="n"/>
    </row>
    <row r="679">
      <c r="A679" s="54" t="n"/>
      <c r="B679" s="54" t="n"/>
      <c r="C679" s="55" t="n"/>
      <c r="D679" s="55" t="n"/>
      <c r="E679">
        <f>IF(OR(A679="",B679=""),"",B679-A679)</f>
        <v/>
      </c>
      <c r="F679" s="55" t="n"/>
    </row>
    <row r="680">
      <c r="A680" s="54" t="n"/>
      <c r="B680" s="54" t="n"/>
      <c r="C680" s="55" t="n"/>
      <c r="D680" s="55" t="n"/>
      <c r="E680">
        <f>IF(OR(A680="",B680=""),"",B680-A680)</f>
        <v/>
      </c>
      <c r="F680" s="55" t="n"/>
    </row>
    <row r="681">
      <c r="A681" s="54" t="n"/>
      <c r="B681" s="54" t="n"/>
      <c r="C681" s="55" t="n"/>
      <c r="D681" s="55" t="n"/>
      <c r="E681">
        <f>IF(OR(A681="",B681=""),"",B681-A681)</f>
        <v/>
      </c>
      <c r="F681" s="55" t="n"/>
    </row>
    <row r="682">
      <c r="A682" s="54" t="n"/>
      <c r="B682" s="54" t="n"/>
      <c r="C682" s="55" t="n"/>
      <c r="D682" s="55" t="n"/>
      <c r="E682">
        <f>IF(OR(A682="",B682=""),"",B682-A682)</f>
        <v/>
      </c>
      <c r="F682" s="55" t="n"/>
    </row>
    <row r="683">
      <c r="A683" s="54" t="n"/>
      <c r="B683" s="54" t="n"/>
      <c r="C683" s="55" t="n"/>
      <c r="D683" s="55" t="n"/>
      <c r="E683">
        <f>IF(OR(A683="",B683=""),"",B683-A683)</f>
        <v/>
      </c>
      <c r="F683" s="55" t="n"/>
    </row>
    <row r="684">
      <c r="A684" s="54" t="n"/>
      <c r="B684" s="54" t="n"/>
      <c r="C684" s="55" t="n"/>
      <c r="D684" s="55" t="n"/>
      <c r="E684">
        <f>IF(OR(A684="",B684=""),"",B684-A684)</f>
        <v/>
      </c>
      <c r="F684" s="55" t="n"/>
    </row>
    <row r="685">
      <c r="A685" s="54" t="n"/>
      <c r="B685" s="54" t="n"/>
      <c r="C685" s="55" t="n"/>
      <c r="D685" s="55" t="n"/>
      <c r="E685">
        <f>IF(OR(A685="",B685=""),"",B685-A685)</f>
        <v/>
      </c>
      <c r="F685" s="55" t="n"/>
    </row>
    <row r="686">
      <c r="A686" s="54" t="n"/>
      <c r="B686" s="54" t="n"/>
      <c r="C686" s="55" t="n"/>
      <c r="D686" s="55" t="n"/>
      <c r="E686">
        <f>IF(OR(A686="",B686=""),"",B686-A686)</f>
        <v/>
      </c>
      <c r="F686" s="55" t="n"/>
    </row>
    <row r="687">
      <c r="A687" s="54" t="n"/>
      <c r="B687" s="54" t="n"/>
      <c r="C687" s="55" t="n"/>
      <c r="D687" s="55" t="n"/>
      <c r="E687">
        <f>IF(OR(A687="",B687=""),"",B687-A687)</f>
        <v/>
      </c>
      <c r="F687" s="55" t="n"/>
    </row>
    <row r="688">
      <c r="A688" s="54" t="n"/>
      <c r="B688" s="54" t="n"/>
      <c r="C688" s="55" t="n"/>
      <c r="D688" s="55" t="n"/>
      <c r="E688">
        <f>IF(OR(A688="",B688=""),"",B688-A688)</f>
        <v/>
      </c>
      <c r="F688" s="55" t="n"/>
    </row>
    <row r="689">
      <c r="A689" s="54" t="n"/>
      <c r="B689" s="54" t="n"/>
      <c r="C689" s="55" t="n"/>
      <c r="D689" s="55" t="n"/>
      <c r="E689">
        <f>IF(OR(A689="",B689=""),"",B689-A689)</f>
        <v/>
      </c>
      <c r="F689" s="55" t="n"/>
    </row>
    <row r="690">
      <c r="A690" s="54" t="n"/>
      <c r="B690" s="54" t="n"/>
      <c r="C690" s="55" t="n"/>
      <c r="D690" s="55" t="n"/>
      <c r="E690">
        <f>IF(OR(A690="",B690=""),"",B690-A690)</f>
        <v/>
      </c>
      <c r="F690" s="55" t="n"/>
    </row>
    <row r="691">
      <c r="A691" s="54" t="n"/>
      <c r="B691" s="54" t="n"/>
      <c r="C691" s="55" t="n"/>
      <c r="D691" s="55" t="n"/>
      <c r="E691">
        <f>IF(OR(A691="",B691=""),"",B691-A691)</f>
        <v/>
      </c>
      <c r="F691" s="55" t="n"/>
    </row>
    <row r="692">
      <c r="A692" s="54" t="n"/>
      <c r="B692" s="54" t="n"/>
      <c r="C692" s="55" t="n"/>
      <c r="D692" s="55" t="n"/>
      <c r="E692">
        <f>IF(OR(A692="",B692=""),"",B692-A692)</f>
        <v/>
      </c>
      <c r="F692" s="55" t="n"/>
    </row>
    <row r="693">
      <c r="A693" s="54" t="n"/>
      <c r="B693" s="54" t="n"/>
      <c r="C693" s="55" t="n"/>
      <c r="D693" s="55" t="n"/>
      <c r="E693">
        <f>IF(OR(A693="",B693=""),"",B693-A693)</f>
        <v/>
      </c>
      <c r="F693" s="55" t="n"/>
    </row>
    <row r="694">
      <c r="A694" s="54" t="n"/>
      <c r="B694" s="54" t="n"/>
      <c r="C694" s="55" t="n"/>
      <c r="D694" s="55" t="n"/>
      <c r="E694">
        <f>IF(OR(A694="",B694=""),"",B694-A694)</f>
        <v/>
      </c>
      <c r="F694" s="55" t="n"/>
    </row>
    <row r="695">
      <c r="A695" s="54" t="n"/>
      <c r="B695" s="54" t="n"/>
      <c r="C695" s="55" t="n"/>
      <c r="D695" s="55" t="n"/>
      <c r="E695">
        <f>IF(OR(A695="",B695=""),"",B695-A695)</f>
        <v/>
      </c>
      <c r="F695" s="55" t="n"/>
    </row>
    <row r="696">
      <c r="A696" s="54" t="n"/>
      <c r="B696" s="54" t="n"/>
      <c r="C696" s="55" t="n"/>
      <c r="D696" s="55" t="n"/>
      <c r="E696">
        <f>IF(OR(A696="",B696=""),"",B696-A696)</f>
        <v/>
      </c>
      <c r="F696" s="55" t="n"/>
    </row>
    <row r="697">
      <c r="A697" s="54" t="n"/>
      <c r="B697" s="54" t="n"/>
      <c r="C697" s="55" t="n"/>
      <c r="D697" s="55" t="n"/>
      <c r="E697">
        <f>IF(OR(A697="",B697=""),"",B697-A697)</f>
        <v/>
      </c>
      <c r="F697" s="55" t="n"/>
    </row>
    <row r="698">
      <c r="A698" s="54" t="n"/>
      <c r="B698" s="54" t="n"/>
      <c r="C698" s="55" t="n"/>
      <c r="D698" s="55" t="n"/>
      <c r="E698">
        <f>IF(OR(A698="",B698=""),"",B698-A698)</f>
        <v/>
      </c>
      <c r="F698" s="55" t="n"/>
    </row>
    <row r="699">
      <c r="A699" s="54" t="n"/>
      <c r="B699" s="54" t="n"/>
      <c r="C699" s="55" t="n"/>
      <c r="D699" s="55" t="n"/>
      <c r="E699">
        <f>IF(OR(A699="",B699=""),"",B699-A699)</f>
        <v/>
      </c>
      <c r="F699" s="55" t="n"/>
    </row>
    <row r="700">
      <c r="A700" s="54" t="n"/>
      <c r="B700" s="54" t="n"/>
      <c r="C700" s="55" t="n"/>
      <c r="D700" s="55" t="n"/>
      <c r="E700">
        <f>IF(OR(A700="",B700=""),"",B700-A700)</f>
        <v/>
      </c>
      <c r="F700" s="55" t="n"/>
    </row>
    <row r="701">
      <c r="A701" s="54" t="n"/>
      <c r="B701" s="54" t="n"/>
      <c r="C701" s="55" t="n"/>
      <c r="D701" s="55" t="n"/>
      <c r="E701">
        <f>IF(OR(A701="",B701=""),"",B701-A701)</f>
        <v/>
      </c>
      <c r="F701" s="55" t="n"/>
    </row>
    <row r="702">
      <c r="A702" s="54" t="n"/>
      <c r="B702" s="54" t="n"/>
      <c r="C702" s="55" t="n"/>
      <c r="D702" s="55" t="n"/>
      <c r="E702">
        <f>IF(OR(A702="",B702=""),"",B702-A702)</f>
        <v/>
      </c>
      <c r="F702" s="55" t="n"/>
    </row>
    <row r="703">
      <c r="A703" s="54" t="n"/>
      <c r="B703" s="54" t="n"/>
      <c r="C703" s="55" t="n"/>
      <c r="D703" s="55" t="n"/>
      <c r="E703">
        <f>IF(OR(A703="",B703=""),"",B703-A703)</f>
        <v/>
      </c>
      <c r="F703" s="55" t="n"/>
    </row>
    <row r="704">
      <c r="A704" s="54" t="n"/>
      <c r="B704" s="54" t="n"/>
      <c r="C704" s="55" t="n"/>
      <c r="D704" s="55" t="n"/>
      <c r="E704">
        <f>IF(OR(A704="",B704=""),"",B704-A704)</f>
        <v/>
      </c>
      <c r="F704" s="55" t="n"/>
    </row>
    <row r="705">
      <c r="A705" s="54" t="n"/>
      <c r="B705" s="54" t="n"/>
      <c r="C705" s="55" t="n"/>
      <c r="D705" s="55" t="n"/>
      <c r="E705">
        <f>IF(OR(A705="",B705=""),"",B705-A705)</f>
        <v/>
      </c>
      <c r="F705" s="55" t="n"/>
    </row>
    <row r="706">
      <c r="A706" s="54" t="n"/>
      <c r="B706" s="54" t="n"/>
      <c r="C706" s="55" t="n"/>
      <c r="D706" s="55" t="n"/>
      <c r="E706">
        <f>IF(OR(A706="",B706=""),"",B706-A706)</f>
        <v/>
      </c>
      <c r="F706" s="55" t="n"/>
    </row>
    <row r="707">
      <c r="A707" s="54" t="n"/>
      <c r="B707" s="54" t="n"/>
      <c r="C707" s="55" t="n"/>
      <c r="D707" s="55" t="n"/>
      <c r="E707">
        <f>IF(OR(A707="",B707=""),"",B707-A707)</f>
        <v/>
      </c>
      <c r="F707" s="55" t="n"/>
    </row>
    <row r="708">
      <c r="A708" s="54" t="n"/>
      <c r="B708" s="54" t="n"/>
      <c r="C708" s="55" t="n"/>
      <c r="D708" s="55" t="n"/>
      <c r="E708">
        <f>IF(OR(A708="",B708=""),"",B708-A708)</f>
        <v/>
      </c>
      <c r="F708" s="55" t="n"/>
    </row>
    <row r="709">
      <c r="A709" s="54" t="n"/>
      <c r="B709" s="54" t="n"/>
      <c r="C709" s="55" t="n"/>
      <c r="D709" s="55" t="n"/>
      <c r="E709">
        <f>IF(OR(A709="",B709=""),"",B709-A709)</f>
        <v/>
      </c>
      <c r="F709" s="55" t="n"/>
    </row>
    <row r="710">
      <c r="A710" s="54" t="n"/>
      <c r="B710" s="54" t="n"/>
      <c r="C710" s="55" t="n"/>
      <c r="D710" s="55" t="n"/>
      <c r="E710">
        <f>IF(OR(A710="",B710=""),"",B710-A710)</f>
        <v/>
      </c>
      <c r="F710" s="55" t="n"/>
    </row>
    <row r="711">
      <c r="A711" s="54" t="n"/>
      <c r="B711" s="54" t="n"/>
      <c r="C711" s="55" t="n"/>
      <c r="D711" s="55" t="n"/>
      <c r="E711">
        <f>IF(OR(A711="",B711=""),"",B711-A711)</f>
        <v/>
      </c>
      <c r="F711" s="55" t="n"/>
    </row>
    <row r="712">
      <c r="A712" s="54" t="n"/>
      <c r="B712" s="54" t="n"/>
      <c r="C712" s="55" t="n"/>
      <c r="D712" s="55" t="n"/>
      <c r="E712">
        <f>IF(OR(A712="",B712=""),"",B712-A712)</f>
        <v/>
      </c>
      <c r="F712" s="55" t="n"/>
    </row>
    <row r="713">
      <c r="A713" s="54" t="n"/>
      <c r="B713" s="54" t="n"/>
      <c r="C713" s="55" t="n"/>
      <c r="D713" s="55" t="n"/>
      <c r="E713">
        <f>IF(OR(A713="",B713=""),"",B713-A713)</f>
        <v/>
      </c>
      <c r="F713" s="55" t="n"/>
    </row>
    <row r="714">
      <c r="A714" s="54" t="n"/>
      <c r="B714" s="54" t="n"/>
      <c r="C714" s="55" t="n"/>
      <c r="D714" s="55" t="n"/>
      <c r="E714">
        <f>IF(OR(A714="",B714=""),"",B714-A714)</f>
        <v/>
      </c>
      <c r="F714" s="55" t="n"/>
    </row>
    <row r="715">
      <c r="A715" s="54" t="n"/>
      <c r="B715" s="54" t="n"/>
      <c r="C715" s="55" t="n"/>
      <c r="D715" s="55" t="n"/>
      <c r="E715">
        <f>IF(OR(A715="",B715=""),"",B715-A715)</f>
        <v/>
      </c>
      <c r="F715" s="55" t="n"/>
    </row>
    <row r="716">
      <c r="A716" s="54" t="n"/>
      <c r="B716" s="54" t="n"/>
      <c r="C716" s="55" t="n"/>
      <c r="D716" s="55" t="n"/>
      <c r="E716">
        <f>IF(OR(A716="",B716=""),"",B716-A716)</f>
        <v/>
      </c>
      <c r="F716" s="55" t="n"/>
    </row>
    <row r="717">
      <c r="A717" s="54" t="n"/>
      <c r="B717" s="54" t="n"/>
      <c r="C717" s="55" t="n"/>
      <c r="D717" s="55" t="n"/>
      <c r="E717">
        <f>IF(OR(A717="",B717=""),"",B717-A717)</f>
        <v/>
      </c>
      <c r="F717" s="55" t="n"/>
    </row>
    <row r="718">
      <c r="A718" s="54" t="n"/>
      <c r="B718" s="54" t="n"/>
      <c r="C718" s="55" t="n"/>
      <c r="D718" s="55" t="n"/>
      <c r="E718">
        <f>IF(OR(A718="",B718=""),"",B718-A718)</f>
        <v/>
      </c>
      <c r="F718" s="55" t="n"/>
    </row>
    <row r="719">
      <c r="A719" s="54" t="n"/>
      <c r="B719" s="54" t="n"/>
      <c r="C719" s="55" t="n"/>
      <c r="D719" s="55" t="n"/>
      <c r="E719">
        <f>IF(OR(A719="",B719=""),"",B719-A719)</f>
        <v/>
      </c>
      <c r="F719" s="55" t="n"/>
    </row>
    <row r="720">
      <c r="A720" s="54" t="n"/>
      <c r="B720" s="54" t="n"/>
      <c r="C720" s="55" t="n"/>
      <c r="D720" s="55" t="n"/>
      <c r="E720">
        <f>IF(OR(A720="",B720=""),"",B720-A720)</f>
        <v/>
      </c>
      <c r="F720" s="55" t="n"/>
    </row>
    <row r="721">
      <c r="A721" s="54" t="n"/>
      <c r="B721" s="54" t="n"/>
      <c r="C721" s="55" t="n"/>
      <c r="D721" s="55" t="n"/>
      <c r="E721">
        <f>IF(OR(A721="",B721=""),"",B721-A721)</f>
        <v/>
      </c>
      <c r="F721" s="55" t="n"/>
    </row>
    <row r="722">
      <c r="A722" s="54" t="n"/>
      <c r="B722" s="54" t="n"/>
      <c r="C722" s="55" t="n"/>
      <c r="D722" s="55" t="n"/>
      <c r="E722">
        <f>IF(OR(A722="",B722=""),"",B722-A722)</f>
        <v/>
      </c>
      <c r="F722" s="55" t="n"/>
    </row>
    <row r="723">
      <c r="A723" s="54" t="n"/>
      <c r="B723" s="54" t="n"/>
      <c r="C723" s="55" t="n"/>
      <c r="D723" s="55" t="n"/>
      <c r="E723">
        <f>IF(OR(A723="",B723=""),"",B723-A723)</f>
        <v/>
      </c>
      <c r="F723" s="55" t="n"/>
    </row>
    <row r="724">
      <c r="A724" s="54" t="n"/>
      <c r="B724" s="54" t="n"/>
      <c r="C724" s="55" t="n"/>
      <c r="D724" s="55" t="n"/>
      <c r="E724">
        <f>IF(OR(A724="",B724=""),"",B724-A724)</f>
        <v/>
      </c>
      <c r="F724" s="55" t="n"/>
    </row>
    <row r="725">
      <c r="A725" s="54" t="n"/>
      <c r="B725" s="54" t="n"/>
      <c r="C725" s="55" t="n"/>
      <c r="D725" s="55" t="n"/>
      <c r="E725">
        <f>IF(OR(A725="",B725=""),"",B725-A725)</f>
        <v/>
      </c>
      <c r="F725" s="55" t="n"/>
    </row>
    <row r="726">
      <c r="A726" s="54" t="n"/>
      <c r="B726" s="54" t="n"/>
      <c r="C726" s="55" t="n"/>
      <c r="D726" s="55" t="n"/>
      <c r="E726">
        <f>IF(OR(A726="",B726=""),"",B726-A726)</f>
        <v/>
      </c>
      <c r="F726" s="55" t="n"/>
    </row>
    <row r="727">
      <c r="A727" s="54" t="n"/>
      <c r="B727" s="54" t="n"/>
      <c r="C727" s="55" t="n"/>
      <c r="D727" s="55" t="n"/>
      <c r="E727">
        <f>IF(OR(A727="",B727=""),"",B727-A727)</f>
        <v/>
      </c>
      <c r="F727" s="55" t="n"/>
    </row>
    <row r="728">
      <c r="A728" s="54" t="n"/>
      <c r="B728" s="54" t="n"/>
      <c r="C728" s="55" t="n"/>
      <c r="D728" s="55" t="n"/>
      <c r="E728">
        <f>IF(OR(A728="",B728=""),"",B728-A728)</f>
        <v/>
      </c>
      <c r="F728" s="55" t="n"/>
    </row>
    <row r="729">
      <c r="A729" s="54" t="n"/>
      <c r="B729" s="54" t="n"/>
      <c r="C729" s="55" t="n"/>
      <c r="D729" s="55" t="n"/>
      <c r="E729">
        <f>IF(OR(A729="",B729=""),"",B729-A729)</f>
        <v/>
      </c>
      <c r="F729" s="55" t="n"/>
    </row>
    <row r="730">
      <c r="A730" s="54" t="n"/>
      <c r="B730" s="54" t="n"/>
      <c r="C730" s="55" t="n"/>
      <c r="D730" s="55" t="n"/>
      <c r="E730">
        <f>IF(OR(A730="",B730=""),"",B730-A730)</f>
        <v/>
      </c>
      <c r="F730" s="55" t="n"/>
    </row>
    <row r="731">
      <c r="A731" s="54" t="n"/>
      <c r="B731" s="54" t="n"/>
      <c r="C731" s="55" t="n"/>
      <c r="D731" s="55" t="n"/>
      <c r="E731">
        <f>IF(OR(A731="",B731=""),"",B731-A731)</f>
        <v/>
      </c>
      <c r="F731" s="55" t="n"/>
    </row>
    <row r="732">
      <c r="A732" s="54" t="n"/>
      <c r="B732" s="54" t="n"/>
      <c r="C732" s="55" t="n"/>
      <c r="D732" s="55" t="n"/>
      <c r="E732">
        <f>IF(OR(A732="",B732=""),"",B732-A732)</f>
        <v/>
      </c>
      <c r="F732" s="55" t="n"/>
    </row>
    <row r="733">
      <c r="A733" s="54" t="n"/>
      <c r="B733" s="54" t="n"/>
      <c r="C733" s="55" t="n"/>
      <c r="D733" s="55" t="n"/>
      <c r="E733">
        <f>IF(OR(A733="",B733=""),"",B733-A733)</f>
        <v/>
      </c>
      <c r="F733" s="55" t="n"/>
    </row>
    <row r="734">
      <c r="A734" s="54" t="n"/>
      <c r="B734" s="54" t="n"/>
      <c r="C734" s="55" t="n"/>
      <c r="D734" s="55" t="n"/>
      <c r="E734">
        <f>IF(OR(A734="",B734=""),"",B734-A734)</f>
        <v/>
      </c>
      <c r="F734" s="55" t="n"/>
    </row>
    <row r="735">
      <c r="A735" s="54" t="n"/>
      <c r="B735" s="54" t="n"/>
      <c r="C735" s="55" t="n"/>
      <c r="D735" s="55" t="n"/>
      <c r="E735">
        <f>IF(OR(A735="",B735=""),"",B735-A735)</f>
        <v/>
      </c>
      <c r="F735" s="55" t="n"/>
    </row>
    <row r="736">
      <c r="A736" s="54" t="n"/>
      <c r="B736" s="54" t="n"/>
      <c r="C736" s="55" t="n"/>
      <c r="D736" s="55" t="n"/>
      <c r="E736">
        <f>IF(OR(A736="",B736=""),"",B736-A736)</f>
        <v/>
      </c>
      <c r="F736" s="55" t="n"/>
    </row>
    <row r="737">
      <c r="A737" s="54" t="n"/>
      <c r="B737" s="54" t="n"/>
      <c r="C737" s="55" t="n"/>
      <c r="D737" s="55" t="n"/>
      <c r="E737">
        <f>IF(OR(A737="",B737=""),"",B737-A737)</f>
        <v/>
      </c>
      <c r="F737" s="55" t="n"/>
    </row>
    <row r="738">
      <c r="A738" s="54" t="n"/>
      <c r="B738" s="54" t="n"/>
      <c r="C738" s="55" t="n"/>
      <c r="D738" s="55" t="n"/>
      <c r="E738">
        <f>IF(OR(A738="",B738=""),"",B738-A738)</f>
        <v/>
      </c>
      <c r="F738" s="55" t="n"/>
    </row>
    <row r="739">
      <c r="A739" s="54" t="n"/>
      <c r="B739" s="54" t="n"/>
      <c r="C739" s="55" t="n"/>
      <c r="D739" s="55" t="n"/>
      <c r="E739">
        <f>IF(OR(A739="",B739=""),"",B739-A739)</f>
        <v/>
      </c>
      <c r="F739" s="55" t="n"/>
    </row>
    <row r="740">
      <c r="A740" s="54" t="n"/>
      <c r="B740" s="54" t="n"/>
      <c r="C740" s="55" t="n"/>
      <c r="D740" s="55" t="n"/>
      <c r="E740">
        <f>IF(OR(A740="",B740=""),"",B740-A740)</f>
        <v/>
      </c>
      <c r="F740" s="55" t="n"/>
    </row>
    <row r="741">
      <c r="A741" s="54" t="n"/>
      <c r="B741" s="54" t="n"/>
      <c r="C741" s="55" t="n"/>
      <c r="D741" s="55" t="n"/>
      <c r="E741">
        <f>IF(OR(A741="",B741=""),"",B741-A741)</f>
        <v/>
      </c>
      <c r="F741" s="55" t="n"/>
    </row>
    <row r="742">
      <c r="A742" s="54" t="n"/>
      <c r="B742" s="54" t="n"/>
      <c r="C742" s="55" t="n"/>
      <c r="D742" s="55" t="n"/>
      <c r="E742">
        <f>IF(OR(A742="",B742=""),"",B742-A742)</f>
        <v/>
      </c>
      <c r="F742" s="55" t="n"/>
    </row>
    <row r="743">
      <c r="A743" s="54" t="n"/>
      <c r="B743" s="54" t="n"/>
      <c r="C743" s="55" t="n"/>
      <c r="D743" s="55" t="n"/>
      <c r="E743">
        <f>IF(OR(A743="",B743=""),"",B743-A743)</f>
        <v/>
      </c>
      <c r="F743" s="55" t="n"/>
    </row>
    <row r="744">
      <c r="A744" s="54" t="n"/>
      <c r="B744" s="54" t="n"/>
      <c r="C744" s="55" t="n"/>
      <c r="D744" s="55" t="n"/>
      <c r="E744">
        <f>IF(OR(A744="",B744=""),"",B744-A744)</f>
        <v/>
      </c>
      <c r="F744" s="55" t="n"/>
    </row>
    <row r="745">
      <c r="A745" s="54" t="n"/>
      <c r="B745" s="54" t="n"/>
      <c r="C745" s="55" t="n"/>
      <c r="D745" s="55" t="n"/>
      <c r="E745">
        <f>IF(OR(A745="",B745=""),"",B745-A745)</f>
        <v/>
      </c>
      <c r="F745" s="55" t="n"/>
    </row>
    <row r="746">
      <c r="A746" s="54" t="n"/>
      <c r="B746" s="54" t="n"/>
      <c r="C746" s="55" t="n"/>
      <c r="D746" s="55" t="n"/>
      <c r="E746">
        <f>IF(OR(A746="",B746=""),"",B746-A746)</f>
        <v/>
      </c>
      <c r="F746" s="55" t="n"/>
    </row>
    <row r="747">
      <c r="A747" s="54" t="n"/>
      <c r="B747" s="54" t="n"/>
      <c r="C747" s="55" t="n"/>
      <c r="D747" s="55" t="n"/>
      <c r="E747">
        <f>IF(OR(A747="",B747=""),"",B747-A747)</f>
        <v/>
      </c>
      <c r="F747" s="55" t="n"/>
    </row>
    <row r="748">
      <c r="A748" s="54" t="n"/>
      <c r="B748" s="54" t="n"/>
      <c r="C748" s="55" t="n"/>
      <c r="D748" s="55" t="n"/>
      <c r="E748">
        <f>IF(OR(A748="",B748=""),"",B748-A748)</f>
        <v/>
      </c>
      <c r="F748" s="55" t="n"/>
    </row>
    <row r="749">
      <c r="A749" s="54" t="n"/>
      <c r="B749" s="54" t="n"/>
      <c r="C749" s="55" t="n"/>
      <c r="D749" s="55" t="n"/>
      <c r="E749">
        <f>IF(OR(A749="",B749=""),"",B749-A749)</f>
        <v/>
      </c>
      <c r="F749" s="55" t="n"/>
    </row>
    <row r="750">
      <c r="A750" s="54" t="n"/>
      <c r="B750" s="54" t="n"/>
      <c r="C750" s="55" t="n"/>
      <c r="D750" s="55" t="n"/>
      <c r="E750">
        <f>IF(OR(A750="",B750=""),"",B750-A750)</f>
        <v/>
      </c>
      <c r="F750" s="55" t="n"/>
    </row>
    <row r="751">
      <c r="A751" s="54" t="n"/>
      <c r="B751" s="54" t="n"/>
      <c r="C751" s="55" t="n"/>
      <c r="D751" s="55" t="n"/>
      <c r="E751">
        <f>IF(OR(A751="",B751=""),"",B751-A751)</f>
        <v/>
      </c>
      <c r="F751" s="55" t="n"/>
    </row>
    <row r="752">
      <c r="A752" s="54" t="n"/>
      <c r="B752" s="54" t="n"/>
      <c r="C752" s="55" t="n"/>
      <c r="D752" s="55" t="n"/>
      <c r="E752">
        <f>IF(OR(A752="",B752=""),"",B752-A752)</f>
        <v/>
      </c>
      <c r="F752" s="55" t="n"/>
    </row>
    <row r="753">
      <c r="A753" s="54" t="n"/>
      <c r="B753" s="54" t="n"/>
      <c r="C753" s="55" t="n"/>
      <c r="D753" s="55" t="n"/>
      <c r="E753">
        <f>IF(OR(A753="",B753=""),"",B753-A753)</f>
        <v/>
      </c>
      <c r="F753" s="55" t="n"/>
    </row>
    <row r="754">
      <c r="A754" s="54" t="n"/>
      <c r="B754" s="54" t="n"/>
      <c r="C754" s="55" t="n"/>
      <c r="D754" s="55" t="n"/>
      <c r="E754">
        <f>IF(OR(A754="",B754=""),"",B754-A754)</f>
        <v/>
      </c>
      <c r="F754" s="55" t="n"/>
    </row>
    <row r="755">
      <c r="A755" s="54" t="n"/>
      <c r="B755" s="54" t="n"/>
      <c r="C755" s="55" t="n"/>
      <c r="D755" s="55" t="n"/>
      <c r="E755">
        <f>IF(OR(A755="",B755=""),"",B755-A755)</f>
        <v/>
      </c>
      <c r="F755" s="55" t="n"/>
    </row>
    <row r="756">
      <c r="A756" s="54" t="n"/>
      <c r="B756" s="54" t="n"/>
      <c r="C756" s="55" t="n"/>
      <c r="D756" s="55" t="n"/>
      <c r="E756">
        <f>IF(OR(A756="",B756=""),"",B756-A756)</f>
        <v/>
      </c>
      <c r="F756" s="55" t="n"/>
    </row>
    <row r="757">
      <c r="A757" s="54" t="n"/>
      <c r="B757" s="54" t="n"/>
      <c r="C757" s="55" t="n"/>
      <c r="D757" s="55" t="n"/>
      <c r="E757">
        <f>IF(OR(A757="",B757=""),"",B757-A757)</f>
        <v/>
      </c>
      <c r="F757" s="55" t="n"/>
    </row>
    <row r="758">
      <c r="A758" s="54" t="n"/>
      <c r="B758" s="54" t="n"/>
      <c r="C758" s="55" t="n"/>
      <c r="D758" s="55" t="n"/>
      <c r="E758">
        <f>IF(OR(A758="",B758=""),"",B758-A758)</f>
        <v/>
      </c>
      <c r="F758" s="55" t="n"/>
    </row>
    <row r="759">
      <c r="A759" s="54" t="n"/>
      <c r="B759" s="54" t="n"/>
      <c r="C759" s="55" t="n"/>
      <c r="D759" s="55" t="n"/>
      <c r="E759">
        <f>IF(OR(A759="",B759=""),"",B759-A759)</f>
        <v/>
      </c>
      <c r="F759" s="55" t="n"/>
    </row>
    <row r="760">
      <c r="A760" s="54" t="n"/>
      <c r="B760" s="54" t="n"/>
      <c r="C760" s="55" t="n"/>
      <c r="D760" s="55" t="n"/>
      <c r="E760">
        <f>IF(OR(A760="",B760=""),"",B760-A760)</f>
        <v/>
      </c>
      <c r="F760" s="55" t="n"/>
    </row>
    <row r="761">
      <c r="A761" s="54" t="n"/>
      <c r="B761" s="54" t="n"/>
      <c r="C761" s="55" t="n"/>
      <c r="D761" s="55" t="n"/>
      <c r="E761">
        <f>IF(OR(A761="",B761=""),"",B761-A761)</f>
        <v/>
      </c>
      <c r="F761" s="55" t="n"/>
    </row>
    <row r="762">
      <c r="A762" s="54" t="n"/>
      <c r="B762" s="54" t="n"/>
      <c r="C762" s="55" t="n"/>
      <c r="D762" s="55" t="n"/>
      <c r="E762">
        <f>IF(OR(A762="",B762=""),"",B762-A762)</f>
        <v/>
      </c>
      <c r="F762" s="55" t="n"/>
    </row>
    <row r="763">
      <c r="A763" s="54" t="n"/>
      <c r="B763" s="54" t="n"/>
      <c r="C763" s="55" t="n"/>
      <c r="D763" s="55" t="n"/>
      <c r="E763">
        <f>IF(OR(A763="",B763=""),"",B763-A763)</f>
        <v/>
      </c>
      <c r="F763" s="55" t="n"/>
    </row>
    <row r="764">
      <c r="A764" s="54" t="n"/>
      <c r="B764" s="54" t="n"/>
      <c r="C764" s="55" t="n"/>
      <c r="D764" s="55" t="n"/>
      <c r="E764">
        <f>IF(OR(A764="",B764=""),"",B764-A764)</f>
        <v/>
      </c>
      <c r="F764" s="55" t="n"/>
    </row>
    <row r="765">
      <c r="A765" s="54" t="n"/>
      <c r="B765" s="54" t="n"/>
      <c r="C765" s="55" t="n"/>
      <c r="D765" s="55" t="n"/>
      <c r="E765">
        <f>IF(OR(A765="",B765=""),"",B765-A765)</f>
        <v/>
      </c>
      <c r="F765" s="55" t="n"/>
    </row>
    <row r="766">
      <c r="A766" s="54" t="n"/>
      <c r="B766" s="54" t="n"/>
      <c r="C766" s="55" t="n"/>
      <c r="D766" s="55" t="n"/>
      <c r="E766">
        <f>IF(OR(A766="",B766=""),"",B766-A766)</f>
        <v/>
      </c>
      <c r="F766" s="55" t="n"/>
    </row>
    <row r="767">
      <c r="A767" s="54" t="n"/>
      <c r="B767" s="54" t="n"/>
      <c r="C767" s="55" t="n"/>
      <c r="D767" s="55" t="n"/>
      <c r="E767">
        <f>IF(OR(A767="",B767=""),"",B767-A767)</f>
        <v/>
      </c>
      <c r="F767" s="55" t="n"/>
    </row>
    <row r="768">
      <c r="A768" s="54" t="n"/>
      <c r="B768" s="54" t="n"/>
      <c r="C768" s="55" t="n"/>
      <c r="D768" s="55" t="n"/>
      <c r="E768">
        <f>IF(OR(A768="",B768=""),"",B768-A768)</f>
        <v/>
      </c>
      <c r="F768" s="55" t="n"/>
    </row>
    <row r="769">
      <c r="A769" s="54" t="n"/>
      <c r="B769" s="54" t="n"/>
      <c r="C769" s="55" t="n"/>
      <c r="D769" s="55" t="n"/>
      <c r="E769">
        <f>IF(OR(A769="",B769=""),"",B769-A769)</f>
        <v/>
      </c>
      <c r="F769" s="55" t="n"/>
    </row>
    <row r="770">
      <c r="A770" s="54" t="n"/>
      <c r="B770" s="54" t="n"/>
      <c r="C770" s="55" t="n"/>
      <c r="D770" s="55" t="n"/>
      <c r="E770">
        <f>IF(OR(A770="",B770=""),"",B770-A770)</f>
        <v/>
      </c>
      <c r="F770" s="55" t="n"/>
    </row>
    <row r="771">
      <c r="A771" s="54" t="n"/>
      <c r="B771" s="54" t="n"/>
      <c r="C771" s="55" t="n"/>
      <c r="D771" s="55" t="n"/>
      <c r="E771">
        <f>IF(OR(A771="",B771=""),"",B771-A771)</f>
        <v/>
      </c>
      <c r="F771" s="55" t="n"/>
    </row>
    <row r="772">
      <c r="A772" s="54" t="n"/>
      <c r="B772" s="54" t="n"/>
      <c r="C772" s="55" t="n"/>
      <c r="D772" s="55" t="n"/>
      <c r="E772">
        <f>IF(OR(A772="",B772=""),"",B772-A772)</f>
        <v/>
      </c>
      <c r="F772" s="55" t="n"/>
    </row>
    <row r="773">
      <c r="A773" s="54" t="n"/>
      <c r="B773" s="54" t="n"/>
      <c r="C773" s="55" t="n"/>
      <c r="D773" s="55" t="n"/>
      <c r="E773">
        <f>IF(OR(A773="",B773=""),"",B773-A773)</f>
        <v/>
      </c>
      <c r="F773" s="55" t="n"/>
    </row>
    <row r="774">
      <c r="A774" s="54" t="n"/>
      <c r="B774" s="54" t="n"/>
      <c r="C774" s="55" t="n"/>
      <c r="D774" s="55" t="n"/>
      <c r="E774">
        <f>IF(OR(A774="",B774=""),"",B774-A774)</f>
        <v/>
      </c>
      <c r="F774" s="55" t="n"/>
    </row>
    <row r="775">
      <c r="A775" s="54" t="n"/>
      <c r="B775" s="54" t="n"/>
      <c r="C775" s="55" t="n"/>
      <c r="D775" s="55" t="n"/>
      <c r="E775">
        <f>IF(OR(A775="",B775=""),"",B775-A775)</f>
        <v/>
      </c>
      <c r="F775" s="55" t="n"/>
    </row>
    <row r="776">
      <c r="A776" s="54" t="n"/>
      <c r="B776" s="54" t="n"/>
      <c r="C776" s="55" t="n"/>
      <c r="D776" s="55" t="n"/>
      <c r="E776">
        <f>IF(OR(A776="",B776=""),"",B776-A776)</f>
        <v/>
      </c>
      <c r="F776" s="55" t="n"/>
    </row>
    <row r="777">
      <c r="A777" s="54" t="n"/>
      <c r="B777" s="54" t="n"/>
      <c r="C777" s="55" t="n"/>
      <c r="D777" s="55" t="n"/>
      <c r="E777">
        <f>IF(OR(A777="",B777=""),"",B777-A777)</f>
        <v/>
      </c>
      <c r="F777" s="55" t="n"/>
    </row>
    <row r="778">
      <c r="A778" s="54" t="n"/>
      <c r="B778" s="54" t="n"/>
      <c r="C778" s="55" t="n"/>
      <c r="D778" s="55" t="n"/>
      <c r="E778">
        <f>IF(OR(A778="",B778=""),"",B778-A778)</f>
        <v/>
      </c>
      <c r="F778" s="55" t="n"/>
    </row>
    <row r="779">
      <c r="A779" s="54" t="n"/>
      <c r="B779" s="54" t="n"/>
      <c r="C779" s="55" t="n"/>
      <c r="D779" s="55" t="n"/>
      <c r="E779">
        <f>IF(OR(A779="",B779=""),"",B779-A779)</f>
        <v/>
      </c>
      <c r="F779" s="55" t="n"/>
    </row>
    <row r="780">
      <c r="A780" s="54" t="n"/>
      <c r="B780" s="54" t="n"/>
      <c r="C780" s="55" t="n"/>
      <c r="D780" s="55" t="n"/>
      <c r="E780">
        <f>IF(OR(A780="",B780=""),"",B780-A780)</f>
        <v/>
      </c>
      <c r="F780" s="55" t="n"/>
    </row>
    <row r="781">
      <c r="A781" s="54" t="n"/>
      <c r="B781" s="54" t="n"/>
      <c r="C781" s="55" t="n"/>
      <c r="D781" s="55" t="n"/>
      <c r="E781">
        <f>IF(OR(A781="",B781=""),"",B781-A781)</f>
        <v/>
      </c>
      <c r="F781" s="55" t="n"/>
    </row>
    <row r="782">
      <c r="A782" s="54" t="n"/>
      <c r="B782" s="54" t="n"/>
      <c r="C782" s="55" t="n"/>
      <c r="D782" s="55" t="n"/>
      <c r="E782">
        <f>IF(OR(A782="",B782=""),"",B782-A782)</f>
        <v/>
      </c>
      <c r="F782" s="55" t="n"/>
    </row>
    <row r="783">
      <c r="A783" s="54" t="n"/>
      <c r="B783" s="54" t="n"/>
      <c r="C783" s="55" t="n"/>
      <c r="D783" s="55" t="n"/>
      <c r="E783">
        <f>IF(OR(A783="",B783=""),"",B783-A783)</f>
        <v/>
      </c>
      <c r="F783" s="55" t="n"/>
    </row>
    <row r="784">
      <c r="A784" s="54" t="n"/>
      <c r="B784" s="54" t="n"/>
      <c r="C784" s="55" t="n"/>
      <c r="D784" s="55" t="n"/>
      <c r="E784">
        <f>IF(OR(A784="",B784=""),"",B784-A784)</f>
        <v/>
      </c>
      <c r="F784" s="55" t="n"/>
    </row>
    <row r="785">
      <c r="A785" s="54" t="n"/>
      <c r="B785" s="54" t="n"/>
      <c r="C785" s="55" t="n"/>
      <c r="D785" s="55" t="n"/>
      <c r="E785">
        <f>IF(OR(A785="",B785=""),"",B785-A785)</f>
        <v/>
      </c>
      <c r="F785" s="55" t="n"/>
    </row>
    <row r="786">
      <c r="A786" s="54" t="n"/>
      <c r="B786" s="54" t="n"/>
      <c r="C786" s="55" t="n"/>
      <c r="D786" s="55" t="n"/>
      <c r="E786">
        <f>IF(OR(A786="",B786=""),"",B786-A786)</f>
        <v/>
      </c>
      <c r="F786" s="55" t="n"/>
    </row>
    <row r="787">
      <c r="A787" s="54" t="n"/>
      <c r="B787" s="54" t="n"/>
      <c r="C787" s="55" t="n"/>
      <c r="D787" s="55" t="n"/>
      <c r="E787">
        <f>IF(OR(A787="",B787=""),"",B787-A787)</f>
        <v/>
      </c>
      <c r="F787" s="55" t="n"/>
    </row>
    <row r="788">
      <c r="A788" s="54" t="n"/>
      <c r="B788" s="54" t="n"/>
      <c r="C788" s="55" t="n"/>
      <c r="D788" s="55" t="n"/>
      <c r="E788">
        <f>IF(OR(A788="",B788=""),"",B788-A788)</f>
        <v/>
      </c>
      <c r="F788" s="55" t="n"/>
    </row>
    <row r="789">
      <c r="A789" s="54" t="n"/>
      <c r="B789" s="54" t="n"/>
      <c r="C789" s="55" t="n"/>
      <c r="D789" s="55" t="n"/>
      <c r="E789">
        <f>IF(OR(A789="",B789=""),"",B789-A789)</f>
        <v/>
      </c>
      <c r="F789" s="55" t="n"/>
    </row>
    <row r="790">
      <c r="A790" s="54" t="n"/>
      <c r="B790" s="54" t="n"/>
      <c r="C790" s="55" t="n"/>
      <c r="D790" s="55" t="n"/>
      <c r="E790">
        <f>IF(OR(A790="",B790=""),"",B790-A790)</f>
        <v/>
      </c>
      <c r="F790" s="55" t="n"/>
    </row>
    <row r="791">
      <c r="A791" s="54" t="n"/>
      <c r="B791" s="54" t="n"/>
      <c r="C791" s="55" t="n"/>
      <c r="D791" s="55" t="n"/>
      <c r="E791">
        <f>IF(OR(A791="",B791=""),"",B791-A791)</f>
        <v/>
      </c>
      <c r="F791" s="55" t="n"/>
    </row>
    <row r="792">
      <c r="A792" s="54" t="n"/>
      <c r="B792" s="54" t="n"/>
      <c r="C792" s="55" t="n"/>
      <c r="D792" s="55" t="n"/>
      <c r="E792">
        <f>IF(OR(A792="",B792=""),"",B792-A792)</f>
        <v/>
      </c>
      <c r="F792" s="55" t="n"/>
    </row>
    <row r="793">
      <c r="A793" s="54" t="n"/>
      <c r="B793" s="54" t="n"/>
      <c r="C793" s="55" t="n"/>
      <c r="D793" s="55" t="n"/>
      <c r="E793">
        <f>IF(OR(A793="",B793=""),"",B793-A793)</f>
        <v/>
      </c>
      <c r="F793" s="55" t="n"/>
    </row>
    <row r="794">
      <c r="A794" s="54" t="n"/>
      <c r="B794" s="54" t="n"/>
      <c r="C794" s="55" t="n"/>
      <c r="D794" s="55" t="n"/>
      <c r="E794">
        <f>IF(OR(A794="",B794=""),"",B794-A794)</f>
        <v/>
      </c>
      <c r="F794" s="55" t="n"/>
    </row>
    <row r="795">
      <c r="A795" s="54" t="n"/>
      <c r="B795" s="54" t="n"/>
      <c r="C795" s="55" t="n"/>
      <c r="D795" s="55" t="n"/>
      <c r="E795">
        <f>IF(OR(A795="",B795=""),"",B795-A795)</f>
        <v/>
      </c>
      <c r="F795" s="55" t="n"/>
    </row>
    <row r="796">
      <c r="A796" s="54" t="n"/>
      <c r="B796" s="54" t="n"/>
      <c r="C796" s="55" t="n"/>
      <c r="D796" s="55" t="n"/>
      <c r="E796">
        <f>IF(OR(A796="",B796=""),"",B796-A796)</f>
        <v/>
      </c>
      <c r="F796" s="55" t="n"/>
    </row>
    <row r="797">
      <c r="A797" s="54" t="n"/>
      <c r="B797" s="54" t="n"/>
      <c r="C797" s="55" t="n"/>
      <c r="D797" s="55" t="n"/>
      <c r="E797">
        <f>IF(OR(A797="",B797=""),"",B797-A797)</f>
        <v/>
      </c>
      <c r="F797" s="55" t="n"/>
    </row>
    <row r="798">
      <c r="A798" s="54" t="n"/>
      <c r="B798" s="54" t="n"/>
      <c r="C798" s="55" t="n"/>
      <c r="D798" s="55" t="n"/>
      <c r="E798">
        <f>IF(OR(A798="",B798=""),"",B798-A798)</f>
        <v/>
      </c>
      <c r="F798" s="55" t="n"/>
    </row>
    <row r="799">
      <c r="A799" s="54" t="n"/>
      <c r="B799" s="54" t="n"/>
      <c r="C799" s="55" t="n"/>
      <c r="D799" s="55" t="n"/>
      <c r="E799">
        <f>IF(OR(A799="",B799=""),"",B799-A799)</f>
        <v/>
      </c>
      <c r="F799" s="55" t="n"/>
    </row>
    <row r="800">
      <c r="A800" s="54" t="n"/>
      <c r="B800" s="54" t="n"/>
      <c r="C800" s="55" t="n"/>
      <c r="D800" s="55" t="n"/>
      <c r="E800">
        <f>IF(OR(A800="",B800=""),"",B800-A800)</f>
        <v/>
      </c>
      <c r="F800" s="55" t="n"/>
    </row>
    <row r="801">
      <c r="A801" s="54" t="n"/>
      <c r="B801" s="54" t="n"/>
      <c r="C801" s="55" t="n"/>
      <c r="D801" s="55" t="n"/>
      <c r="E801">
        <f>IF(OR(A801="",B801=""),"",B801-A801)</f>
        <v/>
      </c>
      <c r="F801" s="55" t="n"/>
    </row>
    <row r="802">
      <c r="A802" s="54" t="n"/>
      <c r="B802" s="54" t="n"/>
      <c r="C802" s="55" t="n"/>
      <c r="D802" s="55" t="n"/>
      <c r="E802">
        <f>IF(OR(A802="",B802=""),"",B802-A802)</f>
        <v/>
      </c>
      <c r="F802" s="55" t="n"/>
    </row>
    <row r="803">
      <c r="A803" s="54" t="n"/>
      <c r="B803" s="54" t="n"/>
      <c r="C803" s="55" t="n"/>
      <c r="D803" s="55" t="n"/>
      <c r="E803">
        <f>IF(OR(A803="",B803=""),"",B803-A803)</f>
        <v/>
      </c>
      <c r="F803" s="55" t="n"/>
    </row>
    <row r="804">
      <c r="A804" s="54" t="n"/>
      <c r="B804" s="54" t="n"/>
      <c r="C804" s="55" t="n"/>
      <c r="D804" s="55" t="n"/>
      <c r="E804">
        <f>IF(OR(A804="",B804=""),"",B804-A804)</f>
        <v/>
      </c>
      <c r="F804" s="55" t="n"/>
    </row>
    <row r="805">
      <c r="A805" s="54" t="n"/>
      <c r="B805" s="54" t="n"/>
      <c r="C805" s="55" t="n"/>
      <c r="D805" s="55" t="n"/>
      <c r="E805">
        <f>IF(OR(A805="",B805=""),"",B805-A805)</f>
        <v/>
      </c>
      <c r="F805" s="55" t="n"/>
    </row>
    <row r="806">
      <c r="A806" s="54" t="n"/>
      <c r="B806" s="54" t="n"/>
      <c r="C806" s="55" t="n"/>
      <c r="D806" s="55" t="n"/>
      <c r="E806">
        <f>IF(OR(A806="",B806=""),"",B806-A806)</f>
        <v/>
      </c>
      <c r="F806" s="55" t="n"/>
    </row>
    <row r="807">
      <c r="A807" s="54" t="n"/>
      <c r="B807" s="54" t="n"/>
      <c r="C807" s="55" t="n"/>
      <c r="D807" s="55" t="n"/>
      <c r="E807">
        <f>IF(OR(A807="",B807=""),"",B807-A807)</f>
        <v/>
      </c>
      <c r="F807" s="55" t="n"/>
    </row>
    <row r="808">
      <c r="A808" s="54" t="n"/>
      <c r="B808" s="54" t="n"/>
      <c r="C808" s="55" t="n"/>
      <c r="D808" s="55" t="n"/>
      <c r="E808">
        <f>IF(OR(A808="",B808=""),"",B808-A808)</f>
        <v/>
      </c>
      <c r="F808" s="55" t="n"/>
    </row>
    <row r="809">
      <c r="A809" s="54" t="n"/>
      <c r="B809" s="54" t="n"/>
      <c r="C809" s="55" t="n"/>
      <c r="D809" s="55" t="n"/>
      <c r="E809">
        <f>IF(OR(A809="",B809=""),"",B809-A809)</f>
        <v/>
      </c>
      <c r="F809" s="55" t="n"/>
    </row>
    <row r="810">
      <c r="A810" s="54" t="n"/>
      <c r="B810" s="54" t="n"/>
      <c r="C810" s="55" t="n"/>
      <c r="D810" s="55" t="n"/>
      <c r="E810">
        <f>IF(OR(A810="",B810=""),"",B810-A810)</f>
        <v/>
      </c>
      <c r="F810" s="55" t="n"/>
    </row>
    <row r="811">
      <c r="A811" s="54" t="n"/>
      <c r="B811" s="54" t="n"/>
      <c r="C811" s="55" t="n"/>
      <c r="D811" s="55" t="n"/>
      <c r="E811">
        <f>IF(OR(A811="",B811=""),"",B811-A811)</f>
        <v/>
      </c>
      <c r="F811" s="55" t="n"/>
    </row>
    <row r="812">
      <c r="A812" s="54" t="n"/>
      <c r="B812" s="54" t="n"/>
      <c r="C812" s="55" t="n"/>
      <c r="D812" s="55" t="n"/>
      <c r="E812">
        <f>IF(OR(A812="",B812=""),"",B812-A812)</f>
        <v/>
      </c>
      <c r="F812" s="55" t="n"/>
    </row>
    <row r="813">
      <c r="A813" s="54" t="n"/>
      <c r="B813" s="54" t="n"/>
      <c r="C813" s="55" t="n"/>
      <c r="D813" s="55" t="n"/>
      <c r="E813">
        <f>IF(OR(A813="",B813=""),"",B813-A813)</f>
        <v/>
      </c>
      <c r="F813" s="55" t="n"/>
    </row>
    <row r="814">
      <c r="A814" s="54" t="n"/>
      <c r="B814" s="54" t="n"/>
      <c r="C814" s="55" t="n"/>
      <c r="D814" s="55" t="n"/>
      <c r="E814">
        <f>IF(OR(A814="",B814=""),"",B814-A814)</f>
        <v/>
      </c>
      <c r="F814" s="55" t="n"/>
    </row>
    <row r="815">
      <c r="A815" s="54" t="n"/>
      <c r="B815" s="54" t="n"/>
      <c r="C815" s="55" t="n"/>
      <c r="D815" s="55" t="n"/>
      <c r="E815">
        <f>IF(OR(A815="",B815=""),"",B815-A815)</f>
        <v/>
      </c>
      <c r="F815" s="55" t="n"/>
    </row>
    <row r="816">
      <c r="A816" s="54" t="n"/>
      <c r="B816" s="54" t="n"/>
      <c r="C816" s="55" t="n"/>
      <c r="D816" s="55" t="n"/>
      <c r="E816">
        <f>IF(OR(A816="",B816=""),"",B816-A816)</f>
        <v/>
      </c>
      <c r="F816" s="55" t="n"/>
    </row>
    <row r="817">
      <c r="A817" s="54" t="n"/>
      <c r="B817" s="54" t="n"/>
      <c r="C817" s="55" t="n"/>
      <c r="D817" s="55" t="n"/>
      <c r="E817">
        <f>IF(OR(A817="",B817=""),"",B817-A817)</f>
        <v/>
      </c>
      <c r="F817" s="55" t="n"/>
    </row>
    <row r="818">
      <c r="A818" s="54" t="n"/>
      <c r="B818" s="54" t="n"/>
      <c r="C818" s="55" t="n"/>
      <c r="D818" s="55" t="n"/>
      <c r="E818">
        <f>IF(OR(A818="",B818=""),"",B818-A818)</f>
        <v/>
      </c>
      <c r="F818" s="55" t="n"/>
    </row>
    <row r="819">
      <c r="A819" s="54" t="n"/>
      <c r="B819" s="54" t="n"/>
      <c r="C819" s="55" t="n"/>
      <c r="D819" s="55" t="n"/>
      <c r="E819">
        <f>IF(OR(A819="",B819=""),"",B819-A819)</f>
        <v/>
      </c>
      <c r="F819" s="55" t="n"/>
    </row>
    <row r="820">
      <c r="A820" s="54" t="n"/>
      <c r="B820" s="54" t="n"/>
      <c r="C820" s="55" t="n"/>
      <c r="D820" s="55" t="n"/>
      <c r="E820">
        <f>IF(OR(A820="",B820=""),"",B820-A820)</f>
        <v/>
      </c>
      <c r="F820" s="55" t="n"/>
    </row>
    <row r="821">
      <c r="A821" s="54" t="n"/>
      <c r="B821" s="54" t="n"/>
      <c r="C821" s="55" t="n"/>
      <c r="D821" s="55" t="n"/>
      <c r="E821">
        <f>IF(OR(A821="",B821=""),"",B821-A821)</f>
        <v/>
      </c>
      <c r="F821" s="55" t="n"/>
    </row>
    <row r="822">
      <c r="A822" s="54" t="n"/>
      <c r="B822" s="54" t="n"/>
      <c r="C822" s="55" t="n"/>
      <c r="D822" s="55" t="n"/>
      <c r="E822">
        <f>IF(OR(A822="",B822=""),"",B822-A822)</f>
        <v/>
      </c>
      <c r="F822" s="55" t="n"/>
    </row>
    <row r="823">
      <c r="A823" s="54" t="n"/>
      <c r="B823" s="54" t="n"/>
      <c r="C823" s="55" t="n"/>
      <c r="D823" s="55" t="n"/>
      <c r="E823">
        <f>IF(OR(A823="",B823=""),"",B823-A823)</f>
        <v/>
      </c>
      <c r="F823" s="55" t="n"/>
    </row>
    <row r="824">
      <c r="A824" s="54" t="n"/>
      <c r="B824" s="54" t="n"/>
      <c r="C824" s="55" t="n"/>
      <c r="D824" s="55" t="n"/>
      <c r="E824">
        <f>IF(OR(A824="",B824=""),"",B824-A824)</f>
        <v/>
      </c>
      <c r="F824" s="55" t="n"/>
    </row>
    <row r="825">
      <c r="A825" s="54" t="n"/>
      <c r="B825" s="54" t="n"/>
      <c r="C825" s="55" t="n"/>
      <c r="D825" s="55" t="n"/>
      <c r="E825">
        <f>IF(OR(A825="",B825=""),"",B825-A825)</f>
        <v/>
      </c>
      <c r="F825" s="55" t="n"/>
    </row>
    <row r="826">
      <c r="A826" s="54" t="n"/>
      <c r="B826" s="54" t="n"/>
      <c r="C826" s="55" t="n"/>
      <c r="D826" s="55" t="n"/>
      <c r="E826">
        <f>IF(OR(A826="",B826=""),"",B826-A826)</f>
        <v/>
      </c>
      <c r="F826" s="55" t="n"/>
    </row>
    <row r="827">
      <c r="A827" s="54" t="n"/>
      <c r="B827" s="54" t="n"/>
      <c r="C827" s="55" t="n"/>
      <c r="D827" s="55" t="n"/>
      <c r="E827">
        <f>IF(OR(A827="",B827=""),"",B827-A827)</f>
        <v/>
      </c>
      <c r="F827" s="55" t="n"/>
    </row>
    <row r="828">
      <c r="A828" s="54" t="n"/>
      <c r="B828" s="54" t="n"/>
      <c r="C828" s="55" t="n"/>
      <c r="D828" s="55" t="n"/>
      <c r="E828">
        <f>IF(OR(A828="",B828=""),"",B828-A828)</f>
        <v/>
      </c>
      <c r="F828" s="55" t="n"/>
    </row>
    <row r="829">
      <c r="A829" s="54" t="n"/>
      <c r="B829" s="54" t="n"/>
      <c r="C829" s="55" t="n"/>
      <c r="D829" s="55" t="n"/>
      <c r="E829">
        <f>IF(OR(A829="",B829=""),"",B829-A829)</f>
        <v/>
      </c>
      <c r="F829" s="55" t="n"/>
    </row>
    <row r="830">
      <c r="A830" s="54" t="n"/>
      <c r="B830" s="54" t="n"/>
      <c r="C830" s="55" t="n"/>
      <c r="D830" s="55" t="n"/>
      <c r="E830">
        <f>IF(OR(A830="",B830=""),"",B830-A830)</f>
        <v/>
      </c>
      <c r="F830" s="55" t="n"/>
    </row>
    <row r="831">
      <c r="A831" s="54" t="n"/>
      <c r="B831" s="54" t="n"/>
      <c r="C831" s="55" t="n"/>
      <c r="D831" s="55" t="n"/>
      <c r="E831">
        <f>IF(OR(A831="",B831=""),"",B831-A831)</f>
        <v/>
      </c>
      <c r="F831" s="55" t="n"/>
    </row>
    <row r="832">
      <c r="A832" s="54" t="n"/>
      <c r="B832" s="54" t="n"/>
      <c r="C832" s="55" t="n"/>
      <c r="D832" s="55" t="n"/>
      <c r="E832">
        <f>IF(OR(A832="",B832=""),"",B832-A832)</f>
        <v/>
      </c>
      <c r="F832" s="55" t="n"/>
    </row>
    <row r="833">
      <c r="A833" s="54" t="n"/>
      <c r="B833" s="54" t="n"/>
      <c r="C833" s="55" t="n"/>
      <c r="D833" s="55" t="n"/>
      <c r="E833">
        <f>IF(OR(A833="",B833=""),"",B833-A833)</f>
        <v/>
      </c>
      <c r="F833" s="55" t="n"/>
    </row>
    <row r="834">
      <c r="A834" s="54" t="n"/>
      <c r="B834" s="54" t="n"/>
      <c r="C834" s="55" t="n"/>
      <c r="D834" s="55" t="n"/>
      <c r="E834">
        <f>IF(OR(A834="",B834=""),"",B834-A834)</f>
        <v/>
      </c>
      <c r="F834" s="55" t="n"/>
    </row>
    <row r="835">
      <c r="A835" s="54" t="n"/>
      <c r="B835" s="54" t="n"/>
      <c r="C835" s="55" t="n"/>
      <c r="D835" s="55" t="n"/>
      <c r="E835">
        <f>IF(OR(A835="",B835=""),"",B835-A835)</f>
        <v/>
      </c>
      <c r="F835" s="55" t="n"/>
    </row>
    <row r="836">
      <c r="A836" s="54" t="n"/>
      <c r="B836" s="54" t="n"/>
      <c r="C836" s="55" t="n"/>
      <c r="D836" s="55" t="n"/>
      <c r="E836">
        <f>IF(OR(A836="",B836=""),"",B836-A836)</f>
        <v/>
      </c>
      <c r="F836" s="55" t="n"/>
    </row>
    <row r="837">
      <c r="A837" s="54" t="n"/>
      <c r="B837" s="54" t="n"/>
      <c r="C837" s="55" t="n"/>
      <c r="D837" s="55" t="n"/>
      <c r="E837">
        <f>IF(OR(A837="",B837=""),"",B837-A837)</f>
        <v/>
      </c>
      <c r="F837" s="55" t="n"/>
    </row>
    <row r="838">
      <c r="A838" s="54" t="n"/>
      <c r="B838" s="54" t="n"/>
      <c r="C838" s="55" t="n"/>
      <c r="D838" s="55" t="n"/>
      <c r="E838">
        <f>IF(OR(A838="",B838=""),"",B838-A838)</f>
        <v/>
      </c>
      <c r="F838" s="55" t="n"/>
    </row>
    <row r="839">
      <c r="A839" s="54" t="n"/>
      <c r="B839" s="54" t="n"/>
      <c r="C839" s="55" t="n"/>
      <c r="D839" s="55" t="n"/>
      <c r="E839">
        <f>IF(OR(A839="",B839=""),"",B839-A839)</f>
        <v/>
      </c>
      <c r="F839" s="55" t="n"/>
    </row>
    <row r="840">
      <c r="A840" s="54" t="n"/>
      <c r="B840" s="54" t="n"/>
      <c r="C840" s="55" t="n"/>
      <c r="D840" s="55" t="n"/>
      <c r="E840">
        <f>IF(OR(A840="",B840=""),"",B840-A840)</f>
        <v/>
      </c>
      <c r="F840" s="55" t="n"/>
    </row>
    <row r="841">
      <c r="A841" s="54" t="n"/>
      <c r="B841" s="54" t="n"/>
      <c r="C841" s="55" t="n"/>
      <c r="D841" s="55" t="n"/>
      <c r="E841">
        <f>IF(OR(A841="",B841=""),"",B841-A841)</f>
        <v/>
      </c>
      <c r="F841" s="55" t="n"/>
    </row>
    <row r="842">
      <c r="A842" s="54" t="n"/>
      <c r="B842" s="54" t="n"/>
      <c r="C842" s="55" t="n"/>
      <c r="D842" s="55" t="n"/>
      <c r="E842">
        <f>IF(OR(A842="",B842=""),"",B842-A842)</f>
        <v/>
      </c>
      <c r="F842" s="55" t="n"/>
    </row>
    <row r="843">
      <c r="A843" s="54" t="n"/>
      <c r="B843" s="54" t="n"/>
      <c r="C843" s="55" t="n"/>
      <c r="D843" s="55" t="n"/>
      <c r="E843">
        <f>IF(OR(A843="",B843=""),"",B843-A843)</f>
        <v/>
      </c>
      <c r="F843" s="55" t="n"/>
    </row>
    <row r="844">
      <c r="A844" s="54" t="n"/>
      <c r="B844" s="54" t="n"/>
      <c r="C844" s="55" t="n"/>
      <c r="D844" s="55" t="n"/>
      <c r="E844">
        <f>IF(OR(A844="",B844=""),"",B844-A844)</f>
        <v/>
      </c>
      <c r="F844" s="55" t="n"/>
    </row>
    <row r="845">
      <c r="A845" s="54" t="n"/>
      <c r="B845" s="54" t="n"/>
      <c r="C845" s="55" t="n"/>
      <c r="D845" s="55" t="n"/>
      <c r="E845">
        <f>IF(OR(A845="",B845=""),"",B845-A845)</f>
        <v/>
      </c>
      <c r="F845" s="55" t="n"/>
    </row>
    <row r="846">
      <c r="A846" s="54" t="n"/>
      <c r="B846" s="54" t="n"/>
      <c r="C846" s="55" t="n"/>
      <c r="D846" s="55" t="n"/>
      <c r="E846">
        <f>IF(OR(A846="",B846=""),"",B846-A846)</f>
        <v/>
      </c>
      <c r="F846" s="55" t="n"/>
    </row>
    <row r="847">
      <c r="A847" s="54" t="n"/>
      <c r="B847" s="54" t="n"/>
      <c r="C847" s="55" t="n"/>
      <c r="D847" s="55" t="n"/>
      <c r="E847">
        <f>IF(OR(A847="",B847=""),"",B847-A847)</f>
        <v/>
      </c>
      <c r="F847" s="55" t="n"/>
    </row>
    <row r="848">
      <c r="A848" s="54" t="n"/>
      <c r="B848" s="54" t="n"/>
      <c r="C848" s="55" t="n"/>
      <c r="D848" s="55" t="n"/>
      <c r="E848">
        <f>IF(OR(A848="",B848=""),"",B848-A848)</f>
        <v/>
      </c>
      <c r="F848" s="55" t="n"/>
    </row>
    <row r="849">
      <c r="A849" s="54" t="n"/>
      <c r="B849" s="54" t="n"/>
      <c r="C849" s="55" t="n"/>
      <c r="D849" s="55" t="n"/>
      <c r="E849">
        <f>IF(OR(A849="",B849=""),"",B849-A849)</f>
        <v/>
      </c>
      <c r="F849" s="55" t="n"/>
    </row>
    <row r="850">
      <c r="A850" s="54" t="n"/>
      <c r="B850" s="54" t="n"/>
      <c r="C850" s="55" t="n"/>
      <c r="D850" s="55" t="n"/>
      <c r="E850">
        <f>IF(OR(A850="",B850=""),"",B850-A850)</f>
        <v/>
      </c>
      <c r="F850" s="55" t="n"/>
    </row>
    <row r="851">
      <c r="A851" s="54" t="n"/>
      <c r="B851" s="54" t="n"/>
      <c r="C851" s="55" t="n"/>
      <c r="D851" s="55" t="n"/>
      <c r="E851">
        <f>IF(OR(A851="",B851=""),"",B851-A851)</f>
        <v/>
      </c>
      <c r="F851" s="55" t="n"/>
    </row>
    <row r="852">
      <c r="A852" s="54" t="n"/>
      <c r="B852" s="54" t="n"/>
      <c r="C852" s="55" t="n"/>
      <c r="D852" s="55" t="n"/>
      <c r="E852">
        <f>IF(OR(A852="",B852=""),"",B852-A852)</f>
        <v/>
      </c>
      <c r="F852" s="55" t="n"/>
    </row>
    <row r="853">
      <c r="A853" s="54" t="n"/>
      <c r="B853" s="54" t="n"/>
      <c r="C853" s="55" t="n"/>
      <c r="D853" s="55" t="n"/>
      <c r="E853">
        <f>IF(OR(A853="",B853=""),"",B853-A853)</f>
        <v/>
      </c>
      <c r="F853" s="55" t="n"/>
    </row>
    <row r="854">
      <c r="A854" s="54" t="n"/>
      <c r="B854" s="54" t="n"/>
      <c r="C854" s="55" t="n"/>
      <c r="D854" s="55" t="n"/>
      <c r="E854">
        <f>IF(OR(A854="",B854=""),"",B854-A854)</f>
        <v/>
      </c>
      <c r="F854" s="55" t="n"/>
    </row>
    <row r="855">
      <c r="A855" s="54" t="n"/>
      <c r="B855" s="54" t="n"/>
      <c r="C855" s="55" t="n"/>
      <c r="D855" s="55" t="n"/>
      <c r="E855">
        <f>IF(OR(A855="",B855=""),"",B855-A855)</f>
        <v/>
      </c>
      <c r="F855" s="55" t="n"/>
    </row>
    <row r="856">
      <c r="A856" s="54" t="n"/>
      <c r="B856" s="54" t="n"/>
      <c r="C856" s="55" t="n"/>
      <c r="D856" s="55" t="n"/>
      <c r="E856">
        <f>IF(OR(A856="",B856=""),"",B856-A856)</f>
        <v/>
      </c>
      <c r="F856" s="55" t="n"/>
    </row>
    <row r="857">
      <c r="A857" s="54" t="n"/>
      <c r="B857" s="54" t="n"/>
      <c r="C857" s="55" t="n"/>
      <c r="D857" s="55" t="n"/>
      <c r="E857">
        <f>IF(OR(A857="",B857=""),"",B857-A857)</f>
        <v/>
      </c>
      <c r="F857" s="55" t="n"/>
    </row>
    <row r="858">
      <c r="A858" s="54" t="n"/>
      <c r="B858" s="54" t="n"/>
      <c r="C858" s="55" t="n"/>
      <c r="D858" s="55" t="n"/>
      <c r="E858">
        <f>IF(OR(A858="",B858=""),"",B858-A858)</f>
        <v/>
      </c>
      <c r="F858" s="55" t="n"/>
    </row>
    <row r="859">
      <c r="A859" s="54" t="n"/>
      <c r="B859" s="54" t="n"/>
      <c r="C859" s="55" t="n"/>
      <c r="D859" s="55" t="n"/>
      <c r="E859">
        <f>IF(OR(A859="",B859=""),"",B859-A859)</f>
        <v/>
      </c>
      <c r="F859" s="55" t="n"/>
    </row>
    <row r="860">
      <c r="A860" s="54" t="n"/>
      <c r="B860" s="54" t="n"/>
      <c r="C860" s="55" t="n"/>
      <c r="D860" s="55" t="n"/>
      <c r="E860">
        <f>IF(OR(A860="",B860=""),"",B860-A860)</f>
        <v/>
      </c>
      <c r="F860" s="55" t="n"/>
    </row>
    <row r="861">
      <c r="A861" s="54" t="n"/>
      <c r="B861" s="54" t="n"/>
      <c r="C861" s="55" t="n"/>
      <c r="D861" s="55" t="n"/>
      <c r="E861">
        <f>IF(OR(A861="",B861=""),"",B861-A861)</f>
        <v/>
      </c>
      <c r="F861" s="55" t="n"/>
    </row>
    <row r="862">
      <c r="A862" s="54" t="n"/>
      <c r="B862" s="54" t="n"/>
      <c r="C862" s="55" t="n"/>
      <c r="D862" s="55" t="n"/>
      <c r="E862">
        <f>IF(OR(A862="",B862=""),"",B862-A862)</f>
        <v/>
      </c>
      <c r="F862" s="55" t="n"/>
    </row>
    <row r="863">
      <c r="A863" s="54" t="n"/>
      <c r="B863" s="54" t="n"/>
      <c r="C863" s="55" t="n"/>
      <c r="D863" s="55" t="n"/>
      <c r="E863">
        <f>IF(OR(A863="",B863=""),"",B863-A863)</f>
        <v/>
      </c>
      <c r="F863" s="55" t="n"/>
    </row>
    <row r="864">
      <c r="A864" s="54" t="n"/>
      <c r="B864" s="54" t="n"/>
      <c r="C864" s="55" t="n"/>
      <c r="D864" s="55" t="n"/>
      <c r="E864">
        <f>IF(OR(A864="",B864=""),"",B864-A864)</f>
        <v/>
      </c>
      <c r="F864" s="55" t="n"/>
    </row>
    <row r="865">
      <c r="A865" s="54" t="n"/>
      <c r="B865" s="54" t="n"/>
      <c r="C865" s="55" t="n"/>
      <c r="D865" s="55" t="n"/>
      <c r="E865">
        <f>IF(OR(A865="",B865=""),"",B865-A865)</f>
        <v/>
      </c>
      <c r="F865" s="55" t="n"/>
    </row>
    <row r="866">
      <c r="A866" s="54" t="n"/>
      <c r="B866" s="54" t="n"/>
      <c r="C866" s="55" t="n"/>
      <c r="D866" s="55" t="n"/>
      <c r="E866">
        <f>IF(OR(A866="",B866=""),"",B866-A866)</f>
        <v/>
      </c>
      <c r="F866" s="55" t="n"/>
    </row>
    <row r="867">
      <c r="A867" s="54" t="n"/>
      <c r="B867" s="54" t="n"/>
      <c r="C867" s="55" t="n"/>
      <c r="D867" s="55" t="n"/>
      <c r="E867">
        <f>IF(OR(A867="",B867=""),"",B867-A867)</f>
        <v/>
      </c>
      <c r="F867" s="55" t="n"/>
    </row>
    <row r="868">
      <c r="A868" s="54" t="n"/>
      <c r="B868" s="54" t="n"/>
      <c r="C868" s="55" t="n"/>
      <c r="D868" s="55" t="n"/>
      <c r="E868">
        <f>IF(OR(A868="",B868=""),"",B868-A868)</f>
        <v/>
      </c>
      <c r="F868" s="55" t="n"/>
    </row>
    <row r="869">
      <c r="A869" s="54" t="n"/>
      <c r="B869" s="54" t="n"/>
      <c r="C869" s="55" t="n"/>
      <c r="D869" s="55" t="n"/>
      <c r="E869">
        <f>IF(OR(A869="",B869=""),"",B869-A869)</f>
        <v/>
      </c>
      <c r="F869" s="55" t="n"/>
    </row>
    <row r="870">
      <c r="A870" s="54" t="n"/>
      <c r="B870" s="54" t="n"/>
      <c r="C870" s="55" t="n"/>
      <c r="D870" s="55" t="n"/>
      <c r="E870">
        <f>IF(OR(A870="",B870=""),"",B870-A870)</f>
        <v/>
      </c>
      <c r="F870" s="55" t="n"/>
    </row>
    <row r="871">
      <c r="A871" s="54" t="n"/>
      <c r="B871" s="54" t="n"/>
      <c r="C871" s="55" t="n"/>
      <c r="D871" s="55" t="n"/>
      <c r="E871">
        <f>IF(OR(A871="",B871=""),"",B871-A871)</f>
        <v/>
      </c>
      <c r="F871" s="55" t="n"/>
    </row>
    <row r="872">
      <c r="A872" s="54" t="n"/>
      <c r="B872" s="54" t="n"/>
      <c r="C872" s="55" t="n"/>
      <c r="D872" s="55" t="n"/>
      <c r="E872">
        <f>IF(OR(A872="",B872=""),"",B872-A872)</f>
        <v/>
      </c>
      <c r="F872" s="55" t="n"/>
    </row>
    <row r="873">
      <c r="A873" s="54" t="n"/>
      <c r="B873" s="54" t="n"/>
      <c r="C873" s="55" t="n"/>
      <c r="D873" s="55" t="n"/>
      <c r="E873">
        <f>IF(OR(A873="",B873=""),"",B873-A873)</f>
        <v/>
      </c>
      <c r="F873" s="55" t="n"/>
    </row>
    <row r="874">
      <c r="A874" s="54" t="n"/>
      <c r="B874" s="54" t="n"/>
      <c r="C874" s="55" t="n"/>
      <c r="D874" s="55" t="n"/>
      <c r="E874">
        <f>IF(OR(A874="",B874=""),"",B874-A874)</f>
        <v/>
      </c>
      <c r="F874" s="55" t="n"/>
    </row>
    <row r="875">
      <c r="A875" s="54" t="n"/>
      <c r="B875" s="54" t="n"/>
      <c r="C875" s="55" t="n"/>
      <c r="D875" s="55" t="n"/>
      <c r="E875">
        <f>IF(OR(A875="",B875=""),"",B875-A875)</f>
        <v/>
      </c>
      <c r="F875" s="55" t="n"/>
    </row>
    <row r="876">
      <c r="A876" s="54" t="n"/>
      <c r="B876" s="54" t="n"/>
      <c r="C876" s="55" t="n"/>
      <c r="D876" s="55" t="n"/>
      <c r="E876">
        <f>IF(OR(A876="",B876=""),"",B876-A876)</f>
        <v/>
      </c>
      <c r="F876" s="55" t="n"/>
    </row>
    <row r="877">
      <c r="A877" s="54" t="n"/>
      <c r="B877" s="54" t="n"/>
      <c r="C877" s="55" t="n"/>
      <c r="D877" s="55" t="n"/>
      <c r="E877">
        <f>IF(OR(A877="",B877=""),"",B877-A877)</f>
        <v/>
      </c>
      <c r="F877" s="55" t="n"/>
    </row>
    <row r="878">
      <c r="A878" s="54" t="n"/>
      <c r="B878" s="54" t="n"/>
      <c r="C878" s="55" t="n"/>
      <c r="D878" s="55" t="n"/>
      <c r="E878">
        <f>IF(OR(A878="",B878=""),"",B878-A878)</f>
        <v/>
      </c>
      <c r="F878" s="55" t="n"/>
    </row>
    <row r="879">
      <c r="A879" s="54" t="n"/>
      <c r="B879" s="54" t="n"/>
      <c r="C879" s="55" t="n"/>
      <c r="D879" s="55" t="n"/>
      <c r="E879">
        <f>IF(OR(A879="",B879=""),"",B879-A879)</f>
        <v/>
      </c>
      <c r="F879" s="55" t="n"/>
    </row>
    <row r="880">
      <c r="A880" s="54" t="n"/>
      <c r="B880" s="54" t="n"/>
      <c r="C880" s="55" t="n"/>
      <c r="D880" s="55" t="n"/>
      <c r="E880">
        <f>IF(OR(A880="",B880=""),"",B880-A880)</f>
        <v/>
      </c>
      <c r="F880" s="55" t="n"/>
    </row>
    <row r="881">
      <c r="A881" s="54" t="n"/>
      <c r="B881" s="54" t="n"/>
      <c r="C881" s="55" t="n"/>
      <c r="D881" s="55" t="n"/>
      <c r="E881">
        <f>IF(OR(A881="",B881=""),"",B881-A881)</f>
        <v/>
      </c>
      <c r="F881" s="55" t="n"/>
    </row>
    <row r="882">
      <c r="A882" s="54" t="n"/>
      <c r="B882" s="54" t="n"/>
      <c r="C882" s="55" t="n"/>
      <c r="D882" s="55" t="n"/>
      <c r="E882">
        <f>IF(OR(A882="",B882=""),"",B882-A882)</f>
        <v/>
      </c>
      <c r="F882" s="55" t="n"/>
    </row>
    <row r="883">
      <c r="A883" s="54" t="n"/>
      <c r="B883" s="54" t="n"/>
      <c r="C883" s="55" t="n"/>
      <c r="D883" s="55" t="n"/>
      <c r="E883">
        <f>IF(OR(A883="",B883=""),"",B883-A883)</f>
        <v/>
      </c>
      <c r="F883" s="55" t="n"/>
    </row>
    <row r="884">
      <c r="A884" s="54" t="n"/>
      <c r="B884" s="54" t="n"/>
      <c r="C884" s="55" t="n"/>
      <c r="D884" s="55" t="n"/>
      <c r="E884">
        <f>IF(OR(A884="",B884=""),"",B884-A884)</f>
        <v/>
      </c>
      <c r="F884" s="55" t="n"/>
    </row>
    <row r="885">
      <c r="A885" s="54" t="n"/>
      <c r="B885" s="54" t="n"/>
      <c r="C885" s="55" t="n"/>
      <c r="D885" s="55" t="n"/>
      <c r="E885">
        <f>IF(OR(A885="",B885=""),"",B885-A885)</f>
        <v/>
      </c>
      <c r="F885" s="55" t="n"/>
    </row>
    <row r="886">
      <c r="A886" s="54" t="n"/>
      <c r="B886" s="54" t="n"/>
      <c r="C886" s="55" t="n"/>
      <c r="D886" s="55" t="n"/>
      <c r="E886">
        <f>IF(OR(A886="",B886=""),"",B886-A886)</f>
        <v/>
      </c>
      <c r="F886" s="55" t="n"/>
    </row>
    <row r="887">
      <c r="A887" s="54" t="n"/>
      <c r="B887" s="54" t="n"/>
      <c r="C887" s="55" t="n"/>
      <c r="D887" s="55" t="n"/>
      <c r="E887">
        <f>IF(OR(A887="",B887=""),"",B887-A887)</f>
        <v/>
      </c>
      <c r="F887" s="55" t="n"/>
    </row>
    <row r="888">
      <c r="A888" s="54" t="n"/>
      <c r="B888" s="54" t="n"/>
      <c r="C888" s="55" t="n"/>
      <c r="D888" s="55" t="n"/>
      <c r="E888">
        <f>IF(OR(A888="",B888=""),"",B888-A888)</f>
        <v/>
      </c>
      <c r="F888" s="55" t="n"/>
    </row>
    <row r="889">
      <c r="A889" s="54" t="n"/>
      <c r="B889" s="54" t="n"/>
      <c r="C889" s="55" t="n"/>
      <c r="D889" s="55" t="n"/>
      <c r="E889">
        <f>IF(OR(A889="",B889=""),"",B889-A889)</f>
        <v/>
      </c>
      <c r="F889" s="55" t="n"/>
    </row>
    <row r="890">
      <c r="A890" s="54" t="n"/>
      <c r="B890" s="54" t="n"/>
      <c r="C890" s="55" t="n"/>
      <c r="D890" s="55" t="n"/>
      <c r="E890">
        <f>IF(OR(A890="",B890=""),"",B890-A890)</f>
        <v/>
      </c>
      <c r="F890" s="55" t="n"/>
    </row>
    <row r="891">
      <c r="A891" s="54" t="n"/>
      <c r="B891" s="54" t="n"/>
      <c r="C891" s="55" t="n"/>
      <c r="D891" s="55" t="n"/>
      <c r="E891">
        <f>IF(OR(A891="",B891=""),"",B891-A891)</f>
        <v/>
      </c>
      <c r="F891" s="55" t="n"/>
    </row>
    <row r="892">
      <c r="A892" s="54" t="n"/>
      <c r="B892" s="54" t="n"/>
      <c r="C892" s="55" t="n"/>
      <c r="D892" s="55" t="n"/>
      <c r="E892">
        <f>IF(OR(A892="",B892=""),"",B892-A892)</f>
        <v/>
      </c>
      <c r="F892" s="55" t="n"/>
    </row>
    <row r="893">
      <c r="A893" s="54" t="n"/>
      <c r="B893" s="54" t="n"/>
      <c r="C893" s="55" t="n"/>
      <c r="D893" s="55" t="n"/>
      <c r="E893">
        <f>IF(OR(A893="",B893=""),"",B893-A893)</f>
        <v/>
      </c>
      <c r="F893" s="55" t="n"/>
    </row>
    <row r="894">
      <c r="A894" s="54" t="n"/>
      <c r="B894" s="54" t="n"/>
      <c r="C894" s="55" t="n"/>
      <c r="D894" s="55" t="n"/>
      <c r="E894">
        <f>IF(OR(A894="",B894=""),"",B894-A894)</f>
        <v/>
      </c>
      <c r="F894" s="55" t="n"/>
    </row>
    <row r="895">
      <c r="A895" s="54" t="n"/>
      <c r="B895" s="54" t="n"/>
      <c r="C895" s="55" t="n"/>
      <c r="D895" s="55" t="n"/>
      <c r="E895">
        <f>IF(OR(A895="",B895=""),"",B895-A895)</f>
        <v/>
      </c>
      <c r="F895" s="55" t="n"/>
    </row>
    <row r="896">
      <c r="A896" s="54" t="n"/>
      <c r="B896" s="54" t="n"/>
      <c r="C896" s="55" t="n"/>
      <c r="D896" s="55" t="n"/>
      <c r="E896">
        <f>IF(OR(A896="",B896=""),"",B896-A896)</f>
        <v/>
      </c>
      <c r="F896" s="55" t="n"/>
    </row>
    <row r="897">
      <c r="A897" s="54" t="n"/>
      <c r="B897" s="54" t="n"/>
      <c r="C897" s="55" t="n"/>
      <c r="D897" s="55" t="n"/>
      <c r="E897">
        <f>IF(OR(A897="",B897=""),"",B897-A897)</f>
        <v/>
      </c>
      <c r="F897" s="55" t="n"/>
    </row>
    <row r="898">
      <c r="A898" s="54" t="n"/>
      <c r="B898" s="54" t="n"/>
      <c r="C898" s="55" t="n"/>
      <c r="D898" s="55" t="n"/>
      <c r="E898">
        <f>IF(OR(A898="",B898=""),"",B898-A898)</f>
        <v/>
      </c>
      <c r="F898" s="55" t="n"/>
    </row>
    <row r="899">
      <c r="A899" s="54" t="n"/>
      <c r="B899" s="54" t="n"/>
      <c r="C899" s="55" t="n"/>
      <c r="D899" s="55" t="n"/>
      <c r="E899">
        <f>IF(OR(A899="",B899=""),"",B899-A899)</f>
        <v/>
      </c>
      <c r="F899" s="55" t="n"/>
    </row>
    <row r="900">
      <c r="A900" s="54" t="n"/>
      <c r="B900" s="54" t="n"/>
      <c r="C900" s="55" t="n"/>
      <c r="D900" s="55" t="n"/>
      <c r="E900">
        <f>IF(OR(A900="",B900=""),"",B900-A900)</f>
        <v/>
      </c>
      <c r="F900" s="55" t="n"/>
    </row>
    <row r="901">
      <c r="A901" s="54" t="n"/>
      <c r="B901" s="54" t="n"/>
      <c r="C901" s="55" t="n"/>
      <c r="D901" s="55" t="n"/>
      <c r="E901">
        <f>IF(OR(A901="",B901=""),"",B901-A901)</f>
        <v/>
      </c>
      <c r="F901" s="55" t="n"/>
    </row>
    <row r="902">
      <c r="A902" s="54" t="n"/>
      <c r="B902" s="54" t="n"/>
      <c r="C902" s="55" t="n"/>
      <c r="D902" s="55" t="n"/>
      <c r="E902">
        <f>IF(OR(A902="",B902=""),"",B902-A902)</f>
        <v/>
      </c>
      <c r="F902" s="55" t="n"/>
    </row>
    <row r="903">
      <c r="A903" s="54" t="n"/>
      <c r="B903" s="54" t="n"/>
      <c r="C903" s="55" t="n"/>
      <c r="D903" s="55" t="n"/>
      <c r="E903">
        <f>IF(OR(A903="",B903=""),"",B903-A903)</f>
        <v/>
      </c>
      <c r="F903" s="55" t="n"/>
    </row>
    <row r="904">
      <c r="A904" s="54" t="n"/>
      <c r="B904" s="54" t="n"/>
      <c r="C904" s="55" t="n"/>
      <c r="D904" s="55" t="n"/>
      <c r="E904">
        <f>IF(OR(A904="",B904=""),"",B904-A904)</f>
        <v/>
      </c>
      <c r="F904" s="55" t="n"/>
    </row>
    <row r="905">
      <c r="A905" s="54" t="n"/>
      <c r="B905" s="54" t="n"/>
      <c r="C905" s="55" t="n"/>
      <c r="D905" s="55" t="n"/>
      <c r="E905">
        <f>IF(OR(A905="",B905=""),"",B905-A905)</f>
        <v/>
      </c>
      <c r="F905" s="55" t="n"/>
    </row>
    <row r="906">
      <c r="A906" s="54" t="n"/>
      <c r="B906" s="54" t="n"/>
      <c r="C906" s="55" t="n"/>
      <c r="D906" s="55" t="n"/>
      <c r="E906">
        <f>IF(OR(A906="",B906=""),"",B906-A906)</f>
        <v/>
      </c>
      <c r="F906" s="55" t="n"/>
    </row>
    <row r="907">
      <c r="A907" s="54" t="n"/>
      <c r="B907" s="54" t="n"/>
      <c r="C907" s="55" t="n"/>
      <c r="D907" s="55" t="n"/>
      <c r="E907">
        <f>IF(OR(A907="",B907=""),"",B907-A907)</f>
        <v/>
      </c>
      <c r="F907" s="55" t="n"/>
    </row>
    <row r="908">
      <c r="A908" s="54" t="n"/>
      <c r="B908" s="54" t="n"/>
      <c r="C908" s="55" t="n"/>
      <c r="D908" s="55" t="n"/>
      <c r="E908">
        <f>IF(OR(A908="",B908=""),"",B908-A908)</f>
        <v/>
      </c>
      <c r="F908" s="55" t="n"/>
    </row>
    <row r="909">
      <c r="A909" s="54" t="n"/>
      <c r="B909" s="54" t="n"/>
      <c r="C909" s="55" t="n"/>
      <c r="D909" s="55" t="n"/>
      <c r="E909">
        <f>IF(OR(A909="",B909=""),"",B909-A909)</f>
        <v/>
      </c>
      <c r="F909" s="55" t="n"/>
    </row>
    <row r="910">
      <c r="A910" s="54" t="n"/>
      <c r="B910" s="54" t="n"/>
      <c r="C910" s="55" t="n"/>
      <c r="D910" s="55" t="n"/>
      <c r="E910">
        <f>IF(OR(A910="",B910=""),"",B910-A910)</f>
        <v/>
      </c>
      <c r="F910" s="55" t="n"/>
    </row>
    <row r="911">
      <c r="A911" s="54" t="n"/>
      <c r="B911" s="54" t="n"/>
      <c r="C911" s="55" t="n"/>
      <c r="D911" s="55" t="n"/>
      <c r="E911">
        <f>IF(OR(A911="",B911=""),"",B911-A911)</f>
        <v/>
      </c>
      <c r="F911" s="55" t="n"/>
    </row>
    <row r="912">
      <c r="A912" s="54" t="n"/>
      <c r="B912" s="54" t="n"/>
      <c r="C912" s="55" t="n"/>
      <c r="D912" s="55" t="n"/>
      <c r="E912">
        <f>IF(OR(A912="",B912=""),"",B912-A912)</f>
        <v/>
      </c>
      <c r="F912" s="55" t="n"/>
    </row>
    <row r="913">
      <c r="A913" s="54" t="n"/>
      <c r="B913" s="54" t="n"/>
      <c r="C913" s="55" t="n"/>
      <c r="D913" s="55" t="n"/>
      <c r="E913">
        <f>IF(OR(A913="",B913=""),"",B913-A913)</f>
        <v/>
      </c>
      <c r="F913" s="55" t="n"/>
    </row>
    <row r="914">
      <c r="A914" s="54" t="n"/>
      <c r="B914" s="54" t="n"/>
      <c r="C914" s="55" t="n"/>
      <c r="D914" s="55" t="n"/>
      <c r="E914">
        <f>IF(OR(A914="",B914=""),"",B914-A914)</f>
        <v/>
      </c>
      <c r="F914" s="55" t="n"/>
    </row>
    <row r="915">
      <c r="A915" s="54" t="n"/>
      <c r="B915" s="54" t="n"/>
      <c r="C915" s="55" t="n"/>
      <c r="D915" s="55" t="n"/>
      <c r="E915">
        <f>IF(OR(A915="",B915=""),"",B915-A915)</f>
        <v/>
      </c>
      <c r="F915" s="55" t="n"/>
    </row>
    <row r="916">
      <c r="A916" s="54" t="n"/>
      <c r="B916" s="54" t="n"/>
      <c r="C916" s="55" t="n"/>
      <c r="D916" s="55" t="n"/>
      <c r="E916">
        <f>IF(OR(A916="",B916=""),"",B916-A916)</f>
        <v/>
      </c>
      <c r="F916" s="55" t="n"/>
    </row>
    <row r="917">
      <c r="A917" s="54" t="n"/>
      <c r="B917" s="54" t="n"/>
      <c r="C917" s="55" t="n"/>
      <c r="D917" s="55" t="n"/>
      <c r="E917">
        <f>IF(OR(A917="",B917=""),"",B917-A917)</f>
        <v/>
      </c>
      <c r="F917" s="55" t="n"/>
    </row>
    <row r="918">
      <c r="A918" s="54" t="n"/>
      <c r="B918" s="54" t="n"/>
      <c r="C918" s="55" t="n"/>
      <c r="D918" s="55" t="n"/>
      <c r="E918">
        <f>IF(OR(A918="",B918=""),"",B918-A918)</f>
        <v/>
      </c>
      <c r="F918" s="55" t="n"/>
    </row>
    <row r="919">
      <c r="A919" s="54" t="n"/>
      <c r="B919" s="54" t="n"/>
      <c r="C919" s="55" t="n"/>
      <c r="D919" s="55" t="n"/>
      <c r="E919">
        <f>IF(OR(A919="",B919=""),"",B919-A919)</f>
        <v/>
      </c>
      <c r="F919" s="55" t="n"/>
    </row>
    <row r="920">
      <c r="A920" s="54" t="n"/>
      <c r="B920" s="54" t="n"/>
      <c r="C920" s="55" t="n"/>
      <c r="D920" s="55" t="n"/>
      <c r="E920">
        <f>IF(OR(A920="",B920=""),"",B920-A920)</f>
        <v/>
      </c>
      <c r="F920" s="55" t="n"/>
    </row>
    <row r="921">
      <c r="A921" s="54" t="n"/>
      <c r="B921" s="54" t="n"/>
      <c r="C921" s="55" t="n"/>
      <c r="D921" s="55" t="n"/>
      <c r="E921">
        <f>IF(OR(A921="",B921=""),"",B921-A921)</f>
        <v/>
      </c>
      <c r="F921" s="55" t="n"/>
    </row>
    <row r="922">
      <c r="A922" s="54" t="n"/>
      <c r="B922" s="54" t="n"/>
      <c r="C922" s="55" t="n"/>
      <c r="D922" s="55" t="n"/>
      <c r="E922">
        <f>IF(OR(A922="",B922=""),"",B922-A922)</f>
        <v/>
      </c>
      <c r="F922" s="55" t="n"/>
    </row>
    <row r="923">
      <c r="A923" s="54" t="n"/>
      <c r="B923" s="54" t="n"/>
      <c r="C923" s="55" t="n"/>
      <c r="D923" s="55" t="n"/>
      <c r="E923">
        <f>IF(OR(A923="",B923=""),"",B923-A923)</f>
        <v/>
      </c>
      <c r="F923" s="55" t="n"/>
    </row>
    <row r="924">
      <c r="A924" s="54" t="n"/>
      <c r="B924" s="54" t="n"/>
      <c r="C924" s="55" t="n"/>
      <c r="D924" s="55" t="n"/>
      <c r="E924">
        <f>IF(OR(A924="",B924=""),"",B924-A924)</f>
        <v/>
      </c>
      <c r="F924" s="55" t="n"/>
    </row>
    <row r="925">
      <c r="A925" s="54" t="n"/>
      <c r="B925" s="54" t="n"/>
      <c r="C925" s="55" t="n"/>
      <c r="D925" s="55" t="n"/>
      <c r="E925">
        <f>IF(OR(A925="",B925=""),"",B925-A925)</f>
        <v/>
      </c>
      <c r="F925" s="55" t="n"/>
    </row>
    <row r="926">
      <c r="A926" s="54" t="n"/>
      <c r="B926" s="54" t="n"/>
      <c r="C926" s="55" t="n"/>
      <c r="D926" s="55" t="n"/>
      <c r="E926">
        <f>IF(OR(A926="",B926=""),"",B926-A926)</f>
        <v/>
      </c>
      <c r="F926" s="55" t="n"/>
    </row>
    <row r="927">
      <c r="A927" s="54" t="n"/>
      <c r="B927" s="54" t="n"/>
      <c r="C927" s="55" t="n"/>
      <c r="D927" s="55" t="n"/>
      <c r="E927">
        <f>IF(OR(A927="",B927=""),"",B927-A927)</f>
        <v/>
      </c>
      <c r="F927" s="55" t="n"/>
    </row>
    <row r="928">
      <c r="A928" s="54" t="n"/>
      <c r="B928" s="54" t="n"/>
      <c r="C928" s="55" t="n"/>
      <c r="D928" s="55" t="n"/>
      <c r="E928">
        <f>IF(OR(A928="",B928=""),"",B928-A928)</f>
        <v/>
      </c>
      <c r="F928" s="55" t="n"/>
    </row>
    <row r="929">
      <c r="A929" s="54" t="n"/>
      <c r="B929" s="54" t="n"/>
      <c r="C929" s="55" t="n"/>
      <c r="D929" s="55" t="n"/>
      <c r="E929">
        <f>IF(OR(A929="",B929=""),"",B929-A929)</f>
        <v/>
      </c>
      <c r="F929" s="55" t="n"/>
    </row>
    <row r="930">
      <c r="A930" s="54" t="n"/>
      <c r="B930" s="54" t="n"/>
      <c r="C930" s="55" t="n"/>
      <c r="D930" s="55" t="n"/>
      <c r="E930">
        <f>IF(OR(A930="",B930=""),"",B930-A930)</f>
        <v/>
      </c>
      <c r="F930" s="55" t="n"/>
    </row>
    <row r="931">
      <c r="A931" s="54" t="n"/>
      <c r="B931" s="54" t="n"/>
      <c r="C931" s="55" t="n"/>
      <c r="D931" s="55" t="n"/>
      <c r="E931">
        <f>IF(OR(A931="",B931=""),"",B931-A931)</f>
        <v/>
      </c>
      <c r="F931" s="55" t="n"/>
    </row>
    <row r="932">
      <c r="A932" s="54" t="n"/>
      <c r="B932" s="54" t="n"/>
      <c r="C932" s="55" t="n"/>
      <c r="D932" s="55" t="n"/>
      <c r="E932">
        <f>IF(OR(A932="",B932=""),"",B932-A932)</f>
        <v/>
      </c>
      <c r="F932" s="55" t="n"/>
    </row>
    <row r="933">
      <c r="A933" s="54" t="n"/>
      <c r="B933" s="54" t="n"/>
      <c r="C933" s="55" t="n"/>
      <c r="D933" s="55" t="n"/>
      <c r="E933">
        <f>IF(OR(A933="",B933=""),"",B933-A933)</f>
        <v/>
      </c>
      <c r="F933" s="55" t="n"/>
    </row>
    <row r="934">
      <c r="A934" s="54" t="n"/>
      <c r="B934" s="54" t="n"/>
      <c r="C934" s="55" t="n"/>
      <c r="D934" s="55" t="n"/>
      <c r="E934">
        <f>IF(OR(A934="",B934=""),"",B934-A934)</f>
        <v/>
      </c>
      <c r="F934" s="55" t="n"/>
    </row>
    <row r="935">
      <c r="A935" s="54" t="n"/>
      <c r="B935" s="54" t="n"/>
      <c r="C935" s="55" t="n"/>
      <c r="D935" s="55" t="n"/>
      <c r="E935">
        <f>IF(OR(A935="",B935=""),"",B935-A935)</f>
        <v/>
      </c>
      <c r="F935" s="55" t="n"/>
    </row>
    <row r="936">
      <c r="A936" s="54" t="n"/>
      <c r="B936" s="54" t="n"/>
      <c r="C936" s="55" t="n"/>
      <c r="D936" s="55" t="n"/>
      <c r="E936">
        <f>IF(OR(A936="",B936=""),"",B936-A936)</f>
        <v/>
      </c>
      <c r="F936" s="55" t="n"/>
    </row>
    <row r="937">
      <c r="A937" s="54" t="n"/>
      <c r="B937" s="54" t="n"/>
      <c r="C937" s="55" t="n"/>
      <c r="D937" s="55" t="n"/>
      <c r="E937">
        <f>IF(OR(A937="",B937=""),"",B937-A937)</f>
        <v/>
      </c>
      <c r="F937" s="55" t="n"/>
    </row>
    <row r="938">
      <c r="A938" s="54" t="n"/>
      <c r="B938" s="54" t="n"/>
      <c r="C938" s="55" t="n"/>
      <c r="D938" s="55" t="n"/>
      <c r="E938">
        <f>IF(OR(A938="",B938=""),"",B938-A938)</f>
        <v/>
      </c>
      <c r="F938" s="55" t="n"/>
    </row>
    <row r="939">
      <c r="A939" s="54" t="n"/>
      <c r="B939" s="54" t="n"/>
      <c r="C939" s="55" t="n"/>
      <c r="D939" s="55" t="n"/>
      <c r="E939">
        <f>IF(OR(A939="",B939=""),"",B939-A939)</f>
        <v/>
      </c>
      <c r="F939" s="55" t="n"/>
    </row>
    <row r="940">
      <c r="A940" s="54" t="n"/>
      <c r="B940" s="54" t="n"/>
      <c r="C940" s="55" t="n"/>
      <c r="D940" s="55" t="n"/>
      <c r="E940">
        <f>IF(OR(A940="",B940=""),"",B940-A940)</f>
        <v/>
      </c>
      <c r="F940" s="55" t="n"/>
    </row>
    <row r="941">
      <c r="A941" s="54" t="n"/>
      <c r="B941" s="54" t="n"/>
      <c r="C941" s="55" t="n"/>
      <c r="D941" s="55" t="n"/>
      <c r="E941">
        <f>IF(OR(A941="",B941=""),"",B941-A941)</f>
        <v/>
      </c>
      <c r="F941" s="55" t="n"/>
    </row>
    <row r="942">
      <c r="A942" s="54" t="n"/>
      <c r="B942" s="54" t="n"/>
      <c r="C942" s="55" t="n"/>
      <c r="D942" s="55" t="n"/>
      <c r="E942">
        <f>IF(OR(A942="",B942=""),"",B942-A942)</f>
        <v/>
      </c>
      <c r="F942" s="55" t="n"/>
    </row>
    <row r="943">
      <c r="A943" s="54" t="n"/>
      <c r="B943" s="54" t="n"/>
      <c r="C943" s="55" t="n"/>
      <c r="D943" s="55" t="n"/>
      <c r="E943">
        <f>IF(OR(A943="",B943=""),"",B943-A943)</f>
        <v/>
      </c>
      <c r="F943" s="55" t="n"/>
    </row>
    <row r="944">
      <c r="A944" s="54" t="n"/>
      <c r="B944" s="54" t="n"/>
      <c r="C944" s="55" t="n"/>
      <c r="D944" s="55" t="n"/>
      <c r="E944">
        <f>IF(OR(A944="",B944=""),"",B944-A944)</f>
        <v/>
      </c>
      <c r="F944" s="55" t="n"/>
    </row>
    <row r="945">
      <c r="A945" s="54" t="n"/>
      <c r="B945" s="54" t="n"/>
      <c r="C945" s="55" t="n"/>
      <c r="D945" s="55" t="n"/>
      <c r="E945">
        <f>IF(OR(A945="",B945=""),"",B945-A945)</f>
        <v/>
      </c>
      <c r="F945" s="55" t="n"/>
    </row>
    <row r="946">
      <c r="A946" s="54" t="n"/>
      <c r="B946" s="54" t="n"/>
      <c r="C946" s="55" t="n"/>
      <c r="D946" s="55" t="n"/>
      <c r="E946">
        <f>IF(OR(A946="",B946=""),"",B946-A946)</f>
        <v/>
      </c>
      <c r="F946" s="55" t="n"/>
    </row>
    <row r="947">
      <c r="A947" s="54" t="n"/>
      <c r="B947" s="54" t="n"/>
      <c r="C947" s="55" t="n"/>
      <c r="D947" s="55" t="n"/>
      <c r="E947">
        <f>IF(OR(A947="",B947=""),"",B947-A947)</f>
        <v/>
      </c>
      <c r="F947" s="55" t="n"/>
    </row>
    <row r="948">
      <c r="A948" s="54" t="n"/>
      <c r="B948" s="54" t="n"/>
      <c r="C948" s="55" t="n"/>
      <c r="D948" s="55" t="n"/>
      <c r="E948">
        <f>IF(OR(A948="",B948=""),"",B948-A948)</f>
        <v/>
      </c>
      <c r="F948" s="55" t="n"/>
    </row>
    <row r="949">
      <c r="A949" s="54" t="n"/>
      <c r="B949" s="54" t="n"/>
      <c r="C949" s="55" t="n"/>
      <c r="D949" s="55" t="n"/>
      <c r="E949">
        <f>IF(OR(A949="",B949=""),"",B949-A949)</f>
        <v/>
      </c>
      <c r="F949" s="55" t="n"/>
    </row>
    <row r="950">
      <c r="A950" s="54" t="n"/>
      <c r="B950" s="54" t="n"/>
      <c r="C950" s="55" t="n"/>
      <c r="D950" s="55" t="n"/>
      <c r="E950">
        <f>IF(OR(A950="",B950=""),"",B950-A950)</f>
        <v/>
      </c>
      <c r="F950" s="55" t="n"/>
    </row>
    <row r="951">
      <c r="A951" s="54" t="n"/>
      <c r="B951" s="54" t="n"/>
      <c r="C951" s="55" t="n"/>
      <c r="D951" s="55" t="n"/>
      <c r="E951">
        <f>IF(OR(A951="",B951=""),"",B951-A951)</f>
        <v/>
      </c>
      <c r="F951" s="55" t="n"/>
    </row>
    <row r="952">
      <c r="A952" s="54" t="n"/>
      <c r="B952" s="54" t="n"/>
      <c r="C952" s="55" t="n"/>
      <c r="D952" s="55" t="n"/>
      <c r="E952">
        <f>IF(OR(A952="",B952=""),"",B952-A952)</f>
        <v/>
      </c>
      <c r="F952" s="55" t="n"/>
    </row>
    <row r="953">
      <c r="A953" s="54" t="n"/>
      <c r="B953" s="54" t="n"/>
      <c r="C953" s="55" t="n"/>
      <c r="D953" s="55" t="n"/>
      <c r="E953">
        <f>IF(OR(A953="",B953=""),"",B953-A953)</f>
        <v/>
      </c>
      <c r="F953" s="55" t="n"/>
    </row>
    <row r="954">
      <c r="A954" s="54" t="n"/>
      <c r="B954" s="54" t="n"/>
      <c r="C954" s="55" t="n"/>
      <c r="D954" s="55" t="n"/>
      <c r="E954">
        <f>IF(OR(A954="",B954=""),"",B954-A954)</f>
        <v/>
      </c>
      <c r="F954" s="55" t="n"/>
    </row>
    <row r="955">
      <c r="A955" s="54" t="n"/>
      <c r="B955" s="54" t="n"/>
      <c r="C955" s="55" t="n"/>
      <c r="D955" s="55" t="n"/>
      <c r="E955">
        <f>IF(OR(A955="",B955=""),"",B955-A955)</f>
        <v/>
      </c>
      <c r="F955" s="55" t="n"/>
    </row>
    <row r="956">
      <c r="A956" s="54" t="n"/>
      <c r="B956" s="54" t="n"/>
      <c r="C956" s="55" t="n"/>
      <c r="D956" s="55" t="n"/>
      <c r="E956">
        <f>IF(OR(A956="",B956=""),"",B956-A956)</f>
        <v/>
      </c>
      <c r="F956" s="55" t="n"/>
    </row>
    <row r="957">
      <c r="A957" s="54" t="n"/>
      <c r="B957" s="54" t="n"/>
      <c r="C957" s="55" t="n"/>
      <c r="D957" s="55" t="n"/>
      <c r="E957">
        <f>IF(OR(A957="",B957=""),"",B957-A957)</f>
        <v/>
      </c>
      <c r="F957" s="55" t="n"/>
    </row>
    <row r="958">
      <c r="A958" s="54" t="n"/>
      <c r="B958" s="54" t="n"/>
      <c r="C958" s="55" t="n"/>
      <c r="D958" s="55" t="n"/>
      <c r="E958">
        <f>IF(OR(A958="",B958=""),"",B958-A958)</f>
        <v/>
      </c>
      <c r="F958" s="55" t="n"/>
    </row>
    <row r="959">
      <c r="A959" s="54" t="n"/>
      <c r="B959" s="54" t="n"/>
      <c r="C959" s="55" t="n"/>
      <c r="D959" s="55" t="n"/>
      <c r="E959">
        <f>IF(OR(A959="",B959=""),"",B959-A959)</f>
        <v/>
      </c>
      <c r="F959" s="55" t="n"/>
    </row>
    <row r="960">
      <c r="A960" s="54" t="n"/>
      <c r="B960" s="54" t="n"/>
      <c r="C960" s="55" t="n"/>
      <c r="D960" s="55" t="n"/>
      <c r="E960">
        <f>IF(OR(A960="",B960=""),"",B960-A960)</f>
        <v/>
      </c>
      <c r="F960" s="55" t="n"/>
    </row>
    <row r="961">
      <c r="A961" s="54" t="n"/>
      <c r="B961" s="54" t="n"/>
      <c r="C961" s="55" t="n"/>
      <c r="D961" s="55" t="n"/>
      <c r="E961">
        <f>IF(OR(A961="",B961=""),"",B961-A961)</f>
        <v/>
      </c>
      <c r="F961" s="55" t="n"/>
    </row>
    <row r="962">
      <c r="A962" s="54" t="n"/>
      <c r="B962" s="54" t="n"/>
      <c r="C962" s="55" t="n"/>
      <c r="D962" s="55" t="n"/>
      <c r="E962">
        <f>IF(OR(A962="",B962=""),"",B962-A962)</f>
        <v/>
      </c>
      <c r="F962" s="55" t="n"/>
    </row>
    <row r="963">
      <c r="A963" s="54" t="n"/>
      <c r="B963" s="54" t="n"/>
      <c r="C963" s="55" t="n"/>
      <c r="D963" s="55" t="n"/>
      <c r="E963">
        <f>IF(OR(A963="",B963=""),"",B963-A963)</f>
        <v/>
      </c>
      <c r="F963" s="55" t="n"/>
    </row>
    <row r="964">
      <c r="A964" s="54" t="n"/>
      <c r="B964" s="54" t="n"/>
      <c r="C964" s="55" t="n"/>
      <c r="D964" s="55" t="n"/>
      <c r="E964">
        <f>IF(OR(A964="",B964=""),"",B964-A964)</f>
        <v/>
      </c>
      <c r="F964" s="55" t="n"/>
    </row>
    <row r="965">
      <c r="A965" s="54" t="n"/>
      <c r="B965" s="54" t="n"/>
      <c r="C965" s="55" t="n"/>
      <c r="D965" s="55" t="n"/>
      <c r="E965">
        <f>IF(OR(A965="",B965=""),"",B965-A965)</f>
        <v/>
      </c>
      <c r="F965" s="55" t="n"/>
    </row>
    <row r="966">
      <c r="A966" s="54" t="n"/>
      <c r="B966" s="54" t="n"/>
      <c r="C966" s="55" t="n"/>
      <c r="D966" s="55" t="n"/>
      <c r="E966">
        <f>IF(OR(A966="",B966=""),"",B966-A966)</f>
        <v/>
      </c>
      <c r="F966" s="55" t="n"/>
    </row>
    <row r="967">
      <c r="A967" s="54" t="n"/>
      <c r="B967" s="54" t="n"/>
      <c r="C967" s="55" t="n"/>
      <c r="D967" s="55" t="n"/>
      <c r="E967">
        <f>IF(OR(A967="",B967=""),"",B967-A967)</f>
        <v/>
      </c>
      <c r="F967" s="55" t="n"/>
    </row>
    <row r="968">
      <c r="A968" s="54" t="n"/>
      <c r="B968" s="54" t="n"/>
      <c r="C968" s="55" t="n"/>
      <c r="D968" s="55" t="n"/>
      <c r="E968">
        <f>IF(OR(A968="",B968=""),"",B968-A968)</f>
        <v/>
      </c>
      <c r="F968" s="55" t="n"/>
    </row>
    <row r="969">
      <c r="A969" s="54" t="n"/>
      <c r="B969" s="54" t="n"/>
      <c r="C969" s="55" t="n"/>
      <c r="D969" s="55" t="n"/>
      <c r="E969">
        <f>IF(OR(A969="",B969=""),"",B969-A969)</f>
        <v/>
      </c>
      <c r="F969" s="55" t="n"/>
    </row>
    <row r="970">
      <c r="A970" s="54" t="n"/>
      <c r="B970" s="54" t="n"/>
      <c r="C970" s="55" t="n"/>
      <c r="D970" s="55" t="n"/>
      <c r="E970">
        <f>IF(OR(A970="",B970=""),"",B970-A970)</f>
        <v/>
      </c>
      <c r="F970" s="55" t="n"/>
    </row>
    <row r="971">
      <c r="A971" s="54" t="n"/>
      <c r="B971" s="54" t="n"/>
      <c r="C971" s="55" t="n"/>
      <c r="D971" s="55" t="n"/>
      <c r="E971">
        <f>IF(OR(A971="",B971=""),"",B971-A971)</f>
        <v/>
      </c>
      <c r="F971" s="55" t="n"/>
    </row>
    <row r="972">
      <c r="A972" s="54" t="n"/>
      <c r="B972" s="54" t="n"/>
      <c r="C972" s="55" t="n"/>
      <c r="D972" s="55" t="n"/>
      <c r="E972">
        <f>IF(OR(A972="",B972=""),"",B972-A972)</f>
        <v/>
      </c>
      <c r="F972" s="55" t="n"/>
    </row>
    <row r="973">
      <c r="A973" s="54" t="n"/>
      <c r="B973" s="54" t="n"/>
      <c r="C973" s="55" t="n"/>
      <c r="D973" s="55" t="n"/>
      <c r="E973">
        <f>IF(OR(A973="",B973=""),"",B973-A973)</f>
        <v/>
      </c>
      <c r="F973" s="55" t="n"/>
    </row>
    <row r="974">
      <c r="A974" s="54" t="n"/>
      <c r="B974" s="54" t="n"/>
      <c r="C974" s="55" t="n"/>
      <c r="D974" s="55" t="n"/>
      <c r="E974">
        <f>IF(OR(A974="",B974=""),"",B974-A974)</f>
        <v/>
      </c>
      <c r="F974" s="55" t="n"/>
    </row>
    <row r="975">
      <c r="A975" s="54" t="n"/>
      <c r="B975" s="54" t="n"/>
      <c r="C975" s="55" t="n"/>
      <c r="D975" s="55" t="n"/>
      <c r="E975">
        <f>IF(OR(A975="",B975=""),"",B975-A975)</f>
        <v/>
      </c>
      <c r="F975" s="55" t="n"/>
    </row>
    <row r="976">
      <c r="A976" s="54" t="n"/>
      <c r="B976" s="54" t="n"/>
      <c r="C976" s="55" t="n"/>
      <c r="D976" s="55" t="n"/>
      <c r="E976">
        <f>IF(OR(A976="",B976=""),"",B976-A976)</f>
        <v/>
      </c>
      <c r="F976" s="55" t="n"/>
    </row>
    <row r="977">
      <c r="A977" s="54" t="n"/>
      <c r="B977" s="54" t="n"/>
      <c r="C977" s="55" t="n"/>
      <c r="D977" s="55" t="n"/>
      <c r="E977">
        <f>IF(OR(A977="",B977=""),"",B977-A977)</f>
        <v/>
      </c>
      <c r="F977" s="55" t="n"/>
    </row>
    <row r="978">
      <c r="A978" s="54" t="n"/>
      <c r="B978" s="54" t="n"/>
      <c r="C978" s="55" t="n"/>
      <c r="D978" s="55" t="n"/>
      <c r="E978">
        <f>IF(OR(A978="",B978=""),"",B978-A978)</f>
        <v/>
      </c>
      <c r="F978" s="55" t="n"/>
    </row>
    <row r="979">
      <c r="A979" s="54" t="n"/>
      <c r="B979" s="54" t="n"/>
      <c r="C979" s="55" t="n"/>
      <c r="D979" s="55" t="n"/>
      <c r="E979">
        <f>IF(OR(A979="",B979=""),"",B979-A979)</f>
        <v/>
      </c>
      <c r="F979" s="55" t="n"/>
    </row>
    <row r="980">
      <c r="A980" s="54" t="n"/>
      <c r="B980" s="54" t="n"/>
      <c r="C980" s="55" t="n"/>
      <c r="D980" s="55" t="n"/>
      <c r="E980">
        <f>IF(OR(A980="",B980=""),"",B980-A980)</f>
        <v/>
      </c>
      <c r="F980" s="55" t="n"/>
    </row>
    <row r="981">
      <c r="A981" s="54" t="n"/>
      <c r="B981" s="54" t="n"/>
      <c r="C981" s="55" t="n"/>
      <c r="D981" s="55" t="n"/>
      <c r="E981">
        <f>IF(OR(A981="",B981=""),"",B981-A981)</f>
        <v/>
      </c>
      <c r="F981" s="55" t="n"/>
    </row>
    <row r="982">
      <c r="A982" s="54" t="n"/>
      <c r="B982" s="54" t="n"/>
      <c r="C982" s="55" t="n"/>
      <c r="D982" s="55" t="n"/>
      <c r="E982">
        <f>IF(OR(A982="",B982=""),"",B982-A982)</f>
        <v/>
      </c>
      <c r="F982" s="55" t="n"/>
    </row>
    <row r="983">
      <c r="A983" s="54" t="n"/>
      <c r="B983" s="54" t="n"/>
      <c r="C983" s="55" t="n"/>
      <c r="D983" s="55" t="n"/>
      <c r="E983">
        <f>IF(OR(A983="",B983=""),"",B983-A983)</f>
        <v/>
      </c>
      <c r="F983" s="55" t="n"/>
    </row>
    <row r="984">
      <c r="A984" s="54" t="n"/>
      <c r="B984" s="54" t="n"/>
      <c r="C984" s="55" t="n"/>
      <c r="D984" s="55" t="n"/>
      <c r="E984">
        <f>IF(OR(A984="",B984=""),"",B984-A984)</f>
        <v/>
      </c>
      <c r="F984" s="55" t="n"/>
    </row>
    <row r="985">
      <c r="A985" s="54" t="n"/>
      <c r="B985" s="54" t="n"/>
      <c r="C985" s="55" t="n"/>
      <c r="D985" s="55" t="n"/>
      <c r="E985">
        <f>IF(OR(A985="",B985=""),"",B985-A985)</f>
        <v/>
      </c>
      <c r="F985" s="55" t="n"/>
    </row>
    <row r="986">
      <c r="A986" s="54" t="n"/>
      <c r="B986" s="54" t="n"/>
      <c r="C986" s="55" t="n"/>
      <c r="D986" s="55" t="n"/>
      <c r="E986">
        <f>IF(OR(A986="",B986=""),"",B986-A986)</f>
        <v/>
      </c>
      <c r="F986" s="55" t="n"/>
    </row>
    <row r="987">
      <c r="A987" s="54" t="n"/>
      <c r="B987" s="54" t="n"/>
      <c r="C987" s="55" t="n"/>
      <c r="D987" s="55" t="n"/>
      <c r="E987">
        <f>IF(OR(A987="",B987=""),"",B987-A987)</f>
        <v/>
      </c>
      <c r="F987" s="55" t="n"/>
    </row>
    <row r="988">
      <c r="A988" s="54" t="n"/>
      <c r="B988" s="54" t="n"/>
      <c r="C988" s="55" t="n"/>
      <c r="D988" s="55" t="n"/>
      <c r="E988">
        <f>IF(OR(A988="",B988=""),"",B988-A988)</f>
        <v/>
      </c>
      <c r="F988" s="55" t="n"/>
    </row>
    <row r="989">
      <c r="A989" s="54" t="n"/>
      <c r="B989" s="54" t="n"/>
      <c r="C989" s="55" t="n"/>
      <c r="D989" s="55" t="n"/>
      <c r="E989">
        <f>IF(OR(A989="",B989=""),"",B989-A989)</f>
        <v/>
      </c>
      <c r="F989" s="55" t="n"/>
    </row>
    <row r="990">
      <c r="A990" s="54" t="n"/>
      <c r="B990" s="54" t="n"/>
      <c r="C990" s="55" t="n"/>
      <c r="D990" s="55" t="n"/>
      <c r="E990">
        <f>IF(OR(A990="",B990=""),"",B990-A990)</f>
        <v/>
      </c>
      <c r="F990" s="55" t="n"/>
    </row>
    <row r="991">
      <c r="A991" s="54" t="n"/>
      <c r="B991" s="54" t="n"/>
      <c r="C991" s="55" t="n"/>
      <c r="D991" s="55" t="n"/>
      <c r="E991">
        <f>IF(OR(A991="",B991=""),"",B991-A991)</f>
        <v/>
      </c>
      <c r="F991" s="55" t="n"/>
    </row>
    <row r="992">
      <c r="A992" s="54" t="n"/>
      <c r="B992" s="54" t="n"/>
      <c r="C992" s="55" t="n"/>
      <c r="D992" s="55" t="n"/>
      <c r="E992">
        <f>IF(OR(A992="",B992=""),"",B992-A992)</f>
        <v/>
      </c>
      <c r="F992" s="55" t="n"/>
    </row>
    <row r="993">
      <c r="A993" s="54" t="n"/>
      <c r="B993" s="54" t="n"/>
      <c r="C993" s="55" t="n"/>
      <c r="D993" s="55" t="n"/>
      <c r="E993">
        <f>IF(OR(A993="",B993=""),"",B993-A993)</f>
        <v/>
      </c>
      <c r="F993" s="55" t="n"/>
    </row>
    <row r="994">
      <c r="A994" s="54" t="n"/>
      <c r="B994" s="54" t="n"/>
      <c r="C994" s="55" t="n"/>
      <c r="D994" s="55" t="n"/>
      <c r="E994">
        <f>IF(OR(A994="",B994=""),"",B994-A994)</f>
        <v/>
      </c>
      <c r="F994" s="55" t="n"/>
    </row>
    <row r="995">
      <c r="A995" s="54" t="n"/>
      <c r="B995" s="54" t="n"/>
      <c r="C995" s="55" t="n"/>
      <c r="D995" s="55" t="n"/>
      <c r="E995">
        <f>IF(OR(A995="",B995=""),"",B995-A995)</f>
        <v/>
      </c>
      <c r="F995" s="55" t="n"/>
    </row>
    <row r="996">
      <c r="A996" s="54" t="n"/>
      <c r="B996" s="54" t="n"/>
      <c r="C996" s="55" t="n"/>
      <c r="D996" s="55" t="n"/>
      <c r="E996">
        <f>IF(OR(A996="",B996=""),"",B996-A996)</f>
        <v/>
      </c>
      <c r="F996" s="55" t="n"/>
    </row>
    <row r="997">
      <c r="A997" s="54" t="n"/>
      <c r="B997" s="54" t="n"/>
      <c r="C997" s="55" t="n"/>
      <c r="D997" s="55" t="n"/>
      <c r="E997">
        <f>IF(OR(A997="",B997=""),"",B997-A997)</f>
        <v/>
      </c>
      <c r="F997" s="55" t="n"/>
    </row>
    <row r="998">
      <c r="A998" s="54" t="n"/>
      <c r="B998" s="54" t="n"/>
      <c r="C998" s="55" t="n"/>
      <c r="D998" s="55" t="n"/>
      <c r="E998">
        <f>IF(OR(A998="",B998=""),"",B998-A998)</f>
        <v/>
      </c>
      <c r="F998" s="55" t="n"/>
    </row>
    <row r="999">
      <c r="A999" s="54" t="n"/>
      <c r="B999" s="54" t="n"/>
      <c r="C999" s="55" t="n"/>
      <c r="D999" s="55" t="n"/>
      <c r="E999">
        <f>IF(OR(A999="",B999=""),"",B999-A999)</f>
        <v/>
      </c>
      <c r="F999" s="55" t="n"/>
    </row>
    <row r="1000">
      <c r="A1000" s="54" t="n"/>
      <c r="B1000" s="54" t="n"/>
      <c r="C1000" s="55" t="n"/>
      <c r="D1000" s="55" t="n"/>
      <c r="E1000">
        <f>IF(OR(A1000="",B1000=""),"",B1000-A1000)</f>
        <v/>
      </c>
      <c r="F1000" s="55" t="n"/>
    </row>
  </sheetData>
  <autoFilter ref="A1:F5000"/>
  <dataValidations count="2">
    <dataValidation sqref="C2:C1000" showDropDown="0" showInputMessage="0" showErrorMessage="0" allowBlank="1" type="list">
      <formula1>"C,D,E,F,G,H"</formula1>
    </dataValidation>
    <dataValidation sqref="A2:B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5" customWidth="1" min="6" max="6"/>
  </cols>
  <sheetData>
    <row r="1" ht="30" customHeight="1">
      <c r="A1" s="59" t="inlineStr">
        <is>
          <t>Data</t>
        </is>
      </c>
      <c r="B1" s="59" t="inlineStr">
        <is>
          <t>Veio</t>
        </is>
      </c>
      <c r="C1" s="59" t="inlineStr">
        <is>
          <t>Molde nº</t>
        </is>
      </c>
      <c r="D1" s="59" t="inlineStr">
        <is>
          <t>Meta (vida progr.)</t>
        </is>
      </c>
      <c r="E1" s="59" t="inlineStr">
        <is>
          <t>Acumulado (corridas)</t>
        </is>
      </c>
      <c r="F1" s="59" t="inlineStr">
        <is>
          <t>Observação</t>
        </is>
      </c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F3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0" customHeight="1">
      <c r="A1" s="59" t="inlineStr">
        <is>
          <t>Data</t>
        </is>
      </c>
      <c r="B1" s="59" t="inlineStr">
        <is>
          <t>MCC4 real (t)</t>
        </is>
      </c>
      <c r="C1" s="59" t="inlineStr">
        <is>
          <t>MCC4 prog (t)</t>
        </is>
      </c>
      <c r="D1" s="59" t="inlineStr">
        <is>
          <t>MCC2 real (t)</t>
        </is>
      </c>
      <c r="E1" s="59" t="inlineStr">
        <is>
          <t>MCC3 real (t)</t>
        </is>
      </c>
      <c r="F1" s="59" t="inlineStr">
        <is>
          <t>Arquivo</t>
        </is>
      </c>
    </row>
    <row r="2">
      <c r="B2" s="56" t="n"/>
      <c r="C2" s="56" t="n"/>
      <c r="D2" s="56" t="n"/>
      <c r="E2" s="56" t="n"/>
    </row>
    <row r="3">
      <c r="B3" s="56" t="n"/>
      <c r="C3" s="56" t="n"/>
      <c r="D3" s="56" t="n"/>
      <c r="E3" s="56" t="n"/>
    </row>
    <row r="4">
      <c r="B4" s="56" t="n"/>
      <c r="C4" s="56" t="n"/>
      <c r="D4" s="56" t="n"/>
      <c r="E4" s="56" t="n"/>
    </row>
    <row r="5">
      <c r="B5" s="56" t="n"/>
      <c r="C5" s="56" t="n"/>
      <c r="D5" s="56" t="n"/>
      <c r="E5" s="56" t="n"/>
    </row>
    <row r="6">
      <c r="B6" s="56" t="n"/>
      <c r="C6" s="56" t="n"/>
      <c r="D6" s="56" t="n"/>
      <c r="E6" s="56" t="n"/>
    </row>
    <row r="7">
      <c r="B7" s="56" t="n"/>
      <c r="C7" s="56" t="n"/>
      <c r="D7" s="56" t="n"/>
      <c r="E7" s="56" t="n"/>
    </row>
    <row r="8">
      <c r="B8" s="56" t="n"/>
      <c r="C8" s="56" t="n"/>
      <c r="D8" s="56" t="n"/>
      <c r="E8" s="56" t="n"/>
    </row>
    <row r="9">
      <c r="B9" s="56" t="n"/>
      <c r="C9" s="56" t="n"/>
      <c r="D9" s="56" t="n"/>
      <c r="E9" s="56" t="n"/>
    </row>
    <row r="10">
      <c r="B10" s="56" t="n"/>
      <c r="C10" s="56" t="n"/>
      <c r="D10" s="56" t="n"/>
      <c r="E10" s="56" t="n"/>
    </row>
    <row r="11">
      <c r="B11" s="56" t="n"/>
      <c r="C11" s="56" t="n"/>
      <c r="D11" s="56" t="n"/>
      <c r="E11" s="56" t="n"/>
    </row>
    <row r="12">
      <c r="B12" s="56" t="n"/>
      <c r="C12" s="56" t="n"/>
      <c r="D12" s="56" t="n"/>
      <c r="E12" s="56" t="n"/>
    </row>
    <row r="13">
      <c r="B13" s="56" t="n"/>
      <c r="C13" s="56" t="n"/>
      <c r="D13" s="56" t="n"/>
      <c r="E13" s="56" t="n"/>
    </row>
    <row r="14">
      <c r="B14" s="56" t="n"/>
      <c r="C14" s="56" t="n"/>
      <c r="D14" s="56" t="n"/>
      <c r="E14" s="56" t="n"/>
    </row>
    <row r="15">
      <c r="B15" s="56" t="n"/>
      <c r="C15" s="56" t="n"/>
      <c r="D15" s="56" t="n"/>
      <c r="E15" s="56" t="n"/>
    </row>
    <row r="16">
      <c r="B16" s="56" t="n"/>
      <c r="C16" s="56" t="n"/>
      <c r="D16" s="56" t="n"/>
      <c r="E16" s="56" t="n"/>
    </row>
    <row r="17">
      <c r="B17" s="56" t="n"/>
      <c r="C17" s="56" t="n"/>
      <c r="D17" s="56" t="n"/>
      <c r="E17" s="56" t="n"/>
    </row>
    <row r="18">
      <c r="B18" s="56" t="n"/>
      <c r="C18" s="56" t="n"/>
      <c r="D18" s="56" t="n"/>
      <c r="E18" s="56" t="n"/>
    </row>
    <row r="19">
      <c r="B19" s="56" t="n"/>
      <c r="C19" s="56" t="n"/>
      <c r="D19" s="56" t="n"/>
      <c r="E19" s="56" t="n"/>
    </row>
    <row r="20">
      <c r="B20" s="56" t="n"/>
      <c r="C20" s="56" t="n"/>
      <c r="D20" s="56" t="n"/>
      <c r="E20" s="56" t="n"/>
    </row>
    <row r="21">
      <c r="B21" s="56" t="n"/>
      <c r="C21" s="56" t="n"/>
      <c r="D21" s="56" t="n"/>
      <c r="E21" s="56" t="n"/>
    </row>
    <row r="22">
      <c r="B22" s="56" t="n"/>
      <c r="C22" s="56" t="n"/>
      <c r="D22" s="56" t="n"/>
      <c r="E22" s="56" t="n"/>
    </row>
    <row r="23">
      <c r="B23" s="56" t="n"/>
      <c r="C23" s="56" t="n"/>
      <c r="D23" s="56" t="n"/>
      <c r="E23" s="56" t="n"/>
    </row>
    <row r="24">
      <c r="B24" s="56" t="n"/>
      <c r="C24" s="56" t="n"/>
      <c r="D24" s="56" t="n"/>
      <c r="E24" s="56" t="n"/>
    </row>
    <row r="25">
      <c r="B25" s="56" t="n"/>
      <c r="C25" s="56" t="n"/>
      <c r="D25" s="56" t="n"/>
      <c r="E25" s="56" t="n"/>
    </row>
    <row r="26">
      <c r="B26" s="56" t="n"/>
      <c r="C26" s="56" t="n"/>
      <c r="D26" s="56" t="n"/>
      <c r="E26" s="56" t="n"/>
    </row>
    <row r="27">
      <c r="B27" s="56" t="n"/>
      <c r="C27" s="56" t="n"/>
      <c r="D27" s="56" t="n"/>
      <c r="E27" s="56" t="n"/>
    </row>
    <row r="28">
      <c r="B28" s="56" t="n"/>
      <c r="C28" s="56" t="n"/>
      <c r="D28" s="56" t="n"/>
      <c r="E28" s="56" t="n"/>
    </row>
    <row r="29">
      <c r="B29" s="56" t="n"/>
      <c r="C29" s="56" t="n"/>
      <c r="D29" s="56" t="n"/>
      <c r="E29" s="56" t="n"/>
    </row>
    <row r="30">
      <c r="B30" s="56" t="n"/>
      <c r="C30" s="56" t="n"/>
      <c r="D30" s="56" t="n"/>
      <c r="E30" s="56" t="n"/>
    </row>
    <row r="31">
      <c r="B31" s="56" t="n"/>
      <c r="C31" s="56" t="n"/>
      <c r="D31" s="56" t="n"/>
      <c r="E31" s="56" t="n"/>
    </row>
    <row r="32">
      <c r="B32" s="56" t="n"/>
      <c r="C32" s="56" t="n"/>
      <c r="D32" s="56" t="n"/>
      <c r="E32" s="56" t="n"/>
    </row>
    <row r="33">
      <c r="B33" s="56" t="n"/>
      <c r="C33" s="56" t="n"/>
      <c r="D33" s="56" t="n"/>
      <c r="E33" s="56" t="n"/>
    </row>
    <row r="34">
      <c r="B34" s="56" t="n"/>
      <c r="C34" s="56" t="n"/>
      <c r="D34" s="56" t="n"/>
      <c r="E34" s="56" t="n"/>
    </row>
    <row r="35">
      <c r="B35" s="56" t="n"/>
      <c r="C35" s="56" t="n"/>
      <c r="D35" s="56" t="n"/>
      <c r="E35" s="56" t="n"/>
    </row>
    <row r="36">
      <c r="B36" s="56" t="n"/>
      <c r="C36" s="56" t="n"/>
      <c r="D36" s="56" t="n"/>
      <c r="E36" s="56" t="n"/>
    </row>
    <row r="37">
      <c r="B37" s="56" t="n"/>
      <c r="C37" s="56" t="n"/>
      <c r="D37" s="56" t="n"/>
      <c r="E37" s="56" t="n"/>
    </row>
    <row r="38">
      <c r="B38" s="56" t="n"/>
      <c r="C38" s="56" t="n"/>
      <c r="D38" s="56" t="n"/>
      <c r="E38" s="56" t="n"/>
    </row>
    <row r="39">
      <c r="B39" s="56" t="n"/>
      <c r="C39" s="56" t="n"/>
      <c r="D39" s="56" t="n"/>
      <c r="E39" s="56" t="n"/>
    </row>
    <row r="40">
      <c r="B40" s="56" t="n"/>
      <c r="C40" s="56" t="n"/>
      <c r="D40" s="56" t="n"/>
      <c r="E40" s="56" t="n"/>
    </row>
    <row r="41">
      <c r="B41" s="56" t="n"/>
      <c r="C41" s="56" t="n"/>
      <c r="D41" s="56" t="n"/>
      <c r="E41" s="56" t="n"/>
    </row>
    <row r="42">
      <c r="B42" s="56" t="n"/>
      <c r="C42" s="56" t="n"/>
      <c r="D42" s="56" t="n"/>
      <c r="E42" s="56" t="n"/>
    </row>
    <row r="43">
      <c r="B43" s="56" t="n"/>
      <c r="C43" s="56" t="n"/>
      <c r="D43" s="56" t="n"/>
      <c r="E43" s="56" t="n"/>
    </row>
    <row r="44">
      <c r="B44" s="56" t="n"/>
      <c r="C44" s="56" t="n"/>
      <c r="D44" s="56" t="n"/>
      <c r="E44" s="56" t="n"/>
    </row>
    <row r="45">
      <c r="B45" s="56" t="n"/>
      <c r="C45" s="56" t="n"/>
      <c r="D45" s="56" t="n"/>
      <c r="E45" s="56" t="n"/>
    </row>
    <row r="46">
      <c r="B46" s="56" t="n"/>
      <c r="C46" s="56" t="n"/>
      <c r="D46" s="56" t="n"/>
      <c r="E46" s="56" t="n"/>
    </row>
    <row r="47">
      <c r="B47" s="56" t="n"/>
      <c r="C47" s="56" t="n"/>
      <c r="D47" s="56" t="n"/>
      <c r="E47" s="56" t="n"/>
    </row>
    <row r="48">
      <c r="B48" s="56" t="n"/>
      <c r="C48" s="56" t="n"/>
      <c r="D48" s="56" t="n"/>
      <c r="E48" s="56" t="n"/>
    </row>
    <row r="49">
      <c r="B49" s="56" t="n"/>
      <c r="C49" s="56" t="n"/>
      <c r="D49" s="56" t="n"/>
      <c r="E49" s="56" t="n"/>
    </row>
    <row r="50">
      <c r="B50" s="56" t="n"/>
      <c r="C50" s="56" t="n"/>
      <c r="D50" s="56" t="n"/>
      <c r="E50" s="56" t="n"/>
    </row>
    <row r="51">
      <c r="B51" s="56" t="n"/>
      <c r="C51" s="56" t="n"/>
      <c r="D51" s="56" t="n"/>
      <c r="E51" s="56" t="n"/>
    </row>
    <row r="52">
      <c r="B52" s="56" t="n"/>
      <c r="C52" s="56" t="n"/>
      <c r="D52" s="56" t="n"/>
      <c r="E52" s="56" t="n"/>
    </row>
    <row r="53">
      <c r="B53" s="56" t="n"/>
      <c r="C53" s="56" t="n"/>
      <c r="D53" s="56" t="n"/>
      <c r="E53" s="56" t="n"/>
    </row>
    <row r="54">
      <c r="B54" s="56" t="n"/>
      <c r="C54" s="56" t="n"/>
      <c r="D54" s="56" t="n"/>
      <c r="E54" s="56" t="n"/>
    </row>
    <row r="55">
      <c r="B55" s="56" t="n"/>
      <c r="C55" s="56" t="n"/>
      <c r="D55" s="56" t="n"/>
      <c r="E55" s="56" t="n"/>
    </row>
    <row r="56">
      <c r="B56" s="56" t="n"/>
      <c r="C56" s="56" t="n"/>
      <c r="D56" s="56" t="n"/>
      <c r="E56" s="56" t="n"/>
    </row>
    <row r="57">
      <c r="B57" s="56" t="n"/>
      <c r="C57" s="56" t="n"/>
      <c r="D57" s="56" t="n"/>
      <c r="E57" s="56" t="n"/>
    </row>
    <row r="58">
      <c r="B58" s="56" t="n"/>
      <c r="C58" s="56" t="n"/>
      <c r="D58" s="56" t="n"/>
      <c r="E58" s="56" t="n"/>
    </row>
    <row r="59">
      <c r="B59" s="56" t="n"/>
      <c r="C59" s="56" t="n"/>
      <c r="D59" s="56" t="n"/>
      <c r="E59" s="56" t="n"/>
    </row>
    <row r="60">
      <c r="B60" s="56" t="n"/>
      <c r="C60" s="56" t="n"/>
      <c r="D60" s="56" t="n"/>
      <c r="E60" s="56" t="n"/>
    </row>
    <row r="61">
      <c r="B61" s="56" t="n"/>
      <c r="C61" s="56" t="n"/>
      <c r="D61" s="56" t="n"/>
      <c r="E61" s="56" t="n"/>
    </row>
    <row r="62">
      <c r="B62" s="56" t="n"/>
      <c r="C62" s="56" t="n"/>
      <c r="D62" s="56" t="n"/>
      <c r="E62" s="56" t="n"/>
    </row>
    <row r="63">
      <c r="B63" s="56" t="n"/>
      <c r="C63" s="56" t="n"/>
      <c r="D63" s="56" t="n"/>
      <c r="E63" s="56" t="n"/>
    </row>
    <row r="64">
      <c r="B64" s="56" t="n"/>
      <c r="C64" s="56" t="n"/>
      <c r="D64" s="56" t="n"/>
      <c r="E64" s="56" t="n"/>
    </row>
    <row r="65">
      <c r="B65" s="56" t="n"/>
      <c r="C65" s="56" t="n"/>
      <c r="D65" s="56" t="n"/>
      <c r="E65" s="56" t="n"/>
    </row>
    <row r="66">
      <c r="B66" s="56" t="n"/>
      <c r="C66" s="56" t="n"/>
      <c r="D66" s="56" t="n"/>
      <c r="E66" s="56" t="n"/>
    </row>
    <row r="67">
      <c r="B67" s="56" t="n"/>
      <c r="C67" s="56" t="n"/>
      <c r="D67" s="56" t="n"/>
      <c r="E67" s="56" t="n"/>
    </row>
    <row r="68">
      <c r="B68" s="56" t="n"/>
      <c r="C68" s="56" t="n"/>
      <c r="D68" s="56" t="n"/>
      <c r="E68" s="56" t="n"/>
    </row>
    <row r="69">
      <c r="B69" s="56" t="n"/>
      <c r="C69" s="56" t="n"/>
      <c r="D69" s="56" t="n"/>
      <c r="E69" s="56" t="n"/>
    </row>
    <row r="70">
      <c r="B70" s="56" t="n"/>
      <c r="C70" s="56" t="n"/>
      <c r="D70" s="56" t="n"/>
      <c r="E70" s="56" t="n"/>
    </row>
    <row r="71">
      <c r="B71" s="56" t="n"/>
      <c r="C71" s="56" t="n"/>
      <c r="D71" s="56" t="n"/>
      <c r="E71" s="56" t="n"/>
    </row>
    <row r="72">
      <c r="B72" s="56" t="n"/>
      <c r="C72" s="56" t="n"/>
      <c r="D72" s="56" t="n"/>
      <c r="E72" s="56" t="n"/>
    </row>
    <row r="73">
      <c r="B73" s="56" t="n"/>
      <c r="C73" s="56" t="n"/>
      <c r="D73" s="56" t="n"/>
      <c r="E73" s="56" t="n"/>
    </row>
    <row r="74">
      <c r="B74" s="56" t="n"/>
      <c r="C74" s="56" t="n"/>
      <c r="D74" s="56" t="n"/>
      <c r="E74" s="56" t="n"/>
    </row>
    <row r="75">
      <c r="B75" s="56" t="n"/>
      <c r="C75" s="56" t="n"/>
      <c r="D75" s="56" t="n"/>
      <c r="E75" s="56" t="n"/>
    </row>
    <row r="76">
      <c r="B76" s="56" t="n"/>
      <c r="C76" s="56" t="n"/>
      <c r="D76" s="56" t="n"/>
      <c r="E76" s="56" t="n"/>
    </row>
    <row r="77">
      <c r="B77" s="56" t="n"/>
      <c r="C77" s="56" t="n"/>
      <c r="D77" s="56" t="n"/>
      <c r="E77" s="56" t="n"/>
    </row>
    <row r="78">
      <c r="B78" s="56" t="n"/>
      <c r="C78" s="56" t="n"/>
      <c r="D78" s="56" t="n"/>
      <c r="E78" s="56" t="n"/>
    </row>
    <row r="79">
      <c r="B79" s="56" t="n"/>
      <c r="C79" s="56" t="n"/>
      <c r="D79" s="56" t="n"/>
      <c r="E79" s="56" t="n"/>
    </row>
    <row r="80">
      <c r="B80" s="56" t="n"/>
      <c r="C80" s="56" t="n"/>
      <c r="D80" s="56" t="n"/>
      <c r="E80" s="56" t="n"/>
    </row>
    <row r="81">
      <c r="B81" s="56" t="n"/>
      <c r="C81" s="56" t="n"/>
      <c r="D81" s="56" t="n"/>
      <c r="E81" s="56" t="n"/>
    </row>
    <row r="82">
      <c r="B82" s="56" t="n"/>
      <c r="C82" s="56" t="n"/>
      <c r="D82" s="56" t="n"/>
      <c r="E82" s="56" t="n"/>
    </row>
    <row r="83">
      <c r="B83" s="56" t="n"/>
      <c r="C83" s="56" t="n"/>
      <c r="D83" s="56" t="n"/>
      <c r="E83" s="56" t="n"/>
    </row>
    <row r="84">
      <c r="B84" s="56" t="n"/>
      <c r="C84" s="56" t="n"/>
      <c r="D84" s="56" t="n"/>
      <c r="E84" s="56" t="n"/>
    </row>
    <row r="85">
      <c r="B85" s="56" t="n"/>
      <c r="C85" s="56" t="n"/>
      <c r="D85" s="56" t="n"/>
      <c r="E85" s="56" t="n"/>
    </row>
    <row r="86">
      <c r="B86" s="56" t="n"/>
      <c r="C86" s="56" t="n"/>
      <c r="D86" s="56" t="n"/>
      <c r="E86" s="56" t="n"/>
    </row>
    <row r="87">
      <c r="B87" s="56" t="n"/>
      <c r="C87" s="56" t="n"/>
      <c r="D87" s="56" t="n"/>
      <c r="E87" s="56" t="n"/>
    </row>
    <row r="88">
      <c r="B88" s="56" t="n"/>
      <c r="C88" s="56" t="n"/>
      <c r="D88" s="56" t="n"/>
      <c r="E88" s="56" t="n"/>
    </row>
    <row r="89">
      <c r="B89" s="56" t="n"/>
      <c r="C89" s="56" t="n"/>
      <c r="D89" s="56" t="n"/>
      <c r="E89" s="56" t="n"/>
    </row>
    <row r="90">
      <c r="B90" s="56" t="n"/>
      <c r="C90" s="56" t="n"/>
      <c r="D90" s="56" t="n"/>
      <c r="E90" s="56" t="n"/>
    </row>
    <row r="91">
      <c r="B91" s="56" t="n"/>
      <c r="C91" s="56" t="n"/>
      <c r="D91" s="56" t="n"/>
      <c r="E91" s="56" t="n"/>
    </row>
    <row r="92">
      <c r="B92" s="56" t="n"/>
      <c r="C92" s="56" t="n"/>
      <c r="D92" s="56" t="n"/>
      <c r="E92" s="56" t="n"/>
    </row>
    <row r="93">
      <c r="B93" s="56" t="n"/>
      <c r="C93" s="56" t="n"/>
      <c r="D93" s="56" t="n"/>
      <c r="E93" s="56" t="n"/>
    </row>
    <row r="94">
      <c r="B94" s="56" t="n"/>
      <c r="C94" s="56" t="n"/>
      <c r="D94" s="56" t="n"/>
      <c r="E94" s="56" t="n"/>
    </row>
    <row r="95">
      <c r="B95" s="56" t="n"/>
      <c r="C95" s="56" t="n"/>
      <c r="D95" s="56" t="n"/>
      <c r="E95" s="56" t="n"/>
    </row>
    <row r="96">
      <c r="B96" s="56" t="n"/>
      <c r="C96" s="56" t="n"/>
      <c r="D96" s="56" t="n"/>
      <c r="E96" s="56" t="n"/>
    </row>
    <row r="97">
      <c r="B97" s="56" t="n"/>
      <c r="C97" s="56" t="n"/>
      <c r="D97" s="56" t="n"/>
      <c r="E97" s="56" t="n"/>
    </row>
    <row r="98">
      <c r="B98" s="56" t="n"/>
      <c r="C98" s="56" t="n"/>
      <c r="D98" s="56" t="n"/>
      <c r="E98" s="56" t="n"/>
    </row>
    <row r="99">
      <c r="B99" s="56" t="n"/>
      <c r="C99" s="56" t="n"/>
      <c r="D99" s="56" t="n"/>
      <c r="E99" s="56" t="n"/>
    </row>
    <row r="100">
      <c r="B100" s="56" t="n"/>
      <c r="C100" s="56" t="n"/>
      <c r="D100" s="56" t="n"/>
      <c r="E100" s="56" t="n"/>
    </row>
    <row r="101">
      <c r="B101" s="56" t="n"/>
      <c r="C101" s="56" t="n"/>
      <c r="D101" s="56" t="n"/>
      <c r="E101" s="56" t="n"/>
    </row>
    <row r="102">
      <c r="B102" s="56" t="n"/>
      <c r="C102" s="56" t="n"/>
      <c r="D102" s="56" t="n"/>
      <c r="E102" s="56" t="n"/>
    </row>
    <row r="103">
      <c r="B103" s="56" t="n"/>
      <c r="C103" s="56" t="n"/>
      <c r="D103" s="56" t="n"/>
      <c r="E103" s="56" t="n"/>
    </row>
    <row r="104">
      <c r="B104" s="56" t="n"/>
      <c r="C104" s="56" t="n"/>
      <c r="D104" s="56" t="n"/>
      <c r="E104" s="56" t="n"/>
    </row>
    <row r="105">
      <c r="B105" s="56" t="n"/>
      <c r="C105" s="56" t="n"/>
      <c r="D105" s="56" t="n"/>
      <c r="E105" s="56" t="n"/>
    </row>
    <row r="106">
      <c r="B106" s="56" t="n"/>
      <c r="C106" s="56" t="n"/>
      <c r="D106" s="56" t="n"/>
      <c r="E106" s="56" t="n"/>
    </row>
    <row r="107">
      <c r="B107" s="56" t="n"/>
      <c r="C107" s="56" t="n"/>
      <c r="D107" s="56" t="n"/>
      <c r="E107" s="56" t="n"/>
    </row>
    <row r="108">
      <c r="B108" s="56" t="n"/>
      <c r="C108" s="56" t="n"/>
      <c r="D108" s="56" t="n"/>
      <c r="E108" s="56" t="n"/>
    </row>
    <row r="109">
      <c r="B109" s="56" t="n"/>
      <c r="C109" s="56" t="n"/>
      <c r="D109" s="56" t="n"/>
      <c r="E109" s="56" t="n"/>
    </row>
    <row r="110">
      <c r="B110" s="56" t="n"/>
      <c r="C110" s="56" t="n"/>
      <c r="D110" s="56" t="n"/>
      <c r="E110" s="56" t="n"/>
    </row>
    <row r="111">
      <c r="B111" s="56" t="n"/>
      <c r="C111" s="56" t="n"/>
      <c r="D111" s="56" t="n"/>
      <c r="E111" s="56" t="n"/>
    </row>
    <row r="112">
      <c r="B112" s="56" t="n"/>
      <c r="C112" s="56" t="n"/>
      <c r="D112" s="56" t="n"/>
      <c r="E112" s="56" t="n"/>
    </row>
    <row r="113">
      <c r="B113" s="56" t="n"/>
      <c r="C113" s="56" t="n"/>
      <c r="D113" s="56" t="n"/>
      <c r="E113" s="56" t="n"/>
    </row>
    <row r="114">
      <c r="B114" s="56" t="n"/>
      <c r="C114" s="56" t="n"/>
      <c r="D114" s="56" t="n"/>
      <c r="E114" s="56" t="n"/>
    </row>
    <row r="115">
      <c r="B115" s="56" t="n"/>
      <c r="C115" s="56" t="n"/>
      <c r="D115" s="56" t="n"/>
      <c r="E115" s="56" t="n"/>
    </row>
    <row r="116">
      <c r="B116" s="56" t="n"/>
      <c r="C116" s="56" t="n"/>
      <c r="D116" s="56" t="n"/>
      <c r="E116" s="56" t="n"/>
    </row>
    <row r="117">
      <c r="B117" s="56" t="n"/>
      <c r="C117" s="56" t="n"/>
      <c r="D117" s="56" t="n"/>
      <c r="E117" s="56" t="n"/>
    </row>
    <row r="118">
      <c r="B118" s="56" t="n"/>
      <c r="C118" s="56" t="n"/>
      <c r="D118" s="56" t="n"/>
      <c r="E118" s="56" t="n"/>
    </row>
    <row r="119">
      <c r="B119" s="56" t="n"/>
      <c r="C119" s="56" t="n"/>
      <c r="D119" s="56" t="n"/>
      <c r="E119" s="56" t="n"/>
    </row>
    <row r="120">
      <c r="B120" s="56" t="n"/>
      <c r="C120" s="56" t="n"/>
      <c r="D120" s="56" t="n"/>
      <c r="E120" s="56" t="n"/>
    </row>
    <row r="121">
      <c r="B121" s="56" t="n"/>
      <c r="C121" s="56" t="n"/>
      <c r="D121" s="56" t="n"/>
      <c r="E121" s="56" t="n"/>
    </row>
    <row r="122">
      <c r="B122" s="56" t="n"/>
      <c r="C122" s="56" t="n"/>
      <c r="D122" s="56" t="n"/>
      <c r="E122" s="56" t="n"/>
    </row>
    <row r="123">
      <c r="B123" s="56" t="n"/>
      <c r="C123" s="56" t="n"/>
      <c r="D123" s="56" t="n"/>
      <c r="E123" s="56" t="n"/>
    </row>
    <row r="124">
      <c r="B124" s="56" t="n"/>
      <c r="C124" s="56" t="n"/>
      <c r="D124" s="56" t="n"/>
      <c r="E124" s="56" t="n"/>
    </row>
    <row r="125">
      <c r="B125" s="56" t="n"/>
      <c r="C125" s="56" t="n"/>
      <c r="D125" s="56" t="n"/>
      <c r="E125" s="56" t="n"/>
    </row>
    <row r="126">
      <c r="B126" s="56" t="n"/>
      <c r="C126" s="56" t="n"/>
      <c r="D126" s="56" t="n"/>
      <c r="E126" s="56" t="n"/>
    </row>
    <row r="127">
      <c r="B127" s="56" t="n"/>
      <c r="C127" s="56" t="n"/>
      <c r="D127" s="56" t="n"/>
      <c r="E127" s="56" t="n"/>
    </row>
    <row r="128">
      <c r="B128" s="56" t="n"/>
      <c r="C128" s="56" t="n"/>
      <c r="D128" s="56" t="n"/>
      <c r="E128" s="56" t="n"/>
    </row>
    <row r="129">
      <c r="B129" s="56" t="n"/>
      <c r="C129" s="56" t="n"/>
      <c r="D129" s="56" t="n"/>
      <c r="E129" s="56" t="n"/>
    </row>
    <row r="130">
      <c r="B130" s="56" t="n"/>
      <c r="C130" s="56" t="n"/>
      <c r="D130" s="56" t="n"/>
      <c r="E130" s="56" t="n"/>
    </row>
    <row r="131">
      <c r="B131" s="56" t="n"/>
      <c r="C131" s="56" t="n"/>
      <c r="D131" s="56" t="n"/>
      <c r="E131" s="56" t="n"/>
    </row>
    <row r="132">
      <c r="B132" s="56" t="n"/>
      <c r="C132" s="56" t="n"/>
      <c r="D132" s="56" t="n"/>
      <c r="E132" s="56" t="n"/>
    </row>
    <row r="133">
      <c r="B133" s="56" t="n"/>
      <c r="C133" s="56" t="n"/>
      <c r="D133" s="56" t="n"/>
      <c r="E133" s="56" t="n"/>
    </row>
    <row r="134">
      <c r="B134" s="56" t="n"/>
      <c r="C134" s="56" t="n"/>
      <c r="D134" s="56" t="n"/>
      <c r="E134" s="56" t="n"/>
    </row>
    <row r="135">
      <c r="B135" s="56" t="n"/>
      <c r="C135" s="56" t="n"/>
      <c r="D135" s="56" t="n"/>
      <c r="E135" s="56" t="n"/>
    </row>
    <row r="136">
      <c r="B136" s="56" t="n"/>
      <c r="C136" s="56" t="n"/>
      <c r="D136" s="56" t="n"/>
      <c r="E136" s="56" t="n"/>
    </row>
    <row r="137">
      <c r="B137" s="56" t="n"/>
      <c r="C137" s="56" t="n"/>
      <c r="D137" s="56" t="n"/>
      <c r="E137" s="56" t="n"/>
    </row>
    <row r="138">
      <c r="B138" s="56" t="n"/>
      <c r="C138" s="56" t="n"/>
      <c r="D138" s="56" t="n"/>
      <c r="E138" s="56" t="n"/>
    </row>
    <row r="139">
      <c r="B139" s="56" t="n"/>
      <c r="C139" s="56" t="n"/>
      <c r="D139" s="56" t="n"/>
      <c r="E139" s="56" t="n"/>
    </row>
    <row r="140">
      <c r="B140" s="56" t="n"/>
      <c r="C140" s="56" t="n"/>
      <c r="D140" s="56" t="n"/>
      <c r="E140" s="56" t="n"/>
    </row>
    <row r="141">
      <c r="B141" s="56" t="n"/>
      <c r="C141" s="56" t="n"/>
      <c r="D141" s="56" t="n"/>
      <c r="E141" s="56" t="n"/>
    </row>
    <row r="142">
      <c r="B142" s="56" t="n"/>
      <c r="C142" s="56" t="n"/>
      <c r="D142" s="56" t="n"/>
      <c r="E142" s="56" t="n"/>
    </row>
    <row r="143">
      <c r="B143" s="56" t="n"/>
      <c r="C143" s="56" t="n"/>
      <c r="D143" s="56" t="n"/>
      <c r="E143" s="56" t="n"/>
    </row>
    <row r="144">
      <c r="B144" s="56" t="n"/>
      <c r="C144" s="56" t="n"/>
      <c r="D144" s="56" t="n"/>
      <c r="E144" s="56" t="n"/>
    </row>
    <row r="145">
      <c r="B145" s="56" t="n"/>
      <c r="C145" s="56" t="n"/>
      <c r="D145" s="56" t="n"/>
      <c r="E145" s="56" t="n"/>
    </row>
    <row r="146">
      <c r="B146" s="56" t="n"/>
      <c r="C146" s="56" t="n"/>
      <c r="D146" s="56" t="n"/>
      <c r="E146" s="56" t="n"/>
    </row>
    <row r="147">
      <c r="B147" s="56" t="n"/>
      <c r="C147" s="56" t="n"/>
      <c r="D147" s="56" t="n"/>
      <c r="E147" s="56" t="n"/>
    </row>
    <row r="148">
      <c r="B148" s="56" t="n"/>
      <c r="C148" s="56" t="n"/>
      <c r="D148" s="56" t="n"/>
      <c r="E148" s="56" t="n"/>
    </row>
    <row r="149">
      <c r="B149" s="56" t="n"/>
      <c r="C149" s="56" t="n"/>
      <c r="D149" s="56" t="n"/>
      <c r="E149" s="56" t="n"/>
    </row>
    <row r="150">
      <c r="B150" s="56" t="n"/>
      <c r="C150" s="56" t="n"/>
      <c r="D150" s="56" t="n"/>
      <c r="E150" s="56" t="n"/>
    </row>
    <row r="151">
      <c r="B151" s="56" t="n"/>
      <c r="C151" s="56" t="n"/>
      <c r="D151" s="56" t="n"/>
      <c r="E151" s="56" t="n"/>
    </row>
    <row r="152">
      <c r="B152" s="56" t="n"/>
      <c r="C152" s="56" t="n"/>
      <c r="D152" s="56" t="n"/>
      <c r="E152" s="56" t="n"/>
    </row>
    <row r="153">
      <c r="B153" s="56" t="n"/>
      <c r="C153" s="56" t="n"/>
      <c r="D153" s="56" t="n"/>
      <c r="E153" s="56" t="n"/>
    </row>
    <row r="154">
      <c r="B154" s="56" t="n"/>
      <c r="C154" s="56" t="n"/>
      <c r="D154" s="56" t="n"/>
      <c r="E154" s="56" t="n"/>
    </row>
    <row r="155">
      <c r="B155" s="56" t="n"/>
      <c r="C155" s="56" t="n"/>
      <c r="D155" s="56" t="n"/>
      <c r="E155" s="56" t="n"/>
    </row>
    <row r="156">
      <c r="B156" s="56" t="n"/>
      <c r="C156" s="56" t="n"/>
      <c r="D156" s="56" t="n"/>
      <c r="E156" s="56" t="n"/>
    </row>
    <row r="157">
      <c r="B157" s="56" t="n"/>
      <c r="C157" s="56" t="n"/>
      <c r="D157" s="56" t="n"/>
      <c r="E157" s="56" t="n"/>
    </row>
    <row r="158">
      <c r="B158" s="56" t="n"/>
      <c r="C158" s="56" t="n"/>
      <c r="D158" s="56" t="n"/>
      <c r="E158" s="56" t="n"/>
    </row>
    <row r="159">
      <c r="B159" s="56" t="n"/>
      <c r="C159" s="56" t="n"/>
      <c r="D159" s="56" t="n"/>
      <c r="E159" s="56" t="n"/>
    </row>
    <row r="160">
      <c r="B160" s="56" t="n"/>
      <c r="C160" s="56" t="n"/>
      <c r="D160" s="56" t="n"/>
      <c r="E160" s="56" t="n"/>
    </row>
    <row r="161">
      <c r="B161" s="56" t="n"/>
      <c r="C161" s="56" t="n"/>
      <c r="D161" s="56" t="n"/>
      <c r="E161" s="56" t="n"/>
    </row>
    <row r="162">
      <c r="B162" s="56" t="n"/>
      <c r="C162" s="56" t="n"/>
      <c r="D162" s="56" t="n"/>
      <c r="E162" s="56" t="n"/>
    </row>
    <row r="163">
      <c r="B163" s="56" t="n"/>
      <c r="C163" s="56" t="n"/>
      <c r="D163" s="56" t="n"/>
      <c r="E163" s="56" t="n"/>
    </row>
    <row r="164">
      <c r="B164" s="56" t="n"/>
      <c r="C164" s="56" t="n"/>
      <c r="D164" s="56" t="n"/>
      <c r="E164" s="56" t="n"/>
    </row>
    <row r="165">
      <c r="B165" s="56" t="n"/>
      <c r="C165" s="56" t="n"/>
      <c r="D165" s="56" t="n"/>
      <c r="E165" s="56" t="n"/>
    </row>
    <row r="166">
      <c r="B166" s="56" t="n"/>
      <c r="C166" s="56" t="n"/>
      <c r="D166" s="56" t="n"/>
      <c r="E166" s="56" t="n"/>
    </row>
    <row r="167">
      <c r="B167" s="56" t="n"/>
      <c r="C167" s="56" t="n"/>
      <c r="D167" s="56" t="n"/>
      <c r="E167" s="56" t="n"/>
    </row>
    <row r="168">
      <c r="B168" s="56" t="n"/>
      <c r="C168" s="56" t="n"/>
      <c r="D168" s="56" t="n"/>
      <c r="E168" s="56" t="n"/>
    </row>
    <row r="169">
      <c r="B169" s="56" t="n"/>
      <c r="C169" s="56" t="n"/>
      <c r="D169" s="56" t="n"/>
      <c r="E169" s="56" t="n"/>
    </row>
    <row r="170">
      <c r="B170" s="56" t="n"/>
      <c r="C170" s="56" t="n"/>
      <c r="D170" s="56" t="n"/>
      <c r="E170" s="56" t="n"/>
    </row>
    <row r="171">
      <c r="B171" s="56" t="n"/>
      <c r="C171" s="56" t="n"/>
      <c r="D171" s="56" t="n"/>
      <c r="E171" s="56" t="n"/>
    </row>
    <row r="172">
      <c r="B172" s="56" t="n"/>
      <c r="C172" s="56" t="n"/>
      <c r="D172" s="56" t="n"/>
      <c r="E172" s="56" t="n"/>
    </row>
    <row r="173">
      <c r="B173" s="56" t="n"/>
      <c r="C173" s="56" t="n"/>
      <c r="D173" s="56" t="n"/>
      <c r="E173" s="56" t="n"/>
    </row>
    <row r="174">
      <c r="B174" s="56" t="n"/>
      <c r="C174" s="56" t="n"/>
      <c r="D174" s="56" t="n"/>
      <c r="E174" s="56" t="n"/>
    </row>
    <row r="175">
      <c r="B175" s="56" t="n"/>
      <c r="C175" s="56" t="n"/>
      <c r="D175" s="56" t="n"/>
      <c r="E175" s="56" t="n"/>
    </row>
    <row r="176">
      <c r="B176" s="56" t="n"/>
      <c r="C176" s="56" t="n"/>
      <c r="D176" s="56" t="n"/>
      <c r="E176" s="56" t="n"/>
    </row>
    <row r="177">
      <c r="B177" s="56" t="n"/>
      <c r="C177" s="56" t="n"/>
      <c r="D177" s="56" t="n"/>
      <c r="E177" s="56" t="n"/>
    </row>
    <row r="178">
      <c r="B178" s="56" t="n"/>
      <c r="C178" s="56" t="n"/>
      <c r="D178" s="56" t="n"/>
      <c r="E178" s="56" t="n"/>
    </row>
    <row r="179">
      <c r="B179" s="56" t="n"/>
      <c r="C179" s="56" t="n"/>
      <c r="D179" s="56" t="n"/>
      <c r="E179" s="56" t="n"/>
    </row>
    <row r="180">
      <c r="B180" s="56" t="n"/>
      <c r="C180" s="56" t="n"/>
      <c r="D180" s="56" t="n"/>
      <c r="E180" s="56" t="n"/>
    </row>
    <row r="181">
      <c r="B181" s="56" t="n"/>
      <c r="C181" s="56" t="n"/>
      <c r="D181" s="56" t="n"/>
      <c r="E181" s="56" t="n"/>
    </row>
    <row r="182">
      <c r="B182" s="56" t="n"/>
      <c r="C182" s="56" t="n"/>
      <c r="D182" s="56" t="n"/>
      <c r="E182" s="56" t="n"/>
    </row>
    <row r="183">
      <c r="B183" s="56" t="n"/>
      <c r="C183" s="56" t="n"/>
      <c r="D183" s="56" t="n"/>
      <c r="E183" s="56" t="n"/>
    </row>
    <row r="184">
      <c r="B184" s="56" t="n"/>
      <c r="C184" s="56" t="n"/>
      <c r="D184" s="56" t="n"/>
      <c r="E184" s="56" t="n"/>
    </row>
    <row r="185">
      <c r="B185" s="56" t="n"/>
      <c r="C185" s="56" t="n"/>
      <c r="D185" s="56" t="n"/>
      <c r="E185" s="56" t="n"/>
    </row>
    <row r="186">
      <c r="B186" s="56" t="n"/>
      <c r="C186" s="56" t="n"/>
      <c r="D186" s="56" t="n"/>
      <c r="E186" s="56" t="n"/>
    </row>
    <row r="187">
      <c r="B187" s="56" t="n"/>
      <c r="C187" s="56" t="n"/>
      <c r="D187" s="56" t="n"/>
      <c r="E187" s="56" t="n"/>
    </row>
    <row r="188">
      <c r="B188" s="56" t="n"/>
      <c r="C188" s="56" t="n"/>
      <c r="D188" s="56" t="n"/>
      <c r="E188" s="56" t="n"/>
    </row>
    <row r="189">
      <c r="B189" s="56" t="n"/>
      <c r="C189" s="56" t="n"/>
      <c r="D189" s="56" t="n"/>
      <c r="E189" s="56" t="n"/>
    </row>
    <row r="190">
      <c r="B190" s="56" t="n"/>
      <c r="C190" s="56" t="n"/>
      <c r="D190" s="56" t="n"/>
      <c r="E190" s="56" t="n"/>
    </row>
    <row r="191">
      <c r="B191" s="56" t="n"/>
      <c r="C191" s="56" t="n"/>
      <c r="D191" s="56" t="n"/>
      <c r="E191" s="56" t="n"/>
    </row>
    <row r="192">
      <c r="B192" s="56" t="n"/>
      <c r="C192" s="56" t="n"/>
      <c r="D192" s="56" t="n"/>
      <c r="E192" s="56" t="n"/>
    </row>
    <row r="193">
      <c r="B193" s="56" t="n"/>
      <c r="C193" s="56" t="n"/>
      <c r="D193" s="56" t="n"/>
      <c r="E193" s="56" t="n"/>
    </row>
    <row r="194">
      <c r="B194" s="56" t="n"/>
      <c r="C194" s="56" t="n"/>
      <c r="D194" s="56" t="n"/>
      <c r="E194" s="56" t="n"/>
    </row>
    <row r="195">
      <c r="B195" s="56" t="n"/>
      <c r="C195" s="56" t="n"/>
      <c r="D195" s="56" t="n"/>
      <c r="E195" s="56" t="n"/>
    </row>
    <row r="196">
      <c r="B196" s="56" t="n"/>
      <c r="C196" s="56" t="n"/>
      <c r="D196" s="56" t="n"/>
      <c r="E196" s="56" t="n"/>
    </row>
    <row r="197">
      <c r="B197" s="56" t="n"/>
      <c r="C197" s="56" t="n"/>
      <c r="D197" s="56" t="n"/>
      <c r="E197" s="56" t="n"/>
    </row>
    <row r="198">
      <c r="B198" s="56" t="n"/>
      <c r="C198" s="56" t="n"/>
      <c r="D198" s="56" t="n"/>
      <c r="E198" s="56" t="n"/>
    </row>
    <row r="199">
      <c r="B199" s="56" t="n"/>
      <c r="C199" s="56" t="n"/>
      <c r="D199" s="56" t="n"/>
      <c r="E199" s="56" t="n"/>
    </row>
    <row r="200">
      <c r="B200" s="56" t="n"/>
      <c r="C200" s="56" t="n"/>
      <c r="D200" s="56" t="n"/>
      <c r="E200" s="56" t="n"/>
    </row>
    <row r="201">
      <c r="B201" s="56" t="n"/>
      <c r="C201" s="56" t="n"/>
      <c r="D201" s="56" t="n"/>
      <c r="E201" s="56" t="n"/>
    </row>
    <row r="202">
      <c r="B202" s="56" t="n"/>
      <c r="C202" s="56" t="n"/>
      <c r="D202" s="56" t="n"/>
      <c r="E202" s="56" t="n"/>
    </row>
    <row r="203">
      <c r="B203" s="56" t="n"/>
      <c r="C203" s="56" t="n"/>
      <c r="D203" s="56" t="n"/>
      <c r="E203" s="56" t="n"/>
    </row>
    <row r="204">
      <c r="B204" s="56" t="n"/>
      <c r="C204" s="56" t="n"/>
      <c r="D204" s="56" t="n"/>
      <c r="E204" s="56" t="n"/>
    </row>
    <row r="205">
      <c r="B205" s="56" t="n"/>
      <c r="C205" s="56" t="n"/>
      <c r="D205" s="56" t="n"/>
      <c r="E205" s="56" t="n"/>
    </row>
    <row r="206">
      <c r="B206" s="56" t="n"/>
      <c r="C206" s="56" t="n"/>
      <c r="D206" s="56" t="n"/>
      <c r="E206" s="56" t="n"/>
    </row>
    <row r="207">
      <c r="B207" s="56" t="n"/>
      <c r="C207" s="56" t="n"/>
      <c r="D207" s="56" t="n"/>
      <c r="E207" s="56" t="n"/>
    </row>
    <row r="208">
      <c r="B208" s="56" t="n"/>
      <c r="C208" s="56" t="n"/>
      <c r="D208" s="56" t="n"/>
      <c r="E208" s="56" t="n"/>
    </row>
    <row r="209">
      <c r="B209" s="56" t="n"/>
      <c r="C209" s="56" t="n"/>
      <c r="D209" s="56" t="n"/>
      <c r="E209" s="56" t="n"/>
    </row>
    <row r="210">
      <c r="B210" s="56" t="n"/>
      <c r="C210" s="56" t="n"/>
      <c r="D210" s="56" t="n"/>
      <c r="E210" s="56" t="n"/>
    </row>
    <row r="211">
      <c r="B211" s="56" t="n"/>
      <c r="C211" s="56" t="n"/>
      <c r="D211" s="56" t="n"/>
      <c r="E211" s="56" t="n"/>
    </row>
    <row r="212">
      <c r="B212" s="56" t="n"/>
      <c r="C212" s="56" t="n"/>
      <c r="D212" s="56" t="n"/>
      <c r="E212" s="56" t="n"/>
    </row>
    <row r="213">
      <c r="B213" s="56" t="n"/>
      <c r="C213" s="56" t="n"/>
      <c r="D213" s="56" t="n"/>
      <c r="E213" s="56" t="n"/>
    </row>
    <row r="214">
      <c r="B214" s="56" t="n"/>
      <c r="C214" s="56" t="n"/>
      <c r="D214" s="56" t="n"/>
      <c r="E214" s="56" t="n"/>
    </row>
    <row r="215">
      <c r="B215" s="56" t="n"/>
      <c r="C215" s="56" t="n"/>
      <c r="D215" s="56" t="n"/>
      <c r="E215" s="56" t="n"/>
    </row>
    <row r="216">
      <c r="B216" s="56" t="n"/>
      <c r="C216" s="56" t="n"/>
      <c r="D216" s="56" t="n"/>
      <c r="E216" s="56" t="n"/>
    </row>
    <row r="217">
      <c r="B217" s="56" t="n"/>
      <c r="C217" s="56" t="n"/>
      <c r="D217" s="56" t="n"/>
      <c r="E217" s="56" t="n"/>
    </row>
    <row r="218">
      <c r="B218" s="56" t="n"/>
      <c r="C218" s="56" t="n"/>
      <c r="D218" s="56" t="n"/>
      <c r="E218" s="56" t="n"/>
    </row>
    <row r="219">
      <c r="B219" s="56" t="n"/>
      <c r="C219" s="56" t="n"/>
      <c r="D219" s="56" t="n"/>
      <c r="E219" s="56" t="n"/>
    </row>
    <row r="220">
      <c r="B220" s="56" t="n"/>
      <c r="C220" s="56" t="n"/>
      <c r="D220" s="56" t="n"/>
      <c r="E220" s="56" t="n"/>
    </row>
    <row r="221">
      <c r="B221" s="56" t="n"/>
      <c r="C221" s="56" t="n"/>
      <c r="D221" s="56" t="n"/>
      <c r="E221" s="56" t="n"/>
    </row>
    <row r="222">
      <c r="B222" s="56" t="n"/>
      <c r="C222" s="56" t="n"/>
      <c r="D222" s="56" t="n"/>
      <c r="E222" s="56" t="n"/>
    </row>
    <row r="223">
      <c r="B223" s="56" t="n"/>
      <c r="C223" s="56" t="n"/>
      <c r="D223" s="56" t="n"/>
      <c r="E223" s="56" t="n"/>
    </row>
    <row r="224">
      <c r="B224" s="56" t="n"/>
      <c r="C224" s="56" t="n"/>
      <c r="D224" s="56" t="n"/>
      <c r="E224" s="56" t="n"/>
    </row>
    <row r="225">
      <c r="B225" s="56" t="n"/>
      <c r="C225" s="56" t="n"/>
      <c r="D225" s="56" t="n"/>
      <c r="E225" s="56" t="n"/>
    </row>
    <row r="226">
      <c r="B226" s="56" t="n"/>
      <c r="C226" s="56" t="n"/>
      <c r="D226" s="56" t="n"/>
      <c r="E226" s="56" t="n"/>
    </row>
    <row r="227">
      <c r="B227" s="56" t="n"/>
      <c r="C227" s="56" t="n"/>
      <c r="D227" s="56" t="n"/>
      <c r="E227" s="56" t="n"/>
    </row>
    <row r="228">
      <c r="B228" s="56" t="n"/>
      <c r="C228" s="56" t="n"/>
      <c r="D228" s="56" t="n"/>
      <c r="E228" s="56" t="n"/>
    </row>
    <row r="229">
      <c r="B229" s="56" t="n"/>
      <c r="C229" s="56" t="n"/>
      <c r="D229" s="56" t="n"/>
      <c r="E229" s="56" t="n"/>
    </row>
    <row r="230">
      <c r="B230" s="56" t="n"/>
      <c r="C230" s="56" t="n"/>
      <c r="D230" s="56" t="n"/>
      <c r="E230" s="56" t="n"/>
    </row>
    <row r="231">
      <c r="B231" s="56" t="n"/>
      <c r="C231" s="56" t="n"/>
      <c r="D231" s="56" t="n"/>
      <c r="E231" s="56" t="n"/>
    </row>
    <row r="232">
      <c r="B232" s="56" t="n"/>
      <c r="C232" s="56" t="n"/>
      <c r="D232" s="56" t="n"/>
      <c r="E232" s="56" t="n"/>
    </row>
    <row r="233">
      <c r="B233" s="56" t="n"/>
      <c r="C233" s="56" t="n"/>
      <c r="D233" s="56" t="n"/>
      <c r="E233" s="56" t="n"/>
    </row>
    <row r="234">
      <c r="B234" s="56" t="n"/>
      <c r="C234" s="56" t="n"/>
      <c r="D234" s="56" t="n"/>
      <c r="E234" s="56" t="n"/>
    </row>
    <row r="235">
      <c r="B235" s="56" t="n"/>
      <c r="C235" s="56" t="n"/>
      <c r="D235" s="56" t="n"/>
      <c r="E235" s="56" t="n"/>
    </row>
    <row r="236">
      <c r="B236" s="56" t="n"/>
      <c r="C236" s="56" t="n"/>
      <c r="D236" s="56" t="n"/>
      <c r="E236" s="56" t="n"/>
    </row>
    <row r="237">
      <c r="B237" s="56" t="n"/>
      <c r="C237" s="56" t="n"/>
      <c r="D237" s="56" t="n"/>
      <c r="E237" s="56" t="n"/>
    </row>
    <row r="238">
      <c r="B238" s="56" t="n"/>
      <c r="C238" s="56" t="n"/>
      <c r="D238" s="56" t="n"/>
      <c r="E238" s="56" t="n"/>
    </row>
    <row r="239">
      <c r="B239" s="56" t="n"/>
      <c r="C239" s="56" t="n"/>
      <c r="D239" s="56" t="n"/>
      <c r="E239" s="56" t="n"/>
    </row>
    <row r="240">
      <c r="B240" s="56" t="n"/>
      <c r="C240" s="56" t="n"/>
      <c r="D240" s="56" t="n"/>
      <c r="E240" s="56" t="n"/>
    </row>
    <row r="241">
      <c r="B241" s="56" t="n"/>
      <c r="C241" s="56" t="n"/>
      <c r="D241" s="56" t="n"/>
      <c r="E241" s="56" t="n"/>
    </row>
    <row r="242">
      <c r="B242" s="56" t="n"/>
      <c r="C242" s="56" t="n"/>
      <c r="D242" s="56" t="n"/>
      <c r="E242" s="56" t="n"/>
    </row>
    <row r="243">
      <c r="B243" s="56" t="n"/>
      <c r="C243" s="56" t="n"/>
      <c r="D243" s="56" t="n"/>
      <c r="E243" s="56" t="n"/>
    </row>
    <row r="244">
      <c r="B244" s="56" t="n"/>
      <c r="C244" s="56" t="n"/>
      <c r="D244" s="56" t="n"/>
      <c r="E244" s="56" t="n"/>
    </row>
    <row r="245">
      <c r="B245" s="56" t="n"/>
      <c r="C245" s="56" t="n"/>
      <c r="D245" s="56" t="n"/>
      <c r="E245" s="56" t="n"/>
    </row>
    <row r="246">
      <c r="B246" s="56" t="n"/>
      <c r="C246" s="56" t="n"/>
      <c r="D246" s="56" t="n"/>
      <c r="E246" s="56" t="n"/>
    </row>
    <row r="247">
      <c r="B247" s="56" t="n"/>
      <c r="C247" s="56" t="n"/>
      <c r="D247" s="56" t="n"/>
      <c r="E247" s="56" t="n"/>
    </row>
    <row r="248">
      <c r="B248" s="56" t="n"/>
      <c r="C248" s="56" t="n"/>
      <c r="D248" s="56" t="n"/>
      <c r="E248" s="56" t="n"/>
    </row>
    <row r="249">
      <c r="B249" s="56" t="n"/>
      <c r="C249" s="56" t="n"/>
      <c r="D249" s="56" t="n"/>
      <c r="E249" s="56" t="n"/>
    </row>
    <row r="250">
      <c r="B250" s="56" t="n"/>
      <c r="C250" s="56" t="n"/>
      <c r="D250" s="56" t="n"/>
      <c r="E250" s="56" t="n"/>
    </row>
    <row r="251">
      <c r="B251" s="56" t="n"/>
      <c r="C251" s="56" t="n"/>
      <c r="D251" s="56" t="n"/>
      <c r="E251" s="56" t="n"/>
    </row>
    <row r="252">
      <c r="B252" s="56" t="n"/>
      <c r="C252" s="56" t="n"/>
      <c r="D252" s="56" t="n"/>
      <c r="E252" s="56" t="n"/>
    </row>
    <row r="253">
      <c r="B253" s="56" t="n"/>
      <c r="C253" s="56" t="n"/>
      <c r="D253" s="56" t="n"/>
      <c r="E253" s="56" t="n"/>
    </row>
    <row r="254">
      <c r="B254" s="56" t="n"/>
      <c r="C254" s="56" t="n"/>
      <c r="D254" s="56" t="n"/>
      <c r="E254" s="56" t="n"/>
    </row>
    <row r="255">
      <c r="B255" s="56" t="n"/>
      <c r="C255" s="56" t="n"/>
      <c r="D255" s="56" t="n"/>
      <c r="E255" s="56" t="n"/>
    </row>
    <row r="256">
      <c r="B256" s="56" t="n"/>
      <c r="C256" s="56" t="n"/>
      <c r="D256" s="56" t="n"/>
      <c r="E256" s="56" t="n"/>
    </row>
    <row r="257">
      <c r="B257" s="56" t="n"/>
      <c r="C257" s="56" t="n"/>
      <c r="D257" s="56" t="n"/>
      <c r="E257" s="56" t="n"/>
    </row>
    <row r="258">
      <c r="B258" s="56" t="n"/>
      <c r="C258" s="56" t="n"/>
      <c r="D258" s="56" t="n"/>
      <c r="E258" s="56" t="n"/>
    </row>
    <row r="259">
      <c r="B259" s="56" t="n"/>
      <c r="C259" s="56" t="n"/>
      <c r="D259" s="56" t="n"/>
      <c r="E259" s="56" t="n"/>
    </row>
    <row r="260">
      <c r="B260" s="56" t="n"/>
      <c r="C260" s="56" t="n"/>
      <c r="D260" s="56" t="n"/>
      <c r="E260" s="56" t="n"/>
    </row>
    <row r="261">
      <c r="B261" s="56" t="n"/>
      <c r="C261" s="56" t="n"/>
      <c r="D261" s="56" t="n"/>
      <c r="E261" s="56" t="n"/>
    </row>
    <row r="262">
      <c r="B262" s="56" t="n"/>
      <c r="C262" s="56" t="n"/>
      <c r="D262" s="56" t="n"/>
      <c r="E262" s="56" t="n"/>
    </row>
    <row r="263">
      <c r="B263" s="56" t="n"/>
      <c r="C263" s="56" t="n"/>
      <c r="D263" s="56" t="n"/>
      <c r="E263" s="56" t="n"/>
    </row>
    <row r="264">
      <c r="B264" s="56" t="n"/>
      <c r="C264" s="56" t="n"/>
      <c r="D264" s="56" t="n"/>
      <c r="E264" s="56" t="n"/>
    </row>
    <row r="265">
      <c r="B265" s="56" t="n"/>
      <c r="C265" s="56" t="n"/>
      <c r="D265" s="56" t="n"/>
      <c r="E265" s="56" t="n"/>
    </row>
    <row r="266">
      <c r="B266" s="56" t="n"/>
      <c r="C266" s="56" t="n"/>
      <c r="D266" s="56" t="n"/>
      <c r="E266" s="56" t="n"/>
    </row>
    <row r="267">
      <c r="B267" s="56" t="n"/>
      <c r="C267" s="56" t="n"/>
      <c r="D267" s="56" t="n"/>
      <c r="E267" s="56" t="n"/>
    </row>
    <row r="268">
      <c r="B268" s="56" t="n"/>
      <c r="C268" s="56" t="n"/>
      <c r="D268" s="56" t="n"/>
      <c r="E268" s="56" t="n"/>
    </row>
    <row r="269">
      <c r="B269" s="56" t="n"/>
      <c r="C269" s="56" t="n"/>
      <c r="D269" s="56" t="n"/>
      <c r="E269" s="56" t="n"/>
    </row>
    <row r="270">
      <c r="B270" s="56" t="n"/>
      <c r="C270" s="56" t="n"/>
      <c r="D270" s="56" t="n"/>
      <c r="E270" s="56" t="n"/>
    </row>
    <row r="271">
      <c r="B271" s="56" t="n"/>
      <c r="C271" s="56" t="n"/>
      <c r="D271" s="56" t="n"/>
      <c r="E271" s="56" t="n"/>
    </row>
    <row r="272">
      <c r="B272" s="56" t="n"/>
      <c r="C272" s="56" t="n"/>
      <c r="D272" s="56" t="n"/>
      <c r="E272" s="56" t="n"/>
    </row>
    <row r="273">
      <c r="B273" s="56" t="n"/>
      <c r="C273" s="56" t="n"/>
      <c r="D273" s="56" t="n"/>
      <c r="E273" s="56" t="n"/>
    </row>
    <row r="274">
      <c r="B274" s="56" t="n"/>
      <c r="C274" s="56" t="n"/>
      <c r="D274" s="56" t="n"/>
      <c r="E274" s="56" t="n"/>
    </row>
    <row r="275">
      <c r="B275" s="56" t="n"/>
      <c r="C275" s="56" t="n"/>
      <c r="D275" s="56" t="n"/>
      <c r="E275" s="56" t="n"/>
    </row>
    <row r="276">
      <c r="B276" s="56" t="n"/>
      <c r="C276" s="56" t="n"/>
      <c r="D276" s="56" t="n"/>
      <c r="E276" s="56" t="n"/>
    </row>
    <row r="277">
      <c r="B277" s="56" t="n"/>
      <c r="C277" s="56" t="n"/>
      <c r="D277" s="56" t="n"/>
      <c r="E277" s="56" t="n"/>
    </row>
    <row r="278">
      <c r="B278" s="56" t="n"/>
      <c r="C278" s="56" t="n"/>
      <c r="D278" s="56" t="n"/>
      <c r="E278" s="56" t="n"/>
    </row>
    <row r="279">
      <c r="B279" s="56" t="n"/>
      <c r="C279" s="56" t="n"/>
      <c r="D279" s="56" t="n"/>
      <c r="E279" s="56" t="n"/>
    </row>
    <row r="280">
      <c r="B280" s="56" t="n"/>
      <c r="C280" s="56" t="n"/>
      <c r="D280" s="56" t="n"/>
      <c r="E280" s="56" t="n"/>
    </row>
    <row r="281">
      <c r="B281" s="56" t="n"/>
      <c r="C281" s="56" t="n"/>
      <c r="D281" s="56" t="n"/>
      <c r="E281" s="56" t="n"/>
    </row>
    <row r="282">
      <c r="B282" s="56" t="n"/>
      <c r="C282" s="56" t="n"/>
      <c r="D282" s="56" t="n"/>
      <c r="E282" s="56" t="n"/>
    </row>
    <row r="283">
      <c r="B283" s="56" t="n"/>
      <c r="C283" s="56" t="n"/>
      <c r="D283" s="56" t="n"/>
      <c r="E283" s="56" t="n"/>
    </row>
    <row r="284">
      <c r="B284" s="56" t="n"/>
      <c r="C284" s="56" t="n"/>
      <c r="D284" s="56" t="n"/>
      <c r="E284" s="56" t="n"/>
    </row>
    <row r="285">
      <c r="B285" s="56" t="n"/>
      <c r="C285" s="56" t="n"/>
      <c r="D285" s="56" t="n"/>
      <c r="E285" s="56" t="n"/>
    </row>
    <row r="286">
      <c r="B286" s="56" t="n"/>
      <c r="C286" s="56" t="n"/>
      <c r="D286" s="56" t="n"/>
      <c r="E286" s="56" t="n"/>
    </row>
    <row r="287">
      <c r="B287" s="56" t="n"/>
      <c r="C287" s="56" t="n"/>
      <c r="D287" s="56" t="n"/>
      <c r="E287" s="56" t="n"/>
    </row>
    <row r="288">
      <c r="B288" s="56" t="n"/>
      <c r="C288" s="56" t="n"/>
      <c r="D288" s="56" t="n"/>
      <c r="E288" s="56" t="n"/>
    </row>
    <row r="289">
      <c r="B289" s="56" t="n"/>
      <c r="C289" s="56" t="n"/>
      <c r="D289" s="56" t="n"/>
      <c r="E289" s="56" t="n"/>
    </row>
    <row r="290">
      <c r="B290" s="56" t="n"/>
      <c r="C290" s="56" t="n"/>
      <c r="D290" s="56" t="n"/>
      <c r="E290" s="56" t="n"/>
    </row>
    <row r="291">
      <c r="B291" s="56" t="n"/>
      <c r="C291" s="56" t="n"/>
      <c r="D291" s="56" t="n"/>
      <c r="E291" s="56" t="n"/>
    </row>
    <row r="292">
      <c r="B292" s="56" t="n"/>
      <c r="C292" s="56" t="n"/>
      <c r="D292" s="56" t="n"/>
      <c r="E292" s="56" t="n"/>
    </row>
    <row r="293">
      <c r="B293" s="56" t="n"/>
      <c r="C293" s="56" t="n"/>
      <c r="D293" s="56" t="n"/>
      <c r="E293" s="56" t="n"/>
    </row>
    <row r="294">
      <c r="B294" s="56" t="n"/>
      <c r="C294" s="56" t="n"/>
      <c r="D294" s="56" t="n"/>
      <c r="E294" s="56" t="n"/>
    </row>
    <row r="295">
      <c r="B295" s="56" t="n"/>
      <c r="C295" s="56" t="n"/>
      <c r="D295" s="56" t="n"/>
      <c r="E295" s="56" t="n"/>
    </row>
    <row r="296">
      <c r="B296" s="56" t="n"/>
      <c r="C296" s="56" t="n"/>
      <c r="D296" s="56" t="n"/>
      <c r="E296" s="56" t="n"/>
    </row>
    <row r="297">
      <c r="B297" s="56" t="n"/>
      <c r="C297" s="56" t="n"/>
      <c r="D297" s="56" t="n"/>
      <c r="E297" s="56" t="n"/>
    </row>
    <row r="298">
      <c r="B298" s="56" t="n"/>
      <c r="C298" s="56" t="n"/>
      <c r="D298" s="56" t="n"/>
      <c r="E298" s="56" t="n"/>
    </row>
    <row r="299">
      <c r="B299" s="56" t="n"/>
      <c r="C299" s="56" t="n"/>
      <c r="D299" s="56" t="n"/>
      <c r="E299" s="56" t="n"/>
    </row>
    <row r="300">
      <c r="B300" s="56" t="n"/>
      <c r="C300" s="56" t="n"/>
      <c r="D300" s="56" t="n"/>
      <c r="E300" s="56" t="n"/>
    </row>
    <row r="301">
      <c r="B301" s="56" t="n"/>
      <c r="C301" s="56" t="n"/>
      <c r="D301" s="56" t="n"/>
      <c r="E301" s="56" t="n"/>
    </row>
    <row r="302">
      <c r="B302" s="56" t="n"/>
      <c r="C302" s="56" t="n"/>
      <c r="D302" s="56" t="n"/>
      <c r="E302" s="56" t="n"/>
    </row>
    <row r="303">
      <c r="B303" s="56" t="n"/>
      <c r="C303" s="56" t="n"/>
      <c r="D303" s="56" t="n"/>
      <c r="E303" s="56" t="n"/>
    </row>
    <row r="304">
      <c r="B304" s="56" t="n"/>
      <c r="C304" s="56" t="n"/>
      <c r="D304" s="56" t="n"/>
      <c r="E304" s="56" t="n"/>
    </row>
    <row r="305">
      <c r="B305" s="56" t="n"/>
      <c r="C305" s="56" t="n"/>
      <c r="D305" s="56" t="n"/>
      <c r="E305" s="56" t="n"/>
    </row>
    <row r="306">
      <c r="B306" s="56" t="n"/>
      <c r="C306" s="56" t="n"/>
      <c r="D306" s="56" t="n"/>
      <c r="E306" s="56" t="n"/>
    </row>
    <row r="307">
      <c r="B307" s="56" t="n"/>
      <c r="C307" s="56" t="n"/>
      <c r="D307" s="56" t="n"/>
      <c r="E307" s="56" t="n"/>
    </row>
    <row r="308">
      <c r="B308" s="56" t="n"/>
      <c r="C308" s="56" t="n"/>
      <c r="D308" s="56" t="n"/>
      <c r="E308" s="56" t="n"/>
    </row>
    <row r="309">
      <c r="B309" s="56" t="n"/>
      <c r="C309" s="56" t="n"/>
      <c r="D309" s="56" t="n"/>
      <c r="E309" s="56" t="n"/>
    </row>
    <row r="310">
      <c r="B310" s="56" t="n"/>
      <c r="C310" s="56" t="n"/>
      <c r="D310" s="56" t="n"/>
      <c r="E310" s="56" t="n"/>
    </row>
    <row r="311">
      <c r="B311" s="56" t="n"/>
      <c r="C311" s="56" t="n"/>
      <c r="D311" s="56" t="n"/>
      <c r="E311" s="56" t="n"/>
    </row>
    <row r="312">
      <c r="B312" s="56" t="n"/>
      <c r="C312" s="56" t="n"/>
      <c r="D312" s="56" t="n"/>
      <c r="E312" s="56" t="n"/>
    </row>
    <row r="313">
      <c r="B313" s="56" t="n"/>
      <c r="C313" s="56" t="n"/>
      <c r="D313" s="56" t="n"/>
      <c r="E313" s="56" t="n"/>
    </row>
    <row r="314">
      <c r="B314" s="56" t="n"/>
      <c r="C314" s="56" t="n"/>
      <c r="D314" s="56" t="n"/>
      <c r="E314" s="56" t="n"/>
    </row>
    <row r="315">
      <c r="B315" s="56" t="n"/>
      <c r="C315" s="56" t="n"/>
      <c r="D315" s="56" t="n"/>
      <c r="E315" s="56" t="n"/>
    </row>
    <row r="316">
      <c r="B316" s="56" t="n"/>
      <c r="C316" s="56" t="n"/>
      <c r="D316" s="56" t="n"/>
      <c r="E316" s="56" t="n"/>
    </row>
    <row r="317">
      <c r="B317" s="56" t="n"/>
      <c r="C317" s="56" t="n"/>
      <c r="D317" s="56" t="n"/>
      <c r="E317" s="56" t="n"/>
    </row>
    <row r="318">
      <c r="B318" s="56" t="n"/>
      <c r="C318" s="56" t="n"/>
      <c r="D318" s="56" t="n"/>
      <c r="E318" s="56" t="n"/>
    </row>
    <row r="319">
      <c r="B319" s="56" t="n"/>
      <c r="C319" s="56" t="n"/>
      <c r="D319" s="56" t="n"/>
      <c r="E319" s="56" t="n"/>
    </row>
    <row r="320">
      <c r="B320" s="56" t="n"/>
      <c r="C320" s="56" t="n"/>
      <c r="D320" s="56" t="n"/>
      <c r="E320" s="56" t="n"/>
    </row>
    <row r="321">
      <c r="B321" s="56" t="n"/>
      <c r="C321" s="56" t="n"/>
      <c r="D321" s="56" t="n"/>
      <c r="E321" s="56" t="n"/>
    </row>
    <row r="322">
      <c r="B322" s="56" t="n"/>
      <c r="C322" s="56" t="n"/>
      <c r="D322" s="56" t="n"/>
      <c r="E322" s="56" t="n"/>
    </row>
    <row r="323">
      <c r="B323" s="56" t="n"/>
      <c r="C323" s="56" t="n"/>
      <c r="D323" s="56" t="n"/>
      <c r="E323" s="56" t="n"/>
    </row>
    <row r="324">
      <c r="B324" s="56" t="n"/>
      <c r="C324" s="56" t="n"/>
      <c r="D324" s="56" t="n"/>
      <c r="E324" s="56" t="n"/>
    </row>
    <row r="325">
      <c r="B325" s="56" t="n"/>
      <c r="C325" s="56" t="n"/>
      <c r="D325" s="56" t="n"/>
      <c r="E325" s="56" t="n"/>
    </row>
    <row r="326">
      <c r="B326" s="56" t="n"/>
      <c r="C326" s="56" t="n"/>
      <c r="D326" s="56" t="n"/>
      <c r="E326" s="56" t="n"/>
    </row>
    <row r="327">
      <c r="B327" s="56" t="n"/>
      <c r="C327" s="56" t="n"/>
      <c r="D327" s="56" t="n"/>
      <c r="E327" s="56" t="n"/>
    </row>
    <row r="328">
      <c r="B328" s="56" t="n"/>
      <c r="C328" s="56" t="n"/>
      <c r="D328" s="56" t="n"/>
      <c r="E328" s="56" t="n"/>
    </row>
    <row r="329">
      <c r="B329" s="56" t="n"/>
      <c r="C329" s="56" t="n"/>
      <c r="D329" s="56" t="n"/>
      <c r="E329" s="56" t="n"/>
    </row>
    <row r="330">
      <c r="B330" s="56" t="n"/>
      <c r="C330" s="56" t="n"/>
      <c r="D330" s="56" t="n"/>
      <c r="E330" s="56" t="n"/>
    </row>
    <row r="331">
      <c r="B331" s="56" t="n"/>
      <c r="C331" s="56" t="n"/>
      <c r="D331" s="56" t="n"/>
      <c r="E331" s="56" t="n"/>
    </row>
    <row r="332">
      <c r="B332" s="56" t="n"/>
      <c r="C332" s="56" t="n"/>
      <c r="D332" s="56" t="n"/>
      <c r="E332" s="56" t="n"/>
    </row>
    <row r="333">
      <c r="B333" s="56" t="n"/>
      <c r="C333" s="56" t="n"/>
      <c r="D333" s="56" t="n"/>
      <c r="E333" s="56" t="n"/>
    </row>
    <row r="334">
      <c r="B334" s="56" t="n"/>
      <c r="C334" s="56" t="n"/>
      <c r="D334" s="56" t="n"/>
      <c r="E334" s="56" t="n"/>
    </row>
    <row r="335">
      <c r="B335" s="56" t="n"/>
      <c r="C335" s="56" t="n"/>
      <c r="D335" s="56" t="n"/>
      <c r="E335" s="56" t="n"/>
    </row>
    <row r="336">
      <c r="B336" s="56" t="n"/>
      <c r="C336" s="56" t="n"/>
      <c r="D336" s="56" t="n"/>
      <c r="E336" s="56" t="n"/>
    </row>
    <row r="337">
      <c r="B337" s="56" t="n"/>
      <c r="C337" s="56" t="n"/>
      <c r="D337" s="56" t="n"/>
      <c r="E337" s="56" t="n"/>
    </row>
    <row r="338">
      <c r="B338" s="56" t="n"/>
      <c r="C338" s="56" t="n"/>
      <c r="D338" s="56" t="n"/>
      <c r="E338" s="56" t="n"/>
    </row>
    <row r="339">
      <c r="B339" s="56" t="n"/>
      <c r="C339" s="56" t="n"/>
      <c r="D339" s="56" t="n"/>
      <c r="E339" s="56" t="n"/>
    </row>
    <row r="340">
      <c r="B340" s="56" t="n"/>
      <c r="C340" s="56" t="n"/>
      <c r="D340" s="56" t="n"/>
      <c r="E340" s="56" t="n"/>
    </row>
    <row r="341">
      <c r="B341" s="56" t="n"/>
      <c r="C341" s="56" t="n"/>
      <c r="D341" s="56" t="n"/>
      <c r="E341" s="56" t="n"/>
    </row>
    <row r="342">
      <c r="B342" s="56" t="n"/>
      <c r="C342" s="56" t="n"/>
      <c r="D342" s="56" t="n"/>
      <c r="E342" s="56" t="n"/>
    </row>
    <row r="343">
      <c r="B343" s="56" t="n"/>
      <c r="C343" s="56" t="n"/>
      <c r="D343" s="56" t="n"/>
      <c r="E343" s="56" t="n"/>
    </row>
    <row r="344">
      <c r="B344" s="56" t="n"/>
      <c r="C344" s="56" t="n"/>
      <c r="D344" s="56" t="n"/>
      <c r="E344" s="56" t="n"/>
    </row>
    <row r="345">
      <c r="B345" s="56" t="n"/>
      <c r="C345" s="56" t="n"/>
      <c r="D345" s="56" t="n"/>
      <c r="E345" s="56" t="n"/>
    </row>
    <row r="346">
      <c r="B346" s="56" t="n"/>
      <c r="C346" s="56" t="n"/>
      <c r="D346" s="56" t="n"/>
      <c r="E346" s="56" t="n"/>
    </row>
    <row r="347">
      <c r="B347" s="56" t="n"/>
      <c r="C347" s="56" t="n"/>
      <c r="D347" s="56" t="n"/>
      <c r="E347" s="56" t="n"/>
    </row>
    <row r="348">
      <c r="B348" s="56" t="n"/>
      <c r="C348" s="56" t="n"/>
      <c r="D348" s="56" t="n"/>
      <c r="E348" s="56" t="n"/>
    </row>
    <row r="349">
      <c r="B349" s="56" t="n"/>
      <c r="C349" s="56" t="n"/>
      <c r="D349" s="56" t="n"/>
      <c r="E349" s="56" t="n"/>
    </row>
    <row r="350">
      <c r="B350" s="56" t="n"/>
      <c r="C350" s="56" t="n"/>
      <c r="D350" s="56" t="n"/>
      <c r="E350" s="56" t="n"/>
    </row>
    <row r="351">
      <c r="B351" s="56" t="n"/>
      <c r="C351" s="56" t="n"/>
      <c r="D351" s="56" t="n"/>
      <c r="E351" s="56" t="n"/>
    </row>
    <row r="352">
      <c r="B352" s="56" t="n"/>
      <c r="C352" s="56" t="n"/>
      <c r="D352" s="56" t="n"/>
      <c r="E352" s="56" t="n"/>
    </row>
    <row r="353">
      <c r="B353" s="56" t="n"/>
      <c r="C353" s="56" t="n"/>
      <c r="D353" s="56" t="n"/>
      <c r="E353" s="56" t="n"/>
    </row>
    <row r="354">
      <c r="B354" s="56" t="n"/>
      <c r="C354" s="56" t="n"/>
      <c r="D354" s="56" t="n"/>
      <c r="E354" s="56" t="n"/>
    </row>
    <row r="355">
      <c r="B355" s="56" t="n"/>
      <c r="C355" s="56" t="n"/>
      <c r="D355" s="56" t="n"/>
      <c r="E355" s="56" t="n"/>
    </row>
    <row r="356">
      <c r="B356" s="56" t="n"/>
      <c r="C356" s="56" t="n"/>
      <c r="D356" s="56" t="n"/>
      <c r="E356" s="56" t="n"/>
    </row>
    <row r="357">
      <c r="B357" s="56" t="n"/>
      <c r="C357" s="56" t="n"/>
      <c r="D357" s="56" t="n"/>
      <c r="E357" s="56" t="n"/>
    </row>
    <row r="358">
      <c r="B358" s="56" t="n"/>
      <c r="C358" s="56" t="n"/>
      <c r="D358" s="56" t="n"/>
      <c r="E358" s="56" t="n"/>
    </row>
    <row r="359">
      <c r="B359" s="56" t="n"/>
      <c r="C359" s="56" t="n"/>
      <c r="D359" s="56" t="n"/>
      <c r="E359" s="56" t="n"/>
    </row>
    <row r="360">
      <c r="B360" s="56" t="n"/>
      <c r="C360" s="56" t="n"/>
      <c r="D360" s="56" t="n"/>
      <c r="E360" s="56" t="n"/>
    </row>
    <row r="361">
      <c r="B361" s="56" t="n"/>
      <c r="C361" s="56" t="n"/>
      <c r="D361" s="56" t="n"/>
      <c r="E361" s="56" t="n"/>
    </row>
    <row r="362">
      <c r="B362" s="56" t="n"/>
      <c r="C362" s="56" t="n"/>
      <c r="D362" s="56" t="n"/>
      <c r="E362" s="56" t="n"/>
    </row>
    <row r="363">
      <c r="B363" s="56" t="n"/>
      <c r="C363" s="56" t="n"/>
      <c r="D363" s="56" t="n"/>
      <c r="E363" s="56" t="n"/>
    </row>
    <row r="364">
      <c r="B364" s="56" t="n"/>
      <c r="C364" s="56" t="n"/>
      <c r="D364" s="56" t="n"/>
      <c r="E364" s="56" t="n"/>
    </row>
    <row r="365">
      <c r="B365" s="56" t="n"/>
      <c r="C365" s="56" t="n"/>
      <c r="D365" s="56" t="n"/>
      <c r="E365" s="56" t="n"/>
    </row>
    <row r="366">
      <c r="B366" s="56" t="n"/>
      <c r="C366" s="56" t="n"/>
      <c r="D366" s="56" t="n"/>
      <c r="E366" s="56" t="n"/>
    </row>
    <row r="367">
      <c r="B367" s="56" t="n"/>
      <c r="C367" s="56" t="n"/>
      <c r="D367" s="56" t="n"/>
      <c r="E367" s="56" t="n"/>
    </row>
    <row r="368">
      <c r="B368" s="56" t="n"/>
      <c r="C368" s="56" t="n"/>
      <c r="D368" s="56" t="n"/>
      <c r="E368" s="56" t="n"/>
    </row>
    <row r="369">
      <c r="B369" s="56" t="n"/>
      <c r="C369" s="56" t="n"/>
      <c r="D369" s="56" t="n"/>
      <c r="E369" s="56" t="n"/>
    </row>
    <row r="370">
      <c r="B370" s="56" t="n"/>
      <c r="C370" s="56" t="n"/>
      <c r="D370" s="56" t="n"/>
      <c r="E370" s="56" t="n"/>
    </row>
    <row r="371">
      <c r="B371" s="56" t="n"/>
      <c r="C371" s="56" t="n"/>
      <c r="D371" s="56" t="n"/>
      <c r="E371" s="56" t="n"/>
    </row>
    <row r="372">
      <c r="B372" s="56" t="n"/>
      <c r="C372" s="56" t="n"/>
      <c r="D372" s="56" t="n"/>
      <c r="E372" s="56" t="n"/>
    </row>
    <row r="373">
      <c r="B373" s="56" t="n"/>
      <c r="C373" s="56" t="n"/>
      <c r="D373" s="56" t="n"/>
      <c r="E373" s="56" t="n"/>
    </row>
    <row r="374">
      <c r="B374" s="56" t="n"/>
      <c r="C374" s="56" t="n"/>
      <c r="D374" s="56" t="n"/>
      <c r="E374" s="56" t="n"/>
    </row>
    <row r="375">
      <c r="B375" s="56" t="n"/>
      <c r="C375" s="56" t="n"/>
      <c r="D375" s="56" t="n"/>
      <c r="E375" s="56" t="n"/>
    </row>
    <row r="376">
      <c r="B376" s="56" t="n"/>
      <c r="C376" s="56" t="n"/>
      <c r="D376" s="56" t="n"/>
      <c r="E376" s="56" t="n"/>
    </row>
    <row r="377">
      <c r="B377" s="56" t="n"/>
      <c r="C377" s="56" t="n"/>
      <c r="D377" s="56" t="n"/>
      <c r="E377" s="56" t="n"/>
    </row>
    <row r="378">
      <c r="B378" s="56" t="n"/>
      <c r="C378" s="56" t="n"/>
      <c r="D378" s="56" t="n"/>
      <c r="E378" s="56" t="n"/>
    </row>
    <row r="379">
      <c r="B379" s="56" t="n"/>
      <c r="C379" s="56" t="n"/>
      <c r="D379" s="56" t="n"/>
      <c r="E379" s="56" t="n"/>
    </row>
    <row r="380">
      <c r="B380" s="56" t="n"/>
      <c r="C380" s="56" t="n"/>
      <c r="D380" s="56" t="n"/>
      <c r="E380" s="56" t="n"/>
    </row>
    <row r="381">
      <c r="B381" s="56" t="n"/>
      <c r="C381" s="56" t="n"/>
      <c r="D381" s="56" t="n"/>
      <c r="E381" s="56" t="n"/>
    </row>
    <row r="382">
      <c r="B382" s="56" t="n"/>
      <c r="C382" s="56" t="n"/>
      <c r="D382" s="56" t="n"/>
      <c r="E382" s="56" t="n"/>
    </row>
    <row r="383">
      <c r="B383" s="56" t="n"/>
      <c r="C383" s="56" t="n"/>
      <c r="D383" s="56" t="n"/>
      <c r="E383" s="56" t="n"/>
    </row>
    <row r="384">
      <c r="B384" s="56" t="n"/>
      <c r="C384" s="56" t="n"/>
      <c r="D384" s="56" t="n"/>
      <c r="E384" s="56" t="n"/>
    </row>
    <row r="385">
      <c r="B385" s="56" t="n"/>
      <c r="C385" s="56" t="n"/>
      <c r="D385" s="56" t="n"/>
      <c r="E385" s="56" t="n"/>
    </row>
    <row r="386">
      <c r="B386" s="56" t="n"/>
      <c r="C386" s="56" t="n"/>
      <c r="D386" s="56" t="n"/>
      <c r="E386" s="56" t="n"/>
    </row>
    <row r="387">
      <c r="B387" s="56" t="n"/>
      <c r="C387" s="56" t="n"/>
      <c r="D387" s="56" t="n"/>
      <c r="E387" s="56" t="n"/>
    </row>
    <row r="388">
      <c r="B388" s="56" t="n"/>
      <c r="C388" s="56" t="n"/>
      <c r="D388" s="56" t="n"/>
      <c r="E388" s="56" t="n"/>
    </row>
    <row r="389">
      <c r="B389" s="56" t="n"/>
      <c r="C389" s="56" t="n"/>
      <c r="D389" s="56" t="n"/>
      <c r="E389" s="56" t="n"/>
    </row>
    <row r="390">
      <c r="B390" s="56" t="n"/>
      <c r="C390" s="56" t="n"/>
      <c r="D390" s="56" t="n"/>
      <c r="E390" s="56" t="n"/>
    </row>
    <row r="391">
      <c r="B391" s="56" t="n"/>
      <c r="C391" s="56" t="n"/>
      <c r="D391" s="56" t="n"/>
      <c r="E391" s="56" t="n"/>
    </row>
    <row r="392">
      <c r="B392" s="56" t="n"/>
      <c r="C392" s="56" t="n"/>
      <c r="D392" s="56" t="n"/>
      <c r="E392" s="56" t="n"/>
    </row>
    <row r="393">
      <c r="B393" s="56" t="n"/>
      <c r="C393" s="56" t="n"/>
      <c r="D393" s="56" t="n"/>
      <c r="E393" s="56" t="n"/>
    </row>
    <row r="394">
      <c r="B394" s="56" t="n"/>
      <c r="C394" s="56" t="n"/>
      <c r="D394" s="56" t="n"/>
      <c r="E394" s="56" t="n"/>
    </row>
    <row r="395">
      <c r="B395" s="56" t="n"/>
      <c r="C395" s="56" t="n"/>
      <c r="D395" s="56" t="n"/>
      <c r="E395" s="56" t="n"/>
    </row>
    <row r="396">
      <c r="B396" s="56" t="n"/>
      <c r="C396" s="56" t="n"/>
      <c r="D396" s="56" t="n"/>
      <c r="E396" s="56" t="n"/>
    </row>
    <row r="397">
      <c r="B397" s="56" t="n"/>
      <c r="C397" s="56" t="n"/>
      <c r="D397" s="56" t="n"/>
      <c r="E397" s="56" t="n"/>
    </row>
    <row r="398">
      <c r="B398" s="56" t="n"/>
      <c r="C398" s="56" t="n"/>
      <c r="D398" s="56" t="n"/>
      <c r="E398" s="56" t="n"/>
    </row>
    <row r="399">
      <c r="B399" s="56" t="n"/>
      <c r="C399" s="56" t="n"/>
      <c r="D399" s="56" t="n"/>
      <c r="E399" s="56" t="n"/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0" customHeight="1">
      <c r="A1" s="59" t="inlineStr">
        <is>
          <t>Data</t>
        </is>
      </c>
      <c r="B1" s="59" t="inlineStr">
        <is>
          <t>Veio</t>
        </is>
      </c>
      <c r="C1" s="59" t="inlineStr">
        <is>
          <t>Molde que saiu</t>
        </is>
      </c>
      <c r="D1" s="59" t="inlineStr">
        <is>
          <t>Vida programada</t>
        </is>
      </c>
      <c r="E1" s="59" t="inlineStr">
        <is>
          <t>Corridas na saída</t>
        </is>
      </c>
      <c r="F1" s="59" t="inlineStr">
        <is>
          <t>Molde que entrou</t>
        </is>
      </c>
      <c r="G1" s="59" t="inlineStr">
        <is>
          <t>Motivo</t>
        </is>
      </c>
      <c r="H1" s="59" t="inlineStr">
        <is>
          <t>Conferir</t>
        </is>
      </c>
      <c r="I1" s="59" t="inlineStr">
        <is>
          <t>Origem</t>
        </is>
      </c>
    </row>
  </sheetData>
  <autoFilter ref="A1:I5000"/>
  <conditionalFormatting sqref="H2:H5000">
    <cfRule type="expression" priority="1" dxfId="4">
      <formula>LEN($H2)&gt;0</formula>
    </cfRule>
  </conditionalFormatting>
  <conditionalFormatting sqref="A2:G5000">
    <cfRule type="expression" priority="2" dxfId="3">
      <formula>AND($A2&lt;&gt;"",MOD(ROW(),2)=0)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5" customWidth="1" min="4" max="4"/>
    <col width="11" customWidth="1" min="5" max="5"/>
  </cols>
  <sheetData>
    <row r="1" ht="30" customHeight="1">
      <c r="A1" s="60" t="inlineStr">
        <is>
          <t>Data/hora</t>
        </is>
      </c>
      <c r="B1" s="60" t="inlineStr">
        <is>
          <t>Tipo</t>
        </is>
      </c>
      <c r="C1" s="60" t="inlineStr">
        <is>
          <t>Item</t>
        </is>
      </c>
      <c r="D1" s="60" t="inlineStr">
        <is>
          <t>Detalhe</t>
        </is>
      </c>
      <c r="E1" s="60" t="inlineStr">
        <is>
          <t>Resolvido</t>
        </is>
      </c>
    </row>
  </sheetData>
  <autoFilter ref="A1:E5000"/>
  <conditionalFormatting sqref="A2:E5000">
    <cfRule type="expression" priority="1" dxfId="5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50" customWidth="1" min="1" max="1"/>
    <col width="12" customWidth="1" min="2" max="2"/>
  </cols>
  <sheetData>
    <row r="1">
      <c r="A1" s="31" t="inlineStr">
        <is>
          <t>Parâmetro</t>
        </is>
      </c>
      <c r="B1" s="31" t="inlineStr">
        <is>
          <t>Valor</t>
        </is>
      </c>
    </row>
    <row r="3">
      <c r="A3" t="inlineStr">
        <is>
          <t>Limiar de atenção (% da vida)</t>
        </is>
      </c>
      <c r="B3" s="61" t="n">
        <v>0.8</v>
      </c>
    </row>
    <row r="5">
      <c r="A5" s="62" t="inlineStr">
        <is>
          <t>Como a planilha calcula</t>
        </is>
      </c>
    </row>
    <row r="6">
      <c r="A6" t="inlineStr">
        <is>
          <t>•  Molde (corridas): acumulado do último dia em Historico, pelo veio. Um registro por data e veio; reenvio do mesmo dia substitui, não soma.</t>
        </is>
      </c>
    </row>
    <row r="7">
      <c r="A7" t="inlineStr">
        <is>
          <t>•  Troca de molde: quando o nº do molde do veio muda, o robô registra em Trocas (molde que saiu, corridas na saída pela observação do relatório, molde que entrou).</t>
        </is>
      </c>
    </row>
    <row r="8">
      <c r="A8" t="inlineStr">
        <is>
          <t>•  Oscilador (dias): dias corridos desde 'Desde' + Acumulado inicial.</t>
        </is>
      </c>
    </row>
    <row r="9">
      <c r="A9" t="inlineStr">
        <is>
          <t>•  Componentes (t): toneladas reais da MCC escolhida (aba Producao) desde 'Desde' + Acumulado inicial.</t>
        </is>
      </c>
    </row>
    <row r="10">
      <c r="A10" t="inlineStr">
        <is>
          <t>•  Falta = meta − acumulado.   % = acumulado ÷ meta.   Acima de 100% = além da meta.   Sem previsão de data de troca.</t>
        </is>
      </c>
    </row>
    <row r="11">
      <c r="A11" t="inlineStr">
        <is>
          <t>•  Alertas: acumulado diminuiu sem troca; veio não andou enquanto a MCC produziu; layout dos anexos mudou; troca para conferir.</t>
        </is>
      </c>
    </row>
    <row r="12">
      <c r="A12" t="inlineStr">
        <is>
          <t>•  Cores das abas: azul = painel e cadastros; dourado = você digita; cinza = o robô preenche; vermelho = alertas.</t>
        </is>
      </c>
    </row>
    <row r="13">
      <c r="A13" t="inlineStr">
        <is>
          <t>•  As abas Historico, Producao, Trocas e Alertas são escritas pelo robô: não renomeie nem mude a ordem das colunas.</t>
        </is>
      </c>
    </row>
    <row r="16">
      <c r="A16" s="49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  <c r="F1" t="inlineStr">
        <is>
          <t>Top (linha)</t>
        </is>
      </c>
      <c r="H1" t="inlineStr">
        <is>
          <t>Linha ativa</t>
        </is>
      </c>
    </row>
    <row r="2">
      <c r="A2" s="63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  <c r="F2">
        <f>IFERROR(IF(LARGE(Equipamentos!$M$2:$M$61,1)&lt;0,0,MATCH(LARGE(Equipamentos!$M$2:$M$61,1),Equipamentos!$M$2:$M$61,0)),0)</f>
        <v/>
      </c>
      <c r="H2">
        <f>IFERROR(SMALL(Equipamentos!$Q$2:$Q$61,1),0)</f>
        <v/>
      </c>
    </row>
    <row r="3">
      <c r="A3" s="63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  <c r="F3">
        <f>IFERROR(IF(LARGE(Equipamentos!$M$2:$M$61,2)&lt;0,0,MATCH(LARGE(Equipamentos!$M$2:$M$61,2),Equipamentos!$M$2:$M$61,0)),0)</f>
        <v/>
      </c>
      <c r="H3">
        <f>IFERROR(SMALL(Equipamentos!$Q$2:$Q$61,2),0)</f>
        <v/>
      </c>
    </row>
    <row r="4">
      <c r="A4" s="63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  <c r="F4">
        <f>IFERROR(IF(LARGE(Equipamentos!$M$2:$M$61,3)&lt;0,0,MATCH(LARGE(Equipamentos!$M$2:$M$61,3),Equipamentos!$M$2:$M$61,0)),0)</f>
        <v/>
      </c>
      <c r="H4">
        <f>IFERROR(SMALL(Equipamentos!$Q$2:$Q$61,3),0)</f>
        <v/>
      </c>
    </row>
    <row r="5">
      <c r="A5" s="63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  <c r="F5">
        <f>IFERROR(IF(LARGE(Equipamentos!$M$2:$M$61,4)&lt;0,0,MATCH(LARGE(Equipamentos!$M$2:$M$61,4),Equipamentos!$M$2:$M$61,0)),0)</f>
        <v/>
      </c>
      <c r="H5">
        <f>IFERROR(SMALL(Equipamentos!$Q$2:$Q$61,4),0)</f>
        <v/>
      </c>
    </row>
    <row r="6">
      <c r="A6" s="63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  <c r="F6">
        <f>IFERROR(IF(LARGE(Equipamentos!$M$2:$M$61,5)&lt;0,0,MATCH(LARGE(Equipamentos!$M$2:$M$61,5),Equipamentos!$M$2:$M$61,0)),0)</f>
        <v/>
      </c>
      <c r="H6">
        <f>IFERROR(SMALL(Equipamentos!$Q$2:$Q$61,5),0)</f>
        <v/>
      </c>
    </row>
    <row r="7">
      <c r="A7" s="63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  <c r="F7">
        <f>IFERROR(IF(LARGE(Equipamentos!$M$2:$M$61,6)&lt;0,0,MATCH(LARGE(Equipamentos!$M$2:$M$61,6),Equipamentos!$M$2:$M$61,0)),0)</f>
        <v/>
      </c>
      <c r="H7">
        <f>IFERROR(SMALL(Equipamentos!$Q$2:$Q$61,6),0)</f>
        <v/>
      </c>
    </row>
    <row r="8">
      <c r="A8" s="63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  <c r="H8">
        <f>IFERROR(SMALL(Equipamentos!$Q$2:$Q$61,7),0)</f>
        <v/>
      </c>
    </row>
    <row r="9">
      <c r="A9" s="63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  <c r="H9">
        <f>IFERROR(SMALL(Equipamentos!$Q$2:$Q$61,8),0)</f>
        <v/>
      </c>
    </row>
    <row r="10">
      <c r="A10" s="63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  <c r="H10">
        <f>IFERROR(SMALL(Equipamentos!$Q$2:$Q$61,9),0)</f>
        <v/>
      </c>
    </row>
    <row r="11">
      <c r="A11" s="63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  <c r="H11">
        <f>IFERROR(SMALL(Equipamentos!$Q$2:$Q$61,10),0)</f>
        <v/>
      </c>
    </row>
    <row r="12">
      <c r="A12" s="63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  <c r="H12">
        <f>IFERROR(SMALL(Equipamentos!$Q$2:$Q$61,11),0)</f>
        <v/>
      </c>
    </row>
    <row r="13">
      <c r="A13" s="63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  <c r="H13">
        <f>IFERROR(SMALL(Equipamentos!$Q$2:$Q$61,12),0)</f>
        <v/>
      </c>
    </row>
    <row r="14">
      <c r="A14" s="63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  <c r="H14">
        <f>IFERROR(SMALL(Equipamentos!$Q$2:$Q$61,13),0)</f>
        <v/>
      </c>
    </row>
    <row r="15">
      <c r="A15" s="63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  <c r="H15">
        <f>IFERROR(SMALL(Equipamentos!$Q$2:$Q$61,14),0)</f>
        <v/>
      </c>
    </row>
    <row r="16">
      <c r="A16" s="63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  <c r="H16">
        <f>IFERROR(SMALL(Equipamentos!$Q$2:$Q$61,15),0)</f>
        <v/>
      </c>
    </row>
    <row r="17">
      <c r="A17" s="63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  <c r="H17">
        <f>IFERROR(SMALL(Equipamentos!$Q$2:$Q$61,16),0)</f>
        <v/>
      </c>
    </row>
    <row r="18">
      <c r="A18" s="63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  <c r="H18">
        <f>IFERROR(SMALL(Equipamentos!$Q$2:$Q$61,17),0)</f>
        <v/>
      </c>
    </row>
    <row r="19">
      <c r="A19" s="63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  <c r="H19">
        <f>IFERROR(SMALL(Equipamentos!$Q$2:$Q$61,18),0)</f>
        <v/>
      </c>
    </row>
    <row r="20">
      <c r="A20" s="63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  <c r="H20">
        <f>IFERROR(SMALL(Equipamentos!$Q$2:$Q$61,19),0)</f>
        <v/>
      </c>
    </row>
    <row r="21">
      <c r="A21" s="63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  <c r="H21">
        <f>IFERROR(SMALL(Equipamentos!$Q$2:$Q$61,20),0)</f>
        <v/>
      </c>
    </row>
    <row r="22">
      <c r="A22" s="63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  <c r="H22">
        <f>IFERROR(SMALL(Equipamentos!$Q$2:$Q$61,21),0)</f>
        <v/>
      </c>
    </row>
    <row r="23">
      <c r="A23" s="63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  <c r="H23">
        <f>IFERROR(SMALL(Equipamentos!$Q$2:$Q$61,22),0)</f>
        <v/>
      </c>
    </row>
    <row r="24">
      <c r="A24" s="63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  <c r="H24">
        <f>IFERROR(SMALL(Equipamentos!$Q$2:$Q$61,23),0)</f>
        <v/>
      </c>
    </row>
    <row r="25">
      <c r="A25" s="63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  <c r="H25">
        <f>IFERROR(SMALL(Equipamentos!$Q$2:$Q$61,24),0)</f>
        <v/>
      </c>
    </row>
    <row r="26">
      <c r="A26" s="63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  <c r="H26">
        <f>IFERROR(SMALL(Equipamentos!$Q$2:$Q$61,25),0)</f>
        <v/>
      </c>
    </row>
    <row r="27">
      <c r="A27" s="63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  <c r="H27">
        <f>IFERROR(SMALL(Equipamentos!$Q$2:$Q$61,26),0)</f>
        <v/>
      </c>
    </row>
    <row r="28">
      <c r="A28" s="63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  <c r="H28">
        <f>IFERROR(SMALL(Equipamentos!$Q$2:$Q$61,27),0)</f>
        <v/>
      </c>
    </row>
    <row r="29">
      <c r="A29" s="63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63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63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2026-10-20T12:54:58Z</dcterms:created>
  <dcterms:modified xmlns:dcterms="http://purl.org/dc/terms/" xmlns:xsi="http://www.w3.org/2001/XMLSchema-instance" xsi:type="dcterms:W3CDTF">2026-10-20T12:54:58Z</dcterms:modified>
</cp:coreProperties>
</file>